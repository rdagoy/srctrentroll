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omda\Downloads\"/>
    </mc:Choice>
  </mc:AlternateContent>
  <xr:revisionPtr revIDLastSave="0" documentId="13_ncr:1_{EECDCB80-45F6-4ACF-91C4-6FC22B7E7121}" xr6:coauthVersionLast="47" xr6:coauthVersionMax="47" xr10:uidLastSave="{00000000-0000-0000-0000-000000000000}"/>
  <bookViews>
    <workbookView xWindow="-120" yWindow="-120" windowWidth="29040" windowHeight="15840" tabRatio="888" activeTab="9" xr2:uid="{23C30431-017C-4076-A2CC-7187A4DE5284}"/>
  </bookViews>
  <sheets>
    <sheet name="Exec Summ" sheetId="86" r:id="rId1"/>
    <sheet name="P&amp;Ls Summary" sheetId="166" r:id="rId2"/>
    <sheet name="10-Yr CF" sheetId="236" r:id="rId3"/>
    <sheet name="P&amp;Ls Detailed" sheetId="206" r:id="rId4"/>
    <sheet name="Unit Mix" sheetId="173" r:id="rId5"/>
    <sheet name="Exhibits--&gt;" sheetId="231" r:id="rId6"/>
    <sheet name="Tax-Assessor Info" sheetId="203" r:id="rId7"/>
    <sheet name="Recent Leases" sheetId="174" r:id="rId8"/>
    <sheet name="Rent Roll" sheetId="176" r:id="rId9"/>
    <sheet name="OneLineRR" sheetId="177" r:id="rId10"/>
    <sheet name="Lease Comps" sheetId="234" r:id="rId11"/>
    <sheet name="Sales Comps" sheetId="235" r:id="rId12"/>
    <sheet name="Valuation" sheetId="197" r:id="rId13"/>
    <sheet name="External UW" sheetId="221" r:id="rId14"/>
    <sheet name="Source--&gt;" sheetId="178" r:id="rId15"/>
    <sheet name="HVP RR" sheetId="223" r:id="rId16"/>
    <sheet name="HVP T12" sheetId="227" r:id="rId17"/>
    <sheet name="BOV_OM Exhibits&gt;&gt;&gt;" sheetId="232" r:id="rId18"/>
    <sheet name="Unit Mix Exhibit" sheetId="233" r:id="rId19"/>
  </sheets>
  <definedNames>
    <definedName name="_xlcn.WorksheetConnection_TEMPLATECOSTMANAGEMENT1.xlsxTable571" hidden="1">#REF!</definedName>
    <definedName name="H16･1速報" localSheetId="10" hidden="1">{"'コメント'!$A$1:$C$37"}</definedName>
    <definedName name="H16･1速報" localSheetId="11" hidden="1">{"'コメント'!$A$1:$C$37"}</definedName>
    <definedName name="H16･1速報" localSheetId="12" hidden="1">{"'コメント'!$A$1:$C$37"}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0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1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6" hidden="1">{#N/A,#N/A,TRUE,"TOC";#N/A,#N/A,TRUE,"(1) Project Names LEE";#N/A,#N/A,TRUE,"(2) Project Names LWE";#N/A,#N/A,TRUE,"(3) LEE - Cash Proceeds";#N/A,#N/A,TRUE,"(4) LWE - Cash Proceeds ";#N/A,#N/A,TRUE,"(5) LEE - GAAP Gains"}</definedName>
    <definedName name="_xlnm.Print_Area" localSheetId="2">'10-Yr CF'!$B$2:$O$40</definedName>
    <definedName name="_xlnm.Print_Area" localSheetId="0">'Exec Summ'!$B$2:$L$46</definedName>
    <definedName name="_xlnm.Print_Area" localSheetId="13">'External UW'!$B$2:$N$41</definedName>
    <definedName name="_xlnm.Print_Area" localSheetId="10">'Lease Comps'!$A$1:$I$26</definedName>
    <definedName name="_xlnm.Print_Area" localSheetId="3">'P&amp;Ls Detailed'!$B$2:$AB$164</definedName>
    <definedName name="_xlnm.Print_Area" localSheetId="1">'P&amp;Ls Summary'!$B$2:$Y$41</definedName>
    <definedName name="_xlnm.Print_Area" localSheetId="7">'Recent Leases'!$B$2:$AE$18</definedName>
    <definedName name="_xlnm.Print_Area" localSheetId="8">'Rent Roll'!$B$2:$X$517</definedName>
    <definedName name="_xlnm.Print_Area" localSheetId="11">'Sales Comps'!$B$2:$S$15</definedName>
    <definedName name="_xlnm.Print_Area" localSheetId="6">'Tax-Assessor Info'!$B$2:$Q$19</definedName>
    <definedName name="_xlnm.Print_Area" localSheetId="4">'Unit Mix'!$B$2:$Y$82</definedName>
    <definedName name="_xlnm.Print_Area" localSheetId="12">Valuation!$B$2:$H$17</definedName>
  </definedNames>
  <calcPr calcId="191028" iterate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166" l="1"/>
  <c r="S21" i="166"/>
  <c r="D108" i="166"/>
  <c r="Q17" i="236"/>
  <c r="X18" i="166"/>
  <c r="U9" i="236"/>
  <c r="Q36" i="236"/>
  <c r="Q35" i="236"/>
  <c r="Q34" i="236"/>
  <c r="Q33" i="236"/>
  <c r="Q32" i="236"/>
  <c r="Q31" i="236"/>
  <c r="Q30" i="236"/>
  <c r="Q29" i="236"/>
  <c r="Q28" i="236"/>
  <c r="Q27" i="236"/>
  <c r="Q26" i="236"/>
  <c r="Q25" i="236"/>
  <c r="Q21" i="236"/>
  <c r="Q20" i="236"/>
  <c r="Q19" i="236"/>
  <c r="Q18" i="236"/>
  <c r="Q16" i="236"/>
  <c r="Q15" i="236"/>
  <c r="Q13" i="236"/>
  <c r="Q12" i="236"/>
  <c r="Q11" i="236"/>
  <c r="F5" i="236"/>
  <c r="G5" i="236" s="1"/>
  <c r="H5" i="236" s="1"/>
  <c r="I5" i="236" s="1"/>
  <c r="J5" i="236" s="1"/>
  <c r="K5" i="236" s="1"/>
  <c r="L5" i="236" s="1"/>
  <c r="M5" i="236" s="1"/>
  <c r="N5" i="236" s="1"/>
  <c r="N44" i="236" s="1"/>
  <c r="K44" i="236" l="1"/>
  <c r="L44" i="236"/>
  <c r="M44" i="236"/>
  <c r="D129" i="236"/>
  <c r="D128" i="236"/>
  <c r="D127" i="236"/>
  <c r="D126" i="236"/>
  <c r="D125" i="236"/>
  <c r="D124" i="236"/>
  <c r="D123" i="236"/>
  <c r="D122" i="236"/>
  <c r="D121" i="236"/>
  <c r="D120" i="236"/>
  <c r="D119" i="236"/>
  <c r="D118" i="236"/>
  <c r="D117" i="236"/>
  <c r="D115" i="236"/>
  <c r="D114" i="236"/>
  <c r="D113" i="236"/>
  <c r="D112" i="236"/>
  <c r="D111" i="236"/>
  <c r="D110" i="236"/>
  <c r="D109" i="236"/>
  <c r="D108" i="236"/>
  <c r="D107" i="236"/>
  <c r="D106" i="236"/>
  <c r="D105" i="236"/>
  <c r="D104" i="236"/>
  <c r="O3" i="236"/>
  <c r="E10" i="86"/>
  <c r="D117" i="166"/>
  <c r="X28" i="166"/>
  <c r="L27" i="221" s="1"/>
  <c r="C7" i="234"/>
  <c r="AF12" i="221"/>
  <c r="AE12" i="221"/>
  <c r="I24" i="234" l="1"/>
  <c r="I23" i="234"/>
  <c r="I21" i="234"/>
  <c r="I20" i="234"/>
  <c r="I18" i="234"/>
  <c r="I17" i="234"/>
  <c r="I15" i="234"/>
  <c r="I14" i="234"/>
  <c r="I12" i="234"/>
  <c r="I11" i="234"/>
  <c r="AC10" i="173" s="1" a="1"/>
  <c r="AC10" i="173" s="1"/>
  <c r="C5" i="234"/>
  <c r="AC14" i="173" l="1" a="1"/>
  <c r="AC14" i="173" s="1"/>
  <c r="AC15" i="173" a="1"/>
  <c r="AC15" i="173" s="1"/>
  <c r="AC7" i="173" a="1"/>
  <c r="AC7" i="173" s="1"/>
  <c r="AC17" i="173" a="1"/>
  <c r="AC17" i="173" s="1"/>
  <c r="AC11" i="173" a="1"/>
  <c r="AC11" i="173" s="1"/>
  <c r="AC16" i="173" a="1"/>
  <c r="AC16" i="173" s="1"/>
  <c r="AC12" i="173" a="1"/>
  <c r="AC12" i="173" s="1"/>
  <c r="AC13" i="173" a="1"/>
  <c r="AC13" i="173" s="1"/>
  <c r="AC8" i="173" a="1"/>
  <c r="AC8" i="173" s="1"/>
  <c r="AC9" i="173" a="1"/>
  <c r="AC9" i="173" s="1"/>
  <c r="AC6" i="173" a="1"/>
  <c r="AC6" i="173" s="1"/>
  <c r="Q12" i="235" l="1"/>
  <c r="P12" i="235"/>
  <c r="Q11" i="235"/>
  <c r="O11" i="235"/>
  <c r="N11" i="235"/>
  <c r="M11" i="235"/>
  <c r="L11" i="235"/>
  <c r="K11" i="235"/>
  <c r="J11" i="235"/>
  <c r="I11" i="235"/>
  <c r="H11" i="235"/>
  <c r="G11" i="235"/>
  <c r="V10" i="235"/>
  <c r="U10" i="235"/>
  <c r="P10" i="235"/>
  <c r="V9" i="235"/>
  <c r="U9" i="235"/>
  <c r="P9" i="235"/>
  <c r="V8" i="235"/>
  <c r="U8" i="235"/>
  <c r="P8" i="235"/>
  <c r="V7" i="235"/>
  <c r="U7" i="235"/>
  <c r="P7" i="235"/>
  <c r="V6" i="235"/>
  <c r="U6" i="235"/>
  <c r="P6" i="235"/>
  <c r="P11" i="235" s="1"/>
  <c r="Q3" i="235"/>
  <c r="R68" i="173" l="1"/>
  <c r="R67" i="173"/>
  <c r="R66" i="173"/>
  <c r="L68" i="173"/>
  <c r="L67" i="173"/>
  <c r="L66" i="173"/>
  <c r="L65" i="173"/>
  <c r="B103" i="233"/>
  <c r="G110" i="233" s="1"/>
  <c r="B92" i="233"/>
  <c r="G100" i="233" s="1"/>
  <c r="B81" i="233"/>
  <c r="G89" i="233" s="1"/>
  <c r="B70" i="233"/>
  <c r="C78" i="233" s="1"/>
  <c r="D78" i="233" s="1"/>
  <c r="B59" i="233"/>
  <c r="T16" i="233"/>
  <c r="U16" i="233" s="1"/>
  <c r="T15" i="233"/>
  <c r="U15" i="233" s="1"/>
  <c r="T14" i="233"/>
  <c r="U14" i="233" s="1"/>
  <c r="T13" i="233"/>
  <c r="U13" i="233" s="1"/>
  <c r="R16" i="233"/>
  <c r="S16" i="233" s="1"/>
  <c r="R15" i="233"/>
  <c r="S15" i="233" s="1"/>
  <c r="R14" i="233"/>
  <c r="S14" i="233" s="1"/>
  <c r="R13" i="233"/>
  <c r="S13" i="233" s="1"/>
  <c r="T12" i="233"/>
  <c r="R12" i="233"/>
  <c r="Q16" i="233"/>
  <c r="P16" i="233"/>
  <c r="Q15" i="233"/>
  <c r="P15" i="233"/>
  <c r="Q14" i="233"/>
  <c r="P14" i="233"/>
  <c r="Q13" i="233"/>
  <c r="P13" i="233"/>
  <c r="Q12" i="233"/>
  <c r="P12" i="233"/>
  <c r="O16" i="233"/>
  <c r="O15" i="233"/>
  <c r="O14" i="233"/>
  <c r="O13" i="233"/>
  <c r="O12" i="233"/>
  <c r="K45" i="86"/>
  <c r="J45" i="86"/>
  <c r="S12" i="233" l="1"/>
  <c r="R17" i="233"/>
  <c r="U12" i="233"/>
  <c r="T17" i="233"/>
  <c r="Q17" i="233"/>
  <c r="C85" i="233"/>
  <c r="G86" i="233"/>
  <c r="G88" i="233"/>
  <c r="C75" i="233"/>
  <c r="D75" i="233" s="1"/>
  <c r="E85" i="233"/>
  <c r="F85" i="233" s="1"/>
  <c r="E87" i="233"/>
  <c r="F87" i="233" s="1"/>
  <c r="C89" i="233"/>
  <c r="D89" i="233" s="1"/>
  <c r="E76" i="233"/>
  <c r="F76" i="233" s="1"/>
  <c r="C86" i="233"/>
  <c r="D86" i="233" s="1"/>
  <c r="G87" i="233"/>
  <c r="E89" i="233"/>
  <c r="F89" i="233" s="1"/>
  <c r="G77" i="233"/>
  <c r="E86" i="233"/>
  <c r="F86" i="233" s="1"/>
  <c r="C88" i="233"/>
  <c r="D88" i="233" s="1"/>
  <c r="E74" i="233"/>
  <c r="F74" i="233" s="1"/>
  <c r="G75" i="233"/>
  <c r="H75" i="233" s="1"/>
  <c r="C77" i="233"/>
  <c r="D77" i="233" s="1"/>
  <c r="E78" i="233"/>
  <c r="F78" i="233" s="1"/>
  <c r="G85" i="233"/>
  <c r="H85" i="233" s="1"/>
  <c r="C87" i="233"/>
  <c r="E88" i="233"/>
  <c r="F88" i="233" s="1"/>
  <c r="C97" i="233"/>
  <c r="D97" i="233" s="1"/>
  <c r="E98" i="233"/>
  <c r="F98" i="233" s="1"/>
  <c r="G99" i="233"/>
  <c r="C107" i="233"/>
  <c r="D107" i="233" s="1"/>
  <c r="E108" i="233"/>
  <c r="F108" i="233" s="1"/>
  <c r="G109" i="233"/>
  <c r="C111" i="233"/>
  <c r="D111" i="233" s="1"/>
  <c r="G74" i="233"/>
  <c r="C76" i="233"/>
  <c r="D76" i="233" s="1"/>
  <c r="E77" i="233"/>
  <c r="F77" i="233" s="1"/>
  <c r="G78" i="233"/>
  <c r="C96" i="233"/>
  <c r="D96" i="233" s="1"/>
  <c r="E97" i="233"/>
  <c r="F97" i="233" s="1"/>
  <c r="G98" i="233"/>
  <c r="C100" i="233"/>
  <c r="H100" i="233" s="1"/>
  <c r="E107" i="233"/>
  <c r="F107" i="233" s="1"/>
  <c r="G108" i="233"/>
  <c r="C110" i="233"/>
  <c r="D110" i="233" s="1"/>
  <c r="E111" i="233"/>
  <c r="F111" i="233" s="1"/>
  <c r="E96" i="233"/>
  <c r="F96" i="233" s="1"/>
  <c r="G97" i="233"/>
  <c r="C99" i="233"/>
  <c r="D99" i="233" s="1"/>
  <c r="E100" i="233"/>
  <c r="F100" i="233" s="1"/>
  <c r="I100" i="233" s="1"/>
  <c r="G107" i="233"/>
  <c r="C109" i="233"/>
  <c r="E110" i="233"/>
  <c r="F110" i="233" s="1"/>
  <c r="G111" i="233"/>
  <c r="C74" i="233"/>
  <c r="E75" i="233"/>
  <c r="F75" i="233" s="1"/>
  <c r="I75" i="233" s="1"/>
  <c r="G76" i="233"/>
  <c r="G79" i="233" s="1"/>
  <c r="G96" i="233"/>
  <c r="C98" i="233"/>
  <c r="D98" i="233" s="1"/>
  <c r="E99" i="233"/>
  <c r="F99" i="233" s="1"/>
  <c r="C108" i="233"/>
  <c r="D108" i="233" s="1"/>
  <c r="E109" i="233"/>
  <c r="F109" i="233" s="1"/>
  <c r="H78" i="233"/>
  <c r="D85" i="233"/>
  <c r="D100" i="233"/>
  <c r="S17" i="233"/>
  <c r="U17" i="233"/>
  <c r="I78" i="233" l="1"/>
  <c r="G90" i="233"/>
  <c r="H77" i="233"/>
  <c r="H99" i="233"/>
  <c r="I99" i="233" s="1"/>
  <c r="H111" i="233"/>
  <c r="I111" i="233" s="1"/>
  <c r="H74" i="233"/>
  <c r="I74" i="233" s="1"/>
  <c r="D90" i="233"/>
  <c r="H86" i="233"/>
  <c r="I86" i="233" s="1"/>
  <c r="D74" i="233"/>
  <c r="D79" i="233" s="1"/>
  <c r="C112" i="233"/>
  <c r="H107" i="233"/>
  <c r="I107" i="233" s="1"/>
  <c r="H96" i="233"/>
  <c r="I96" i="233" s="1"/>
  <c r="E101" i="233"/>
  <c r="G101" i="233"/>
  <c r="H76" i="233"/>
  <c r="I76" i="233" s="1"/>
  <c r="D109" i="233"/>
  <c r="H97" i="233"/>
  <c r="I97" i="233" s="1"/>
  <c r="C79" i="233"/>
  <c r="H79" i="233" s="1"/>
  <c r="E79" i="233"/>
  <c r="C101" i="233"/>
  <c r="D101" i="233" s="1"/>
  <c r="H88" i="233"/>
  <c r="I88" i="233" s="1"/>
  <c r="E90" i="233"/>
  <c r="I77" i="233"/>
  <c r="C90" i="233"/>
  <c r="H90" i="233" s="1"/>
  <c r="H89" i="233"/>
  <c r="I89" i="233" s="1"/>
  <c r="E112" i="233"/>
  <c r="G112" i="233"/>
  <c r="H98" i="233"/>
  <c r="I98" i="233" s="1"/>
  <c r="D87" i="233"/>
  <c r="H87" i="233"/>
  <c r="I87" i="233" s="1"/>
  <c r="H108" i="233"/>
  <c r="I108" i="233" s="1"/>
  <c r="H109" i="233"/>
  <c r="I109" i="233" s="1"/>
  <c r="H110" i="233"/>
  <c r="I110" i="233" s="1"/>
  <c r="I85" i="233"/>
  <c r="M42" i="203"/>
  <c r="O42" i="203" s="1"/>
  <c r="O68" i="173"/>
  <c r="O67" i="173"/>
  <c r="O66" i="173"/>
  <c r="O65" i="173"/>
  <c r="H112" i="233" l="1"/>
  <c r="D112" i="233"/>
  <c r="H101" i="233"/>
  <c r="X17" i="166"/>
  <c r="X26" i="166"/>
  <c r="X20" i="166"/>
  <c r="X19" i="166"/>
  <c r="X16" i="166"/>
  <c r="X15" i="166"/>
  <c r="X38" i="166"/>
  <c r="X36" i="166"/>
  <c r="X35" i="166"/>
  <c r="X34" i="166"/>
  <c r="X33" i="166"/>
  <c r="X32" i="166"/>
  <c r="X31" i="166"/>
  <c r="X30" i="166"/>
  <c r="X29" i="166"/>
  <c r="X27" i="166"/>
  <c r="H25" i="86" l="1"/>
  <c r="F25" i="86"/>
  <c r="AA10" i="166" l="1"/>
  <c r="L20" i="221" l="1"/>
  <c r="L10" i="221"/>
  <c r="L9" i="221"/>
  <c r="H5" i="221"/>
  <c r="L37" i="221" l="1"/>
  <c r="G39" i="166"/>
  <c r="G23" i="166"/>
  <c r="G5" i="166"/>
  <c r="D12" i="197"/>
  <c r="D11" i="197"/>
  <c r="D10" i="197"/>
  <c r="G40" i="166" l="1"/>
  <c r="F11" i="197"/>
  <c r="G11" i="197" l="1"/>
  <c r="E11" i="197"/>
  <c r="D110" i="166" l="1"/>
  <c r="D111" i="166"/>
  <c r="D112" i="166"/>
  <c r="X22" i="166"/>
  <c r="L21" i="221" s="1"/>
  <c r="L7" i="203" l="1"/>
  <c r="J7" i="203"/>
  <c r="I7" i="203"/>
  <c r="H7" i="203"/>
  <c r="G7" i="203"/>
  <c r="F7" i="203"/>
  <c r="E7" i="203"/>
  <c r="L6" i="203"/>
  <c r="J6" i="203"/>
  <c r="I6" i="203"/>
  <c r="H6" i="203"/>
  <c r="G6" i="203"/>
  <c r="F6" i="203"/>
  <c r="E6" i="203"/>
  <c r="D7" i="203"/>
  <c r="D6" i="203"/>
  <c r="D65" i="173"/>
  <c r="D107" i="166"/>
  <c r="W174" i="206"/>
  <c r="W173" i="206"/>
  <c r="W172" i="206"/>
  <c r="I172" i="206"/>
  <c r="J172" i="206"/>
  <c r="K172" i="206"/>
  <c r="L172" i="206"/>
  <c r="M172" i="206"/>
  <c r="N172" i="206"/>
  <c r="O172" i="206"/>
  <c r="P172" i="206"/>
  <c r="Q172" i="206"/>
  <c r="R172" i="206"/>
  <c r="S172" i="206"/>
  <c r="I173" i="206"/>
  <c r="J173" i="206"/>
  <c r="K173" i="206"/>
  <c r="L173" i="206"/>
  <c r="M173" i="206"/>
  <c r="N173" i="206"/>
  <c r="O173" i="206"/>
  <c r="P173" i="206"/>
  <c r="Q173" i="206"/>
  <c r="R173" i="206"/>
  <c r="S173" i="206"/>
  <c r="I174" i="206"/>
  <c r="J174" i="206"/>
  <c r="K174" i="206"/>
  <c r="L174" i="206"/>
  <c r="M174" i="206"/>
  <c r="N174" i="206"/>
  <c r="O174" i="206"/>
  <c r="P174" i="206"/>
  <c r="Q174" i="206"/>
  <c r="R174" i="206"/>
  <c r="S174" i="206"/>
  <c r="H174" i="206"/>
  <c r="H173" i="206"/>
  <c r="H172" i="206"/>
  <c r="AB161" i="206"/>
  <c r="S159" i="206"/>
  <c r="R159" i="206"/>
  <c r="Q159" i="206"/>
  <c r="P159" i="206"/>
  <c r="O159" i="206"/>
  <c r="N159" i="206"/>
  <c r="M159" i="206"/>
  <c r="L159" i="206"/>
  <c r="K159" i="206"/>
  <c r="J159" i="206"/>
  <c r="I159" i="206"/>
  <c r="H159" i="206"/>
  <c r="S158" i="206"/>
  <c r="R158" i="206"/>
  <c r="Q158" i="206"/>
  <c r="P158" i="206"/>
  <c r="O158" i="206"/>
  <c r="N158" i="206"/>
  <c r="M158" i="206"/>
  <c r="L158" i="206"/>
  <c r="K158" i="206"/>
  <c r="J158" i="206"/>
  <c r="I158" i="206"/>
  <c r="H158" i="206"/>
  <c r="S157" i="206"/>
  <c r="R157" i="206"/>
  <c r="Q157" i="206"/>
  <c r="P157" i="206"/>
  <c r="O157" i="206"/>
  <c r="N157" i="206"/>
  <c r="M157" i="206"/>
  <c r="L157" i="206"/>
  <c r="K157" i="206"/>
  <c r="J157" i="206"/>
  <c r="I157" i="206"/>
  <c r="H157" i="206"/>
  <c r="S156" i="206"/>
  <c r="R156" i="206"/>
  <c r="Q156" i="206"/>
  <c r="P156" i="206"/>
  <c r="O156" i="206"/>
  <c r="N156" i="206"/>
  <c r="M156" i="206"/>
  <c r="L156" i="206"/>
  <c r="K156" i="206"/>
  <c r="J156" i="206"/>
  <c r="I156" i="206"/>
  <c r="H156" i="206"/>
  <c r="S155" i="206"/>
  <c r="R155" i="206"/>
  <c r="Q155" i="206"/>
  <c r="P155" i="206"/>
  <c r="O155" i="206"/>
  <c r="N155" i="206"/>
  <c r="M155" i="206"/>
  <c r="L155" i="206"/>
  <c r="K155" i="206"/>
  <c r="J155" i="206"/>
  <c r="I155" i="206"/>
  <c r="H155" i="206"/>
  <c r="S154" i="206"/>
  <c r="R154" i="206"/>
  <c r="Q154" i="206"/>
  <c r="P154" i="206"/>
  <c r="O154" i="206"/>
  <c r="N154" i="206"/>
  <c r="M154" i="206"/>
  <c r="L154" i="206"/>
  <c r="K154" i="206"/>
  <c r="J154" i="206"/>
  <c r="I154" i="206"/>
  <c r="H154" i="206"/>
  <c r="S153" i="206"/>
  <c r="R153" i="206"/>
  <c r="Q153" i="206"/>
  <c r="P153" i="206"/>
  <c r="O153" i="206"/>
  <c r="N153" i="206"/>
  <c r="M153" i="206"/>
  <c r="L153" i="206"/>
  <c r="K153" i="206"/>
  <c r="J153" i="206"/>
  <c r="I153" i="206"/>
  <c r="H153" i="206"/>
  <c r="S152" i="206"/>
  <c r="R152" i="206"/>
  <c r="Q152" i="206"/>
  <c r="P152" i="206"/>
  <c r="O152" i="206"/>
  <c r="N152" i="206"/>
  <c r="M152" i="206"/>
  <c r="L152" i="206"/>
  <c r="K152" i="206"/>
  <c r="J152" i="206"/>
  <c r="I152" i="206"/>
  <c r="H152" i="206"/>
  <c r="S150" i="206"/>
  <c r="R150" i="206"/>
  <c r="Q150" i="206"/>
  <c r="P150" i="206"/>
  <c r="O150" i="206"/>
  <c r="N150" i="206"/>
  <c r="M150" i="206"/>
  <c r="L150" i="206"/>
  <c r="K150" i="206"/>
  <c r="J150" i="206"/>
  <c r="I150" i="206"/>
  <c r="H150" i="206"/>
  <c r="S149" i="206"/>
  <c r="R149" i="206"/>
  <c r="Q149" i="206"/>
  <c r="P149" i="206"/>
  <c r="O149" i="206"/>
  <c r="N149" i="206"/>
  <c r="M149" i="206"/>
  <c r="L149" i="206"/>
  <c r="K149" i="206"/>
  <c r="J149" i="206"/>
  <c r="I149" i="206"/>
  <c r="H149" i="206"/>
  <c r="S148" i="206"/>
  <c r="R148" i="206"/>
  <c r="Q148" i="206"/>
  <c r="P148" i="206"/>
  <c r="O148" i="206"/>
  <c r="N148" i="206"/>
  <c r="M148" i="206"/>
  <c r="L148" i="206"/>
  <c r="K148" i="206"/>
  <c r="J148" i="206"/>
  <c r="I148" i="206"/>
  <c r="H148" i="206"/>
  <c r="S146" i="206"/>
  <c r="R146" i="206"/>
  <c r="Q146" i="206"/>
  <c r="P146" i="206"/>
  <c r="O146" i="206"/>
  <c r="N146" i="206"/>
  <c r="M146" i="206"/>
  <c r="L146" i="206"/>
  <c r="K146" i="206"/>
  <c r="J146" i="206"/>
  <c r="I146" i="206"/>
  <c r="H146" i="206"/>
  <c r="S145" i="206"/>
  <c r="R145" i="206"/>
  <c r="Q145" i="206"/>
  <c r="P145" i="206"/>
  <c r="O145" i="206"/>
  <c r="N145" i="206"/>
  <c r="M145" i="206"/>
  <c r="L145" i="206"/>
  <c r="K145" i="206"/>
  <c r="J145" i="206"/>
  <c r="I145" i="206"/>
  <c r="H145" i="206"/>
  <c r="S143" i="206"/>
  <c r="R143" i="206"/>
  <c r="Q143" i="206"/>
  <c r="P143" i="206"/>
  <c r="O143" i="206"/>
  <c r="N143" i="206"/>
  <c r="M143" i="206"/>
  <c r="L143" i="206"/>
  <c r="K143" i="206"/>
  <c r="J143" i="206"/>
  <c r="I143" i="206"/>
  <c r="H143" i="206"/>
  <c r="S142" i="206"/>
  <c r="R142" i="206"/>
  <c r="Q142" i="206"/>
  <c r="P142" i="206"/>
  <c r="O142" i="206"/>
  <c r="N142" i="206"/>
  <c r="M142" i="206"/>
  <c r="L142" i="206"/>
  <c r="K142" i="206"/>
  <c r="J142" i="206"/>
  <c r="I142" i="206"/>
  <c r="H142" i="206"/>
  <c r="S140" i="206"/>
  <c r="S161" i="206" s="1"/>
  <c r="R140" i="206"/>
  <c r="R161" i="206" s="1"/>
  <c r="Q140" i="206"/>
  <c r="Q161" i="206" s="1"/>
  <c r="P140" i="206"/>
  <c r="P161" i="206" s="1"/>
  <c r="O140" i="206"/>
  <c r="O161" i="206" s="1"/>
  <c r="N140" i="206"/>
  <c r="N161" i="206" s="1"/>
  <c r="M140" i="206"/>
  <c r="M161" i="206" s="1"/>
  <c r="L140" i="206"/>
  <c r="L161" i="206" s="1"/>
  <c r="K140" i="206"/>
  <c r="K161" i="206" s="1"/>
  <c r="J140" i="206"/>
  <c r="J161" i="206" s="1"/>
  <c r="I140" i="206"/>
  <c r="I161" i="206" s="1"/>
  <c r="H140" i="206"/>
  <c r="H161" i="206" s="1"/>
  <c r="S139" i="206"/>
  <c r="R139" i="206"/>
  <c r="Q139" i="206"/>
  <c r="P139" i="206"/>
  <c r="O139" i="206"/>
  <c r="N139" i="206"/>
  <c r="M139" i="206"/>
  <c r="L139" i="206"/>
  <c r="K139" i="206"/>
  <c r="J139" i="206"/>
  <c r="I139" i="206"/>
  <c r="H139" i="206"/>
  <c r="S136" i="206"/>
  <c r="R136" i="206"/>
  <c r="Q136" i="206"/>
  <c r="P136" i="206"/>
  <c r="O136" i="206"/>
  <c r="N136" i="206"/>
  <c r="M136" i="206"/>
  <c r="L136" i="206"/>
  <c r="K136" i="206"/>
  <c r="J136" i="206"/>
  <c r="I136" i="206"/>
  <c r="H136" i="206"/>
  <c r="S135" i="206"/>
  <c r="R135" i="206"/>
  <c r="Q135" i="206"/>
  <c r="P135" i="206"/>
  <c r="O135" i="206"/>
  <c r="N135" i="206"/>
  <c r="M135" i="206"/>
  <c r="L135" i="206"/>
  <c r="K135" i="206"/>
  <c r="J135" i="206"/>
  <c r="I135" i="206"/>
  <c r="H135" i="206"/>
  <c r="S134" i="206"/>
  <c r="R134" i="206"/>
  <c r="Q134" i="206"/>
  <c r="P134" i="206"/>
  <c r="O134" i="206"/>
  <c r="N134" i="206"/>
  <c r="M134" i="206"/>
  <c r="L134" i="206"/>
  <c r="K134" i="206"/>
  <c r="J134" i="206"/>
  <c r="I134" i="206"/>
  <c r="H134" i="206"/>
  <c r="S133" i="206"/>
  <c r="R133" i="206"/>
  <c r="Q133" i="206"/>
  <c r="P133" i="206"/>
  <c r="O133" i="206"/>
  <c r="N133" i="206"/>
  <c r="M133" i="206"/>
  <c r="L133" i="206"/>
  <c r="K133" i="206"/>
  <c r="J133" i="206"/>
  <c r="I133" i="206"/>
  <c r="H133" i="206"/>
  <c r="S132" i="206"/>
  <c r="R132" i="206"/>
  <c r="Q132" i="206"/>
  <c r="P132" i="206"/>
  <c r="O132" i="206"/>
  <c r="N132" i="206"/>
  <c r="M132" i="206"/>
  <c r="L132" i="206"/>
  <c r="K132" i="206"/>
  <c r="J132" i="206"/>
  <c r="I132" i="206"/>
  <c r="H132" i="206"/>
  <c r="S125" i="206"/>
  <c r="R125" i="206"/>
  <c r="Q125" i="206"/>
  <c r="P125" i="206"/>
  <c r="O125" i="206"/>
  <c r="N125" i="206"/>
  <c r="M125" i="206"/>
  <c r="L125" i="206"/>
  <c r="K125" i="206"/>
  <c r="J125" i="206"/>
  <c r="I125" i="206"/>
  <c r="H125" i="206"/>
  <c r="S124" i="206"/>
  <c r="R124" i="206"/>
  <c r="Q124" i="206"/>
  <c r="P124" i="206"/>
  <c r="O124" i="206"/>
  <c r="N124" i="206"/>
  <c r="M124" i="206"/>
  <c r="L124" i="206"/>
  <c r="K124" i="206"/>
  <c r="J124" i="206"/>
  <c r="I124" i="206"/>
  <c r="H124" i="206"/>
  <c r="S123" i="206"/>
  <c r="R123" i="206"/>
  <c r="Q123" i="206"/>
  <c r="P123" i="206"/>
  <c r="O123" i="206"/>
  <c r="N123" i="206"/>
  <c r="M123" i="206"/>
  <c r="L123" i="206"/>
  <c r="K123" i="206"/>
  <c r="J123" i="206"/>
  <c r="I123" i="206"/>
  <c r="H123" i="206"/>
  <c r="S120" i="206"/>
  <c r="R120" i="206"/>
  <c r="Q120" i="206"/>
  <c r="P120" i="206"/>
  <c r="O120" i="206"/>
  <c r="N120" i="206"/>
  <c r="M120" i="206"/>
  <c r="L120" i="206"/>
  <c r="K120" i="206"/>
  <c r="J120" i="206"/>
  <c r="I120" i="206"/>
  <c r="H120" i="206"/>
  <c r="S118" i="206"/>
  <c r="R118" i="206"/>
  <c r="Q118" i="206"/>
  <c r="P118" i="206"/>
  <c r="O118" i="206"/>
  <c r="N118" i="206"/>
  <c r="M118" i="206"/>
  <c r="L118" i="206"/>
  <c r="K118" i="206"/>
  <c r="J118" i="206"/>
  <c r="I118" i="206"/>
  <c r="H118" i="206"/>
  <c r="S117" i="206"/>
  <c r="R117" i="206"/>
  <c r="Q117" i="206"/>
  <c r="P117" i="206"/>
  <c r="O117" i="206"/>
  <c r="N117" i="206"/>
  <c r="M117" i="206"/>
  <c r="L117" i="206"/>
  <c r="K117" i="206"/>
  <c r="J117" i="206"/>
  <c r="I117" i="206"/>
  <c r="H117" i="206"/>
  <c r="S116" i="206"/>
  <c r="R116" i="206"/>
  <c r="Q116" i="206"/>
  <c r="P116" i="206"/>
  <c r="O116" i="206"/>
  <c r="N116" i="206"/>
  <c r="M116" i="206"/>
  <c r="L116" i="206"/>
  <c r="K116" i="206"/>
  <c r="J116" i="206"/>
  <c r="I116" i="206"/>
  <c r="H116" i="206"/>
  <c r="S112" i="206"/>
  <c r="R112" i="206"/>
  <c r="Q112" i="206"/>
  <c r="P112" i="206"/>
  <c r="O112" i="206"/>
  <c r="N112" i="206"/>
  <c r="M112" i="206"/>
  <c r="L112" i="206"/>
  <c r="K112" i="206"/>
  <c r="J112" i="206"/>
  <c r="I112" i="206"/>
  <c r="H112" i="206"/>
  <c r="S111" i="206"/>
  <c r="R111" i="206"/>
  <c r="Q111" i="206"/>
  <c r="P111" i="206"/>
  <c r="O111" i="206"/>
  <c r="N111" i="206"/>
  <c r="M111" i="206"/>
  <c r="L111" i="206"/>
  <c r="K111" i="206"/>
  <c r="J111" i="206"/>
  <c r="I111" i="206"/>
  <c r="H111" i="206"/>
  <c r="S110" i="206"/>
  <c r="R110" i="206"/>
  <c r="Q110" i="206"/>
  <c r="P110" i="206"/>
  <c r="O110" i="206"/>
  <c r="N110" i="206"/>
  <c r="M110" i="206"/>
  <c r="L110" i="206"/>
  <c r="K110" i="206"/>
  <c r="J110" i="206"/>
  <c r="I110" i="206"/>
  <c r="H110" i="206"/>
  <c r="S109" i="206"/>
  <c r="R109" i="206"/>
  <c r="Q109" i="206"/>
  <c r="P109" i="206"/>
  <c r="O109" i="206"/>
  <c r="N109" i="206"/>
  <c r="M109" i="206"/>
  <c r="L109" i="206"/>
  <c r="K109" i="206"/>
  <c r="J109" i="206"/>
  <c r="I109" i="206"/>
  <c r="H109" i="206"/>
  <c r="S106" i="206"/>
  <c r="R106" i="206"/>
  <c r="Q106" i="206"/>
  <c r="P106" i="206"/>
  <c r="O106" i="206"/>
  <c r="N106" i="206"/>
  <c r="M106" i="206"/>
  <c r="L106" i="206"/>
  <c r="K106" i="206"/>
  <c r="J106" i="206"/>
  <c r="I106" i="206"/>
  <c r="H106" i="206"/>
  <c r="S103" i="206"/>
  <c r="R103" i="206"/>
  <c r="Q103" i="206"/>
  <c r="P103" i="206"/>
  <c r="O103" i="206"/>
  <c r="N103" i="206"/>
  <c r="M103" i="206"/>
  <c r="L103" i="206"/>
  <c r="K103" i="206"/>
  <c r="J103" i="206"/>
  <c r="I103" i="206"/>
  <c r="H103" i="206"/>
  <c r="S102" i="206"/>
  <c r="R102" i="206"/>
  <c r="Q102" i="206"/>
  <c r="P102" i="206"/>
  <c r="O102" i="206"/>
  <c r="N102" i="206"/>
  <c r="M102" i="206"/>
  <c r="L102" i="206"/>
  <c r="K102" i="206"/>
  <c r="J102" i="206"/>
  <c r="I102" i="206"/>
  <c r="H102" i="206"/>
  <c r="S101" i="206"/>
  <c r="R101" i="206"/>
  <c r="Q101" i="206"/>
  <c r="P101" i="206"/>
  <c r="O101" i="206"/>
  <c r="N101" i="206"/>
  <c r="M101" i="206"/>
  <c r="L101" i="206"/>
  <c r="K101" i="206"/>
  <c r="J101" i="206"/>
  <c r="I101" i="206"/>
  <c r="H101" i="206"/>
  <c r="S98" i="206"/>
  <c r="R98" i="206"/>
  <c r="Q98" i="206"/>
  <c r="P98" i="206"/>
  <c r="O98" i="206"/>
  <c r="N98" i="206"/>
  <c r="M98" i="206"/>
  <c r="L98" i="206"/>
  <c r="K98" i="206"/>
  <c r="J98" i="206"/>
  <c r="I98" i="206"/>
  <c r="H98" i="206"/>
  <c r="S97" i="206"/>
  <c r="R97" i="206"/>
  <c r="Q97" i="206"/>
  <c r="P97" i="206"/>
  <c r="O97" i="206"/>
  <c r="N97" i="206"/>
  <c r="M97" i="206"/>
  <c r="L97" i="206"/>
  <c r="K97" i="206"/>
  <c r="J97" i="206"/>
  <c r="I97" i="206"/>
  <c r="H97" i="206"/>
  <c r="S96" i="206"/>
  <c r="R96" i="206"/>
  <c r="Q96" i="206"/>
  <c r="P96" i="206"/>
  <c r="O96" i="206"/>
  <c r="N96" i="206"/>
  <c r="M96" i="206"/>
  <c r="L96" i="206"/>
  <c r="K96" i="206"/>
  <c r="J96" i="206"/>
  <c r="I96" i="206"/>
  <c r="H96" i="206"/>
  <c r="S95" i="206"/>
  <c r="R95" i="206"/>
  <c r="Q95" i="206"/>
  <c r="P95" i="206"/>
  <c r="O95" i="206"/>
  <c r="N95" i="206"/>
  <c r="M95" i="206"/>
  <c r="L95" i="206"/>
  <c r="K95" i="206"/>
  <c r="J95" i="206"/>
  <c r="I95" i="206"/>
  <c r="H95" i="206"/>
  <c r="S94" i="206"/>
  <c r="R94" i="206"/>
  <c r="Q94" i="206"/>
  <c r="P94" i="206"/>
  <c r="O94" i="206"/>
  <c r="N94" i="206"/>
  <c r="M94" i="206"/>
  <c r="L94" i="206"/>
  <c r="K94" i="206"/>
  <c r="J94" i="206"/>
  <c r="I94" i="206"/>
  <c r="H94" i="206"/>
  <c r="S93" i="206"/>
  <c r="R93" i="206"/>
  <c r="Q93" i="206"/>
  <c r="P93" i="206"/>
  <c r="O93" i="206"/>
  <c r="N93" i="206"/>
  <c r="M93" i="206"/>
  <c r="L93" i="206"/>
  <c r="K93" i="206"/>
  <c r="J93" i="206"/>
  <c r="I93" i="206"/>
  <c r="H93" i="206"/>
  <c r="S92" i="206"/>
  <c r="R92" i="206"/>
  <c r="Q92" i="206"/>
  <c r="P92" i="206"/>
  <c r="O92" i="206"/>
  <c r="N92" i="206"/>
  <c r="M92" i="206"/>
  <c r="L92" i="206"/>
  <c r="K92" i="206"/>
  <c r="J92" i="206"/>
  <c r="I92" i="206"/>
  <c r="H92" i="206"/>
  <c r="S91" i="206"/>
  <c r="R91" i="206"/>
  <c r="Q91" i="206"/>
  <c r="P91" i="206"/>
  <c r="O91" i="206"/>
  <c r="N91" i="206"/>
  <c r="M91" i="206"/>
  <c r="L91" i="206"/>
  <c r="K91" i="206"/>
  <c r="J91" i="206"/>
  <c r="I91" i="206"/>
  <c r="H91" i="206"/>
  <c r="S90" i="206"/>
  <c r="R90" i="206"/>
  <c r="Q90" i="206"/>
  <c r="P90" i="206"/>
  <c r="O90" i="206"/>
  <c r="N90" i="206"/>
  <c r="M90" i="206"/>
  <c r="L90" i="206"/>
  <c r="K90" i="206"/>
  <c r="J90" i="206"/>
  <c r="I90" i="206"/>
  <c r="H90" i="206"/>
  <c r="S89" i="206"/>
  <c r="R89" i="206"/>
  <c r="Q89" i="206"/>
  <c r="P89" i="206"/>
  <c r="O89" i="206"/>
  <c r="N89" i="206"/>
  <c r="M89" i="206"/>
  <c r="L89" i="206"/>
  <c r="K89" i="206"/>
  <c r="J89" i="206"/>
  <c r="I89" i="206"/>
  <c r="H89" i="206"/>
  <c r="S88" i="206"/>
  <c r="R88" i="206"/>
  <c r="Q88" i="206"/>
  <c r="P88" i="206"/>
  <c r="O88" i="206"/>
  <c r="N88" i="206"/>
  <c r="M88" i="206"/>
  <c r="L88" i="206"/>
  <c r="K88" i="206"/>
  <c r="J88" i="206"/>
  <c r="I88" i="206"/>
  <c r="H88" i="206"/>
  <c r="S87" i="206"/>
  <c r="R87" i="206"/>
  <c r="Q87" i="206"/>
  <c r="P87" i="206"/>
  <c r="O87" i="206"/>
  <c r="N87" i="206"/>
  <c r="M87" i="206"/>
  <c r="L87" i="206"/>
  <c r="K87" i="206"/>
  <c r="J87" i="206"/>
  <c r="I87" i="206"/>
  <c r="H87" i="206"/>
  <c r="S86" i="206"/>
  <c r="R86" i="206"/>
  <c r="Q86" i="206"/>
  <c r="P86" i="206"/>
  <c r="O86" i="206"/>
  <c r="N86" i="206"/>
  <c r="M86" i="206"/>
  <c r="L86" i="206"/>
  <c r="K86" i="206"/>
  <c r="J86" i="206"/>
  <c r="I86" i="206"/>
  <c r="H86" i="206"/>
  <c r="S85" i="206"/>
  <c r="R85" i="206"/>
  <c r="Q85" i="206"/>
  <c r="P85" i="206"/>
  <c r="O85" i="206"/>
  <c r="N85" i="206"/>
  <c r="M85" i="206"/>
  <c r="L85" i="206"/>
  <c r="K85" i="206"/>
  <c r="J85" i="206"/>
  <c r="I85" i="206"/>
  <c r="H85" i="206"/>
  <c r="S84" i="206"/>
  <c r="R84" i="206"/>
  <c r="Q84" i="206"/>
  <c r="P84" i="206"/>
  <c r="O84" i="206"/>
  <c r="N84" i="206"/>
  <c r="M84" i="206"/>
  <c r="L84" i="206"/>
  <c r="K84" i="206"/>
  <c r="J84" i="206"/>
  <c r="I84" i="206"/>
  <c r="H84" i="206"/>
  <c r="S83" i="206"/>
  <c r="R83" i="206"/>
  <c r="Q83" i="206"/>
  <c r="P83" i="206"/>
  <c r="O83" i="206"/>
  <c r="N83" i="206"/>
  <c r="M83" i="206"/>
  <c r="L83" i="206"/>
  <c r="K83" i="206"/>
  <c r="J83" i="206"/>
  <c r="I83" i="206"/>
  <c r="H83" i="206"/>
  <c r="S80" i="206"/>
  <c r="R80" i="206"/>
  <c r="Q80" i="206"/>
  <c r="P80" i="206"/>
  <c r="O80" i="206"/>
  <c r="N80" i="206"/>
  <c r="M80" i="206"/>
  <c r="L80" i="206"/>
  <c r="K80" i="206"/>
  <c r="J80" i="206"/>
  <c r="I80" i="206"/>
  <c r="H80" i="206"/>
  <c r="S79" i="206"/>
  <c r="R79" i="206"/>
  <c r="Q79" i="206"/>
  <c r="P79" i="206"/>
  <c r="O79" i="206"/>
  <c r="N79" i="206"/>
  <c r="M79" i="206"/>
  <c r="L79" i="206"/>
  <c r="K79" i="206"/>
  <c r="J79" i="206"/>
  <c r="I79" i="206"/>
  <c r="H79" i="206"/>
  <c r="S78" i="206"/>
  <c r="R78" i="206"/>
  <c r="Q78" i="206"/>
  <c r="P78" i="206"/>
  <c r="O78" i="206"/>
  <c r="N78" i="206"/>
  <c r="M78" i="206"/>
  <c r="L78" i="206"/>
  <c r="K78" i="206"/>
  <c r="J78" i="206"/>
  <c r="I78" i="206"/>
  <c r="H78" i="206"/>
  <c r="S77" i="206"/>
  <c r="R77" i="206"/>
  <c r="Q77" i="206"/>
  <c r="P77" i="206"/>
  <c r="O77" i="206"/>
  <c r="N77" i="206"/>
  <c r="M77" i="206"/>
  <c r="L77" i="206"/>
  <c r="K77" i="206"/>
  <c r="J77" i="206"/>
  <c r="I77" i="206"/>
  <c r="H77" i="206"/>
  <c r="S76" i="206"/>
  <c r="R76" i="206"/>
  <c r="Q76" i="206"/>
  <c r="P76" i="206"/>
  <c r="O76" i="206"/>
  <c r="N76" i="206"/>
  <c r="M76" i="206"/>
  <c r="L76" i="206"/>
  <c r="K76" i="206"/>
  <c r="J76" i="206"/>
  <c r="I76" i="206"/>
  <c r="H76" i="206"/>
  <c r="S75" i="206"/>
  <c r="R75" i="206"/>
  <c r="Q75" i="206"/>
  <c r="P75" i="206"/>
  <c r="O75" i="206"/>
  <c r="N75" i="206"/>
  <c r="M75" i="206"/>
  <c r="L75" i="206"/>
  <c r="K75" i="206"/>
  <c r="J75" i="206"/>
  <c r="I75" i="206"/>
  <c r="H75" i="206"/>
  <c r="S74" i="206"/>
  <c r="R74" i="206"/>
  <c r="Q74" i="206"/>
  <c r="P74" i="206"/>
  <c r="O74" i="206"/>
  <c r="N74" i="206"/>
  <c r="M74" i="206"/>
  <c r="L74" i="206"/>
  <c r="K74" i="206"/>
  <c r="J74" i="206"/>
  <c r="I74" i="206"/>
  <c r="H74" i="206"/>
  <c r="S73" i="206"/>
  <c r="R73" i="206"/>
  <c r="Q73" i="206"/>
  <c r="P73" i="206"/>
  <c r="O73" i="206"/>
  <c r="N73" i="206"/>
  <c r="M73" i="206"/>
  <c r="L73" i="206"/>
  <c r="K73" i="206"/>
  <c r="J73" i="206"/>
  <c r="I73" i="206"/>
  <c r="H73" i="206"/>
  <c r="S72" i="206"/>
  <c r="R72" i="206"/>
  <c r="Q72" i="206"/>
  <c r="P72" i="206"/>
  <c r="O72" i="206"/>
  <c r="N72" i="206"/>
  <c r="M72" i="206"/>
  <c r="L72" i="206"/>
  <c r="K72" i="206"/>
  <c r="J72" i="206"/>
  <c r="I72" i="206"/>
  <c r="H72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S70" i="206"/>
  <c r="R70" i="206"/>
  <c r="Q70" i="206"/>
  <c r="P70" i="206"/>
  <c r="O70" i="206"/>
  <c r="N70" i="206"/>
  <c r="M70" i="206"/>
  <c r="L70" i="206"/>
  <c r="K70" i="206"/>
  <c r="J70" i="206"/>
  <c r="I70" i="206"/>
  <c r="H70" i="206"/>
  <c r="S69" i="206"/>
  <c r="R69" i="206"/>
  <c r="Q69" i="206"/>
  <c r="P69" i="206"/>
  <c r="O69" i="206"/>
  <c r="N69" i="206"/>
  <c r="M69" i="206"/>
  <c r="L69" i="206"/>
  <c r="K69" i="206"/>
  <c r="J69" i="206"/>
  <c r="I69" i="206"/>
  <c r="H69" i="206"/>
  <c r="S68" i="206"/>
  <c r="R68" i="206"/>
  <c r="Q68" i="206"/>
  <c r="P68" i="206"/>
  <c r="O68" i="206"/>
  <c r="N68" i="206"/>
  <c r="M68" i="206"/>
  <c r="L68" i="206"/>
  <c r="K68" i="206"/>
  <c r="J68" i="206"/>
  <c r="I68" i="206"/>
  <c r="H68" i="206"/>
  <c r="S67" i="206"/>
  <c r="R67" i="206"/>
  <c r="Q67" i="206"/>
  <c r="P67" i="206"/>
  <c r="O67" i="206"/>
  <c r="N67" i="206"/>
  <c r="M67" i="206"/>
  <c r="L67" i="206"/>
  <c r="K67" i="206"/>
  <c r="J67" i="206"/>
  <c r="I67" i="206"/>
  <c r="H67" i="206"/>
  <c r="S66" i="206"/>
  <c r="R66" i="206"/>
  <c r="Q66" i="206"/>
  <c r="P66" i="206"/>
  <c r="O66" i="206"/>
  <c r="N66" i="206"/>
  <c r="M66" i="206"/>
  <c r="L66" i="206"/>
  <c r="K66" i="206"/>
  <c r="J66" i="206"/>
  <c r="I66" i="206"/>
  <c r="H66" i="206"/>
  <c r="S65" i="206"/>
  <c r="R65" i="206"/>
  <c r="Q65" i="206"/>
  <c r="P65" i="206"/>
  <c r="O65" i="206"/>
  <c r="N65" i="206"/>
  <c r="M65" i="206"/>
  <c r="L65" i="206"/>
  <c r="K65" i="206"/>
  <c r="J65" i="206"/>
  <c r="I65" i="206"/>
  <c r="H65" i="206"/>
  <c r="S64" i="206"/>
  <c r="R64" i="206"/>
  <c r="Q64" i="206"/>
  <c r="P64" i="206"/>
  <c r="O64" i="206"/>
  <c r="N64" i="206"/>
  <c r="M64" i="206"/>
  <c r="L64" i="206"/>
  <c r="K64" i="206"/>
  <c r="J64" i="206"/>
  <c r="I64" i="206"/>
  <c r="H64" i="206"/>
  <c r="S60" i="206"/>
  <c r="R60" i="206"/>
  <c r="Q60" i="206"/>
  <c r="P60" i="206"/>
  <c r="O60" i="206"/>
  <c r="N60" i="206"/>
  <c r="M60" i="206"/>
  <c r="L60" i="206"/>
  <c r="K60" i="206"/>
  <c r="J60" i="206"/>
  <c r="I60" i="206"/>
  <c r="H60" i="206"/>
  <c r="S59" i="206"/>
  <c r="R59" i="206"/>
  <c r="Q59" i="206"/>
  <c r="P59" i="206"/>
  <c r="O59" i="206"/>
  <c r="N59" i="206"/>
  <c r="M59" i="206"/>
  <c r="L59" i="206"/>
  <c r="K59" i="206"/>
  <c r="J59" i="206"/>
  <c r="I59" i="206"/>
  <c r="H59" i="206"/>
  <c r="S58" i="206"/>
  <c r="R58" i="206"/>
  <c r="Q58" i="206"/>
  <c r="P58" i="206"/>
  <c r="O58" i="206"/>
  <c r="N58" i="206"/>
  <c r="M58" i="206"/>
  <c r="L58" i="206"/>
  <c r="K58" i="206"/>
  <c r="J58" i="206"/>
  <c r="I58" i="206"/>
  <c r="H58" i="206"/>
  <c r="S57" i="206"/>
  <c r="R57" i="206"/>
  <c r="Q57" i="206"/>
  <c r="P57" i="206"/>
  <c r="O57" i="206"/>
  <c r="N57" i="206"/>
  <c r="M57" i="206"/>
  <c r="L57" i="206"/>
  <c r="K57" i="206"/>
  <c r="J57" i="206"/>
  <c r="I57" i="206"/>
  <c r="H57" i="206"/>
  <c r="S56" i="206"/>
  <c r="R56" i="206"/>
  <c r="Q56" i="206"/>
  <c r="P56" i="206"/>
  <c r="O56" i="206"/>
  <c r="N56" i="206"/>
  <c r="M56" i="206"/>
  <c r="L56" i="206"/>
  <c r="K56" i="206"/>
  <c r="J56" i="206"/>
  <c r="I56" i="206"/>
  <c r="H56" i="206"/>
  <c r="S55" i="206"/>
  <c r="R55" i="206"/>
  <c r="Q55" i="206"/>
  <c r="P55" i="206"/>
  <c r="O55" i="206"/>
  <c r="N55" i="206"/>
  <c r="M55" i="206"/>
  <c r="L55" i="206"/>
  <c r="K55" i="206"/>
  <c r="J55" i="206"/>
  <c r="I55" i="206"/>
  <c r="H55" i="206"/>
  <c r="S54" i="206"/>
  <c r="R54" i="206"/>
  <c r="Q54" i="206"/>
  <c r="P54" i="206"/>
  <c r="O54" i="206"/>
  <c r="N54" i="206"/>
  <c r="M54" i="206"/>
  <c r="L54" i="206"/>
  <c r="K54" i="206"/>
  <c r="J54" i="206"/>
  <c r="I54" i="206"/>
  <c r="H54" i="206"/>
  <c r="S53" i="206"/>
  <c r="R53" i="206"/>
  <c r="Q53" i="206"/>
  <c r="P53" i="206"/>
  <c r="O53" i="206"/>
  <c r="N53" i="206"/>
  <c r="M53" i="206"/>
  <c r="L53" i="206"/>
  <c r="K53" i="206"/>
  <c r="J53" i="206"/>
  <c r="I53" i="206"/>
  <c r="H53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S51" i="206"/>
  <c r="R51" i="206"/>
  <c r="Q51" i="206"/>
  <c r="P51" i="206"/>
  <c r="O51" i="206"/>
  <c r="N51" i="206"/>
  <c r="M51" i="206"/>
  <c r="L51" i="206"/>
  <c r="K51" i="206"/>
  <c r="J51" i="206"/>
  <c r="I51" i="206"/>
  <c r="H51" i="206"/>
  <c r="S50" i="206"/>
  <c r="R50" i="206"/>
  <c r="Q50" i="206"/>
  <c r="P50" i="206"/>
  <c r="O50" i="206"/>
  <c r="N50" i="206"/>
  <c r="M50" i="206"/>
  <c r="L50" i="206"/>
  <c r="K50" i="206"/>
  <c r="J50" i="206"/>
  <c r="I50" i="206"/>
  <c r="H50" i="206"/>
  <c r="S49" i="206"/>
  <c r="R49" i="206"/>
  <c r="Q49" i="206"/>
  <c r="P49" i="206"/>
  <c r="O49" i="206"/>
  <c r="N49" i="206"/>
  <c r="M49" i="206"/>
  <c r="L49" i="206"/>
  <c r="K49" i="206"/>
  <c r="J49" i="206"/>
  <c r="I49" i="206"/>
  <c r="H49" i="206"/>
  <c r="S48" i="206"/>
  <c r="R48" i="206"/>
  <c r="Q48" i="206"/>
  <c r="P48" i="206"/>
  <c r="O48" i="206"/>
  <c r="N48" i="206"/>
  <c r="M48" i="206"/>
  <c r="L48" i="206"/>
  <c r="K48" i="206"/>
  <c r="J48" i="206"/>
  <c r="I48" i="206"/>
  <c r="H48" i="206"/>
  <c r="S39" i="206"/>
  <c r="R39" i="206"/>
  <c r="Q39" i="206"/>
  <c r="P39" i="206"/>
  <c r="O39" i="206"/>
  <c r="N39" i="206"/>
  <c r="M39" i="206"/>
  <c r="L39" i="206"/>
  <c r="K39" i="206"/>
  <c r="J39" i="206"/>
  <c r="I39" i="206"/>
  <c r="H39" i="206"/>
  <c r="S38" i="206"/>
  <c r="R38" i="206"/>
  <c r="Q38" i="206"/>
  <c r="P38" i="206"/>
  <c r="O38" i="206"/>
  <c r="N38" i="206"/>
  <c r="M38" i="206"/>
  <c r="L38" i="206"/>
  <c r="K38" i="206"/>
  <c r="J38" i="206"/>
  <c r="I38" i="206"/>
  <c r="H38" i="206"/>
  <c r="S37" i="206"/>
  <c r="R37" i="206"/>
  <c r="Q37" i="206"/>
  <c r="P37" i="206"/>
  <c r="O37" i="206"/>
  <c r="N37" i="206"/>
  <c r="M37" i="206"/>
  <c r="L37" i="206"/>
  <c r="K37" i="206"/>
  <c r="J37" i="206"/>
  <c r="I37" i="206"/>
  <c r="H37" i="206"/>
  <c r="S36" i="206"/>
  <c r="R36" i="206"/>
  <c r="Q36" i="206"/>
  <c r="P36" i="206"/>
  <c r="O36" i="206"/>
  <c r="N36" i="206"/>
  <c r="M36" i="206"/>
  <c r="L36" i="206"/>
  <c r="K36" i="206"/>
  <c r="J36" i="206"/>
  <c r="I36" i="206"/>
  <c r="H36" i="206"/>
  <c r="S35" i="206"/>
  <c r="R35" i="206"/>
  <c r="Q35" i="206"/>
  <c r="P35" i="206"/>
  <c r="O35" i="206"/>
  <c r="N35" i="206"/>
  <c r="M35" i="206"/>
  <c r="L35" i="206"/>
  <c r="K35" i="206"/>
  <c r="J35" i="206"/>
  <c r="I35" i="206"/>
  <c r="H35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S32" i="206"/>
  <c r="R32" i="206"/>
  <c r="Q32" i="206"/>
  <c r="P32" i="206"/>
  <c r="O32" i="206"/>
  <c r="N32" i="206"/>
  <c r="M32" i="206"/>
  <c r="L32" i="206"/>
  <c r="K32" i="206"/>
  <c r="J32" i="206"/>
  <c r="I32" i="206"/>
  <c r="H32" i="206"/>
  <c r="S31" i="206"/>
  <c r="R31" i="206"/>
  <c r="Q31" i="206"/>
  <c r="P31" i="206"/>
  <c r="O31" i="206"/>
  <c r="N31" i="206"/>
  <c r="M31" i="206"/>
  <c r="L31" i="206"/>
  <c r="K31" i="206"/>
  <c r="J31" i="206"/>
  <c r="I31" i="206"/>
  <c r="H31" i="206"/>
  <c r="S30" i="206"/>
  <c r="R30" i="206"/>
  <c r="Q30" i="206"/>
  <c r="P30" i="206"/>
  <c r="O30" i="206"/>
  <c r="N30" i="206"/>
  <c r="M30" i="206"/>
  <c r="L30" i="206"/>
  <c r="K30" i="206"/>
  <c r="J30" i="206"/>
  <c r="I30" i="206"/>
  <c r="H30" i="206"/>
  <c r="S28" i="206"/>
  <c r="R28" i="206"/>
  <c r="Q28" i="206"/>
  <c r="P28" i="206"/>
  <c r="O28" i="206"/>
  <c r="N28" i="206"/>
  <c r="M28" i="206"/>
  <c r="L28" i="206"/>
  <c r="K28" i="206"/>
  <c r="J28" i="206"/>
  <c r="I28" i="206"/>
  <c r="H28" i="206"/>
  <c r="S27" i="206"/>
  <c r="R27" i="206"/>
  <c r="Q27" i="206"/>
  <c r="P27" i="206"/>
  <c r="O27" i="206"/>
  <c r="N27" i="206"/>
  <c r="M27" i="206"/>
  <c r="L27" i="206"/>
  <c r="K27" i="206"/>
  <c r="J27" i="206"/>
  <c r="I27" i="206"/>
  <c r="H27" i="206"/>
  <c r="S26" i="206"/>
  <c r="R26" i="206"/>
  <c r="Q26" i="206"/>
  <c r="P26" i="206"/>
  <c r="O26" i="206"/>
  <c r="N26" i="206"/>
  <c r="M26" i="206"/>
  <c r="L26" i="206"/>
  <c r="K26" i="206"/>
  <c r="J26" i="206"/>
  <c r="I26" i="206"/>
  <c r="H26" i="206"/>
  <c r="S25" i="206"/>
  <c r="R25" i="206"/>
  <c r="Q25" i="206"/>
  <c r="P25" i="206"/>
  <c r="O25" i="206"/>
  <c r="N25" i="206"/>
  <c r="M25" i="206"/>
  <c r="L25" i="206"/>
  <c r="K25" i="206"/>
  <c r="J25" i="206"/>
  <c r="I25" i="206"/>
  <c r="H25" i="206"/>
  <c r="S24" i="206"/>
  <c r="R24" i="206"/>
  <c r="Q24" i="206"/>
  <c r="P24" i="206"/>
  <c r="O24" i="206"/>
  <c r="N24" i="206"/>
  <c r="M24" i="206"/>
  <c r="L24" i="206"/>
  <c r="K24" i="206"/>
  <c r="J24" i="206"/>
  <c r="I24" i="206"/>
  <c r="H24" i="206"/>
  <c r="S23" i="206"/>
  <c r="R23" i="206"/>
  <c r="Q23" i="206"/>
  <c r="P23" i="206"/>
  <c r="O23" i="206"/>
  <c r="N23" i="206"/>
  <c r="M23" i="206"/>
  <c r="L23" i="206"/>
  <c r="K23" i="206"/>
  <c r="J23" i="206"/>
  <c r="I23" i="206"/>
  <c r="H23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S21" i="206"/>
  <c r="R21" i="206"/>
  <c r="Q21" i="206"/>
  <c r="P21" i="206"/>
  <c r="O21" i="206"/>
  <c r="N21" i="206"/>
  <c r="M21" i="206"/>
  <c r="L21" i="206"/>
  <c r="K21" i="206"/>
  <c r="J21" i="206"/>
  <c r="I21" i="206"/>
  <c r="H21" i="206"/>
  <c r="S20" i="206"/>
  <c r="R20" i="206"/>
  <c r="Q20" i="206"/>
  <c r="P20" i="206"/>
  <c r="O20" i="206"/>
  <c r="N20" i="206"/>
  <c r="M20" i="206"/>
  <c r="L20" i="206"/>
  <c r="K20" i="206"/>
  <c r="J20" i="206"/>
  <c r="I20" i="206"/>
  <c r="H20" i="206"/>
  <c r="S19" i="206"/>
  <c r="R19" i="206"/>
  <c r="Q19" i="206"/>
  <c r="P19" i="206"/>
  <c r="O19" i="206"/>
  <c r="N19" i="206"/>
  <c r="M19" i="206"/>
  <c r="L19" i="206"/>
  <c r="K19" i="206"/>
  <c r="J19" i="206"/>
  <c r="I19" i="206"/>
  <c r="H19" i="206"/>
  <c r="S18" i="206"/>
  <c r="R18" i="206"/>
  <c r="Q18" i="206"/>
  <c r="P18" i="206"/>
  <c r="O18" i="206"/>
  <c r="N18" i="206"/>
  <c r="M18" i="206"/>
  <c r="L18" i="206"/>
  <c r="K18" i="206"/>
  <c r="J18" i="206"/>
  <c r="I18" i="206"/>
  <c r="H18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S14" i="206"/>
  <c r="R14" i="206"/>
  <c r="Q14" i="206"/>
  <c r="P14" i="206"/>
  <c r="O14" i="206"/>
  <c r="N14" i="206"/>
  <c r="M14" i="206"/>
  <c r="L14" i="206"/>
  <c r="K14" i="206"/>
  <c r="J14" i="206"/>
  <c r="I14" i="206"/>
  <c r="H14" i="206"/>
  <c r="S13" i="206"/>
  <c r="R13" i="206"/>
  <c r="Q13" i="206"/>
  <c r="P13" i="206"/>
  <c r="O13" i="206"/>
  <c r="N13" i="206"/>
  <c r="M13" i="206"/>
  <c r="L13" i="206"/>
  <c r="K13" i="206"/>
  <c r="J13" i="206"/>
  <c r="I13" i="206"/>
  <c r="H13" i="206"/>
  <c r="S12" i="206"/>
  <c r="R12" i="206"/>
  <c r="Q12" i="206"/>
  <c r="P12" i="206"/>
  <c r="O12" i="206"/>
  <c r="N12" i="206"/>
  <c r="M12" i="206"/>
  <c r="L12" i="206"/>
  <c r="K12" i="206"/>
  <c r="J12" i="206"/>
  <c r="I12" i="206"/>
  <c r="H12" i="206"/>
  <c r="S11" i="206"/>
  <c r="R11" i="206"/>
  <c r="Q11" i="206"/>
  <c r="P11" i="206"/>
  <c r="O11" i="206"/>
  <c r="N11" i="206"/>
  <c r="M11" i="206"/>
  <c r="L11" i="206"/>
  <c r="K11" i="206"/>
  <c r="J11" i="206"/>
  <c r="I11" i="206"/>
  <c r="H11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F7" i="86"/>
  <c r="C6" i="234" s="1"/>
  <c r="F6" i="86"/>
  <c r="L3" i="86" s="1"/>
  <c r="E515" i="176"/>
  <c r="E514" i="176"/>
  <c r="E513" i="176"/>
  <c r="E512" i="176"/>
  <c r="E511" i="176"/>
  <c r="E510" i="176"/>
  <c r="E509" i="176"/>
  <c r="E508" i="176"/>
  <c r="E507" i="176"/>
  <c r="E506" i="176"/>
  <c r="E505" i="176"/>
  <c r="E504" i="176"/>
  <c r="E503" i="176"/>
  <c r="E502" i="176"/>
  <c r="E501" i="176"/>
  <c r="E500" i="176"/>
  <c r="E499" i="176"/>
  <c r="E498" i="176"/>
  <c r="E497" i="176"/>
  <c r="E496" i="176"/>
  <c r="E495" i="176"/>
  <c r="E494" i="176"/>
  <c r="E493" i="176"/>
  <c r="E492" i="176"/>
  <c r="E491" i="176"/>
  <c r="E490" i="176"/>
  <c r="E489" i="176"/>
  <c r="E488" i="176"/>
  <c r="E487" i="176"/>
  <c r="E486" i="176"/>
  <c r="E485" i="176"/>
  <c r="E484" i="176"/>
  <c r="E483" i="176"/>
  <c r="E482" i="176"/>
  <c r="E481" i="176"/>
  <c r="E480" i="176"/>
  <c r="E479" i="176"/>
  <c r="E478" i="176"/>
  <c r="E477" i="176"/>
  <c r="E476" i="176"/>
  <c r="E475" i="176"/>
  <c r="E474" i="176"/>
  <c r="E473" i="176"/>
  <c r="E472" i="176"/>
  <c r="E471" i="176"/>
  <c r="E470" i="176"/>
  <c r="E469" i="176"/>
  <c r="E468" i="176"/>
  <c r="E467" i="176"/>
  <c r="E466" i="176"/>
  <c r="E465" i="176"/>
  <c r="E464" i="176"/>
  <c r="E463" i="176"/>
  <c r="E462" i="176"/>
  <c r="E461" i="176"/>
  <c r="E460" i="176"/>
  <c r="E459" i="176"/>
  <c r="E458" i="176"/>
  <c r="E457" i="176"/>
  <c r="E456" i="176"/>
  <c r="E455" i="176"/>
  <c r="E454" i="176"/>
  <c r="E453" i="176"/>
  <c r="E452" i="176"/>
  <c r="E451" i="176"/>
  <c r="E450" i="176"/>
  <c r="E449" i="176"/>
  <c r="E448" i="176"/>
  <c r="E447" i="176"/>
  <c r="E446" i="176"/>
  <c r="E445" i="176"/>
  <c r="E444" i="176"/>
  <c r="E443" i="176"/>
  <c r="E442" i="176"/>
  <c r="E441" i="176"/>
  <c r="E440" i="176"/>
  <c r="E439" i="176"/>
  <c r="E438" i="176"/>
  <c r="E437" i="176"/>
  <c r="E436" i="176"/>
  <c r="E435" i="176"/>
  <c r="E434" i="176"/>
  <c r="E433" i="176"/>
  <c r="E432" i="176"/>
  <c r="E431" i="176"/>
  <c r="E430" i="176"/>
  <c r="E429" i="176"/>
  <c r="E428" i="176"/>
  <c r="E427" i="176"/>
  <c r="E426" i="176"/>
  <c r="E425" i="176"/>
  <c r="E424" i="176"/>
  <c r="E423" i="176"/>
  <c r="E422" i="176"/>
  <c r="E421" i="176"/>
  <c r="E420" i="176"/>
  <c r="E419" i="176"/>
  <c r="E418" i="176"/>
  <c r="E417" i="176"/>
  <c r="E416" i="176"/>
  <c r="E415" i="176"/>
  <c r="E414" i="176"/>
  <c r="E413" i="176"/>
  <c r="E412" i="176"/>
  <c r="E411" i="176"/>
  <c r="E410" i="176"/>
  <c r="E409" i="176"/>
  <c r="E408" i="176"/>
  <c r="E407" i="176"/>
  <c r="E406" i="176"/>
  <c r="E405" i="176"/>
  <c r="E404" i="176"/>
  <c r="E403" i="176"/>
  <c r="E402" i="176"/>
  <c r="E401" i="176"/>
  <c r="E400" i="176"/>
  <c r="E399" i="176"/>
  <c r="E398" i="176"/>
  <c r="E397" i="176"/>
  <c r="E396" i="176"/>
  <c r="E395" i="176"/>
  <c r="E394" i="176"/>
  <c r="E393" i="176"/>
  <c r="E392" i="176"/>
  <c r="E391" i="176"/>
  <c r="E390" i="176"/>
  <c r="E389" i="176"/>
  <c r="E388" i="176"/>
  <c r="E387" i="176"/>
  <c r="E386" i="176"/>
  <c r="E385" i="176"/>
  <c r="E384" i="176"/>
  <c r="E383" i="176"/>
  <c r="E382" i="176"/>
  <c r="E381" i="176"/>
  <c r="E380" i="176"/>
  <c r="E379" i="176"/>
  <c r="E378" i="176"/>
  <c r="E377" i="176"/>
  <c r="E376" i="176"/>
  <c r="E375" i="176"/>
  <c r="E374" i="176"/>
  <c r="E373" i="176"/>
  <c r="E372" i="176"/>
  <c r="E371" i="176"/>
  <c r="E370" i="176"/>
  <c r="E369" i="176"/>
  <c r="E368" i="176"/>
  <c r="E367" i="176"/>
  <c r="E366" i="176"/>
  <c r="E365" i="176"/>
  <c r="E364" i="176"/>
  <c r="E363" i="176"/>
  <c r="E362" i="176"/>
  <c r="E361" i="176"/>
  <c r="E360" i="176"/>
  <c r="E359" i="176"/>
  <c r="E358" i="176"/>
  <c r="E357" i="176"/>
  <c r="E356" i="176"/>
  <c r="E355" i="176"/>
  <c r="E354" i="176"/>
  <c r="E353" i="176"/>
  <c r="E352" i="176"/>
  <c r="E351" i="176"/>
  <c r="E350" i="176"/>
  <c r="E349" i="176"/>
  <c r="E348" i="176"/>
  <c r="E347" i="176"/>
  <c r="E346" i="176"/>
  <c r="E345" i="176"/>
  <c r="E344" i="176"/>
  <c r="E343" i="176"/>
  <c r="E342" i="176"/>
  <c r="E341" i="176"/>
  <c r="E340" i="176"/>
  <c r="E339" i="176"/>
  <c r="E338" i="176"/>
  <c r="E337" i="176"/>
  <c r="E336" i="176"/>
  <c r="E335" i="176"/>
  <c r="E334" i="176"/>
  <c r="E333" i="176"/>
  <c r="E332" i="176"/>
  <c r="E331" i="176"/>
  <c r="E330" i="176"/>
  <c r="E329" i="176"/>
  <c r="E328" i="176"/>
  <c r="E327" i="176"/>
  <c r="E326" i="176"/>
  <c r="E325" i="176"/>
  <c r="E324" i="176"/>
  <c r="E323" i="176"/>
  <c r="E322" i="176"/>
  <c r="E321" i="176"/>
  <c r="E320" i="176"/>
  <c r="E319" i="176"/>
  <c r="E318" i="176"/>
  <c r="E317" i="176"/>
  <c r="E316" i="176"/>
  <c r="E315" i="176"/>
  <c r="E314" i="176"/>
  <c r="E313" i="176"/>
  <c r="E312" i="176"/>
  <c r="E311" i="176"/>
  <c r="E310" i="176"/>
  <c r="E309" i="176"/>
  <c r="E308" i="176"/>
  <c r="E307" i="176"/>
  <c r="E306" i="176"/>
  <c r="E305" i="176"/>
  <c r="E304" i="176"/>
  <c r="E303" i="176"/>
  <c r="E302" i="176"/>
  <c r="E301" i="176"/>
  <c r="E300" i="176"/>
  <c r="E299" i="176"/>
  <c r="E298" i="176"/>
  <c r="E297" i="176"/>
  <c r="E296" i="176"/>
  <c r="E295" i="176"/>
  <c r="E294" i="176"/>
  <c r="E293" i="176"/>
  <c r="E292" i="176"/>
  <c r="E291" i="176"/>
  <c r="E290" i="176"/>
  <c r="E289" i="176"/>
  <c r="E288" i="176"/>
  <c r="E287" i="176"/>
  <c r="E286" i="176"/>
  <c r="E285" i="176"/>
  <c r="E284" i="176"/>
  <c r="E283" i="176"/>
  <c r="E282" i="176"/>
  <c r="E281" i="176"/>
  <c r="E280" i="176"/>
  <c r="E279" i="176"/>
  <c r="E278" i="176"/>
  <c r="E277" i="176"/>
  <c r="E276" i="176"/>
  <c r="E275" i="176"/>
  <c r="E274" i="176"/>
  <c r="E273" i="176"/>
  <c r="E272" i="176"/>
  <c r="E271" i="176"/>
  <c r="E270" i="176"/>
  <c r="E269" i="176"/>
  <c r="E268" i="176"/>
  <c r="E267" i="176"/>
  <c r="E266" i="176"/>
  <c r="E265" i="176"/>
  <c r="E264" i="176"/>
  <c r="E263" i="176"/>
  <c r="E262" i="176"/>
  <c r="E261" i="176"/>
  <c r="E260" i="176"/>
  <c r="E259" i="176"/>
  <c r="E258" i="176"/>
  <c r="E257" i="176"/>
  <c r="E256" i="176"/>
  <c r="E255" i="176"/>
  <c r="E254" i="176"/>
  <c r="E253" i="176"/>
  <c r="E252" i="176"/>
  <c r="E251" i="176"/>
  <c r="E250" i="176"/>
  <c r="E249" i="176"/>
  <c r="E248" i="176"/>
  <c r="E247" i="176"/>
  <c r="E246" i="176"/>
  <c r="E245" i="176"/>
  <c r="E244" i="176"/>
  <c r="E243" i="176"/>
  <c r="E242" i="176"/>
  <c r="E241" i="176"/>
  <c r="E240" i="176"/>
  <c r="E239" i="176"/>
  <c r="E238" i="176"/>
  <c r="E237" i="176"/>
  <c r="E236" i="176"/>
  <c r="E235" i="176"/>
  <c r="E234" i="176"/>
  <c r="E233" i="176"/>
  <c r="E232" i="176"/>
  <c r="E231" i="176"/>
  <c r="E230" i="176"/>
  <c r="E229" i="176"/>
  <c r="E228" i="176"/>
  <c r="E227" i="176"/>
  <c r="E226" i="176"/>
  <c r="E225" i="176"/>
  <c r="E224" i="176"/>
  <c r="E223" i="176"/>
  <c r="E222" i="176"/>
  <c r="E221" i="176"/>
  <c r="E220" i="176"/>
  <c r="E219" i="176"/>
  <c r="E218" i="176"/>
  <c r="E217" i="176"/>
  <c r="E216" i="176"/>
  <c r="E215" i="176"/>
  <c r="E214" i="176"/>
  <c r="E213" i="176"/>
  <c r="E212" i="176"/>
  <c r="E211" i="176"/>
  <c r="E210" i="176"/>
  <c r="E209" i="176"/>
  <c r="E208" i="176"/>
  <c r="E207" i="176"/>
  <c r="E206" i="176"/>
  <c r="E205" i="176"/>
  <c r="E204" i="176"/>
  <c r="E203" i="176"/>
  <c r="E202" i="176"/>
  <c r="E201" i="176"/>
  <c r="E200" i="176"/>
  <c r="E199" i="176"/>
  <c r="E198" i="176"/>
  <c r="E197" i="176"/>
  <c r="E196" i="176"/>
  <c r="E195" i="176"/>
  <c r="E194" i="176"/>
  <c r="E193" i="176"/>
  <c r="E192" i="176"/>
  <c r="E191" i="176"/>
  <c r="E190" i="176"/>
  <c r="E189" i="176"/>
  <c r="E188" i="176"/>
  <c r="E187" i="176"/>
  <c r="E186" i="176"/>
  <c r="E185" i="176"/>
  <c r="E184" i="176"/>
  <c r="E183" i="176"/>
  <c r="E182" i="176"/>
  <c r="E181" i="176"/>
  <c r="E180" i="176"/>
  <c r="E179" i="176"/>
  <c r="E178" i="176"/>
  <c r="E177" i="176"/>
  <c r="E176" i="176"/>
  <c r="E175" i="176"/>
  <c r="E174" i="176"/>
  <c r="E173" i="176"/>
  <c r="E172" i="176"/>
  <c r="E171" i="176"/>
  <c r="E170" i="176"/>
  <c r="E169" i="176"/>
  <c r="E168" i="176"/>
  <c r="E167" i="176"/>
  <c r="E166" i="176"/>
  <c r="E165" i="176"/>
  <c r="E164" i="176"/>
  <c r="E163" i="176"/>
  <c r="E162" i="176"/>
  <c r="E161" i="176"/>
  <c r="E160" i="176"/>
  <c r="E159" i="176"/>
  <c r="E158" i="176"/>
  <c r="E157" i="176"/>
  <c r="E156" i="176"/>
  <c r="E155" i="176"/>
  <c r="E154" i="176"/>
  <c r="E153" i="176"/>
  <c r="E152" i="176"/>
  <c r="E151" i="176"/>
  <c r="E150" i="176"/>
  <c r="E149" i="176"/>
  <c r="E148" i="176"/>
  <c r="E147" i="176"/>
  <c r="E146" i="176"/>
  <c r="E145" i="176"/>
  <c r="E144" i="176"/>
  <c r="E143" i="176"/>
  <c r="E142" i="176"/>
  <c r="E141" i="176"/>
  <c r="E140" i="176"/>
  <c r="E139" i="176"/>
  <c r="E138" i="176"/>
  <c r="E137" i="176"/>
  <c r="E136" i="176"/>
  <c r="E135" i="176"/>
  <c r="E134" i="176"/>
  <c r="E133" i="176"/>
  <c r="E132" i="176"/>
  <c r="E131" i="176"/>
  <c r="E130" i="176"/>
  <c r="E129" i="176"/>
  <c r="E128" i="176"/>
  <c r="E127" i="176"/>
  <c r="E126" i="176"/>
  <c r="E125" i="176"/>
  <c r="E124" i="176"/>
  <c r="E123" i="176"/>
  <c r="E122" i="176"/>
  <c r="E121" i="176"/>
  <c r="E120" i="176"/>
  <c r="E119" i="176"/>
  <c r="E118" i="176"/>
  <c r="E117" i="176"/>
  <c r="E116" i="176"/>
  <c r="E115" i="176"/>
  <c r="E114" i="176"/>
  <c r="E113" i="176"/>
  <c r="E112" i="176"/>
  <c r="E111" i="176"/>
  <c r="E110" i="176"/>
  <c r="E109" i="176"/>
  <c r="E108" i="176"/>
  <c r="E107" i="176"/>
  <c r="E106" i="176"/>
  <c r="E105" i="176"/>
  <c r="E104" i="176"/>
  <c r="E103" i="176"/>
  <c r="E102" i="176"/>
  <c r="E101" i="176"/>
  <c r="E100" i="176"/>
  <c r="E99" i="176"/>
  <c r="E98" i="176"/>
  <c r="E97" i="176"/>
  <c r="E96" i="176"/>
  <c r="E95" i="176"/>
  <c r="E94" i="176"/>
  <c r="E93" i="176"/>
  <c r="E92" i="176"/>
  <c r="E91" i="176"/>
  <c r="E90" i="176"/>
  <c r="E89" i="176"/>
  <c r="E88" i="176"/>
  <c r="E87" i="176"/>
  <c r="E86" i="176"/>
  <c r="E85" i="176"/>
  <c r="E84" i="176"/>
  <c r="E83" i="176"/>
  <c r="E82" i="176"/>
  <c r="E81" i="176"/>
  <c r="E80" i="176"/>
  <c r="E79" i="176"/>
  <c r="E78" i="176"/>
  <c r="E77" i="176"/>
  <c r="E76" i="176"/>
  <c r="E75" i="176"/>
  <c r="E74" i="176"/>
  <c r="E73" i="176"/>
  <c r="E72" i="176"/>
  <c r="E71" i="176"/>
  <c r="E70" i="176"/>
  <c r="E69" i="176"/>
  <c r="E68" i="176"/>
  <c r="E67" i="176"/>
  <c r="E66" i="176"/>
  <c r="E65" i="176"/>
  <c r="E64" i="176"/>
  <c r="E63" i="176"/>
  <c r="E62" i="176"/>
  <c r="E61" i="176"/>
  <c r="E60" i="176"/>
  <c r="E59" i="176"/>
  <c r="E58" i="176"/>
  <c r="E57" i="176"/>
  <c r="E56" i="176"/>
  <c r="E55" i="176"/>
  <c r="E54" i="176"/>
  <c r="E53" i="176"/>
  <c r="E52" i="176"/>
  <c r="E51" i="176"/>
  <c r="E50" i="176"/>
  <c r="E49" i="176"/>
  <c r="E48" i="176"/>
  <c r="E47" i="176"/>
  <c r="E46" i="176"/>
  <c r="E45" i="176"/>
  <c r="E44" i="176"/>
  <c r="E43" i="176"/>
  <c r="E42" i="176"/>
  <c r="E41" i="176"/>
  <c r="E40" i="176"/>
  <c r="E39" i="176"/>
  <c r="E38" i="176"/>
  <c r="E37" i="176"/>
  <c r="E36" i="176"/>
  <c r="E35" i="176"/>
  <c r="E34" i="176"/>
  <c r="E33" i="176"/>
  <c r="E32" i="176"/>
  <c r="E31" i="176"/>
  <c r="E30" i="176"/>
  <c r="E29" i="176"/>
  <c r="E28" i="176"/>
  <c r="E27" i="176"/>
  <c r="E26" i="176"/>
  <c r="E25" i="176"/>
  <c r="E24" i="176"/>
  <c r="E23" i="176"/>
  <c r="E22" i="176"/>
  <c r="E21" i="176"/>
  <c r="E20" i="176"/>
  <c r="E19" i="176"/>
  <c r="E18" i="176"/>
  <c r="E17" i="176"/>
  <c r="E16" i="176"/>
  <c r="E15" i="176"/>
  <c r="E14" i="176"/>
  <c r="E13" i="176"/>
  <c r="E12" i="176"/>
  <c r="E11" i="176"/>
  <c r="E10" i="176"/>
  <c r="E9" i="176"/>
  <c r="E8" i="176"/>
  <c r="X37" i="166" l="1"/>
  <c r="L36" i="221" s="1"/>
  <c r="AB162" i="206" l="1"/>
  <c r="AA152" i="206"/>
  <c r="AA153" i="206"/>
  <c r="AA154" i="206"/>
  <c r="AA155" i="206"/>
  <c r="AA156" i="206"/>
  <c r="AA157" i="206"/>
  <c r="AA158" i="206"/>
  <c r="AA159" i="206"/>
  <c r="AA148" i="206"/>
  <c r="AA149" i="206"/>
  <c r="AA150" i="206"/>
  <c r="AA146" i="206"/>
  <c r="AA142" i="206"/>
  <c r="AA143" i="206"/>
  <c r="AA139" i="206"/>
  <c r="AA140" i="206"/>
  <c r="AA136" i="206"/>
  <c r="AA132" i="206"/>
  <c r="AA133" i="206"/>
  <c r="AA134" i="206"/>
  <c r="AA135" i="206"/>
  <c r="AA123" i="206"/>
  <c r="AA124" i="206"/>
  <c r="AA125" i="206"/>
  <c r="AA120" i="206"/>
  <c r="P119" i="206"/>
  <c r="AA116" i="206"/>
  <c r="AA117" i="206"/>
  <c r="AA118" i="206"/>
  <c r="AA109" i="206"/>
  <c r="AA110" i="206"/>
  <c r="AA111" i="206"/>
  <c r="AA112" i="206"/>
  <c r="H107" i="206"/>
  <c r="K107" i="206"/>
  <c r="L107" i="206"/>
  <c r="M107" i="206"/>
  <c r="P107" i="206"/>
  <c r="R107" i="206"/>
  <c r="AA106" i="206"/>
  <c r="K104" i="206"/>
  <c r="L104" i="206"/>
  <c r="P104" i="206"/>
  <c r="AA101" i="206"/>
  <c r="AA102" i="206"/>
  <c r="AA103" i="206"/>
  <c r="AA83" i="206"/>
  <c r="AA84" i="206"/>
  <c r="AA85" i="206"/>
  <c r="AA86" i="206"/>
  <c r="AA87" i="206"/>
  <c r="AA88" i="206"/>
  <c r="AA89" i="206"/>
  <c r="AA90" i="206"/>
  <c r="AA91" i="206"/>
  <c r="AA92" i="206"/>
  <c r="AA93" i="206"/>
  <c r="AA94" i="206"/>
  <c r="AA95" i="206"/>
  <c r="AA96" i="206"/>
  <c r="AA97" i="206"/>
  <c r="AA98" i="206"/>
  <c r="AA64" i="206"/>
  <c r="AA65" i="206"/>
  <c r="AA66" i="206"/>
  <c r="AA67" i="206"/>
  <c r="AA68" i="206"/>
  <c r="AA69" i="206"/>
  <c r="AA70" i="206"/>
  <c r="AA71" i="206"/>
  <c r="AA72" i="206"/>
  <c r="AA73" i="206"/>
  <c r="AA74" i="206"/>
  <c r="AA75" i="206"/>
  <c r="AA76" i="206"/>
  <c r="AA77" i="206"/>
  <c r="AA78" i="206"/>
  <c r="AA79" i="206"/>
  <c r="AA80" i="206"/>
  <c r="AA49" i="206"/>
  <c r="AA50" i="206"/>
  <c r="AA51" i="206"/>
  <c r="AA52" i="206"/>
  <c r="AA53" i="206"/>
  <c r="AA54" i="206"/>
  <c r="AA55" i="206"/>
  <c r="AA56" i="206"/>
  <c r="AA57" i="206"/>
  <c r="AA58" i="206"/>
  <c r="AA59" i="206"/>
  <c r="AA60" i="206"/>
  <c r="AA35" i="206"/>
  <c r="AA36" i="206"/>
  <c r="AA37" i="206"/>
  <c r="AA38" i="206"/>
  <c r="AA39" i="206"/>
  <c r="AA17" i="206"/>
  <c r="AA18" i="206"/>
  <c r="AA19" i="206"/>
  <c r="AA20" i="206"/>
  <c r="AA21" i="206"/>
  <c r="AA22" i="206"/>
  <c r="AA23" i="206"/>
  <c r="AA24" i="206"/>
  <c r="AA25" i="206"/>
  <c r="AA26" i="206"/>
  <c r="AA27" i="206"/>
  <c r="AA28" i="206"/>
  <c r="L34" i="206"/>
  <c r="AA30" i="206"/>
  <c r="AA31" i="206"/>
  <c r="AA32" i="206"/>
  <c r="AA33" i="206"/>
  <c r="AA11" i="206"/>
  <c r="AA12" i="206"/>
  <c r="AA13" i="206"/>
  <c r="AA14" i="206"/>
  <c r="AA10" i="206"/>
  <c r="S107" i="206"/>
  <c r="AA107" i="206" s="1"/>
  <c r="I107" i="206"/>
  <c r="J107" i="206"/>
  <c r="N107" i="206"/>
  <c r="O107" i="206"/>
  <c r="Q107" i="206"/>
  <c r="O34" i="206"/>
  <c r="K126" i="206"/>
  <c r="O126" i="206"/>
  <c r="S50" i="203"/>
  <c r="O31" i="203"/>
  <c r="N7" i="203"/>
  <c r="N6" i="203"/>
  <c r="V515" i="176"/>
  <c r="U515" i="176"/>
  <c r="O515" i="176"/>
  <c r="K515" i="176"/>
  <c r="J515" i="176"/>
  <c r="F515" i="176"/>
  <c r="V514" i="176"/>
  <c r="U514" i="176"/>
  <c r="O514" i="176"/>
  <c r="K514" i="176"/>
  <c r="J514" i="176"/>
  <c r="F514" i="176"/>
  <c r="V513" i="176"/>
  <c r="U513" i="176"/>
  <c r="O513" i="176"/>
  <c r="K513" i="176"/>
  <c r="J513" i="176"/>
  <c r="F513" i="176"/>
  <c r="V512" i="176"/>
  <c r="U512" i="176"/>
  <c r="O512" i="176"/>
  <c r="K512" i="176"/>
  <c r="J512" i="176"/>
  <c r="F512" i="176"/>
  <c r="V511" i="176"/>
  <c r="U511" i="176"/>
  <c r="O511" i="176"/>
  <c r="K511" i="176"/>
  <c r="J511" i="176"/>
  <c r="F511" i="176"/>
  <c r="V510" i="176"/>
  <c r="U510" i="176"/>
  <c r="O510" i="176"/>
  <c r="K510" i="176"/>
  <c r="J510" i="176"/>
  <c r="F510" i="176"/>
  <c r="V509" i="176"/>
  <c r="U509" i="176"/>
  <c r="O509" i="176"/>
  <c r="K509" i="176"/>
  <c r="J509" i="176"/>
  <c r="F509" i="176"/>
  <c r="V508" i="176"/>
  <c r="U508" i="176"/>
  <c r="O508" i="176"/>
  <c r="K508" i="176"/>
  <c r="J508" i="176"/>
  <c r="F508" i="176"/>
  <c r="V507" i="176"/>
  <c r="U507" i="176"/>
  <c r="O507" i="176"/>
  <c r="K507" i="176"/>
  <c r="J507" i="176"/>
  <c r="F507" i="176"/>
  <c r="V506" i="176"/>
  <c r="U506" i="176"/>
  <c r="O506" i="176"/>
  <c r="K506" i="176"/>
  <c r="J506" i="176"/>
  <c r="F506" i="176"/>
  <c r="V505" i="176"/>
  <c r="U505" i="176"/>
  <c r="O505" i="176"/>
  <c r="K505" i="176"/>
  <c r="J505" i="176"/>
  <c r="F505" i="176"/>
  <c r="V504" i="176"/>
  <c r="U504" i="176"/>
  <c r="O504" i="176"/>
  <c r="K504" i="176"/>
  <c r="J504" i="176"/>
  <c r="F504" i="176"/>
  <c r="V503" i="176"/>
  <c r="U503" i="176"/>
  <c r="O503" i="176"/>
  <c r="K503" i="176"/>
  <c r="J503" i="176"/>
  <c r="F503" i="176"/>
  <c r="V502" i="176"/>
  <c r="U502" i="176"/>
  <c r="O502" i="176"/>
  <c r="K502" i="176"/>
  <c r="J502" i="176"/>
  <c r="F502" i="176"/>
  <c r="V501" i="176"/>
  <c r="U501" i="176"/>
  <c r="O501" i="176"/>
  <c r="K501" i="176"/>
  <c r="J501" i="176"/>
  <c r="F501" i="176"/>
  <c r="V500" i="176"/>
  <c r="U500" i="176"/>
  <c r="O500" i="176"/>
  <c r="K500" i="176"/>
  <c r="J500" i="176"/>
  <c r="F500" i="176"/>
  <c r="V499" i="176"/>
  <c r="U499" i="176"/>
  <c r="O499" i="176"/>
  <c r="K499" i="176"/>
  <c r="J499" i="176"/>
  <c r="F499" i="176"/>
  <c r="V498" i="176"/>
  <c r="U498" i="176"/>
  <c r="O498" i="176"/>
  <c r="K498" i="176"/>
  <c r="J498" i="176"/>
  <c r="F498" i="176"/>
  <c r="V497" i="176"/>
  <c r="U497" i="176"/>
  <c r="O497" i="176"/>
  <c r="K497" i="176"/>
  <c r="J497" i="176"/>
  <c r="F497" i="176"/>
  <c r="V496" i="176"/>
  <c r="U496" i="176"/>
  <c r="O496" i="176"/>
  <c r="K496" i="176"/>
  <c r="J496" i="176"/>
  <c r="F496" i="176"/>
  <c r="V495" i="176"/>
  <c r="U495" i="176"/>
  <c r="O495" i="176"/>
  <c r="K495" i="176"/>
  <c r="J495" i="176"/>
  <c r="F495" i="176"/>
  <c r="V494" i="176"/>
  <c r="U494" i="176"/>
  <c r="O494" i="176"/>
  <c r="K494" i="176"/>
  <c r="J494" i="176"/>
  <c r="F494" i="176"/>
  <c r="V493" i="176"/>
  <c r="U493" i="176"/>
  <c r="O493" i="176"/>
  <c r="K493" i="176"/>
  <c r="J493" i="176"/>
  <c r="F493" i="176"/>
  <c r="V492" i="176"/>
  <c r="U492" i="176"/>
  <c r="O492" i="176"/>
  <c r="K492" i="176"/>
  <c r="J492" i="176"/>
  <c r="F492" i="176"/>
  <c r="V491" i="176"/>
  <c r="U491" i="176"/>
  <c r="O491" i="176"/>
  <c r="K491" i="176"/>
  <c r="J491" i="176"/>
  <c r="F491" i="176"/>
  <c r="V490" i="176"/>
  <c r="U490" i="176"/>
  <c r="O490" i="176"/>
  <c r="K490" i="176"/>
  <c r="J490" i="176"/>
  <c r="F490" i="176"/>
  <c r="V489" i="176"/>
  <c r="U489" i="176"/>
  <c r="O489" i="176"/>
  <c r="K489" i="176"/>
  <c r="J489" i="176"/>
  <c r="F489" i="176"/>
  <c r="V488" i="176"/>
  <c r="U488" i="176"/>
  <c r="O488" i="176"/>
  <c r="K488" i="176"/>
  <c r="J488" i="176"/>
  <c r="F488" i="176"/>
  <c r="V487" i="176"/>
  <c r="U487" i="176"/>
  <c r="O487" i="176"/>
  <c r="K487" i="176"/>
  <c r="J487" i="176"/>
  <c r="F487" i="176"/>
  <c r="V486" i="176"/>
  <c r="U486" i="176"/>
  <c r="O486" i="176"/>
  <c r="K486" i="176"/>
  <c r="J486" i="176"/>
  <c r="F486" i="176"/>
  <c r="V485" i="176"/>
  <c r="U485" i="176"/>
  <c r="O485" i="176"/>
  <c r="K485" i="176"/>
  <c r="J485" i="176"/>
  <c r="F485" i="176"/>
  <c r="V484" i="176"/>
  <c r="U484" i="176"/>
  <c r="O484" i="176"/>
  <c r="K484" i="176"/>
  <c r="J484" i="176"/>
  <c r="F484" i="176"/>
  <c r="V483" i="176"/>
  <c r="U483" i="176"/>
  <c r="O483" i="176"/>
  <c r="K483" i="176"/>
  <c r="J483" i="176"/>
  <c r="F483" i="176"/>
  <c r="V482" i="176"/>
  <c r="U482" i="176"/>
  <c r="O482" i="176"/>
  <c r="K482" i="176"/>
  <c r="J482" i="176"/>
  <c r="F482" i="176"/>
  <c r="V481" i="176"/>
  <c r="U481" i="176"/>
  <c r="O481" i="176"/>
  <c r="K481" i="176"/>
  <c r="J481" i="176"/>
  <c r="F481" i="176"/>
  <c r="V480" i="176"/>
  <c r="U480" i="176"/>
  <c r="O480" i="176"/>
  <c r="K480" i="176"/>
  <c r="J480" i="176"/>
  <c r="F480" i="176"/>
  <c r="V479" i="176"/>
  <c r="U479" i="176"/>
  <c r="O479" i="176"/>
  <c r="K479" i="176"/>
  <c r="J479" i="176"/>
  <c r="F479" i="176"/>
  <c r="V478" i="176"/>
  <c r="U478" i="176"/>
  <c r="O478" i="176"/>
  <c r="K478" i="176"/>
  <c r="J478" i="176"/>
  <c r="F478" i="176"/>
  <c r="V477" i="176"/>
  <c r="U477" i="176"/>
  <c r="O477" i="176"/>
  <c r="K477" i="176"/>
  <c r="J477" i="176"/>
  <c r="F477" i="176"/>
  <c r="V476" i="176"/>
  <c r="U476" i="176"/>
  <c r="O476" i="176"/>
  <c r="K476" i="176"/>
  <c r="J476" i="176"/>
  <c r="F476" i="176"/>
  <c r="V475" i="176"/>
  <c r="U475" i="176"/>
  <c r="O475" i="176"/>
  <c r="K475" i="176"/>
  <c r="J475" i="176"/>
  <c r="F475" i="176"/>
  <c r="V474" i="176"/>
  <c r="U474" i="176"/>
  <c r="O474" i="176"/>
  <c r="K474" i="176"/>
  <c r="J474" i="176"/>
  <c r="F474" i="176"/>
  <c r="V473" i="176"/>
  <c r="U473" i="176"/>
  <c r="O473" i="176"/>
  <c r="K473" i="176"/>
  <c r="J473" i="176"/>
  <c r="F473" i="176"/>
  <c r="V472" i="176"/>
  <c r="U472" i="176"/>
  <c r="O472" i="176"/>
  <c r="K472" i="176"/>
  <c r="J472" i="176"/>
  <c r="F472" i="176"/>
  <c r="V471" i="176"/>
  <c r="U471" i="176"/>
  <c r="O471" i="176"/>
  <c r="K471" i="176"/>
  <c r="J471" i="176"/>
  <c r="F471" i="176"/>
  <c r="V470" i="176"/>
  <c r="U470" i="176"/>
  <c r="O470" i="176"/>
  <c r="K470" i="176"/>
  <c r="J470" i="176"/>
  <c r="F470" i="176"/>
  <c r="V469" i="176"/>
  <c r="U469" i="176"/>
  <c r="O469" i="176"/>
  <c r="K469" i="176"/>
  <c r="J469" i="176"/>
  <c r="F469" i="176"/>
  <c r="V468" i="176"/>
  <c r="U468" i="176"/>
  <c r="O468" i="176"/>
  <c r="K468" i="176"/>
  <c r="J468" i="176"/>
  <c r="F468" i="176"/>
  <c r="V467" i="176"/>
  <c r="U467" i="176"/>
  <c r="O467" i="176"/>
  <c r="K467" i="176"/>
  <c r="J467" i="176"/>
  <c r="F467" i="176"/>
  <c r="V466" i="176"/>
  <c r="U466" i="176"/>
  <c r="O466" i="176"/>
  <c r="K466" i="176"/>
  <c r="J466" i="176"/>
  <c r="F466" i="176"/>
  <c r="V465" i="176"/>
  <c r="U465" i="176"/>
  <c r="O465" i="176"/>
  <c r="K465" i="176"/>
  <c r="J465" i="176"/>
  <c r="F465" i="176"/>
  <c r="V464" i="176"/>
  <c r="U464" i="176"/>
  <c r="O464" i="176"/>
  <c r="K464" i="176"/>
  <c r="J464" i="176"/>
  <c r="F464" i="176"/>
  <c r="V463" i="176"/>
  <c r="U463" i="176"/>
  <c r="O463" i="176"/>
  <c r="K463" i="176"/>
  <c r="J463" i="176"/>
  <c r="F463" i="176"/>
  <c r="V462" i="176"/>
  <c r="U462" i="176"/>
  <c r="O462" i="176"/>
  <c r="K462" i="176"/>
  <c r="J462" i="176"/>
  <c r="F462" i="176"/>
  <c r="V461" i="176"/>
  <c r="U461" i="176"/>
  <c r="O461" i="176"/>
  <c r="K461" i="176"/>
  <c r="J461" i="176"/>
  <c r="F461" i="176"/>
  <c r="V460" i="176"/>
  <c r="U460" i="176"/>
  <c r="O460" i="176"/>
  <c r="K460" i="176"/>
  <c r="J460" i="176"/>
  <c r="F460" i="176"/>
  <c r="V459" i="176"/>
  <c r="U459" i="176"/>
  <c r="O459" i="176"/>
  <c r="K459" i="176"/>
  <c r="J459" i="176"/>
  <c r="F459" i="176"/>
  <c r="V458" i="176"/>
  <c r="U458" i="176"/>
  <c r="O458" i="176"/>
  <c r="K458" i="176"/>
  <c r="J458" i="176"/>
  <c r="F458" i="176"/>
  <c r="V457" i="176"/>
  <c r="U457" i="176"/>
  <c r="O457" i="176"/>
  <c r="K457" i="176"/>
  <c r="J457" i="176"/>
  <c r="F457" i="176"/>
  <c r="V456" i="176"/>
  <c r="U456" i="176"/>
  <c r="O456" i="176"/>
  <c r="K456" i="176"/>
  <c r="J456" i="176"/>
  <c r="F456" i="176"/>
  <c r="V455" i="176"/>
  <c r="U455" i="176"/>
  <c r="O455" i="176"/>
  <c r="K455" i="176"/>
  <c r="J455" i="176"/>
  <c r="F455" i="176"/>
  <c r="V454" i="176"/>
  <c r="U454" i="176"/>
  <c r="O454" i="176"/>
  <c r="K454" i="176"/>
  <c r="J454" i="176"/>
  <c r="F454" i="176"/>
  <c r="V453" i="176"/>
  <c r="U453" i="176"/>
  <c r="O453" i="176"/>
  <c r="K453" i="176"/>
  <c r="J453" i="176"/>
  <c r="F453" i="176"/>
  <c r="V452" i="176"/>
  <c r="U452" i="176"/>
  <c r="O452" i="176"/>
  <c r="K452" i="176"/>
  <c r="J452" i="176"/>
  <c r="F452" i="176"/>
  <c r="V451" i="176"/>
  <c r="U451" i="176"/>
  <c r="O451" i="176"/>
  <c r="K451" i="176"/>
  <c r="J451" i="176"/>
  <c r="F451" i="176"/>
  <c r="V450" i="176"/>
  <c r="U450" i="176"/>
  <c r="O450" i="176"/>
  <c r="K450" i="176"/>
  <c r="J450" i="176"/>
  <c r="F450" i="176"/>
  <c r="V449" i="176"/>
  <c r="U449" i="176"/>
  <c r="O449" i="176"/>
  <c r="K449" i="176"/>
  <c r="J449" i="176"/>
  <c r="F449" i="176"/>
  <c r="V448" i="176"/>
  <c r="U448" i="176"/>
  <c r="O448" i="176"/>
  <c r="K448" i="176"/>
  <c r="J448" i="176"/>
  <c r="F448" i="176"/>
  <c r="V447" i="176"/>
  <c r="U447" i="176"/>
  <c r="O447" i="176"/>
  <c r="K447" i="176"/>
  <c r="J447" i="176"/>
  <c r="F447" i="176"/>
  <c r="V446" i="176"/>
  <c r="U446" i="176"/>
  <c r="O446" i="176"/>
  <c r="K446" i="176"/>
  <c r="J446" i="176"/>
  <c r="F446" i="176"/>
  <c r="V445" i="176"/>
  <c r="U445" i="176"/>
  <c r="O445" i="176"/>
  <c r="K445" i="176"/>
  <c r="J445" i="176"/>
  <c r="F445" i="176"/>
  <c r="V444" i="176"/>
  <c r="U444" i="176"/>
  <c r="O444" i="176"/>
  <c r="K444" i="176"/>
  <c r="J444" i="176"/>
  <c r="F444" i="176"/>
  <c r="V443" i="176"/>
  <c r="U443" i="176"/>
  <c r="O443" i="176"/>
  <c r="K443" i="176"/>
  <c r="J443" i="176"/>
  <c r="F443" i="176"/>
  <c r="V442" i="176"/>
  <c r="U442" i="176"/>
  <c r="O442" i="176"/>
  <c r="K442" i="176"/>
  <c r="J442" i="176"/>
  <c r="F442" i="176"/>
  <c r="V441" i="176"/>
  <c r="U441" i="176"/>
  <c r="O441" i="176"/>
  <c r="K441" i="176"/>
  <c r="J441" i="176"/>
  <c r="F441" i="176"/>
  <c r="V440" i="176"/>
  <c r="U440" i="176"/>
  <c r="O440" i="176"/>
  <c r="K440" i="176"/>
  <c r="J440" i="176"/>
  <c r="F440" i="176"/>
  <c r="V439" i="176"/>
  <c r="U439" i="176"/>
  <c r="O439" i="176"/>
  <c r="K439" i="176"/>
  <c r="J439" i="176"/>
  <c r="F439" i="176"/>
  <c r="V438" i="176"/>
  <c r="U438" i="176"/>
  <c r="O438" i="176"/>
  <c r="K438" i="176"/>
  <c r="J438" i="176"/>
  <c r="F438" i="176"/>
  <c r="V437" i="176"/>
  <c r="U437" i="176"/>
  <c r="O437" i="176"/>
  <c r="K437" i="176"/>
  <c r="J437" i="176"/>
  <c r="F437" i="176"/>
  <c r="V436" i="176"/>
  <c r="U436" i="176"/>
  <c r="O436" i="176"/>
  <c r="K436" i="176"/>
  <c r="J436" i="176"/>
  <c r="F436" i="176"/>
  <c r="V435" i="176"/>
  <c r="U435" i="176"/>
  <c r="O435" i="176"/>
  <c r="K435" i="176"/>
  <c r="J435" i="176"/>
  <c r="F435" i="176"/>
  <c r="V434" i="176"/>
  <c r="U434" i="176"/>
  <c r="O434" i="176"/>
  <c r="K434" i="176"/>
  <c r="J434" i="176"/>
  <c r="F434" i="176"/>
  <c r="V433" i="176"/>
  <c r="U433" i="176"/>
  <c r="O433" i="176"/>
  <c r="K433" i="176"/>
  <c r="J433" i="176"/>
  <c r="F433" i="176"/>
  <c r="V432" i="176"/>
  <c r="U432" i="176"/>
  <c r="O432" i="176"/>
  <c r="K432" i="176"/>
  <c r="J432" i="176"/>
  <c r="F432" i="176"/>
  <c r="V431" i="176"/>
  <c r="U431" i="176"/>
  <c r="O431" i="176"/>
  <c r="K431" i="176"/>
  <c r="J431" i="176"/>
  <c r="F431" i="176"/>
  <c r="V430" i="176"/>
  <c r="U430" i="176"/>
  <c r="O430" i="176"/>
  <c r="K430" i="176"/>
  <c r="J430" i="176"/>
  <c r="F430" i="176"/>
  <c r="V429" i="176"/>
  <c r="U429" i="176"/>
  <c r="O429" i="176"/>
  <c r="K429" i="176"/>
  <c r="J429" i="176"/>
  <c r="F429" i="176"/>
  <c r="V428" i="176"/>
  <c r="U428" i="176"/>
  <c r="O428" i="176"/>
  <c r="K428" i="176"/>
  <c r="J428" i="176"/>
  <c r="F428" i="176"/>
  <c r="V427" i="176"/>
  <c r="U427" i="176"/>
  <c r="O427" i="176"/>
  <c r="K427" i="176"/>
  <c r="J427" i="176"/>
  <c r="F427" i="176"/>
  <c r="V426" i="176"/>
  <c r="U426" i="176"/>
  <c r="O426" i="176"/>
  <c r="K426" i="176"/>
  <c r="J426" i="176"/>
  <c r="F426" i="176"/>
  <c r="V425" i="176"/>
  <c r="U425" i="176"/>
  <c r="O425" i="176"/>
  <c r="K425" i="176"/>
  <c r="J425" i="176"/>
  <c r="F425" i="176"/>
  <c r="V424" i="176"/>
  <c r="U424" i="176"/>
  <c r="O424" i="176"/>
  <c r="K424" i="176"/>
  <c r="J424" i="176"/>
  <c r="F424" i="176"/>
  <c r="V423" i="176"/>
  <c r="U423" i="176"/>
  <c r="O423" i="176"/>
  <c r="K423" i="176"/>
  <c r="J423" i="176"/>
  <c r="F423" i="176"/>
  <c r="V422" i="176"/>
  <c r="U422" i="176"/>
  <c r="O422" i="176"/>
  <c r="K422" i="176"/>
  <c r="J422" i="176"/>
  <c r="F422" i="176"/>
  <c r="V421" i="176"/>
  <c r="U421" i="176"/>
  <c r="O421" i="176"/>
  <c r="K421" i="176"/>
  <c r="J421" i="176"/>
  <c r="F421" i="176"/>
  <c r="V420" i="176"/>
  <c r="U420" i="176"/>
  <c r="O420" i="176"/>
  <c r="K420" i="176"/>
  <c r="J420" i="176"/>
  <c r="F420" i="176"/>
  <c r="V419" i="176"/>
  <c r="U419" i="176"/>
  <c r="O419" i="176"/>
  <c r="K419" i="176"/>
  <c r="J419" i="176"/>
  <c r="F419" i="176"/>
  <c r="V418" i="176"/>
  <c r="U418" i="176"/>
  <c r="O418" i="176"/>
  <c r="K418" i="176"/>
  <c r="J418" i="176"/>
  <c r="F418" i="176"/>
  <c r="V417" i="176"/>
  <c r="U417" i="176"/>
  <c r="O417" i="176"/>
  <c r="K417" i="176"/>
  <c r="J417" i="176"/>
  <c r="F417" i="176"/>
  <c r="V416" i="176"/>
  <c r="U416" i="176"/>
  <c r="O416" i="176"/>
  <c r="K416" i="176"/>
  <c r="J416" i="176"/>
  <c r="F416" i="176"/>
  <c r="V415" i="176"/>
  <c r="U415" i="176"/>
  <c r="O415" i="176"/>
  <c r="K415" i="176"/>
  <c r="J415" i="176"/>
  <c r="F415" i="176"/>
  <c r="V414" i="176"/>
  <c r="U414" i="176"/>
  <c r="O414" i="176"/>
  <c r="K414" i="176"/>
  <c r="J414" i="176"/>
  <c r="F414" i="176"/>
  <c r="V413" i="176"/>
  <c r="U413" i="176"/>
  <c r="O413" i="176"/>
  <c r="K413" i="176"/>
  <c r="J413" i="176"/>
  <c r="F413" i="176"/>
  <c r="V412" i="176"/>
  <c r="U412" i="176"/>
  <c r="O412" i="176"/>
  <c r="K412" i="176"/>
  <c r="J412" i="176"/>
  <c r="F412" i="176"/>
  <c r="V411" i="176"/>
  <c r="U411" i="176"/>
  <c r="O411" i="176"/>
  <c r="K411" i="176"/>
  <c r="J411" i="176"/>
  <c r="F411" i="176"/>
  <c r="V410" i="176"/>
  <c r="U410" i="176"/>
  <c r="O410" i="176"/>
  <c r="K410" i="176"/>
  <c r="J410" i="176"/>
  <c r="F410" i="176"/>
  <c r="V409" i="176"/>
  <c r="U409" i="176"/>
  <c r="O409" i="176"/>
  <c r="K409" i="176"/>
  <c r="J409" i="176"/>
  <c r="F409" i="176"/>
  <c r="V408" i="176"/>
  <c r="U408" i="176"/>
  <c r="O408" i="176"/>
  <c r="K408" i="176"/>
  <c r="J408" i="176"/>
  <c r="F408" i="176"/>
  <c r="V407" i="176"/>
  <c r="U407" i="176"/>
  <c r="O407" i="176"/>
  <c r="K407" i="176"/>
  <c r="J407" i="176"/>
  <c r="F407" i="176"/>
  <c r="V406" i="176"/>
  <c r="U406" i="176"/>
  <c r="O406" i="176"/>
  <c r="K406" i="176"/>
  <c r="J406" i="176"/>
  <c r="F406" i="176"/>
  <c r="V405" i="176"/>
  <c r="U405" i="176"/>
  <c r="O405" i="176"/>
  <c r="K405" i="176"/>
  <c r="J405" i="176"/>
  <c r="F405" i="176"/>
  <c r="V404" i="176"/>
  <c r="U404" i="176"/>
  <c r="O404" i="176"/>
  <c r="K404" i="176"/>
  <c r="J404" i="176"/>
  <c r="F404" i="176"/>
  <c r="V403" i="176"/>
  <c r="U403" i="176"/>
  <c r="O403" i="176"/>
  <c r="K403" i="176"/>
  <c r="J403" i="176"/>
  <c r="F403" i="176"/>
  <c r="V402" i="176"/>
  <c r="U402" i="176"/>
  <c r="O402" i="176"/>
  <c r="K402" i="176"/>
  <c r="J402" i="176"/>
  <c r="F402" i="176"/>
  <c r="V401" i="176"/>
  <c r="U401" i="176"/>
  <c r="O401" i="176"/>
  <c r="K401" i="176"/>
  <c r="J401" i="176"/>
  <c r="F401" i="176"/>
  <c r="V400" i="176"/>
  <c r="U400" i="176"/>
  <c r="O400" i="176"/>
  <c r="K400" i="176"/>
  <c r="J400" i="176"/>
  <c r="F400" i="176"/>
  <c r="V399" i="176"/>
  <c r="U399" i="176"/>
  <c r="O399" i="176"/>
  <c r="K399" i="176"/>
  <c r="J399" i="176"/>
  <c r="F399" i="176"/>
  <c r="V398" i="176"/>
  <c r="U398" i="176"/>
  <c r="O398" i="176"/>
  <c r="K398" i="176"/>
  <c r="J398" i="176"/>
  <c r="F398" i="176"/>
  <c r="V397" i="176"/>
  <c r="U397" i="176"/>
  <c r="O397" i="176"/>
  <c r="K397" i="176"/>
  <c r="J397" i="176"/>
  <c r="F397" i="176"/>
  <c r="V396" i="176"/>
  <c r="U396" i="176"/>
  <c r="O396" i="176"/>
  <c r="K396" i="176"/>
  <c r="J396" i="176"/>
  <c r="F396" i="176"/>
  <c r="V395" i="176"/>
  <c r="U395" i="176"/>
  <c r="O395" i="176"/>
  <c r="K395" i="176"/>
  <c r="J395" i="176"/>
  <c r="F395" i="176"/>
  <c r="V394" i="176"/>
  <c r="U394" i="176"/>
  <c r="O394" i="176"/>
  <c r="K394" i="176"/>
  <c r="J394" i="176"/>
  <c r="F394" i="176"/>
  <c r="V393" i="176"/>
  <c r="U393" i="176"/>
  <c r="O393" i="176"/>
  <c r="K393" i="176"/>
  <c r="J393" i="176"/>
  <c r="F393" i="176"/>
  <c r="V392" i="176"/>
  <c r="U392" i="176"/>
  <c r="O392" i="176"/>
  <c r="K392" i="176"/>
  <c r="J392" i="176"/>
  <c r="F392" i="176"/>
  <c r="V391" i="176"/>
  <c r="U391" i="176"/>
  <c r="O391" i="176"/>
  <c r="K391" i="176"/>
  <c r="J391" i="176"/>
  <c r="F391" i="176"/>
  <c r="V390" i="176"/>
  <c r="U390" i="176"/>
  <c r="O390" i="176"/>
  <c r="K390" i="176"/>
  <c r="J390" i="176"/>
  <c r="F390" i="176"/>
  <c r="V389" i="176"/>
  <c r="U389" i="176"/>
  <c r="O389" i="176"/>
  <c r="K389" i="176"/>
  <c r="J389" i="176"/>
  <c r="F389" i="176"/>
  <c r="V388" i="176"/>
  <c r="U388" i="176"/>
  <c r="O388" i="176"/>
  <c r="K388" i="176"/>
  <c r="J388" i="176"/>
  <c r="F388" i="176"/>
  <c r="V387" i="176"/>
  <c r="U387" i="176"/>
  <c r="O387" i="176"/>
  <c r="K387" i="176"/>
  <c r="J387" i="176"/>
  <c r="F387" i="176"/>
  <c r="V386" i="176"/>
  <c r="U386" i="176"/>
  <c r="O386" i="176"/>
  <c r="K386" i="176"/>
  <c r="J386" i="176"/>
  <c r="F386" i="176"/>
  <c r="V385" i="176"/>
  <c r="U385" i="176"/>
  <c r="O385" i="176"/>
  <c r="K385" i="176"/>
  <c r="J385" i="176"/>
  <c r="F385" i="176"/>
  <c r="V384" i="176"/>
  <c r="U384" i="176"/>
  <c r="O384" i="176"/>
  <c r="K384" i="176"/>
  <c r="J384" i="176"/>
  <c r="F384" i="176"/>
  <c r="V383" i="176"/>
  <c r="U383" i="176"/>
  <c r="O383" i="176"/>
  <c r="K383" i="176"/>
  <c r="J383" i="176"/>
  <c r="F383" i="176"/>
  <c r="V382" i="176"/>
  <c r="U382" i="176"/>
  <c r="O382" i="176"/>
  <c r="K382" i="176"/>
  <c r="J382" i="176"/>
  <c r="F382" i="176"/>
  <c r="V381" i="176"/>
  <c r="U381" i="176"/>
  <c r="O381" i="176"/>
  <c r="K381" i="176"/>
  <c r="J381" i="176"/>
  <c r="F381" i="176"/>
  <c r="V380" i="176"/>
  <c r="U380" i="176"/>
  <c r="O380" i="176"/>
  <c r="K380" i="176"/>
  <c r="J380" i="176"/>
  <c r="F380" i="176"/>
  <c r="V379" i="176"/>
  <c r="U379" i="176"/>
  <c r="O379" i="176"/>
  <c r="K379" i="176"/>
  <c r="J379" i="176"/>
  <c r="F379" i="176"/>
  <c r="V378" i="176"/>
  <c r="U378" i="176"/>
  <c r="O378" i="176"/>
  <c r="K378" i="176"/>
  <c r="J378" i="176"/>
  <c r="F378" i="176"/>
  <c r="V377" i="176"/>
  <c r="U377" i="176"/>
  <c r="O377" i="176"/>
  <c r="K377" i="176"/>
  <c r="J377" i="176"/>
  <c r="F377" i="176"/>
  <c r="V376" i="176"/>
  <c r="U376" i="176"/>
  <c r="O376" i="176"/>
  <c r="K376" i="176"/>
  <c r="J376" i="176"/>
  <c r="F376" i="176"/>
  <c r="V375" i="176"/>
  <c r="U375" i="176"/>
  <c r="O375" i="176"/>
  <c r="K375" i="176"/>
  <c r="J375" i="176"/>
  <c r="F375" i="176"/>
  <c r="V374" i="176"/>
  <c r="U374" i="176"/>
  <c r="O374" i="176"/>
  <c r="K374" i="176"/>
  <c r="J374" i="176"/>
  <c r="F374" i="176"/>
  <c r="V373" i="176"/>
  <c r="U373" i="176"/>
  <c r="O373" i="176"/>
  <c r="K373" i="176"/>
  <c r="J373" i="176"/>
  <c r="F373" i="176"/>
  <c r="V372" i="176"/>
  <c r="U372" i="176"/>
  <c r="O372" i="176"/>
  <c r="K372" i="176"/>
  <c r="J372" i="176"/>
  <c r="F372" i="176"/>
  <c r="V371" i="176"/>
  <c r="U371" i="176"/>
  <c r="O371" i="176"/>
  <c r="K371" i="176"/>
  <c r="J371" i="176"/>
  <c r="F371" i="176"/>
  <c r="V370" i="176"/>
  <c r="U370" i="176"/>
  <c r="O370" i="176"/>
  <c r="K370" i="176"/>
  <c r="J370" i="176"/>
  <c r="F370" i="176"/>
  <c r="V369" i="176"/>
  <c r="U369" i="176"/>
  <c r="O369" i="176"/>
  <c r="K369" i="176"/>
  <c r="J369" i="176"/>
  <c r="F369" i="176"/>
  <c r="V368" i="176"/>
  <c r="U368" i="176"/>
  <c r="O368" i="176"/>
  <c r="K368" i="176"/>
  <c r="J368" i="176"/>
  <c r="F368" i="176"/>
  <c r="V367" i="176"/>
  <c r="U367" i="176"/>
  <c r="O367" i="176"/>
  <c r="K367" i="176"/>
  <c r="J367" i="176"/>
  <c r="F367" i="176"/>
  <c r="V366" i="176"/>
  <c r="U366" i="176"/>
  <c r="O366" i="176"/>
  <c r="K366" i="176"/>
  <c r="J366" i="176"/>
  <c r="F366" i="176"/>
  <c r="V365" i="176"/>
  <c r="U365" i="176"/>
  <c r="O365" i="176"/>
  <c r="K365" i="176"/>
  <c r="J365" i="176"/>
  <c r="F365" i="176"/>
  <c r="V364" i="176"/>
  <c r="U364" i="176"/>
  <c r="O364" i="176"/>
  <c r="K364" i="176"/>
  <c r="J364" i="176"/>
  <c r="F364" i="176"/>
  <c r="V363" i="176"/>
  <c r="U363" i="176"/>
  <c r="O363" i="176"/>
  <c r="K363" i="176"/>
  <c r="J363" i="176"/>
  <c r="F363" i="176"/>
  <c r="V362" i="176"/>
  <c r="U362" i="176"/>
  <c r="O362" i="176"/>
  <c r="K362" i="176"/>
  <c r="J362" i="176"/>
  <c r="F362" i="176"/>
  <c r="V361" i="176"/>
  <c r="U361" i="176"/>
  <c r="O361" i="176"/>
  <c r="K361" i="176"/>
  <c r="J361" i="176"/>
  <c r="F361" i="176"/>
  <c r="V360" i="176"/>
  <c r="U360" i="176"/>
  <c r="O360" i="176"/>
  <c r="K360" i="176"/>
  <c r="J360" i="176"/>
  <c r="F360" i="176"/>
  <c r="V359" i="176"/>
  <c r="U359" i="176"/>
  <c r="O359" i="176"/>
  <c r="K359" i="176"/>
  <c r="J359" i="176"/>
  <c r="F359" i="176"/>
  <c r="V358" i="176"/>
  <c r="U358" i="176"/>
  <c r="O358" i="176"/>
  <c r="K358" i="176"/>
  <c r="J358" i="176"/>
  <c r="F358" i="176"/>
  <c r="V357" i="176"/>
  <c r="U357" i="176"/>
  <c r="O357" i="176"/>
  <c r="K357" i="176"/>
  <c r="J357" i="176"/>
  <c r="F357" i="176"/>
  <c r="V356" i="176"/>
  <c r="U356" i="176"/>
  <c r="O356" i="176"/>
  <c r="K356" i="176"/>
  <c r="J356" i="176"/>
  <c r="F356" i="176"/>
  <c r="V355" i="176"/>
  <c r="U355" i="176"/>
  <c r="O355" i="176"/>
  <c r="K355" i="176"/>
  <c r="J355" i="176"/>
  <c r="F355" i="176"/>
  <c r="V354" i="176"/>
  <c r="U354" i="176"/>
  <c r="O354" i="176"/>
  <c r="K354" i="176"/>
  <c r="J354" i="176"/>
  <c r="F354" i="176"/>
  <c r="V353" i="176"/>
  <c r="U353" i="176"/>
  <c r="O353" i="176"/>
  <c r="K353" i="176"/>
  <c r="J353" i="176"/>
  <c r="F353" i="176"/>
  <c r="V352" i="176"/>
  <c r="U352" i="176"/>
  <c r="O352" i="176"/>
  <c r="K352" i="176"/>
  <c r="J352" i="176"/>
  <c r="F352" i="176"/>
  <c r="V351" i="176"/>
  <c r="U351" i="176"/>
  <c r="O351" i="176"/>
  <c r="K351" i="176"/>
  <c r="J351" i="176"/>
  <c r="F351" i="176"/>
  <c r="V350" i="176"/>
  <c r="U350" i="176"/>
  <c r="O350" i="176"/>
  <c r="K350" i="176"/>
  <c r="J350" i="176"/>
  <c r="F350" i="176"/>
  <c r="V349" i="176"/>
  <c r="U349" i="176"/>
  <c r="O349" i="176"/>
  <c r="K349" i="176"/>
  <c r="J349" i="176"/>
  <c r="F349" i="176"/>
  <c r="V348" i="176"/>
  <c r="U348" i="176"/>
  <c r="O348" i="176"/>
  <c r="K348" i="176"/>
  <c r="J348" i="176"/>
  <c r="F348" i="176"/>
  <c r="V347" i="176"/>
  <c r="U347" i="176"/>
  <c r="O347" i="176"/>
  <c r="K347" i="176"/>
  <c r="J347" i="176"/>
  <c r="F347" i="176"/>
  <c r="V346" i="176"/>
  <c r="U346" i="176"/>
  <c r="O346" i="176"/>
  <c r="K346" i="176"/>
  <c r="J346" i="176"/>
  <c r="F346" i="176"/>
  <c r="D346" i="176"/>
  <c r="V345" i="176"/>
  <c r="U345" i="176"/>
  <c r="O345" i="176"/>
  <c r="K345" i="176"/>
  <c r="J345" i="176"/>
  <c r="F345" i="176"/>
  <c r="V344" i="176"/>
  <c r="U344" i="176"/>
  <c r="O344" i="176"/>
  <c r="K344" i="176"/>
  <c r="J344" i="176"/>
  <c r="F344" i="176"/>
  <c r="V343" i="176"/>
  <c r="U343" i="176"/>
  <c r="O343" i="176"/>
  <c r="K343" i="176"/>
  <c r="J343" i="176"/>
  <c r="F343" i="176"/>
  <c r="V342" i="176"/>
  <c r="U342" i="176"/>
  <c r="O342" i="176"/>
  <c r="K342" i="176"/>
  <c r="J342" i="176"/>
  <c r="F342" i="176"/>
  <c r="V341" i="176"/>
  <c r="U341" i="176"/>
  <c r="O341" i="176"/>
  <c r="K341" i="176"/>
  <c r="J341" i="176"/>
  <c r="F341" i="176"/>
  <c r="V340" i="176"/>
  <c r="U340" i="176"/>
  <c r="O340" i="176"/>
  <c r="K340" i="176"/>
  <c r="J340" i="176"/>
  <c r="F340" i="176"/>
  <c r="V339" i="176"/>
  <c r="U339" i="176"/>
  <c r="O339" i="176"/>
  <c r="K339" i="176"/>
  <c r="J339" i="176"/>
  <c r="F339" i="176"/>
  <c r="V338" i="176"/>
  <c r="U338" i="176"/>
  <c r="O338" i="176"/>
  <c r="K338" i="176"/>
  <c r="J338" i="176"/>
  <c r="F338" i="176"/>
  <c r="V337" i="176"/>
  <c r="U337" i="176"/>
  <c r="O337" i="176"/>
  <c r="K337" i="176"/>
  <c r="J337" i="176"/>
  <c r="F337" i="176"/>
  <c r="V336" i="176"/>
  <c r="U336" i="176"/>
  <c r="O336" i="176"/>
  <c r="K336" i="176"/>
  <c r="J336" i="176"/>
  <c r="F336" i="176"/>
  <c r="V335" i="176"/>
  <c r="U335" i="176"/>
  <c r="O335" i="176"/>
  <c r="K335" i="176"/>
  <c r="J335" i="176"/>
  <c r="F335" i="176"/>
  <c r="V334" i="176"/>
  <c r="U334" i="176"/>
  <c r="O334" i="176"/>
  <c r="K334" i="176"/>
  <c r="J334" i="176"/>
  <c r="F334" i="176"/>
  <c r="V333" i="176"/>
  <c r="U333" i="176"/>
  <c r="O333" i="176"/>
  <c r="K333" i="176"/>
  <c r="J333" i="176"/>
  <c r="F333" i="176"/>
  <c r="V332" i="176"/>
  <c r="U332" i="176"/>
  <c r="O332" i="176"/>
  <c r="K332" i="176"/>
  <c r="J332" i="176"/>
  <c r="F332" i="176"/>
  <c r="V331" i="176"/>
  <c r="U331" i="176"/>
  <c r="O331" i="176"/>
  <c r="K331" i="176"/>
  <c r="J331" i="176"/>
  <c r="F331" i="176"/>
  <c r="V330" i="176"/>
  <c r="U330" i="176"/>
  <c r="O330" i="176"/>
  <c r="K330" i="176"/>
  <c r="J330" i="176"/>
  <c r="F330" i="176"/>
  <c r="V329" i="176"/>
  <c r="U329" i="176"/>
  <c r="O329" i="176"/>
  <c r="K329" i="176"/>
  <c r="J329" i="176"/>
  <c r="F329" i="176"/>
  <c r="V328" i="176"/>
  <c r="U328" i="176"/>
  <c r="O328" i="176"/>
  <c r="K328" i="176"/>
  <c r="J328" i="176"/>
  <c r="F328" i="176"/>
  <c r="V327" i="176"/>
  <c r="U327" i="176"/>
  <c r="O327" i="176"/>
  <c r="K327" i="176"/>
  <c r="J327" i="176"/>
  <c r="F327" i="176"/>
  <c r="V326" i="176"/>
  <c r="U326" i="176"/>
  <c r="O326" i="176"/>
  <c r="K326" i="176"/>
  <c r="J326" i="176"/>
  <c r="F326" i="176"/>
  <c r="V325" i="176"/>
  <c r="U325" i="176"/>
  <c r="O325" i="176"/>
  <c r="K325" i="176"/>
  <c r="J325" i="176"/>
  <c r="F325" i="176"/>
  <c r="V324" i="176"/>
  <c r="U324" i="176"/>
  <c r="O324" i="176"/>
  <c r="K324" i="176"/>
  <c r="J324" i="176"/>
  <c r="F324" i="176"/>
  <c r="V323" i="176"/>
  <c r="U323" i="176"/>
  <c r="O323" i="176"/>
  <c r="K323" i="176"/>
  <c r="J323" i="176"/>
  <c r="F323" i="176"/>
  <c r="V322" i="176"/>
  <c r="U322" i="176"/>
  <c r="O322" i="176"/>
  <c r="K322" i="176"/>
  <c r="J322" i="176"/>
  <c r="F322" i="176"/>
  <c r="V321" i="176"/>
  <c r="U321" i="176"/>
  <c r="O321" i="176"/>
  <c r="K321" i="176"/>
  <c r="J321" i="176"/>
  <c r="F321" i="176"/>
  <c r="V320" i="176"/>
  <c r="U320" i="176"/>
  <c r="O320" i="176"/>
  <c r="K320" i="176"/>
  <c r="J320" i="176"/>
  <c r="F320" i="176"/>
  <c r="V319" i="176"/>
  <c r="U319" i="176"/>
  <c r="O319" i="176"/>
  <c r="K319" i="176"/>
  <c r="J319" i="176"/>
  <c r="F319" i="176"/>
  <c r="V318" i="176"/>
  <c r="U318" i="176"/>
  <c r="O318" i="176"/>
  <c r="K318" i="176"/>
  <c r="J318" i="176"/>
  <c r="F318" i="176"/>
  <c r="V317" i="176"/>
  <c r="U317" i="176"/>
  <c r="O317" i="176"/>
  <c r="K317" i="176"/>
  <c r="J317" i="176"/>
  <c r="F317" i="176"/>
  <c r="V316" i="176"/>
  <c r="U316" i="176"/>
  <c r="O316" i="176"/>
  <c r="K316" i="176"/>
  <c r="J316" i="176"/>
  <c r="F316" i="176"/>
  <c r="V315" i="176"/>
  <c r="U315" i="176"/>
  <c r="O315" i="176"/>
  <c r="K315" i="176"/>
  <c r="J315" i="176"/>
  <c r="F315" i="176"/>
  <c r="V314" i="176"/>
  <c r="U314" i="176"/>
  <c r="O314" i="176"/>
  <c r="K314" i="176"/>
  <c r="J314" i="176"/>
  <c r="F314" i="176"/>
  <c r="V313" i="176"/>
  <c r="U313" i="176"/>
  <c r="O313" i="176"/>
  <c r="K313" i="176"/>
  <c r="J313" i="176"/>
  <c r="F313" i="176"/>
  <c r="V312" i="176"/>
  <c r="U312" i="176"/>
  <c r="O312" i="176"/>
  <c r="K312" i="176"/>
  <c r="J312" i="176"/>
  <c r="F312" i="176"/>
  <c r="V311" i="176"/>
  <c r="U311" i="176"/>
  <c r="O311" i="176"/>
  <c r="K311" i="176"/>
  <c r="J311" i="176"/>
  <c r="F311" i="176"/>
  <c r="V310" i="176"/>
  <c r="U310" i="176"/>
  <c r="O310" i="176"/>
  <c r="K310" i="176"/>
  <c r="J310" i="176"/>
  <c r="F310" i="176"/>
  <c r="V309" i="176"/>
  <c r="U309" i="176"/>
  <c r="O309" i="176"/>
  <c r="K309" i="176"/>
  <c r="J309" i="176"/>
  <c r="F309" i="176"/>
  <c r="V308" i="176"/>
  <c r="U308" i="176"/>
  <c r="O308" i="176"/>
  <c r="K308" i="176"/>
  <c r="J308" i="176"/>
  <c r="F308" i="176"/>
  <c r="V307" i="176"/>
  <c r="U307" i="176"/>
  <c r="O307" i="176"/>
  <c r="K307" i="176"/>
  <c r="J307" i="176"/>
  <c r="F307" i="176"/>
  <c r="V306" i="176"/>
  <c r="U306" i="176"/>
  <c r="O306" i="176"/>
  <c r="K306" i="176"/>
  <c r="J306" i="176"/>
  <c r="F306" i="176"/>
  <c r="V305" i="176"/>
  <c r="U305" i="176"/>
  <c r="O305" i="176"/>
  <c r="K305" i="176"/>
  <c r="J305" i="176"/>
  <c r="F305" i="176"/>
  <c r="V304" i="176"/>
  <c r="U304" i="176"/>
  <c r="O304" i="176"/>
  <c r="K304" i="176"/>
  <c r="J304" i="176"/>
  <c r="F304" i="176"/>
  <c r="V303" i="176"/>
  <c r="U303" i="176"/>
  <c r="O303" i="176"/>
  <c r="K303" i="176"/>
  <c r="J303" i="176"/>
  <c r="F303" i="176"/>
  <c r="V302" i="176"/>
  <c r="U302" i="176"/>
  <c r="O302" i="176"/>
  <c r="K302" i="176"/>
  <c r="J302" i="176"/>
  <c r="F302" i="176"/>
  <c r="V301" i="176"/>
  <c r="U301" i="176"/>
  <c r="O301" i="176"/>
  <c r="K301" i="176"/>
  <c r="J301" i="176"/>
  <c r="F301" i="176"/>
  <c r="V300" i="176"/>
  <c r="U300" i="176"/>
  <c r="O300" i="176"/>
  <c r="K300" i="176"/>
  <c r="J300" i="176"/>
  <c r="F300" i="176"/>
  <c r="V299" i="176"/>
  <c r="U299" i="176"/>
  <c r="O299" i="176"/>
  <c r="K299" i="176"/>
  <c r="J299" i="176"/>
  <c r="F299" i="176"/>
  <c r="V298" i="176"/>
  <c r="U298" i="176"/>
  <c r="O298" i="176"/>
  <c r="K298" i="176"/>
  <c r="J298" i="176"/>
  <c r="F298" i="176"/>
  <c r="V297" i="176"/>
  <c r="U297" i="176"/>
  <c r="O297" i="176"/>
  <c r="K297" i="176"/>
  <c r="J297" i="176"/>
  <c r="F297" i="176"/>
  <c r="V296" i="176"/>
  <c r="U296" i="176"/>
  <c r="O296" i="176"/>
  <c r="K296" i="176"/>
  <c r="J296" i="176"/>
  <c r="F296" i="176"/>
  <c r="V295" i="176"/>
  <c r="U295" i="176"/>
  <c r="O295" i="176"/>
  <c r="K295" i="176"/>
  <c r="J295" i="176"/>
  <c r="F295" i="176"/>
  <c r="V294" i="176"/>
  <c r="U294" i="176"/>
  <c r="O294" i="176"/>
  <c r="K294" i="176"/>
  <c r="J294" i="176"/>
  <c r="F294" i="176"/>
  <c r="V293" i="176"/>
  <c r="U293" i="176"/>
  <c r="O293" i="176"/>
  <c r="K293" i="176"/>
  <c r="J293" i="176"/>
  <c r="F293" i="176"/>
  <c r="V292" i="176"/>
  <c r="U292" i="176"/>
  <c r="O292" i="176"/>
  <c r="K292" i="176"/>
  <c r="J292" i="176"/>
  <c r="F292" i="176"/>
  <c r="V291" i="176"/>
  <c r="U291" i="176"/>
  <c r="O291" i="176"/>
  <c r="K291" i="176"/>
  <c r="J291" i="176"/>
  <c r="F291" i="176"/>
  <c r="V290" i="176"/>
  <c r="U290" i="176"/>
  <c r="O290" i="176"/>
  <c r="K290" i="176"/>
  <c r="J290" i="176"/>
  <c r="F290" i="176"/>
  <c r="V289" i="176"/>
  <c r="U289" i="176"/>
  <c r="O289" i="176"/>
  <c r="K289" i="176"/>
  <c r="J289" i="176"/>
  <c r="F289" i="176"/>
  <c r="V288" i="176"/>
  <c r="U288" i="176"/>
  <c r="O288" i="176"/>
  <c r="K288" i="176"/>
  <c r="J288" i="176"/>
  <c r="F288" i="176"/>
  <c r="V287" i="176"/>
  <c r="U287" i="176"/>
  <c r="O287" i="176"/>
  <c r="K287" i="176"/>
  <c r="J287" i="176"/>
  <c r="F287" i="176"/>
  <c r="V286" i="176"/>
  <c r="U286" i="176"/>
  <c r="O286" i="176"/>
  <c r="K286" i="176"/>
  <c r="J286" i="176"/>
  <c r="F286" i="176"/>
  <c r="V285" i="176"/>
  <c r="U285" i="176"/>
  <c r="O285" i="176"/>
  <c r="K285" i="176"/>
  <c r="J285" i="176"/>
  <c r="F285" i="176"/>
  <c r="V284" i="176"/>
  <c r="U284" i="176"/>
  <c r="O284" i="176"/>
  <c r="K284" i="176"/>
  <c r="J284" i="176"/>
  <c r="F284" i="176"/>
  <c r="V283" i="176"/>
  <c r="U283" i="176"/>
  <c r="O283" i="176"/>
  <c r="K283" i="176"/>
  <c r="J283" i="176"/>
  <c r="F283" i="176"/>
  <c r="V282" i="176"/>
  <c r="U282" i="176"/>
  <c r="O282" i="176"/>
  <c r="K282" i="176"/>
  <c r="J282" i="176"/>
  <c r="F282" i="176"/>
  <c r="V281" i="176"/>
  <c r="U281" i="176"/>
  <c r="O281" i="176"/>
  <c r="K281" i="176"/>
  <c r="J281" i="176"/>
  <c r="F281" i="176"/>
  <c r="V280" i="176"/>
  <c r="U280" i="176"/>
  <c r="O280" i="176"/>
  <c r="K280" i="176"/>
  <c r="J280" i="176"/>
  <c r="F280" i="176"/>
  <c r="V279" i="176"/>
  <c r="U279" i="176"/>
  <c r="O279" i="176"/>
  <c r="K279" i="176"/>
  <c r="J279" i="176"/>
  <c r="F279" i="176"/>
  <c r="V278" i="176"/>
  <c r="U278" i="176"/>
  <c r="O278" i="176"/>
  <c r="K278" i="176"/>
  <c r="J278" i="176"/>
  <c r="F278" i="176"/>
  <c r="V277" i="176"/>
  <c r="U277" i="176"/>
  <c r="O277" i="176"/>
  <c r="K277" i="176"/>
  <c r="J277" i="176"/>
  <c r="F277" i="176"/>
  <c r="V276" i="176"/>
  <c r="U276" i="176"/>
  <c r="O276" i="176"/>
  <c r="K276" i="176"/>
  <c r="J276" i="176"/>
  <c r="F276" i="176"/>
  <c r="V275" i="176"/>
  <c r="U275" i="176"/>
  <c r="O275" i="176"/>
  <c r="K275" i="176"/>
  <c r="J275" i="176"/>
  <c r="F275" i="176"/>
  <c r="V274" i="176"/>
  <c r="U274" i="176"/>
  <c r="O274" i="176"/>
  <c r="K274" i="176"/>
  <c r="J274" i="176"/>
  <c r="F274" i="176"/>
  <c r="V273" i="176"/>
  <c r="U273" i="176"/>
  <c r="O273" i="176"/>
  <c r="K273" i="176"/>
  <c r="J273" i="176"/>
  <c r="F273" i="176"/>
  <c r="V272" i="176"/>
  <c r="U272" i="176"/>
  <c r="O272" i="176"/>
  <c r="K272" i="176"/>
  <c r="J272" i="176"/>
  <c r="F272" i="176"/>
  <c r="V271" i="176"/>
  <c r="U271" i="176"/>
  <c r="O271" i="176"/>
  <c r="K271" i="176"/>
  <c r="J271" i="176"/>
  <c r="F271" i="176"/>
  <c r="V270" i="176"/>
  <c r="U270" i="176"/>
  <c r="O270" i="176"/>
  <c r="K270" i="176"/>
  <c r="J270" i="176"/>
  <c r="F270" i="176"/>
  <c r="V269" i="176"/>
  <c r="U269" i="176"/>
  <c r="O269" i="176"/>
  <c r="K269" i="176"/>
  <c r="J269" i="176"/>
  <c r="F269" i="176"/>
  <c r="V268" i="176"/>
  <c r="U268" i="176"/>
  <c r="O268" i="176"/>
  <c r="K268" i="176"/>
  <c r="J268" i="176"/>
  <c r="F268" i="176"/>
  <c r="V267" i="176"/>
  <c r="U267" i="176"/>
  <c r="O267" i="176"/>
  <c r="K267" i="176"/>
  <c r="J267" i="176"/>
  <c r="F267" i="176"/>
  <c r="V266" i="176"/>
  <c r="U266" i="176"/>
  <c r="O266" i="176"/>
  <c r="K266" i="176"/>
  <c r="J266" i="176"/>
  <c r="F266" i="176"/>
  <c r="V265" i="176"/>
  <c r="U265" i="176"/>
  <c r="O265" i="176"/>
  <c r="K265" i="176"/>
  <c r="J265" i="176"/>
  <c r="F265" i="176"/>
  <c r="V264" i="176"/>
  <c r="U264" i="176"/>
  <c r="O264" i="176"/>
  <c r="K264" i="176"/>
  <c r="J264" i="176"/>
  <c r="F264" i="176"/>
  <c r="V263" i="176"/>
  <c r="U263" i="176"/>
  <c r="O263" i="176"/>
  <c r="K263" i="176"/>
  <c r="J263" i="176"/>
  <c r="F263" i="176"/>
  <c r="V262" i="176"/>
  <c r="U262" i="176"/>
  <c r="O262" i="176"/>
  <c r="K262" i="176"/>
  <c r="J262" i="176"/>
  <c r="F262" i="176"/>
  <c r="V261" i="176"/>
  <c r="U261" i="176"/>
  <c r="O261" i="176"/>
  <c r="K261" i="176"/>
  <c r="J261" i="176"/>
  <c r="F261" i="176"/>
  <c r="V260" i="176"/>
  <c r="U260" i="176"/>
  <c r="O260" i="176"/>
  <c r="K260" i="176"/>
  <c r="J260" i="176"/>
  <c r="F260" i="176"/>
  <c r="V259" i="176"/>
  <c r="U259" i="176"/>
  <c r="O259" i="176"/>
  <c r="K259" i="176"/>
  <c r="J259" i="176"/>
  <c r="F259" i="176"/>
  <c r="V258" i="176"/>
  <c r="U258" i="176"/>
  <c r="O258" i="176"/>
  <c r="K258" i="176"/>
  <c r="J258" i="176"/>
  <c r="F258" i="176"/>
  <c r="V257" i="176"/>
  <c r="U257" i="176"/>
  <c r="O257" i="176"/>
  <c r="K257" i="176"/>
  <c r="J257" i="176"/>
  <c r="F257" i="176"/>
  <c r="V256" i="176"/>
  <c r="U256" i="176"/>
  <c r="O256" i="176"/>
  <c r="K256" i="176"/>
  <c r="J256" i="176"/>
  <c r="F256" i="176"/>
  <c r="V255" i="176"/>
  <c r="U255" i="176"/>
  <c r="O255" i="176"/>
  <c r="K255" i="176"/>
  <c r="J255" i="176"/>
  <c r="F255" i="176"/>
  <c r="V254" i="176"/>
  <c r="U254" i="176"/>
  <c r="O254" i="176"/>
  <c r="K254" i="176"/>
  <c r="J254" i="176"/>
  <c r="F254" i="176"/>
  <c r="V253" i="176"/>
  <c r="U253" i="176"/>
  <c r="O253" i="176"/>
  <c r="K253" i="176"/>
  <c r="J253" i="176"/>
  <c r="F253" i="176"/>
  <c r="V252" i="176"/>
  <c r="U252" i="176"/>
  <c r="O252" i="176"/>
  <c r="K252" i="176"/>
  <c r="J252" i="176"/>
  <c r="F252" i="176"/>
  <c r="V251" i="176"/>
  <c r="U251" i="176"/>
  <c r="O251" i="176"/>
  <c r="K251" i="176"/>
  <c r="J251" i="176"/>
  <c r="F251" i="176"/>
  <c r="V250" i="176"/>
  <c r="U250" i="176"/>
  <c r="O250" i="176"/>
  <c r="K250" i="176"/>
  <c r="J250" i="176"/>
  <c r="F250" i="176"/>
  <c r="V249" i="176"/>
  <c r="U249" i="176"/>
  <c r="O249" i="176"/>
  <c r="K249" i="176"/>
  <c r="J249" i="176"/>
  <c r="F249" i="176"/>
  <c r="V248" i="176"/>
  <c r="U248" i="176"/>
  <c r="O248" i="176"/>
  <c r="K248" i="176"/>
  <c r="J248" i="176"/>
  <c r="F248" i="176"/>
  <c r="V247" i="176"/>
  <c r="U247" i="176"/>
  <c r="O247" i="176"/>
  <c r="K247" i="176"/>
  <c r="J247" i="176"/>
  <c r="F247" i="176"/>
  <c r="V246" i="176"/>
  <c r="U246" i="176"/>
  <c r="O246" i="176"/>
  <c r="K246" i="176"/>
  <c r="J246" i="176"/>
  <c r="F246" i="176"/>
  <c r="V245" i="176"/>
  <c r="U245" i="176"/>
  <c r="O245" i="176"/>
  <c r="K245" i="176"/>
  <c r="J245" i="176"/>
  <c r="F245" i="176"/>
  <c r="V244" i="176"/>
  <c r="U244" i="176"/>
  <c r="O244" i="176"/>
  <c r="K244" i="176"/>
  <c r="J244" i="176"/>
  <c r="F244" i="176"/>
  <c r="V243" i="176"/>
  <c r="U243" i="176"/>
  <c r="O243" i="176"/>
  <c r="K243" i="176"/>
  <c r="J243" i="176"/>
  <c r="F243" i="176"/>
  <c r="V242" i="176"/>
  <c r="U242" i="176"/>
  <c r="O242" i="176"/>
  <c r="K242" i="176"/>
  <c r="J242" i="176"/>
  <c r="F242" i="176"/>
  <c r="V241" i="176"/>
  <c r="U241" i="176"/>
  <c r="O241" i="176"/>
  <c r="K241" i="176"/>
  <c r="J241" i="176"/>
  <c r="F241" i="176"/>
  <c r="V240" i="176"/>
  <c r="U240" i="176"/>
  <c r="O240" i="176"/>
  <c r="K240" i="176"/>
  <c r="J240" i="176"/>
  <c r="F240" i="176"/>
  <c r="V239" i="176"/>
  <c r="U239" i="176"/>
  <c r="O239" i="176"/>
  <c r="K239" i="176"/>
  <c r="J239" i="176"/>
  <c r="F239" i="176"/>
  <c r="V238" i="176"/>
  <c r="U238" i="176"/>
  <c r="O238" i="176"/>
  <c r="K238" i="176"/>
  <c r="J238" i="176"/>
  <c r="F238" i="176"/>
  <c r="V237" i="176"/>
  <c r="U237" i="176"/>
  <c r="O237" i="176"/>
  <c r="K237" i="176"/>
  <c r="J237" i="176"/>
  <c r="F237" i="176"/>
  <c r="V236" i="176"/>
  <c r="U236" i="176"/>
  <c r="O236" i="176"/>
  <c r="K236" i="176"/>
  <c r="J236" i="176"/>
  <c r="F236" i="176"/>
  <c r="V235" i="176"/>
  <c r="U235" i="176"/>
  <c r="O235" i="176"/>
  <c r="K235" i="176"/>
  <c r="J235" i="176"/>
  <c r="F235" i="176"/>
  <c r="V234" i="176"/>
  <c r="U234" i="176"/>
  <c r="O234" i="176"/>
  <c r="K234" i="176"/>
  <c r="J234" i="176"/>
  <c r="F234" i="176"/>
  <c r="V233" i="176"/>
  <c r="U233" i="176"/>
  <c r="O233" i="176"/>
  <c r="K233" i="176"/>
  <c r="J233" i="176"/>
  <c r="F233" i="176"/>
  <c r="V232" i="176"/>
  <c r="U232" i="176"/>
  <c r="O232" i="176"/>
  <c r="K232" i="176"/>
  <c r="J232" i="176"/>
  <c r="F232" i="176"/>
  <c r="V231" i="176"/>
  <c r="U231" i="176"/>
  <c r="O231" i="176"/>
  <c r="K231" i="176"/>
  <c r="J231" i="176"/>
  <c r="F231" i="176"/>
  <c r="V230" i="176"/>
  <c r="U230" i="176"/>
  <c r="O230" i="176"/>
  <c r="K230" i="176"/>
  <c r="J230" i="176"/>
  <c r="F230" i="176"/>
  <c r="V229" i="176"/>
  <c r="U229" i="176"/>
  <c r="O229" i="176"/>
  <c r="K229" i="176"/>
  <c r="J229" i="176"/>
  <c r="F229" i="176"/>
  <c r="V228" i="176"/>
  <c r="U228" i="176"/>
  <c r="O228" i="176"/>
  <c r="K228" i="176"/>
  <c r="J228" i="176"/>
  <c r="F228" i="176"/>
  <c r="V227" i="176"/>
  <c r="U227" i="176"/>
  <c r="O227" i="176"/>
  <c r="K227" i="176"/>
  <c r="J227" i="176"/>
  <c r="F227" i="176"/>
  <c r="V226" i="176"/>
  <c r="U226" i="176"/>
  <c r="O226" i="176"/>
  <c r="K226" i="176"/>
  <c r="J226" i="176"/>
  <c r="F226" i="176"/>
  <c r="V225" i="176"/>
  <c r="U225" i="176"/>
  <c r="O225" i="176"/>
  <c r="K225" i="176"/>
  <c r="J225" i="176"/>
  <c r="F225" i="176"/>
  <c r="V224" i="176"/>
  <c r="U224" i="176"/>
  <c r="O224" i="176"/>
  <c r="K224" i="176"/>
  <c r="J224" i="176"/>
  <c r="F224" i="176"/>
  <c r="V223" i="176"/>
  <c r="U223" i="176"/>
  <c r="O223" i="176"/>
  <c r="K223" i="176"/>
  <c r="J223" i="176"/>
  <c r="F223" i="176"/>
  <c r="V222" i="176"/>
  <c r="U222" i="176"/>
  <c r="O222" i="176"/>
  <c r="K222" i="176"/>
  <c r="J222" i="176"/>
  <c r="F222" i="176"/>
  <c r="V221" i="176"/>
  <c r="U221" i="176"/>
  <c r="O221" i="176"/>
  <c r="K221" i="176"/>
  <c r="J221" i="176"/>
  <c r="F221" i="176"/>
  <c r="V220" i="176"/>
  <c r="U220" i="176"/>
  <c r="O220" i="176"/>
  <c r="K220" i="176"/>
  <c r="J220" i="176"/>
  <c r="F220" i="176"/>
  <c r="V219" i="176"/>
  <c r="U219" i="176"/>
  <c r="O219" i="176"/>
  <c r="K219" i="176"/>
  <c r="J219" i="176"/>
  <c r="F219" i="176"/>
  <c r="V218" i="176"/>
  <c r="U218" i="176"/>
  <c r="O218" i="176"/>
  <c r="K218" i="176"/>
  <c r="J218" i="176"/>
  <c r="F218" i="176"/>
  <c r="V217" i="176"/>
  <c r="U217" i="176"/>
  <c r="O217" i="176"/>
  <c r="K217" i="176"/>
  <c r="J217" i="176"/>
  <c r="F217" i="176"/>
  <c r="V216" i="176"/>
  <c r="U216" i="176"/>
  <c r="O216" i="176"/>
  <c r="K216" i="176"/>
  <c r="J216" i="176"/>
  <c r="F216" i="176"/>
  <c r="V215" i="176"/>
  <c r="U215" i="176"/>
  <c r="O215" i="176"/>
  <c r="K215" i="176"/>
  <c r="J215" i="176"/>
  <c r="F215" i="176"/>
  <c r="V214" i="176"/>
  <c r="U214" i="176"/>
  <c r="O214" i="176"/>
  <c r="K214" i="176"/>
  <c r="J214" i="176"/>
  <c r="F214" i="176"/>
  <c r="V213" i="176"/>
  <c r="U213" i="176"/>
  <c r="O213" i="176"/>
  <c r="K213" i="176"/>
  <c r="J213" i="176"/>
  <c r="F213" i="176"/>
  <c r="V212" i="176"/>
  <c r="U212" i="176"/>
  <c r="O212" i="176"/>
  <c r="K212" i="176"/>
  <c r="J212" i="176"/>
  <c r="F212" i="176"/>
  <c r="V211" i="176"/>
  <c r="U211" i="176"/>
  <c r="O211" i="176"/>
  <c r="K211" i="176"/>
  <c r="J211" i="176"/>
  <c r="F211" i="176"/>
  <c r="V210" i="176"/>
  <c r="U210" i="176"/>
  <c r="O210" i="176"/>
  <c r="K210" i="176"/>
  <c r="J210" i="176"/>
  <c r="F210" i="176"/>
  <c r="V209" i="176"/>
  <c r="U209" i="176"/>
  <c r="O209" i="176"/>
  <c r="K209" i="176"/>
  <c r="J209" i="176"/>
  <c r="F209" i="176"/>
  <c r="V208" i="176"/>
  <c r="U208" i="176"/>
  <c r="O208" i="176"/>
  <c r="K208" i="176"/>
  <c r="J208" i="176"/>
  <c r="F208" i="176"/>
  <c r="V207" i="176"/>
  <c r="U207" i="176"/>
  <c r="O207" i="176"/>
  <c r="K207" i="176"/>
  <c r="J207" i="176"/>
  <c r="F207" i="176"/>
  <c r="V206" i="176"/>
  <c r="U206" i="176"/>
  <c r="O206" i="176"/>
  <c r="K206" i="176"/>
  <c r="J206" i="176"/>
  <c r="F206" i="176"/>
  <c r="V205" i="176"/>
  <c r="U205" i="176"/>
  <c r="O205" i="176"/>
  <c r="K205" i="176"/>
  <c r="J205" i="176"/>
  <c r="F205" i="176"/>
  <c r="V204" i="176"/>
  <c r="U204" i="176"/>
  <c r="O204" i="176"/>
  <c r="K204" i="176"/>
  <c r="J204" i="176"/>
  <c r="F204" i="176"/>
  <c r="V203" i="176"/>
  <c r="U203" i="176"/>
  <c r="O203" i="176"/>
  <c r="K203" i="176"/>
  <c r="J203" i="176"/>
  <c r="F203" i="176"/>
  <c r="V202" i="176"/>
  <c r="U202" i="176"/>
  <c r="O202" i="176"/>
  <c r="K202" i="176"/>
  <c r="J202" i="176"/>
  <c r="F202" i="176"/>
  <c r="V201" i="176"/>
  <c r="U201" i="176"/>
  <c r="O201" i="176"/>
  <c r="K201" i="176"/>
  <c r="J201" i="176"/>
  <c r="F201" i="176"/>
  <c r="V200" i="176"/>
  <c r="U200" i="176"/>
  <c r="O200" i="176"/>
  <c r="K200" i="176"/>
  <c r="J200" i="176"/>
  <c r="F200" i="176"/>
  <c r="V199" i="176"/>
  <c r="U199" i="176"/>
  <c r="O199" i="176"/>
  <c r="K199" i="176"/>
  <c r="J199" i="176"/>
  <c r="F199" i="176"/>
  <c r="V198" i="176"/>
  <c r="U198" i="176"/>
  <c r="O198" i="176"/>
  <c r="K198" i="176"/>
  <c r="J198" i="176"/>
  <c r="F198" i="176"/>
  <c r="V197" i="176"/>
  <c r="U197" i="176"/>
  <c r="O197" i="176"/>
  <c r="K197" i="176"/>
  <c r="J197" i="176"/>
  <c r="F197" i="176"/>
  <c r="V196" i="176"/>
  <c r="U196" i="176"/>
  <c r="O196" i="176"/>
  <c r="K196" i="176"/>
  <c r="J196" i="176"/>
  <c r="F196" i="176"/>
  <c r="V195" i="176"/>
  <c r="U195" i="176"/>
  <c r="O195" i="176"/>
  <c r="K195" i="176"/>
  <c r="J195" i="176"/>
  <c r="F195" i="176"/>
  <c r="V194" i="176"/>
  <c r="U194" i="176"/>
  <c r="O194" i="176"/>
  <c r="K194" i="176"/>
  <c r="J194" i="176"/>
  <c r="F194" i="176"/>
  <c r="V193" i="176"/>
  <c r="U193" i="176"/>
  <c r="O193" i="176"/>
  <c r="K193" i="176"/>
  <c r="J193" i="176"/>
  <c r="F193" i="176"/>
  <c r="V192" i="176"/>
  <c r="U192" i="176"/>
  <c r="O192" i="176"/>
  <c r="K192" i="176"/>
  <c r="J192" i="176"/>
  <c r="F192" i="176"/>
  <c r="V191" i="176"/>
  <c r="U191" i="176"/>
  <c r="O191" i="176"/>
  <c r="K191" i="176"/>
  <c r="J191" i="176"/>
  <c r="F191" i="176"/>
  <c r="V190" i="176"/>
  <c r="U190" i="176"/>
  <c r="O190" i="176"/>
  <c r="K190" i="176"/>
  <c r="J190" i="176"/>
  <c r="F190" i="176"/>
  <c r="V189" i="176"/>
  <c r="U189" i="176"/>
  <c r="O189" i="176"/>
  <c r="K189" i="176"/>
  <c r="J189" i="176"/>
  <c r="F189" i="176"/>
  <c r="V188" i="176"/>
  <c r="U188" i="176"/>
  <c r="O188" i="176"/>
  <c r="K188" i="176"/>
  <c r="J188" i="176"/>
  <c r="F188" i="176"/>
  <c r="V187" i="176"/>
  <c r="U187" i="176"/>
  <c r="O187" i="176"/>
  <c r="K187" i="176"/>
  <c r="J187" i="176"/>
  <c r="F187" i="176"/>
  <c r="V186" i="176"/>
  <c r="U186" i="176"/>
  <c r="O186" i="176"/>
  <c r="K186" i="176"/>
  <c r="J186" i="176"/>
  <c r="F186" i="176"/>
  <c r="V185" i="176"/>
  <c r="U185" i="176"/>
  <c r="O185" i="176"/>
  <c r="K185" i="176"/>
  <c r="J185" i="176"/>
  <c r="F185" i="176"/>
  <c r="V184" i="176"/>
  <c r="U184" i="176"/>
  <c r="O184" i="176"/>
  <c r="K184" i="176"/>
  <c r="J184" i="176"/>
  <c r="F184" i="176"/>
  <c r="V183" i="176"/>
  <c r="U183" i="176"/>
  <c r="O183" i="176"/>
  <c r="K183" i="176"/>
  <c r="J183" i="176"/>
  <c r="F183" i="176"/>
  <c r="V182" i="176"/>
  <c r="U182" i="176"/>
  <c r="O182" i="176"/>
  <c r="K182" i="176"/>
  <c r="J182" i="176"/>
  <c r="F182" i="176"/>
  <c r="V181" i="176"/>
  <c r="U181" i="176"/>
  <c r="O181" i="176"/>
  <c r="K181" i="176"/>
  <c r="J181" i="176"/>
  <c r="F181" i="176"/>
  <c r="V180" i="176"/>
  <c r="U180" i="176"/>
  <c r="O180" i="176"/>
  <c r="K180" i="176"/>
  <c r="J180" i="176"/>
  <c r="F180" i="176"/>
  <c r="V179" i="176"/>
  <c r="U179" i="176"/>
  <c r="O179" i="176"/>
  <c r="K179" i="176"/>
  <c r="J179" i="176"/>
  <c r="F179" i="176"/>
  <c r="V178" i="176"/>
  <c r="U178" i="176"/>
  <c r="O178" i="176"/>
  <c r="K178" i="176"/>
  <c r="J178" i="176"/>
  <c r="F178" i="176"/>
  <c r="V177" i="176"/>
  <c r="U177" i="176"/>
  <c r="O177" i="176"/>
  <c r="K177" i="176"/>
  <c r="J177" i="176"/>
  <c r="F177" i="176"/>
  <c r="V176" i="176"/>
  <c r="U176" i="176"/>
  <c r="O176" i="176"/>
  <c r="K176" i="176"/>
  <c r="J176" i="176"/>
  <c r="F176" i="176"/>
  <c r="V175" i="176"/>
  <c r="U175" i="176"/>
  <c r="O175" i="176"/>
  <c r="K175" i="176"/>
  <c r="J175" i="176"/>
  <c r="F175" i="176"/>
  <c r="V174" i="176"/>
  <c r="U174" i="176"/>
  <c r="O174" i="176"/>
  <c r="K174" i="176"/>
  <c r="J174" i="176"/>
  <c r="F174" i="176"/>
  <c r="V173" i="176"/>
  <c r="U173" i="176"/>
  <c r="O173" i="176"/>
  <c r="K173" i="176"/>
  <c r="J173" i="176"/>
  <c r="F173" i="176"/>
  <c r="V172" i="176"/>
  <c r="U172" i="176"/>
  <c r="O172" i="176"/>
  <c r="K172" i="176"/>
  <c r="J172" i="176"/>
  <c r="F172" i="176"/>
  <c r="V171" i="176"/>
  <c r="U171" i="176"/>
  <c r="O171" i="176"/>
  <c r="K171" i="176"/>
  <c r="J171" i="176"/>
  <c r="F171" i="176"/>
  <c r="V170" i="176"/>
  <c r="U170" i="176"/>
  <c r="O170" i="176"/>
  <c r="K170" i="176"/>
  <c r="J170" i="176"/>
  <c r="F170" i="176"/>
  <c r="V169" i="176"/>
  <c r="U169" i="176"/>
  <c r="O169" i="176"/>
  <c r="K169" i="176"/>
  <c r="J169" i="176"/>
  <c r="F169" i="176"/>
  <c r="V168" i="176"/>
  <c r="U168" i="176"/>
  <c r="O168" i="176"/>
  <c r="K168" i="176"/>
  <c r="J168" i="176"/>
  <c r="F168" i="176"/>
  <c r="V167" i="176"/>
  <c r="U167" i="176"/>
  <c r="O167" i="176"/>
  <c r="K167" i="176"/>
  <c r="J167" i="176"/>
  <c r="F167" i="176"/>
  <c r="V166" i="176"/>
  <c r="U166" i="176"/>
  <c r="O166" i="176"/>
  <c r="K166" i="176"/>
  <c r="J166" i="176"/>
  <c r="F166" i="176"/>
  <c r="V165" i="176"/>
  <c r="U165" i="176"/>
  <c r="O165" i="176"/>
  <c r="K165" i="176"/>
  <c r="J165" i="176"/>
  <c r="F165" i="176"/>
  <c r="V164" i="176"/>
  <c r="U164" i="176"/>
  <c r="O164" i="176"/>
  <c r="K164" i="176"/>
  <c r="J164" i="176"/>
  <c r="F164" i="176"/>
  <c r="V163" i="176"/>
  <c r="U163" i="176"/>
  <c r="O163" i="176"/>
  <c r="K163" i="176"/>
  <c r="J163" i="176"/>
  <c r="F163" i="176"/>
  <c r="V162" i="176"/>
  <c r="U162" i="176"/>
  <c r="O162" i="176"/>
  <c r="K162" i="176"/>
  <c r="J162" i="176"/>
  <c r="F162" i="176"/>
  <c r="V161" i="176"/>
  <c r="U161" i="176"/>
  <c r="O161" i="176"/>
  <c r="K161" i="176"/>
  <c r="J161" i="176"/>
  <c r="F161" i="176"/>
  <c r="V160" i="176"/>
  <c r="U160" i="176"/>
  <c r="O160" i="176"/>
  <c r="K160" i="176"/>
  <c r="J160" i="176"/>
  <c r="F160" i="176"/>
  <c r="V159" i="176"/>
  <c r="U159" i="176"/>
  <c r="O159" i="176"/>
  <c r="K159" i="176"/>
  <c r="J159" i="176"/>
  <c r="F159" i="176"/>
  <c r="V158" i="176"/>
  <c r="U158" i="176"/>
  <c r="O158" i="176"/>
  <c r="K158" i="176"/>
  <c r="J158" i="176"/>
  <c r="F158" i="176"/>
  <c r="V157" i="176"/>
  <c r="U157" i="176"/>
  <c r="O157" i="176"/>
  <c r="K157" i="176"/>
  <c r="J157" i="176"/>
  <c r="F157" i="176"/>
  <c r="V156" i="176"/>
  <c r="U156" i="176"/>
  <c r="O156" i="176"/>
  <c r="K156" i="176"/>
  <c r="J156" i="176"/>
  <c r="F156" i="176"/>
  <c r="V155" i="176"/>
  <c r="U155" i="176"/>
  <c r="O155" i="176"/>
  <c r="K155" i="176"/>
  <c r="J155" i="176"/>
  <c r="F155" i="176"/>
  <c r="V154" i="176"/>
  <c r="U154" i="176"/>
  <c r="O154" i="176"/>
  <c r="K154" i="176"/>
  <c r="J154" i="176"/>
  <c r="F154" i="176"/>
  <c r="V153" i="176"/>
  <c r="U153" i="176"/>
  <c r="O153" i="176"/>
  <c r="K153" i="176"/>
  <c r="J153" i="176"/>
  <c r="F153" i="176"/>
  <c r="V152" i="176"/>
  <c r="U152" i="176"/>
  <c r="O152" i="176"/>
  <c r="K152" i="176"/>
  <c r="J152" i="176"/>
  <c r="F152" i="176"/>
  <c r="V151" i="176"/>
  <c r="U151" i="176"/>
  <c r="O151" i="176"/>
  <c r="K151" i="176"/>
  <c r="J151" i="176"/>
  <c r="F151" i="176"/>
  <c r="V150" i="176"/>
  <c r="U150" i="176"/>
  <c r="O150" i="176"/>
  <c r="K150" i="176"/>
  <c r="J150" i="176"/>
  <c r="F150" i="176"/>
  <c r="V149" i="176"/>
  <c r="U149" i="176"/>
  <c r="O149" i="176"/>
  <c r="K149" i="176"/>
  <c r="J149" i="176"/>
  <c r="F149" i="176"/>
  <c r="V148" i="176"/>
  <c r="U148" i="176"/>
  <c r="O148" i="176"/>
  <c r="K148" i="176"/>
  <c r="J148" i="176"/>
  <c r="F148" i="176"/>
  <c r="V147" i="176"/>
  <c r="U147" i="176"/>
  <c r="O147" i="176"/>
  <c r="K147" i="176"/>
  <c r="J147" i="176"/>
  <c r="F147" i="176"/>
  <c r="V146" i="176"/>
  <c r="U146" i="176"/>
  <c r="O146" i="176"/>
  <c r="K146" i="176"/>
  <c r="J146" i="176"/>
  <c r="F146" i="176"/>
  <c r="V145" i="176"/>
  <c r="U145" i="176"/>
  <c r="O145" i="176"/>
  <c r="K145" i="176"/>
  <c r="J145" i="176"/>
  <c r="F145" i="176"/>
  <c r="V144" i="176"/>
  <c r="U144" i="176"/>
  <c r="O144" i="176"/>
  <c r="K144" i="176"/>
  <c r="J144" i="176"/>
  <c r="F144" i="176"/>
  <c r="V143" i="176"/>
  <c r="U143" i="176"/>
  <c r="O143" i="176"/>
  <c r="K143" i="176"/>
  <c r="J143" i="176"/>
  <c r="F143" i="176"/>
  <c r="V142" i="176"/>
  <c r="U142" i="176"/>
  <c r="O142" i="176"/>
  <c r="K142" i="176"/>
  <c r="J142" i="176"/>
  <c r="F142" i="176"/>
  <c r="V141" i="176"/>
  <c r="U141" i="176"/>
  <c r="O141" i="176"/>
  <c r="K141" i="176"/>
  <c r="J141" i="176"/>
  <c r="F141" i="176"/>
  <c r="V140" i="176"/>
  <c r="U140" i="176"/>
  <c r="O140" i="176"/>
  <c r="K140" i="176"/>
  <c r="J140" i="176"/>
  <c r="F140" i="176"/>
  <c r="V139" i="176"/>
  <c r="U139" i="176"/>
  <c r="O139" i="176"/>
  <c r="K139" i="176"/>
  <c r="J139" i="176"/>
  <c r="F139" i="176"/>
  <c r="V138" i="176"/>
  <c r="U138" i="176"/>
  <c r="O138" i="176"/>
  <c r="K138" i="176"/>
  <c r="J138" i="176"/>
  <c r="F138" i="176"/>
  <c r="V137" i="176"/>
  <c r="U137" i="176"/>
  <c r="O137" i="176"/>
  <c r="K137" i="176"/>
  <c r="J137" i="176"/>
  <c r="F137" i="176"/>
  <c r="V136" i="176"/>
  <c r="U136" i="176"/>
  <c r="O136" i="176"/>
  <c r="K136" i="176"/>
  <c r="J136" i="176"/>
  <c r="F136" i="176"/>
  <c r="V135" i="176"/>
  <c r="U135" i="176"/>
  <c r="O135" i="176"/>
  <c r="K135" i="176"/>
  <c r="J135" i="176"/>
  <c r="F135" i="176"/>
  <c r="V134" i="176"/>
  <c r="U134" i="176"/>
  <c r="O134" i="176"/>
  <c r="K134" i="176"/>
  <c r="J134" i="176"/>
  <c r="F134" i="176"/>
  <c r="V133" i="176"/>
  <c r="U133" i="176"/>
  <c r="O133" i="176"/>
  <c r="K133" i="176"/>
  <c r="J133" i="176"/>
  <c r="F133" i="176"/>
  <c r="V132" i="176"/>
  <c r="U132" i="176"/>
  <c r="O132" i="176"/>
  <c r="K132" i="176"/>
  <c r="J132" i="176"/>
  <c r="F132" i="176"/>
  <c r="V131" i="176"/>
  <c r="U131" i="176"/>
  <c r="O131" i="176"/>
  <c r="K131" i="176"/>
  <c r="J131" i="176"/>
  <c r="F131" i="176"/>
  <c r="V130" i="176"/>
  <c r="U130" i="176"/>
  <c r="O130" i="176"/>
  <c r="K130" i="176"/>
  <c r="J130" i="176"/>
  <c r="F130" i="176"/>
  <c r="V129" i="176"/>
  <c r="U129" i="176"/>
  <c r="O129" i="176"/>
  <c r="K129" i="176"/>
  <c r="J129" i="176"/>
  <c r="F129" i="176"/>
  <c r="V128" i="176"/>
  <c r="U128" i="176"/>
  <c r="O128" i="176"/>
  <c r="K128" i="176"/>
  <c r="J128" i="176"/>
  <c r="F128" i="176"/>
  <c r="V127" i="176"/>
  <c r="U127" i="176"/>
  <c r="O127" i="176"/>
  <c r="K127" i="176"/>
  <c r="J127" i="176"/>
  <c r="F127" i="176"/>
  <c r="V126" i="176"/>
  <c r="U126" i="176"/>
  <c r="O126" i="176"/>
  <c r="K126" i="176"/>
  <c r="J126" i="176"/>
  <c r="F126" i="176"/>
  <c r="V125" i="176"/>
  <c r="U125" i="176"/>
  <c r="O125" i="176"/>
  <c r="K125" i="176"/>
  <c r="J125" i="176"/>
  <c r="F125" i="176"/>
  <c r="V124" i="176"/>
  <c r="U124" i="176"/>
  <c r="O124" i="176"/>
  <c r="K124" i="176"/>
  <c r="J124" i="176"/>
  <c r="F124" i="176"/>
  <c r="V123" i="176"/>
  <c r="U123" i="176"/>
  <c r="O123" i="176"/>
  <c r="K123" i="176"/>
  <c r="J123" i="176"/>
  <c r="F123" i="176"/>
  <c r="V122" i="176"/>
  <c r="U122" i="176"/>
  <c r="O122" i="176"/>
  <c r="K122" i="176"/>
  <c r="J122" i="176"/>
  <c r="F122" i="176"/>
  <c r="V121" i="176"/>
  <c r="U121" i="176"/>
  <c r="O121" i="176"/>
  <c r="K121" i="176"/>
  <c r="J121" i="176"/>
  <c r="F121" i="176"/>
  <c r="V120" i="176"/>
  <c r="U120" i="176"/>
  <c r="O120" i="176"/>
  <c r="K120" i="176"/>
  <c r="J120" i="176"/>
  <c r="F120" i="176"/>
  <c r="V119" i="176"/>
  <c r="U119" i="176"/>
  <c r="O119" i="176"/>
  <c r="K119" i="176"/>
  <c r="J119" i="176"/>
  <c r="F119" i="176"/>
  <c r="V118" i="176"/>
  <c r="U118" i="176"/>
  <c r="O118" i="176"/>
  <c r="K118" i="176"/>
  <c r="J118" i="176"/>
  <c r="F118" i="176"/>
  <c r="V117" i="176"/>
  <c r="U117" i="176"/>
  <c r="O117" i="176"/>
  <c r="K117" i="176"/>
  <c r="J117" i="176"/>
  <c r="F117" i="176"/>
  <c r="V116" i="176"/>
  <c r="U116" i="176"/>
  <c r="O116" i="176"/>
  <c r="K116" i="176"/>
  <c r="J116" i="176"/>
  <c r="F116" i="176"/>
  <c r="V115" i="176"/>
  <c r="U115" i="176"/>
  <c r="O115" i="176"/>
  <c r="K115" i="176"/>
  <c r="J115" i="176"/>
  <c r="F115" i="176"/>
  <c r="V114" i="176"/>
  <c r="U114" i="176"/>
  <c r="O114" i="176"/>
  <c r="K114" i="176"/>
  <c r="J114" i="176"/>
  <c r="F114" i="176"/>
  <c r="V113" i="176"/>
  <c r="U113" i="176"/>
  <c r="O113" i="176"/>
  <c r="K113" i="176"/>
  <c r="J113" i="176"/>
  <c r="F113" i="176"/>
  <c r="V112" i="176"/>
  <c r="U112" i="176"/>
  <c r="O112" i="176"/>
  <c r="K112" i="176"/>
  <c r="J112" i="176"/>
  <c r="F112" i="176"/>
  <c r="V111" i="176"/>
  <c r="U111" i="176"/>
  <c r="O111" i="176"/>
  <c r="K111" i="176"/>
  <c r="J111" i="176"/>
  <c r="F111" i="176"/>
  <c r="V110" i="176"/>
  <c r="U110" i="176"/>
  <c r="O110" i="176"/>
  <c r="K110" i="176"/>
  <c r="J110" i="176"/>
  <c r="F110" i="176"/>
  <c r="V109" i="176"/>
  <c r="U109" i="176"/>
  <c r="O109" i="176"/>
  <c r="K109" i="176"/>
  <c r="J109" i="176"/>
  <c r="F109" i="176"/>
  <c r="V108" i="176"/>
  <c r="U108" i="176"/>
  <c r="O108" i="176"/>
  <c r="K108" i="176"/>
  <c r="J108" i="176"/>
  <c r="F108" i="176"/>
  <c r="V107" i="176"/>
  <c r="U107" i="176"/>
  <c r="O107" i="176"/>
  <c r="K107" i="176"/>
  <c r="J107" i="176"/>
  <c r="F107" i="176"/>
  <c r="V106" i="176"/>
  <c r="U106" i="176"/>
  <c r="O106" i="176"/>
  <c r="K106" i="176"/>
  <c r="J106" i="176"/>
  <c r="F106" i="176"/>
  <c r="V105" i="176"/>
  <c r="U105" i="176"/>
  <c r="O105" i="176"/>
  <c r="K105" i="176"/>
  <c r="J105" i="176"/>
  <c r="F105" i="176"/>
  <c r="V104" i="176"/>
  <c r="U104" i="176"/>
  <c r="O104" i="176"/>
  <c r="K104" i="176"/>
  <c r="J104" i="176"/>
  <c r="F104" i="176"/>
  <c r="V103" i="176"/>
  <c r="U103" i="176"/>
  <c r="O103" i="176"/>
  <c r="K103" i="176"/>
  <c r="J103" i="176"/>
  <c r="F103" i="176"/>
  <c r="V102" i="176"/>
  <c r="U102" i="176"/>
  <c r="O102" i="176"/>
  <c r="K102" i="176"/>
  <c r="J102" i="176"/>
  <c r="F102" i="176"/>
  <c r="V101" i="176"/>
  <c r="U101" i="176"/>
  <c r="O101" i="176"/>
  <c r="K101" i="176"/>
  <c r="J101" i="176"/>
  <c r="F101" i="176"/>
  <c r="V100" i="176"/>
  <c r="U100" i="176"/>
  <c r="O100" i="176"/>
  <c r="K100" i="176"/>
  <c r="J100" i="176"/>
  <c r="F100" i="176"/>
  <c r="V99" i="176"/>
  <c r="U99" i="176"/>
  <c r="O99" i="176"/>
  <c r="K99" i="176"/>
  <c r="J99" i="176"/>
  <c r="F99" i="176"/>
  <c r="V98" i="176"/>
  <c r="U98" i="176"/>
  <c r="O98" i="176"/>
  <c r="K98" i="176"/>
  <c r="J98" i="176"/>
  <c r="F98" i="176"/>
  <c r="V97" i="176"/>
  <c r="U97" i="176"/>
  <c r="O97" i="176"/>
  <c r="K97" i="176"/>
  <c r="J97" i="176"/>
  <c r="F97" i="176"/>
  <c r="V96" i="176"/>
  <c r="U96" i="176"/>
  <c r="O96" i="176"/>
  <c r="K96" i="176"/>
  <c r="J96" i="176"/>
  <c r="F96" i="176"/>
  <c r="V95" i="176"/>
  <c r="U95" i="176"/>
  <c r="O95" i="176"/>
  <c r="K95" i="176"/>
  <c r="J95" i="176"/>
  <c r="F95" i="176"/>
  <c r="V94" i="176"/>
  <c r="U94" i="176"/>
  <c r="O94" i="176"/>
  <c r="K94" i="176"/>
  <c r="J94" i="176"/>
  <c r="F94" i="176"/>
  <c r="V93" i="176"/>
  <c r="U93" i="176"/>
  <c r="O93" i="176"/>
  <c r="K93" i="176"/>
  <c r="J93" i="176"/>
  <c r="F93" i="176"/>
  <c r="V92" i="176"/>
  <c r="U92" i="176"/>
  <c r="O92" i="176"/>
  <c r="K92" i="176"/>
  <c r="J92" i="176"/>
  <c r="F92" i="176"/>
  <c r="V91" i="176"/>
  <c r="U91" i="176"/>
  <c r="O91" i="176"/>
  <c r="K91" i="176"/>
  <c r="J91" i="176"/>
  <c r="F91" i="176"/>
  <c r="V90" i="176"/>
  <c r="U90" i="176"/>
  <c r="O90" i="176"/>
  <c r="K90" i="176"/>
  <c r="J90" i="176"/>
  <c r="F90" i="176"/>
  <c r="V89" i="176"/>
  <c r="U89" i="176"/>
  <c r="O89" i="176"/>
  <c r="K89" i="176"/>
  <c r="J89" i="176"/>
  <c r="F89" i="176"/>
  <c r="V88" i="176"/>
  <c r="U88" i="176"/>
  <c r="O88" i="176"/>
  <c r="K88" i="176"/>
  <c r="J88" i="176"/>
  <c r="F88" i="176"/>
  <c r="V87" i="176"/>
  <c r="U87" i="176"/>
  <c r="O87" i="176"/>
  <c r="K87" i="176"/>
  <c r="J87" i="176"/>
  <c r="F87" i="176"/>
  <c r="V86" i="176"/>
  <c r="U86" i="176"/>
  <c r="O86" i="176"/>
  <c r="K86" i="176"/>
  <c r="J86" i="176"/>
  <c r="F86" i="176"/>
  <c r="V85" i="176"/>
  <c r="U85" i="176"/>
  <c r="O85" i="176"/>
  <c r="K85" i="176"/>
  <c r="J85" i="176"/>
  <c r="F85" i="176"/>
  <c r="V84" i="176"/>
  <c r="U84" i="176"/>
  <c r="O84" i="176"/>
  <c r="K84" i="176"/>
  <c r="J84" i="176"/>
  <c r="F84" i="176"/>
  <c r="V83" i="176"/>
  <c r="U83" i="176"/>
  <c r="O83" i="176"/>
  <c r="K83" i="176"/>
  <c r="J83" i="176"/>
  <c r="F83" i="176"/>
  <c r="V82" i="176"/>
  <c r="U82" i="176"/>
  <c r="O82" i="176"/>
  <c r="K82" i="176"/>
  <c r="J82" i="176"/>
  <c r="F82" i="176"/>
  <c r="V81" i="176"/>
  <c r="U81" i="176"/>
  <c r="O81" i="176"/>
  <c r="K81" i="176"/>
  <c r="J81" i="176"/>
  <c r="F81" i="176"/>
  <c r="V80" i="176"/>
  <c r="U80" i="176"/>
  <c r="O80" i="176"/>
  <c r="K80" i="176"/>
  <c r="J80" i="176"/>
  <c r="F80" i="176"/>
  <c r="V79" i="176"/>
  <c r="U79" i="176"/>
  <c r="O79" i="176"/>
  <c r="K79" i="176"/>
  <c r="J79" i="176"/>
  <c r="F79" i="176"/>
  <c r="V78" i="176"/>
  <c r="U78" i="176"/>
  <c r="O78" i="176"/>
  <c r="K78" i="176"/>
  <c r="J78" i="176"/>
  <c r="F78" i="176"/>
  <c r="V77" i="176"/>
  <c r="U77" i="176"/>
  <c r="O77" i="176"/>
  <c r="K77" i="176"/>
  <c r="J77" i="176"/>
  <c r="F77" i="176"/>
  <c r="V76" i="176"/>
  <c r="U76" i="176"/>
  <c r="O76" i="176"/>
  <c r="K76" i="176"/>
  <c r="J76" i="176"/>
  <c r="F76" i="176"/>
  <c r="V75" i="176"/>
  <c r="U75" i="176"/>
  <c r="O75" i="176"/>
  <c r="K75" i="176"/>
  <c r="J75" i="176"/>
  <c r="F75" i="176"/>
  <c r="V74" i="176"/>
  <c r="U74" i="176"/>
  <c r="O74" i="176"/>
  <c r="K74" i="176"/>
  <c r="J74" i="176"/>
  <c r="F74" i="176"/>
  <c r="V73" i="176"/>
  <c r="U73" i="176"/>
  <c r="O73" i="176"/>
  <c r="K73" i="176"/>
  <c r="J73" i="176"/>
  <c r="F73" i="176"/>
  <c r="V72" i="176"/>
  <c r="U72" i="176"/>
  <c r="O72" i="176"/>
  <c r="K72" i="176"/>
  <c r="J72" i="176"/>
  <c r="F72" i="176"/>
  <c r="V71" i="176"/>
  <c r="U71" i="176"/>
  <c r="O71" i="176"/>
  <c r="K71" i="176"/>
  <c r="J71" i="176"/>
  <c r="F71" i="176"/>
  <c r="V70" i="176"/>
  <c r="U70" i="176"/>
  <c r="O70" i="176"/>
  <c r="K70" i="176"/>
  <c r="J70" i="176"/>
  <c r="F70" i="176"/>
  <c r="V69" i="176"/>
  <c r="U69" i="176"/>
  <c r="O69" i="176"/>
  <c r="K69" i="176"/>
  <c r="J69" i="176"/>
  <c r="F69" i="176"/>
  <c r="V68" i="176"/>
  <c r="U68" i="176"/>
  <c r="O68" i="176"/>
  <c r="K68" i="176"/>
  <c r="J68" i="176"/>
  <c r="F68" i="176"/>
  <c r="V67" i="176"/>
  <c r="U67" i="176"/>
  <c r="O67" i="176"/>
  <c r="K67" i="176"/>
  <c r="J67" i="176"/>
  <c r="F67" i="176"/>
  <c r="V66" i="176"/>
  <c r="U66" i="176"/>
  <c r="O66" i="176"/>
  <c r="K66" i="176"/>
  <c r="J66" i="176"/>
  <c r="F66" i="176"/>
  <c r="V65" i="176"/>
  <c r="U65" i="176"/>
  <c r="O65" i="176"/>
  <c r="K65" i="176"/>
  <c r="J65" i="176"/>
  <c r="F65" i="176"/>
  <c r="V64" i="176"/>
  <c r="U64" i="176"/>
  <c r="O64" i="176"/>
  <c r="K64" i="176"/>
  <c r="J64" i="176"/>
  <c r="F64" i="176"/>
  <c r="V63" i="176"/>
  <c r="U63" i="176"/>
  <c r="O63" i="176"/>
  <c r="K63" i="176"/>
  <c r="J63" i="176"/>
  <c r="F63" i="176"/>
  <c r="V62" i="176"/>
  <c r="U62" i="176"/>
  <c r="O62" i="176"/>
  <c r="K62" i="176"/>
  <c r="J62" i="176"/>
  <c r="F62" i="176"/>
  <c r="V61" i="176"/>
  <c r="U61" i="176"/>
  <c r="O61" i="176"/>
  <c r="K61" i="176"/>
  <c r="J61" i="176"/>
  <c r="F61" i="176"/>
  <c r="V60" i="176"/>
  <c r="U60" i="176"/>
  <c r="O60" i="176"/>
  <c r="K60" i="176"/>
  <c r="J60" i="176"/>
  <c r="F60" i="176"/>
  <c r="V59" i="176"/>
  <c r="U59" i="176"/>
  <c r="O59" i="176"/>
  <c r="K59" i="176"/>
  <c r="J59" i="176"/>
  <c r="F59" i="176"/>
  <c r="V58" i="176"/>
  <c r="U58" i="176"/>
  <c r="O58" i="176"/>
  <c r="K58" i="176"/>
  <c r="J58" i="176"/>
  <c r="F58" i="176"/>
  <c r="V57" i="176"/>
  <c r="U57" i="176"/>
  <c r="O57" i="176"/>
  <c r="K57" i="176"/>
  <c r="J57" i="176"/>
  <c r="F57" i="176"/>
  <c r="V56" i="176"/>
  <c r="U56" i="176"/>
  <c r="O56" i="176"/>
  <c r="K56" i="176"/>
  <c r="J56" i="176"/>
  <c r="F56" i="176"/>
  <c r="V55" i="176"/>
  <c r="U55" i="176"/>
  <c r="O55" i="176"/>
  <c r="K55" i="176"/>
  <c r="J55" i="176"/>
  <c r="F55" i="176"/>
  <c r="V54" i="176"/>
  <c r="U54" i="176"/>
  <c r="O54" i="176"/>
  <c r="K54" i="176"/>
  <c r="J54" i="176"/>
  <c r="F54" i="176"/>
  <c r="V53" i="176"/>
  <c r="U53" i="176"/>
  <c r="O53" i="176"/>
  <c r="K53" i="176"/>
  <c r="J53" i="176"/>
  <c r="F53" i="176"/>
  <c r="V52" i="176"/>
  <c r="U52" i="176"/>
  <c r="O52" i="176"/>
  <c r="K52" i="176"/>
  <c r="J52" i="176"/>
  <c r="F52" i="176"/>
  <c r="V51" i="176"/>
  <c r="U51" i="176"/>
  <c r="O51" i="176"/>
  <c r="K51" i="176"/>
  <c r="J51" i="176"/>
  <c r="F51" i="176"/>
  <c r="V50" i="176"/>
  <c r="U50" i="176"/>
  <c r="O50" i="176"/>
  <c r="K50" i="176"/>
  <c r="J50" i="176"/>
  <c r="F50" i="176"/>
  <c r="V49" i="176"/>
  <c r="U49" i="176"/>
  <c r="O49" i="176"/>
  <c r="K49" i="176"/>
  <c r="J49" i="176"/>
  <c r="F49" i="176"/>
  <c r="V48" i="176"/>
  <c r="U48" i="176"/>
  <c r="O48" i="176"/>
  <c r="K48" i="176"/>
  <c r="J48" i="176"/>
  <c r="F48" i="176"/>
  <c r="V47" i="176"/>
  <c r="U47" i="176"/>
  <c r="O47" i="176"/>
  <c r="K47" i="176"/>
  <c r="J47" i="176"/>
  <c r="F47" i="176"/>
  <c r="V46" i="176"/>
  <c r="U46" i="176"/>
  <c r="O46" i="176"/>
  <c r="K46" i="176"/>
  <c r="J46" i="176"/>
  <c r="F46" i="176"/>
  <c r="V45" i="176"/>
  <c r="U45" i="176"/>
  <c r="O45" i="176"/>
  <c r="K45" i="176"/>
  <c r="J45" i="176"/>
  <c r="F45" i="176"/>
  <c r="V44" i="176"/>
  <c r="U44" i="176"/>
  <c r="O44" i="176"/>
  <c r="K44" i="176"/>
  <c r="J44" i="176"/>
  <c r="F44" i="176"/>
  <c r="V43" i="176"/>
  <c r="U43" i="176"/>
  <c r="O43" i="176"/>
  <c r="K43" i="176"/>
  <c r="J43" i="176"/>
  <c r="F43" i="176"/>
  <c r="V42" i="176"/>
  <c r="U42" i="176"/>
  <c r="O42" i="176"/>
  <c r="K42" i="176"/>
  <c r="J42" i="176"/>
  <c r="F42" i="176"/>
  <c r="V41" i="176"/>
  <c r="U41" i="176"/>
  <c r="O41" i="176"/>
  <c r="K41" i="176"/>
  <c r="J41" i="176"/>
  <c r="F41" i="176"/>
  <c r="V40" i="176"/>
  <c r="U40" i="176"/>
  <c r="O40" i="176"/>
  <c r="K40" i="176"/>
  <c r="J40" i="176"/>
  <c r="F40" i="176"/>
  <c r="V39" i="176"/>
  <c r="U39" i="176"/>
  <c r="O39" i="176"/>
  <c r="K39" i="176"/>
  <c r="J39" i="176"/>
  <c r="F39" i="176"/>
  <c r="V38" i="176"/>
  <c r="U38" i="176"/>
  <c r="O38" i="176"/>
  <c r="K38" i="176"/>
  <c r="J38" i="176"/>
  <c r="F38" i="176"/>
  <c r="V37" i="176"/>
  <c r="U37" i="176"/>
  <c r="O37" i="176"/>
  <c r="K37" i="176"/>
  <c r="J37" i="176"/>
  <c r="F37" i="176"/>
  <c r="V36" i="176"/>
  <c r="U36" i="176"/>
  <c r="O36" i="176"/>
  <c r="K36" i="176"/>
  <c r="J36" i="176"/>
  <c r="F36" i="176"/>
  <c r="V35" i="176"/>
  <c r="U35" i="176"/>
  <c r="O35" i="176"/>
  <c r="K35" i="176"/>
  <c r="J35" i="176"/>
  <c r="F35" i="176"/>
  <c r="V34" i="176"/>
  <c r="U34" i="176"/>
  <c r="O34" i="176"/>
  <c r="K34" i="176"/>
  <c r="J34" i="176"/>
  <c r="F34" i="176"/>
  <c r="V33" i="176"/>
  <c r="U33" i="176"/>
  <c r="O33" i="176"/>
  <c r="K33" i="176"/>
  <c r="J33" i="176"/>
  <c r="F33" i="176"/>
  <c r="V32" i="176"/>
  <c r="U32" i="176"/>
  <c r="O32" i="176"/>
  <c r="K32" i="176"/>
  <c r="J32" i="176"/>
  <c r="F32" i="176"/>
  <c r="V31" i="176"/>
  <c r="U31" i="176"/>
  <c r="O31" i="176"/>
  <c r="K31" i="176"/>
  <c r="J31" i="176"/>
  <c r="F31" i="176"/>
  <c r="V30" i="176"/>
  <c r="U30" i="176"/>
  <c r="O30" i="176"/>
  <c r="K30" i="176"/>
  <c r="J30" i="176"/>
  <c r="F30" i="176"/>
  <c r="V29" i="176"/>
  <c r="U29" i="176"/>
  <c r="O29" i="176"/>
  <c r="K29" i="176"/>
  <c r="J29" i="176"/>
  <c r="F29" i="176"/>
  <c r="V28" i="176"/>
  <c r="U28" i="176"/>
  <c r="O28" i="176"/>
  <c r="K28" i="176"/>
  <c r="J28" i="176"/>
  <c r="F28" i="176"/>
  <c r="V27" i="176"/>
  <c r="U27" i="176"/>
  <c r="O27" i="176"/>
  <c r="K27" i="176"/>
  <c r="J27" i="176"/>
  <c r="F27" i="176"/>
  <c r="V26" i="176"/>
  <c r="U26" i="176"/>
  <c r="O26" i="176"/>
  <c r="K26" i="176"/>
  <c r="J26" i="176"/>
  <c r="F26" i="176"/>
  <c r="V25" i="176"/>
  <c r="U25" i="176"/>
  <c r="O25" i="176"/>
  <c r="K25" i="176"/>
  <c r="J25" i="176"/>
  <c r="F25" i="176"/>
  <c r="V24" i="176"/>
  <c r="U24" i="176"/>
  <c r="O24" i="176"/>
  <c r="K24" i="176"/>
  <c r="J24" i="176"/>
  <c r="F24" i="176"/>
  <c r="V23" i="176"/>
  <c r="U23" i="176"/>
  <c r="O23" i="176"/>
  <c r="K23" i="176"/>
  <c r="J23" i="176"/>
  <c r="F23" i="176"/>
  <c r="V22" i="176"/>
  <c r="U22" i="176"/>
  <c r="O22" i="176"/>
  <c r="K22" i="176"/>
  <c r="J22" i="176"/>
  <c r="F22" i="176"/>
  <c r="V21" i="176"/>
  <c r="U21" i="176"/>
  <c r="O21" i="176"/>
  <c r="K21" i="176"/>
  <c r="J21" i="176"/>
  <c r="F21" i="176"/>
  <c r="V20" i="176"/>
  <c r="U20" i="176"/>
  <c r="O20" i="176"/>
  <c r="K20" i="176"/>
  <c r="J20" i="176"/>
  <c r="F20" i="176"/>
  <c r="V19" i="176"/>
  <c r="U19" i="176"/>
  <c r="O19" i="176"/>
  <c r="K19" i="176"/>
  <c r="J19" i="176"/>
  <c r="F19" i="176"/>
  <c r="V18" i="176"/>
  <c r="U18" i="176"/>
  <c r="O18" i="176"/>
  <c r="K18" i="176"/>
  <c r="J18" i="176"/>
  <c r="F18" i="176"/>
  <c r="V17" i="176"/>
  <c r="U17" i="176"/>
  <c r="O17" i="176"/>
  <c r="K17" i="176"/>
  <c r="J17" i="176"/>
  <c r="F17" i="176"/>
  <c r="V16" i="176"/>
  <c r="U16" i="176"/>
  <c r="O16" i="176"/>
  <c r="K16" i="176"/>
  <c r="J16" i="176"/>
  <c r="F16" i="176"/>
  <c r="V15" i="176"/>
  <c r="U15" i="176"/>
  <c r="O15" i="176"/>
  <c r="K15" i="176"/>
  <c r="J15" i="176"/>
  <c r="F15" i="176"/>
  <c r="V14" i="176"/>
  <c r="U14" i="176"/>
  <c r="O14" i="176"/>
  <c r="K14" i="176"/>
  <c r="J14" i="176"/>
  <c r="F14" i="176"/>
  <c r="V13" i="176"/>
  <c r="U13" i="176"/>
  <c r="O13" i="176"/>
  <c r="K13" i="176"/>
  <c r="J13" i="176"/>
  <c r="F13" i="176"/>
  <c r="V12" i="176"/>
  <c r="U12" i="176"/>
  <c r="O12" i="176"/>
  <c r="K12" i="176"/>
  <c r="J12" i="176"/>
  <c r="F12" i="176"/>
  <c r="V11" i="176"/>
  <c r="U11" i="176"/>
  <c r="O11" i="176"/>
  <c r="K11" i="176"/>
  <c r="J11" i="176"/>
  <c r="F11" i="176"/>
  <c r="V10" i="176"/>
  <c r="U10" i="176"/>
  <c r="O10" i="176"/>
  <c r="K10" i="176"/>
  <c r="J10" i="176"/>
  <c r="F10" i="176"/>
  <c r="V9" i="176"/>
  <c r="U9" i="176"/>
  <c r="O9" i="176"/>
  <c r="K9" i="176"/>
  <c r="J9" i="176"/>
  <c r="F9" i="176"/>
  <c r="AA31" i="203"/>
  <c r="AA33" i="203"/>
  <c r="AA32" i="203"/>
  <c r="X29" i="203"/>
  <c r="L27" i="203"/>
  <c r="I27" i="203"/>
  <c r="E62" i="173"/>
  <c r="E61" i="173"/>
  <c r="E60" i="173"/>
  <c r="E59" i="173"/>
  <c r="E58" i="173"/>
  <c r="E57" i="173"/>
  <c r="E56" i="173"/>
  <c r="E55" i="173"/>
  <c r="E54" i="173"/>
  <c r="E53" i="173"/>
  <c r="E52" i="173"/>
  <c r="E51" i="173"/>
  <c r="E50" i="173"/>
  <c r="E49" i="173"/>
  <c r="E48" i="173"/>
  <c r="E47" i="173"/>
  <c r="E46" i="173"/>
  <c r="E45" i="173"/>
  <c r="E44" i="173"/>
  <c r="E43" i="173"/>
  <c r="E42" i="173"/>
  <c r="E41" i="173"/>
  <c r="E40" i="173"/>
  <c r="E39" i="173"/>
  <c r="E38" i="173"/>
  <c r="E37" i="173"/>
  <c r="E36" i="173"/>
  <c r="E35" i="173"/>
  <c r="E34" i="173"/>
  <c r="E33" i="173"/>
  <c r="E32" i="173"/>
  <c r="E31" i="173"/>
  <c r="E30" i="173"/>
  <c r="E29" i="173"/>
  <c r="E28" i="173"/>
  <c r="E27" i="173"/>
  <c r="E26" i="173"/>
  <c r="E25" i="173"/>
  <c r="E24" i="173"/>
  <c r="E23" i="173"/>
  <c r="E22" i="173"/>
  <c r="E21" i="173"/>
  <c r="E20" i="173"/>
  <c r="E19" i="173"/>
  <c r="E18" i="173"/>
  <c r="E17" i="173"/>
  <c r="E16" i="173"/>
  <c r="E15" i="173"/>
  <c r="E14" i="173"/>
  <c r="E13" i="173"/>
  <c r="E12" i="173"/>
  <c r="E11" i="173"/>
  <c r="E10" i="173"/>
  <c r="E9" i="173"/>
  <c r="E8" i="173"/>
  <c r="E7" i="173"/>
  <c r="W606" i="177"/>
  <c r="T515" i="176" s="1"/>
  <c r="V606" i="177"/>
  <c r="S515" i="176" s="1"/>
  <c r="U606" i="177"/>
  <c r="R515" i="176" s="1"/>
  <c r="T606" i="177"/>
  <c r="Q515" i="176" s="1"/>
  <c r="W605" i="177"/>
  <c r="T514" i="176" s="1"/>
  <c r="V605" i="177"/>
  <c r="S514" i="176" s="1"/>
  <c r="U605" i="177"/>
  <c r="R514" i="176" s="1"/>
  <c r="T605" i="177"/>
  <c r="Q514" i="176" s="1"/>
  <c r="W604" i="177"/>
  <c r="T513" i="176" s="1"/>
  <c r="V604" i="177"/>
  <c r="S513" i="176" s="1"/>
  <c r="U604" i="177"/>
  <c r="R513" i="176" s="1"/>
  <c r="T604" i="177"/>
  <c r="Q513" i="176" s="1"/>
  <c r="W603" i="177"/>
  <c r="T512" i="176" s="1"/>
  <c r="V603" i="177"/>
  <c r="S512" i="176" s="1"/>
  <c r="U603" i="177"/>
  <c r="R512" i="176" s="1"/>
  <c r="T603" i="177"/>
  <c r="Q512" i="176" s="1"/>
  <c r="W602" i="177"/>
  <c r="T511" i="176" s="1"/>
  <c r="V602" i="177"/>
  <c r="S511" i="176" s="1"/>
  <c r="U602" i="177"/>
  <c r="R511" i="176" s="1"/>
  <c r="T602" i="177"/>
  <c r="Q511" i="176" s="1"/>
  <c r="W601" i="177"/>
  <c r="T510" i="176" s="1"/>
  <c r="V601" i="177"/>
  <c r="S510" i="176" s="1"/>
  <c r="U601" i="177"/>
  <c r="R510" i="176" s="1"/>
  <c r="T601" i="177"/>
  <c r="Q510" i="176" s="1"/>
  <c r="W600" i="177"/>
  <c r="T509" i="176" s="1"/>
  <c r="V600" i="177"/>
  <c r="S509" i="176" s="1"/>
  <c r="U600" i="177"/>
  <c r="R509" i="176" s="1"/>
  <c r="T600" i="177"/>
  <c r="Q509" i="176" s="1"/>
  <c r="W599" i="177"/>
  <c r="T508" i="176" s="1"/>
  <c r="V599" i="177"/>
  <c r="S508" i="176" s="1"/>
  <c r="U599" i="177"/>
  <c r="R508" i="176" s="1"/>
  <c r="T599" i="177"/>
  <c r="Q508" i="176" s="1"/>
  <c r="W598" i="177"/>
  <c r="T507" i="176" s="1"/>
  <c r="V598" i="177"/>
  <c r="S507" i="176" s="1"/>
  <c r="U598" i="177"/>
  <c r="R507" i="176" s="1"/>
  <c r="T598" i="177"/>
  <c r="Q507" i="176" s="1"/>
  <c r="W597" i="177"/>
  <c r="T506" i="176" s="1"/>
  <c r="V597" i="177"/>
  <c r="S506" i="176" s="1"/>
  <c r="U597" i="177"/>
  <c r="R506" i="176" s="1"/>
  <c r="T597" i="177"/>
  <c r="Q506" i="176" s="1"/>
  <c r="W596" i="177"/>
  <c r="T505" i="176" s="1"/>
  <c r="V596" i="177"/>
  <c r="S505" i="176" s="1"/>
  <c r="U596" i="177"/>
  <c r="R505" i="176" s="1"/>
  <c r="T596" i="177"/>
  <c r="Q505" i="176" s="1"/>
  <c r="W595" i="177"/>
  <c r="T504" i="176" s="1"/>
  <c r="V595" i="177"/>
  <c r="S504" i="176" s="1"/>
  <c r="U595" i="177"/>
  <c r="R504" i="176" s="1"/>
  <c r="T595" i="177"/>
  <c r="Q504" i="176" s="1"/>
  <c r="W594" i="177"/>
  <c r="T503" i="176" s="1"/>
  <c r="V594" i="177"/>
  <c r="S503" i="176" s="1"/>
  <c r="U594" i="177"/>
  <c r="R503" i="176" s="1"/>
  <c r="T594" i="177"/>
  <c r="Q503" i="176" s="1"/>
  <c r="W593" i="177"/>
  <c r="T502" i="176" s="1"/>
  <c r="V593" i="177"/>
  <c r="S502" i="176" s="1"/>
  <c r="U593" i="177"/>
  <c r="R502" i="176" s="1"/>
  <c r="T593" i="177"/>
  <c r="Q502" i="176" s="1"/>
  <c r="W592" i="177"/>
  <c r="T501" i="176" s="1"/>
  <c r="V592" i="177"/>
  <c r="S501" i="176" s="1"/>
  <c r="U592" i="177"/>
  <c r="R501" i="176" s="1"/>
  <c r="T592" i="177"/>
  <c r="Q501" i="176" s="1"/>
  <c r="W591" i="177"/>
  <c r="T500" i="176" s="1"/>
  <c r="V591" i="177"/>
  <c r="S500" i="176" s="1"/>
  <c r="U591" i="177"/>
  <c r="R500" i="176" s="1"/>
  <c r="T591" i="177"/>
  <c r="Q500" i="176" s="1"/>
  <c r="W590" i="177"/>
  <c r="T499" i="176" s="1"/>
  <c r="V590" i="177"/>
  <c r="S499" i="176" s="1"/>
  <c r="U590" i="177"/>
  <c r="R499" i="176" s="1"/>
  <c r="T590" i="177"/>
  <c r="Q499" i="176" s="1"/>
  <c r="W589" i="177"/>
  <c r="T498" i="176" s="1"/>
  <c r="V589" i="177"/>
  <c r="S498" i="176" s="1"/>
  <c r="U589" i="177"/>
  <c r="R498" i="176" s="1"/>
  <c r="T589" i="177"/>
  <c r="Q498" i="176" s="1"/>
  <c r="W588" i="177"/>
  <c r="T497" i="176" s="1"/>
  <c r="V588" i="177"/>
  <c r="S497" i="176" s="1"/>
  <c r="U588" i="177"/>
  <c r="R497" i="176" s="1"/>
  <c r="T588" i="177"/>
  <c r="Q497" i="176" s="1"/>
  <c r="W587" i="177"/>
  <c r="T496" i="176" s="1"/>
  <c r="V587" i="177"/>
  <c r="S496" i="176" s="1"/>
  <c r="U587" i="177"/>
  <c r="R496" i="176" s="1"/>
  <c r="T587" i="177"/>
  <c r="Q496" i="176" s="1"/>
  <c r="W586" i="177"/>
  <c r="T495" i="176" s="1"/>
  <c r="V586" i="177"/>
  <c r="S495" i="176" s="1"/>
  <c r="U586" i="177"/>
  <c r="R495" i="176" s="1"/>
  <c r="T586" i="177"/>
  <c r="Q495" i="176" s="1"/>
  <c r="W585" i="177"/>
  <c r="T494" i="176" s="1"/>
  <c r="V585" i="177"/>
  <c r="S494" i="176" s="1"/>
  <c r="U585" i="177"/>
  <c r="R494" i="176" s="1"/>
  <c r="T585" i="177"/>
  <c r="Q494" i="176" s="1"/>
  <c r="W584" i="177"/>
  <c r="T493" i="176" s="1"/>
  <c r="V584" i="177"/>
  <c r="S493" i="176" s="1"/>
  <c r="U584" i="177"/>
  <c r="R493" i="176" s="1"/>
  <c r="T584" i="177"/>
  <c r="Q493" i="176" s="1"/>
  <c r="W583" i="177"/>
  <c r="T492" i="176" s="1"/>
  <c r="V583" i="177"/>
  <c r="S492" i="176" s="1"/>
  <c r="U583" i="177"/>
  <c r="R492" i="176" s="1"/>
  <c r="T583" i="177"/>
  <c r="Q492" i="176" s="1"/>
  <c r="W582" i="177"/>
  <c r="T491" i="176" s="1"/>
  <c r="V582" i="177"/>
  <c r="S491" i="176" s="1"/>
  <c r="U582" i="177"/>
  <c r="R491" i="176" s="1"/>
  <c r="T582" i="177"/>
  <c r="Q491" i="176" s="1"/>
  <c r="W581" i="177"/>
  <c r="T490" i="176" s="1"/>
  <c r="V581" i="177"/>
  <c r="S490" i="176" s="1"/>
  <c r="U581" i="177"/>
  <c r="R490" i="176" s="1"/>
  <c r="T581" i="177"/>
  <c r="Q490" i="176" s="1"/>
  <c r="W580" i="177"/>
  <c r="T489" i="176" s="1"/>
  <c r="V580" i="177"/>
  <c r="S489" i="176" s="1"/>
  <c r="U580" i="177"/>
  <c r="R489" i="176" s="1"/>
  <c r="T580" i="177"/>
  <c r="Q489" i="176" s="1"/>
  <c r="W579" i="177"/>
  <c r="T488" i="176" s="1"/>
  <c r="V579" i="177"/>
  <c r="S488" i="176" s="1"/>
  <c r="U579" i="177"/>
  <c r="R488" i="176" s="1"/>
  <c r="T579" i="177"/>
  <c r="Q488" i="176" s="1"/>
  <c r="W578" i="177"/>
  <c r="T487" i="176" s="1"/>
  <c r="V578" i="177"/>
  <c r="S487" i="176" s="1"/>
  <c r="U578" i="177"/>
  <c r="R487" i="176" s="1"/>
  <c r="T578" i="177"/>
  <c r="Q487" i="176" s="1"/>
  <c r="W577" i="177"/>
  <c r="T486" i="176" s="1"/>
  <c r="V577" i="177"/>
  <c r="S486" i="176" s="1"/>
  <c r="U577" i="177"/>
  <c r="R486" i="176" s="1"/>
  <c r="T577" i="177"/>
  <c r="Q486" i="176" s="1"/>
  <c r="W576" i="177"/>
  <c r="T485" i="176" s="1"/>
  <c r="V576" i="177"/>
  <c r="S485" i="176" s="1"/>
  <c r="U576" i="177"/>
  <c r="R485" i="176" s="1"/>
  <c r="T576" i="177"/>
  <c r="Q485" i="176" s="1"/>
  <c r="W575" i="177"/>
  <c r="T484" i="176" s="1"/>
  <c r="V575" i="177"/>
  <c r="S484" i="176" s="1"/>
  <c r="U575" i="177"/>
  <c r="R484" i="176" s="1"/>
  <c r="T575" i="177"/>
  <c r="Q484" i="176" s="1"/>
  <c r="W574" i="177"/>
  <c r="T483" i="176" s="1"/>
  <c r="V574" i="177"/>
  <c r="S483" i="176" s="1"/>
  <c r="U574" i="177"/>
  <c r="R483" i="176" s="1"/>
  <c r="T574" i="177"/>
  <c r="Q483" i="176" s="1"/>
  <c r="W573" i="177"/>
  <c r="T482" i="176" s="1"/>
  <c r="V573" i="177"/>
  <c r="S482" i="176" s="1"/>
  <c r="U573" i="177"/>
  <c r="R482" i="176" s="1"/>
  <c r="T573" i="177"/>
  <c r="Q482" i="176" s="1"/>
  <c r="W572" i="177"/>
  <c r="T481" i="176" s="1"/>
  <c r="V572" i="177"/>
  <c r="S481" i="176" s="1"/>
  <c r="U572" i="177"/>
  <c r="R481" i="176" s="1"/>
  <c r="T572" i="177"/>
  <c r="Q481" i="176" s="1"/>
  <c r="W571" i="177"/>
  <c r="T480" i="176" s="1"/>
  <c r="V571" i="177"/>
  <c r="S480" i="176" s="1"/>
  <c r="U571" i="177"/>
  <c r="R480" i="176" s="1"/>
  <c r="T571" i="177"/>
  <c r="Q480" i="176" s="1"/>
  <c r="W570" i="177"/>
  <c r="T479" i="176" s="1"/>
  <c r="V570" i="177"/>
  <c r="S479" i="176" s="1"/>
  <c r="U570" i="177"/>
  <c r="R479" i="176" s="1"/>
  <c r="T570" i="177"/>
  <c r="Q479" i="176" s="1"/>
  <c r="W569" i="177"/>
  <c r="T478" i="176" s="1"/>
  <c r="V569" i="177"/>
  <c r="S478" i="176" s="1"/>
  <c r="U569" i="177"/>
  <c r="R478" i="176" s="1"/>
  <c r="T569" i="177"/>
  <c r="Q478" i="176" s="1"/>
  <c r="W568" i="177"/>
  <c r="T477" i="176" s="1"/>
  <c r="V568" i="177"/>
  <c r="S477" i="176" s="1"/>
  <c r="U568" i="177"/>
  <c r="R477" i="176" s="1"/>
  <c r="T568" i="177"/>
  <c r="Q477" i="176" s="1"/>
  <c r="W567" i="177"/>
  <c r="T476" i="176" s="1"/>
  <c r="V567" i="177"/>
  <c r="S476" i="176" s="1"/>
  <c r="U567" i="177"/>
  <c r="R476" i="176" s="1"/>
  <c r="T567" i="177"/>
  <c r="Q476" i="176" s="1"/>
  <c r="W566" i="177"/>
  <c r="T475" i="176" s="1"/>
  <c r="V566" i="177"/>
  <c r="S475" i="176" s="1"/>
  <c r="U566" i="177"/>
  <c r="R475" i="176" s="1"/>
  <c r="T566" i="177"/>
  <c r="Q475" i="176" s="1"/>
  <c r="W565" i="177"/>
  <c r="T474" i="176" s="1"/>
  <c r="V565" i="177"/>
  <c r="S474" i="176" s="1"/>
  <c r="U565" i="177"/>
  <c r="R474" i="176" s="1"/>
  <c r="T565" i="177"/>
  <c r="Q474" i="176" s="1"/>
  <c r="W564" i="177"/>
  <c r="T473" i="176" s="1"/>
  <c r="V564" i="177"/>
  <c r="S473" i="176" s="1"/>
  <c r="U564" i="177"/>
  <c r="R473" i="176" s="1"/>
  <c r="T564" i="177"/>
  <c r="Q473" i="176" s="1"/>
  <c r="W563" i="177"/>
  <c r="T472" i="176" s="1"/>
  <c r="V563" i="177"/>
  <c r="S472" i="176" s="1"/>
  <c r="U563" i="177"/>
  <c r="R472" i="176" s="1"/>
  <c r="T563" i="177"/>
  <c r="Q472" i="176" s="1"/>
  <c r="W562" i="177"/>
  <c r="T471" i="176" s="1"/>
  <c r="V562" i="177"/>
  <c r="S471" i="176" s="1"/>
  <c r="U562" i="177"/>
  <c r="R471" i="176" s="1"/>
  <c r="T562" i="177"/>
  <c r="Q471" i="176" s="1"/>
  <c r="W561" i="177"/>
  <c r="T470" i="176" s="1"/>
  <c r="V561" i="177"/>
  <c r="S470" i="176" s="1"/>
  <c r="U561" i="177"/>
  <c r="R470" i="176" s="1"/>
  <c r="T561" i="177"/>
  <c r="Q470" i="176" s="1"/>
  <c r="W560" i="177"/>
  <c r="T469" i="176" s="1"/>
  <c r="V560" i="177"/>
  <c r="S469" i="176" s="1"/>
  <c r="U560" i="177"/>
  <c r="R469" i="176" s="1"/>
  <c r="T560" i="177"/>
  <c r="Q469" i="176" s="1"/>
  <c r="W559" i="177"/>
  <c r="T468" i="176" s="1"/>
  <c r="V559" i="177"/>
  <c r="S468" i="176" s="1"/>
  <c r="U559" i="177"/>
  <c r="R468" i="176" s="1"/>
  <c r="T559" i="177"/>
  <c r="Q468" i="176" s="1"/>
  <c r="W558" i="177"/>
  <c r="T467" i="176" s="1"/>
  <c r="V558" i="177"/>
  <c r="S467" i="176" s="1"/>
  <c r="U558" i="177"/>
  <c r="R467" i="176" s="1"/>
  <c r="T558" i="177"/>
  <c r="Q467" i="176" s="1"/>
  <c r="W557" i="177"/>
  <c r="T466" i="176" s="1"/>
  <c r="V557" i="177"/>
  <c r="S466" i="176" s="1"/>
  <c r="U557" i="177"/>
  <c r="R466" i="176" s="1"/>
  <c r="T557" i="177"/>
  <c r="Q466" i="176" s="1"/>
  <c r="W556" i="177"/>
  <c r="T465" i="176" s="1"/>
  <c r="V556" i="177"/>
  <c r="S465" i="176" s="1"/>
  <c r="U556" i="177"/>
  <c r="R465" i="176" s="1"/>
  <c r="T556" i="177"/>
  <c r="Q465" i="176" s="1"/>
  <c r="W555" i="177"/>
  <c r="T464" i="176" s="1"/>
  <c r="V555" i="177"/>
  <c r="S464" i="176" s="1"/>
  <c r="U555" i="177"/>
  <c r="R464" i="176" s="1"/>
  <c r="T555" i="177"/>
  <c r="Q464" i="176" s="1"/>
  <c r="W554" i="177"/>
  <c r="T463" i="176" s="1"/>
  <c r="V554" i="177"/>
  <c r="S463" i="176" s="1"/>
  <c r="U554" i="177"/>
  <c r="R463" i="176" s="1"/>
  <c r="T554" i="177"/>
  <c r="Q463" i="176" s="1"/>
  <c r="W553" i="177"/>
  <c r="T462" i="176" s="1"/>
  <c r="V553" i="177"/>
  <c r="S462" i="176" s="1"/>
  <c r="U553" i="177"/>
  <c r="R462" i="176" s="1"/>
  <c r="T553" i="177"/>
  <c r="Q462" i="176" s="1"/>
  <c r="W552" i="177"/>
  <c r="T461" i="176" s="1"/>
  <c r="V552" i="177"/>
  <c r="S461" i="176" s="1"/>
  <c r="U552" i="177"/>
  <c r="R461" i="176" s="1"/>
  <c r="T552" i="177"/>
  <c r="Q461" i="176" s="1"/>
  <c r="W551" i="177"/>
  <c r="T460" i="176" s="1"/>
  <c r="V551" i="177"/>
  <c r="S460" i="176" s="1"/>
  <c r="U551" i="177"/>
  <c r="R460" i="176" s="1"/>
  <c r="T551" i="177"/>
  <c r="Q460" i="176" s="1"/>
  <c r="W550" i="177"/>
  <c r="T459" i="176" s="1"/>
  <c r="V550" i="177"/>
  <c r="S459" i="176" s="1"/>
  <c r="U550" i="177"/>
  <c r="R459" i="176" s="1"/>
  <c r="T550" i="177"/>
  <c r="Q459" i="176" s="1"/>
  <c r="W549" i="177"/>
  <c r="T458" i="176" s="1"/>
  <c r="V549" i="177"/>
  <c r="S458" i="176" s="1"/>
  <c r="U549" i="177"/>
  <c r="R458" i="176" s="1"/>
  <c r="T549" i="177"/>
  <c r="Q458" i="176" s="1"/>
  <c r="W548" i="177"/>
  <c r="T457" i="176" s="1"/>
  <c r="V548" i="177"/>
  <c r="S457" i="176" s="1"/>
  <c r="U548" i="177"/>
  <c r="R457" i="176" s="1"/>
  <c r="T548" i="177"/>
  <c r="Q457" i="176" s="1"/>
  <c r="W547" i="177"/>
  <c r="T456" i="176" s="1"/>
  <c r="V547" i="177"/>
  <c r="S456" i="176" s="1"/>
  <c r="U547" i="177"/>
  <c r="R456" i="176" s="1"/>
  <c r="T547" i="177"/>
  <c r="Q456" i="176" s="1"/>
  <c r="W546" i="177"/>
  <c r="T455" i="176" s="1"/>
  <c r="V546" i="177"/>
  <c r="S455" i="176" s="1"/>
  <c r="U546" i="177"/>
  <c r="R455" i="176" s="1"/>
  <c r="T546" i="177"/>
  <c r="Q455" i="176" s="1"/>
  <c r="W545" i="177"/>
  <c r="T454" i="176" s="1"/>
  <c r="V545" i="177"/>
  <c r="S454" i="176" s="1"/>
  <c r="U545" i="177"/>
  <c r="R454" i="176" s="1"/>
  <c r="T545" i="177"/>
  <c r="Q454" i="176" s="1"/>
  <c r="W544" i="177"/>
  <c r="T453" i="176" s="1"/>
  <c r="V544" i="177"/>
  <c r="S453" i="176" s="1"/>
  <c r="U544" i="177"/>
  <c r="R453" i="176" s="1"/>
  <c r="T544" i="177"/>
  <c r="Q453" i="176" s="1"/>
  <c r="W543" i="177"/>
  <c r="T452" i="176" s="1"/>
  <c r="V543" i="177"/>
  <c r="S452" i="176" s="1"/>
  <c r="U543" i="177"/>
  <c r="R452" i="176" s="1"/>
  <c r="T543" i="177"/>
  <c r="Q452" i="176" s="1"/>
  <c r="W542" i="177"/>
  <c r="T451" i="176" s="1"/>
  <c r="V542" i="177"/>
  <c r="S451" i="176" s="1"/>
  <c r="U542" i="177"/>
  <c r="R451" i="176" s="1"/>
  <c r="T542" i="177"/>
  <c r="Q451" i="176" s="1"/>
  <c r="W541" i="177"/>
  <c r="T450" i="176" s="1"/>
  <c r="V541" i="177"/>
  <c r="S450" i="176" s="1"/>
  <c r="U541" i="177"/>
  <c r="R450" i="176" s="1"/>
  <c r="T541" i="177"/>
  <c r="Q450" i="176" s="1"/>
  <c r="W540" i="177"/>
  <c r="T449" i="176" s="1"/>
  <c r="V540" i="177"/>
  <c r="S449" i="176" s="1"/>
  <c r="U540" i="177"/>
  <c r="R449" i="176" s="1"/>
  <c r="T540" i="177"/>
  <c r="Q449" i="176" s="1"/>
  <c r="W539" i="177"/>
  <c r="T448" i="176" s="1"/>
  <c r="V539" i="177"/>
  <c r="S448" i="176" s="1"/>
  <c r="U539" i="177"/>
  <c r="R448" i="176" s="1"/>
  <c r="T539" i="177"/>
  <c r="Q448" i="176" s="1"/>
  <c r="W538" i="177"/>
  <c r="T447" i="176" s="1"/>
  <c r="V538" i="177"/>
  <c r="S447" i="176" s="1"/>
  <c r="U538" i="177"/>
  <c r="R447" i="176" s="1"/>
  <c r="T538" i="177"/>
  <c r="Q447" i="176" s="1"/>
  <c r="W537" i="177"/>
  <c r="T446" i="176" s="1"/>
  <c r="V537" i="177"/>
  <c r="S446" i="176" s="1"/>
  <c r="U537" i="177"/>
  <c r="R446" i="176" s="1"/>
  <c r="T537" i="177"/>
  <c r="Q446" i="176" s="1"/>
  <c r="W536" i="177"/>
  <c r="T445" i="176" s="1"/>
  <c r="V536" i="177"/>
  <c r="S445" i="176" s="1"/>
  <c r="U536" i="177"/>
  <c r="R445" i="176" s="1"/>
  <c r="T536" i="177"/>
  <c r="Q445" i="176" s="1"/>
  <c r="W535" i="177"/>
  <c r="T444" i="176" s="1"/>
  <c r="V535" i="177"/>
  <c r="S444" i="176" s="1"/>
  <c r="U535" i="177"/>
  <c r="R444" i="176" s="1"/>
  <c r="T535" i="177"/>
  <c r="Q444" i="176" s="1"/>
  <c r="W534" i="177"/>
  <c r="T443" i="176" s="1"/>
  <c r="V534" i="177"/>
  <c r="S443" i="176" s="1"/>
  <c r="U534" i="177"/>
  <c r="R443" i="176" s="1"/>
  <c r="T534" i="177"/>
  <c r="Q443" i="176" s="1"/>
  <c r="W533" i="177"/>
  <c r="T442" i="176" s="1"/>
  <c r="V533" i="177"/>
  <c r="S442" i="176" s="1"/>
  <c r="U533" i="177"/>
  <c r="R442" i="176" s="1"/>
  <c r="T533" i="177"/>
  <c r="Q442" i="176" s="1"/>
  <c r="W532" i="177"/>
  <c r="T441" i="176" s="1"/>
  <c r="V532" i="177"/>
  <c r="S441" i="176" s="1"/>
  <c r="U532" i="177"/>
  <c r="R441" i="176" s="1"/>
  <c r="T532" i="177"/>
  <c r="Q441" i="176" s="1"/>
  <c r="W531" i="177"/>
  <c r="T440" i="176" s="1"/>
  <c r="V531" i="177"/>
  <c r="S440" i="176" s="1"/>
  <c r="U531" i="177"/>
  <c r="R440" i="176" s="1"/>
  <c r="T531" i="177"/>
  <c r="Q440" i="176" s="1"/>
  <c r="W530" i="177"/>
  <c r="T439" i="176" s="1"/>
  <c r="V530" i="177"/>
  <c r="S439" i="176" s="1"/>
  <c r="U530" i="177"/>
  <c r="R439" i="176" s="1"/>
  <c r="T530" i="177"/>
  <c r="Q439" i="176" s="1"/>
  <c r="W529" i="177"/>
  <c r="T438" i="176" s="1"/>
  <c r="V529" i="177"/>
  <c r="S438" i="176" s="1"/>
  <c r="U529" i="177"/>
  <c r="R438" i="176" s="1"/>
  <c r="T529" i="177"/>
  <c r="Q438" i="176" s="1"/>
  <c r="W528" i="177"/>
  <c r="T437" i="176" s="1"/>
  <c r="V528" i="177"/>
  <c r="S437" i="176" s="1"/>
  <c r="U528" i="177"/>
  <c r="R437" i="176" s="1"/>
  <c r="T528" i="177"/>
  <c r="Q437" i="176" s="1"/>
  <c r="W527" i="177"/>
  <c r="T436" i="176" s="1"/>
  <c r="V527" i="177"/>
  <c r="S436" i="176" s="1"/>
  <c r="U527" i="177"/>
  <c r="R436" i="176" s="1"/>
  <c r="T527" i="177"/>
  <c r="Q436" i="176" s="1"/>
  <c r="W526" i="177"/>
  <c r="T435" i="176" s="1"/>
  <c r="V526" i="177"/>
  <c r="S435" i="176" s="1"/>
  <c r="U526" i="177"/>
  <c r="R435" i="176" s="1"/>
  <c r="T526" i="177"/>
  <c r="Q435" i="176" s="1"/>
  <c r="W525" i="177"/>
  <c r="T434" i="176" s="1"/>
  <c r="V525" i="177"/>
  <c r="S434" i="176" s="1"/>
  <c r="U525" i="177"/>
  <c r="R434" i="176" s="1"/>
  <c r="T525" i="177"/>
  <c r="Q434" i="176" s="1"/>
  <c r="W524" i="177"/>
  <c r="T433" i="176" s="1"/>
  <c r="V524" i="177"/>
  <c r="S433" i="176" s="1"/>
  <c r="U524" i="177"/>
  <c r="R433" i="176" s="1"/>
  <c r="T524" i="177"/>
  <c r="Q433" i="176" s="1"/>
  <c r="W523" i="177"/>
  <c r="T432" i="176" s="1"/>
  <c r="V523" i="177"/>
  <c r="S432" i="176" s="1"/>
  <c r="U523" i="177"/>
  <c r="R432" i="176" s="1"/>
  <c r="T523" i="177"/>
  <c r="Q432" i="176" s="1"/>
  <c r="W522" i="177"/>
  <c r="T431" i="176" s="1"/>
  <c r="V522" i="177"/>
  <c r="S431" i="176" s="1"/>
  <c r="U522" i="177"/>
  <c r="R431" i="176" s="1"/>
  <c r="T522" i="177"/>
  <c r="Q431" i="176" s="1"/>
  <c r="W521" i="177"/>
  <c r="T430" i="176" s="1"/>
  <c r="V521" i="177"/>
  <c r="S430" i="176" s="1"/>
  <c r="U521" i="177"/>
  <c r="R430" i="176" s="1"/>
  <c r="T521" i="177"/>
  <c r="Q430" i="176" s="1"/>
  <c r="W520" i="177"/>
  <c r="T429" i="176" s="1"/>
  <c r="V520" i="177"/>
  <c r="S429" i="176" s="1"/>
  <c r="U520" i="177"/>
  <c r="R429" i="176" s="1"/>
  <c r="T520" i="177"/>
  <c r="Q429" i="176" s="1"/>
  <c r="W519" i="177"/>
  <c r="T428" i="176" s="1"/>
  <c r="V519" i="177"/>
  <c r="S428" i="176" s="1"/>
  <c r="U519" i="177"/>
  <c r="R428" i="176" s="1"/>
  <c r="T519" i="177"/>
  <c r="Q428" i="176" s="1"/>
  <c r="W518" i="177"/>
  <c r="T427" i="176" s="1"/>
  <c r="V518" i="177"/>
  <c r="S427" i="176" s="1"/>
  <c r="U518" i="177"/>
  <c r="R427" i="176" s="1"/>
  <c r="T518" i="177"/>
  <c r="Q427" i="176" s="1"/>
  <c r="W517" i="177"/>
  <c r="T426" i="176" s="1"/>
  <c r="V517" i="177"/>
  <c r="S426" i="176" s="1"/>
  <c r="U517" i="177"/>
  <c r="R426" i="176" s="1"/>
  <c r="T517" i="177"/>
  <c r="Q426" i="176" s="1"/>
  <c r="W516" i="177"/>
  <c r="T425" i="176" s="1"/>
  <c r="V516" i="177"/>
  <c r="S425" i="176" s="1"/>
  <c r="U516" i="177"/>
  <c r="R425" i="176" s="1"/>
  <c r="T516" i="177"/>
  <c r="Q425" i="176" s="1"/>
  <c r="W515" i="177"/>
  <c r="T424" i="176" s="1"/>
  <c r="V515" i="177"/>
  <c r="S424" i="176" s="1"/>
  <c r="U515" i="177"/>
  <c r="R424" i="176" s="1"/>
  <c r="T515" i="177"/>
  <c r="Q424" i="176" s="1"/>
  <c r="W514" i="177"/>
  <c r="T423" i="176" s="1"/>
  <c r="V514" i="177"/>
  <c r="S423" i="176" s="1"/>
  <c r="U514" i="177"/>
  <c r="R423" i="176" s="1"/>
  <c r="T514" i="177"/>
  <c r="Q423" i="176" s="1"/>
  <c r="W513" i="177"/>
  <c r="T422" i="176" s="1"/>
  <c r="V513" i="177"/>
  <c r="S422" i="176" s="1"/>
  <c r="U513" i="177"/>
  <c r="R422" i="176" s="1"/>
  <c r="T513" i="177"/>
  <c r="Q422" i="176" s="1"/>
  <c r="W512" i="177"/>
  <c r="T421" i="176" s="1"/>
  <c r="V512" i="177"/>
  <c r="S421" i="176" s="1"/>
  <c r="U512" i="177"/>
  <c r="R421" i="176" s="1"/>
  <c r="T512" i="177"/>
  <c r="Q421" i="176" s="1"/>
  <c r="W511" i="177"/>
  <c r="T420" i="176" s="1"/>
  <c r="V511" i="177"/>
  <c r="S420" i="176" s="1"/>
  <c r="U511" i="177"/>
  <c r="R420" i="176" s="1"/>
  <c r="T511" i="177"/>
  <c r="Q420" i="176" s="1"/>
  <c r="W510" i="177"/>
  <c r="T419" i="176" s="1"/>
  <c r="V510" i="177"/>
  <c r="S419" i="176" s="1"/>
  <c r="U510" i="177"/>
  <c r="R419" i="176" s="1"/>
  <c r="T510" i="177"/>
  <c r="Q419" i="176" s="1"/>
  <c r="W509" i="177"/>
  <c r="T418" i="176" s="1"/>
  <c r="V509" i="177"/>
  <c r="S418" i="176" s="1"/>
  <c r="U509" i="177"/>
  <c r="R418" i="176" s="1"/>
  <c r="T509" i="177"/>
  <c r="Q418" i="176" s="1"/>
  <c r="W508" i="177"/>
  <c r="T417" i="176" s="1"/>
  <c r="V508" i="177"/>
  <c r="S417" i="176" s="1"/>
  <c r="U508" i="177"/>
  <c r="R417" i="176" s="1"/>
  <c r="T508" i="177"/>
  <c r="Q417" i="176" s="1"/>
  <c r="W507" i="177"/>
  <c r="T416" i="176" s="1"/>
  <c r="V507" i="177"/>
  <c r="S416" i="176" s="1"/>
  <c r="U507" i="177"/>
  <c r="R416" i="176" s="1"/>
  <c r="T507" i="177"/>
  <c r="Q416" i="176" s="1"/>
  <c r="W506" i="177"/>
  <c r="T415" i="176" s="1"/>
  <c r="V506" i="177"/>
  <c r="S415" i="176" s="1"/>
  <c r="U506" i="177"/>
  <c r="R415" i="176" s="1"/>
  <c r="T506" i="177"/>
  <c r="Q415" i="176" s="1"/>
  <c r="W505" i="177"/>
  <c r="T414" i="176" s="1"/>
  <c r="V505" i="177"/>
  <c r="S414" i="176" s="1"/>
  <c r="U505" i="177"/>
  <c r="R414" i="176" s="1"/>
  <c r="T505" i="177"/>
  <c r="Q414" i="176" s="1"/>
  <c r="W504" i="177"/>
  <c r="T413" i="176" s="1"/>
  <c r="V504" i="177"/>
  <c r="S413" i="176" s="1"/>
  <c r="U504" i="177"/>
  <c r="R413" i="176" s="1"/>
  <c r="T504" i="177"/>
  <c r="Q413" i="176" s="1"/>
  <c r="W503" i="177"/>
  <c r="T412" i="176" s="1"/>
  <c r="V503" i="177"/>
  <c r="S412" i="176" s="1"/>
  <c r="U503" i="177"/>
  <c r="R412" i="176" s="1"/>
  <c r="T503" i="177"/>
  <c r="Q412" i="176" s="1"/>
  <c r="W502" i="177"/>
  <c r="T411" i="176" s="1"/>
  <c r="V502" i="177"/>
  <c r="S411" i="176" s="1"/>
  <c r="U502" i="177"/>
  <c r="R411" i="176" s="1"/>
  <c r="T502" i="177"/>
  <c r="Q411" i="176" s="1"/>
  <c r="W501" i="177"/>
  <c r="T410" i="176" s="1"/>
  <c r="V501" i="177"/>
  <c r="S410" i="176" s="1"/>
  <c r="U501" i="177"/>
  <c r="R410" i="176" s="1"/>
  <c r="T501" i="177"/>
  <c r="Q410" i="176" s="1"/>
  <c r="W500" i="177"/>
  <c r="T409" i="176" s="1"/>
  <c r="V500" i="177"/>
  <c r="S409" i="176" s="1"/>
  <c r="U500" i="177"/>
  <c r="R409" i="176" s="1"/>
  <c r="T500" i="177"/>
  <c r="Q409" i="176" s="1"/>
  <c r="W499" i="177"/>
  <c r="T408" i="176" s="1"/>
  <c r="V499" i="177"/>
  <c r="S408" i="176" s="1"/>
  <c r="U499" i="177"/>
  <c r="R408" i="176" s="1"/>
  <c r="T499" i="177"/>
  <c r="Q408" i="176" s="1"/>
  <c r="W498" i="177"/>
  <c r="T407" i="176" s="1"/>
  <c r="V498" i="177"/>
  <c r="S407" i="176" s="1"/>
  <c r="U498" i="177"/>
  <c r="R407" i="176" s="1"/>
  <c r="T498" i="177"/>
  <c r="Q407" i="176" s="1"/>
  <c r="W497" i="177"/>
  <c r="T406" i="176" s="1"/>
  <c r="V497" i="177"/>
  <c r="S406" i="176" s="1"/>
  <c r="U497" i="177"/>
  <c r="R406" i="176" s="1"/>
  <c r="T497" i="177"/>
  <c r="Q406" i="176" s="1"/>
  <c r="W496" i="177"/>
  <c r="T405" i="176" s="1"/>
  <c r="V496" i="177"/>
  <c r="S405" i="176" s="1"/>
  <c r="U496" i="177"/>
  <c r="R405" i="176" s="1"/>
  <c r="T496" i="177"/>
  <c r="Q405" i="176" s="1"/>
  <c r="W495" i="177"/>
  <c r="T404" i="176" s="1"/>
  <c r="V495" i="177"/>
  <c r="S404" i="176" s="1"/>
  <c r="U495" i="177"/>
  <c r="R404" i="176" s="1"/>
  <c r="T495" i="177"/>
  <c r="Q404" i="176" s="1"/>
  <c r="W494" i="177"/>
  <c r="T403" i="176" s="1"/>
  <c r="V494" i="177"/>
  <c r="S403" i="176" s="1"/>
  <c r="U494" i="177"/>
  <c r="R403" i="176" s="1"/>
  <c r="T494" i="177"/>
  <c r="Q403" i="176" s="1"/>
  <c r="W493" i="177"/>
  <c r="T402" i="176" s="1"/>
  <c r="V493" i="177"/>
  <c r="S402" i="176" s="1"/>
  <c r="U493" i="177"/>
  <c r="R402" i="176" s="1"/>
  <c r="T493" i="177"/>
  <c r="Q402" i="176" s="1"/>
  <c r="W492" i="177"/>
  <c r="T401" i="176" s="1"/>
  <c r="V492" i="177"/>
  <c r="S401" i="176" s="1"/>
  <c r="U492" i="177"/>
  <c r="R401" i="176" s="1"/>
  <c r="T492" i="177"/>
  <c r="Q401" i="176" s="1"/>
  <c r="W491" i="177"/>
  <c r="T400" i="176" s="1"/>
  <c r="V491" i="177"/>
  <c r="S400" i="176" s="1"/>
  <c r="U491" i="177"/>
  <c r="R400" i="176" s="1"/>
  <c r="T491" i="177"/>
  <c r="Q400" i="176" s="1"/>
  <c r="W490" i="177"/>
  <c r="T399" i="176" s="1"/>
  <c r="V490" i="177"/>
  <c r="S399" i="176" s="1"/>
  <c r="U490" i="177"/>
  <c r="R399" i="176" s="1"/>
  <c r="T490" i="177"/>
  <c r="Q399" i="176" s="1"/>
  <c r="W489" i="177"/>
  <c r="T398" i="176" s="1"/>
  <c r="V489" i="177"/>
  <c r="S398" i="176" s="1"/>
  <c r="U489" i="177"/>
  <c r="R398" i="176" s="1"/>
  <c r="T489" i="177"/>
  <c r="Q398" i="176" s="1"/>
  <c r="W488" i="177"/>
  <c r="T397" i="176" s="1"/>
  <c r="V488" i="177"/>
  <c r="S397" i="176" s="1"/>
  <c r="U488" i="177"/>
  <c r="R397" i="176" s="1"/>
  <c r="T488" i="177"/>
  <c r="Q397" i="176" s="1"/>
  <c r="W487" i="177"/>
  <c r="T396" i="176" s="1"/>
  <c r="V487" i="177"/>
  <c r="S396" i="176" s="1"/>
  <c r="U487" i="177"/>
  <c r="R396" i="176" s="1"/>
  <c r="T487" i="177"/>
  <c r="Q396" i="176" s="1"/>
  <c r="W486" i="177"/>
  <c r="T395" i="176" s="1"/>
  <c r="V486" i="177"/>
  <c r="S395" i="176" s="1"/>
  <c r="U486" i="177"/>
  <c r="R395" i="176" s="1"/>
  <c r="T486" i="177"/>
  <c r="Q395" i="176" s="1"/>
  <c r="W485" i="177"/>
  <c r="T394" i="176" s="1"/>
  <c r="V485" i="177"/>
  <c r="S394" i="176" s="1"/>
  <c r="U485" i="177"/>
  <c r="R394" i="176" s="1"/>
  <c r="T485" i="177"/>
  <c r="Q394" i="176" s="1"/>
  <c r="W484" i="177"/>
  <c r="T393" i="176" s="1"/>
  <c r="V484" i="177"/>
  <c r="S393" i="176" s="1"/>
  <c r="U484" i="177"/>
  <c r="R393" i="176" s="1"/>
  <c r="T484" i="177"/>
  <c r="Q393" i="176" s="1"/>
  <c r="W483" i="177"/>
  <c r="T392" i="176" s="1"/>
  <c r="V483" i="177"/>
  <c r="S392" i="176" s="1"/>
  <c r="U483" i="177"/>
  <c r="R392" i="176" s="1"/>
  <c r="T483" i="177"/>
  <c r="Q392" i="176" s="1"/>
  <c r="W482" i="177"/>
  <c r="T391" i="176" s="1"/>
  <c r="V482" i="177"/>
  <c r="S391" i="176" s="1"/>
  <c r="U482" i="177"/>
  <c r="R391" i="176" s="1"/>
  <c r="T482" i="177"/>
  <c r="Q391" i="176" s="1"/>
  <c r="W481" i="177"/>
  <c r="T390" i="176" s="1"/>
  <c r="V481" i="177"/>
  <c r="S390" i="176" s="1"/>
  <c r="U481" i="177"/>
  <c r="R390" i="176" s="1"/>
  <c r="T481" i="177"/>
  <c r="Q390" i="176" s="1"/>
  <c r="W480" i="177"/>
  <c r="T389" i="176" s="1"/>
  <c r="V480" i="177"/>
  <c r="S389" i="176" s="1"/>
  <c r="U480" i="177"/>
  <c r="R389" i="176" s="1"/>
  <c r="T480" i="177"/>
  <c r="Q389" i="176" s="1"/>
  <c r="W479" i="177"/>
  <c r="T388" i="176" s="1"/>
  <c r="V479" i="177"/>
  <c r="S388" i="176" s="1"/>
  <c r="U479" i="177"/>
  <c r="R388" i="176" s="1"/>
  <c r="T479" i="177"/>
  <c r="Q388" i="176" s="1"/>
  <c r="W478" i="177"/>
  <c r="T387" i="176" s="1"/>
  <c r="V478" i="177"/>
  <c r="S387" i="176" s="1"/>
  <c r="U478" i="177"/>
  <c r="R387" i="176" s="1"/>
  <c r="T478" i="177"/>
  <c r="Q387" i="176" s="1"/>
  <c r="W477" i="177"/>
  <c r="T386" i="176" s="1"/>
  <c r="V477" i="177"/>
  <c r="S386" i="176" s="1"/>
  <c r="U477" i="177"/>
  <c r="R386" i="176" s="1"/>
  <c r="T477" i="177"/>
  <c r="Q386" i="176" s="1"/>
  <c r="W476" i="177"/>
  <c r="T385" i="176" s="1"/>
  <c r="V476" i="177"/>
  <c r="S385" i="176" s="1"/>
  <c r="U476" i="177"/>
  <c r="R385" i="176" s="1"/>
  <c r="T476" i="177"/>
  <c r="Q385" i="176" s="1"/>
  <c r="W475" i="177"/>
  <c r="T384" i="176" s="1"/>
  <c r="V475" i="177"/>
  <c r="S384" i="176" s="1"/>
  <c r="U475" i="177"/>
  <c r="R384" i="176" s="1"/>
  <c r="T475" i="177"/>
  <c r="Q384" i="176" s="1"/>
  <c r="W474" i="177"/>
  <c r="T383" i="176" s="1"/>
  <c r="V474" i="177"/>
  <c r="S383" i="176" s="1"/>
  <c r="U474" i="177"/>
  <c r="R383" i="176" s="1"/>
  <c r="T474" i="177"/>
  <c r="Q383" i="176" s="1"/>
  <c r="W473" i="177"/>
  <c r="T382" i="176" s="1"/>
  <c r="V473" i="177"/>
  <c r="S382" i="176" s="1"/>
  <c r="U473" i="177"/>
  <c r="R382" i="176" s="1"/>
  <c r="T473" i="177"/>
  <c r="Q382" i="176" s="1"/>
  <c r="W472" i="177"/>
  <c r="T381" i="176" s="1"/>
  <c r="V472" i="177"/>
  <c r="S381" i="176" s="1"/>
  <c r="U472" i="177"/>
  <c r="R381" i="176" s="1"/>
  <c r="T472" i="177"/>
  <c r="Q381" i="176" s="1"/>
  <c r="W471" i="177"/>
  <c r="T380" i="176" s="1"/>
  <c r="V471" i="177"/>
  <c r="S380" i="176" s="1"/>
  <c r="U471" i="177"/>
  <c r="R380" i="176" s="1"/>
  <c r="T471" i="177"/>
  <c r="Q380" i="176" s="1"/>
  <c r="W470" i="177"/>
  <c r="T379" i="176" s="1"/>
  <c r="V470" i="177"/>
  <c r="S379" i="176" s="1"/>
  <c r="U470" i="177"/>
  <c r="R379" i="176" s="1"/>
  <c r="T470" i="177"/>
  <c r="Q379" i="176" s="1"/>
  <c r="W469" i="177"/>
  <c r="T378" i="176" s="1"/>
  <c r="V469" i="177"/>
  <c r="S378" i="176" s="1"/>
  <c r="U469" i="177"/>
  <c r="R378" i="176" s="1"/>
  <c r="T469" i="177"/>
  <c r="Q378" i="176" s="1"/>
  <c r="W468" i="177"/>
  <c r="T377" i="176" s="1"/>
  <c r="V468" i="177"/>
  <c r="S377" i="176" s="1"/>
  <c r="U468" i="177"/>
  <c r="R377" i="176" s="1"/>
  <c r="T468" i="177"/>
  <c r="Q377" i="176" s="1"/>
  <c r="W467" i="177"/>
  <c r="T376" i="176" s="1"/>
  <c r="V467" i="177"/>
  <c r="S376" i="176" s="1"/>
  <c r="U467" i="177"/>
  <c r="R376" i="176" s="1"/>
  <c r="T467" i="177"/>
  <c r="Q376" i="176" s="1"/>
  <c r="W466" i="177"/>
  <c r="T375" i="176" s="1"/>
  <c r="V466" i="177"/>
  <c r="S375" i="176" s="1"/>
  <c r="U466" i="177"/>
  <c r="R375" i="176" s="1"/>
  <c r="T466" i="177"/>
  <c r="Q375" i="176" s="1"/>
  <c r="W465" i="177"/>
  <c r="T374" i="176" s="1"/>
  <c r="V465" i="177"/>
  <c r="S374" i="176" s="1"/>
  <c r="U465" i="177"/>
  <c r="R374" i="176" s="1"/>
  <c r="T465" i="177"/>
  <c r="Q374" i="176" s="1"/>
  <c r="W464" i="177"/>
  <c r="T373" i="176" s="1"/>
  <c r="V464" i="177"/>
  <c r="S373" i="176" s="1"/>
  <c r="U464" i="177"/>
  <c r="R373" i="176" s="1"/>
  <c r="T464" i="177"/>
  <c r="Q373" i="176" s="1"/>
  <c r="W463" i="177"/>
  <c r="T372" i="176" s="1"/>
  <c r="V463" i="177"/>
  <c r="S372" i="176" s="1"/>
  <c r="U463" i="177"/>
  <c r="R372" i="176" s="1"/>
  <c r="T463" i="177"/>
  <c r="Q372" i="176" s="1"/>
  <c r="W462" i="177"/>
  <c r="T371" i="176" s="1"/>
  <c r="V462" i="177"/>
  <c r="S371" i="176" s="1"/>
  <c r="U462" i="177"/>
  <c r="R371" i="176" s="1"/>
  <c r="T462" i="177"/>
  <c r="Q371" i="176" s="1"/>
  <c r="W461" i="177"/>
  <c r="T370" i="176" s="1"/>
  <c r="V461" i="177"/>
  <c r="S370" i="176" s="1"/>
  <c r="U461" i="177"/>
  <c r="R370" i="176" s="1"/>
  <c r="T461" i="177"/>
  <c r="Q370" i="176" s="1"/>
  <c r="W460" i="177"/>
  <c r="T369" i="176" s="1"/>
  <c r="V460" i="177"/>
  <c r="S369" i="176" s="1"/>
  <c r="U460" i="177"/>
  <c r="R369" i="176" s="1"/>
  <c r="T460" i="177"/>
  <c r="Q369" i="176" s="1"/>
  <c r="W459" i="177"/>
  <c r="T368" i="176" s="1"/>
  <c r="V459" i="177"/>
  <c r="S368" i="176" s="1"/>
  <c r="U459" i="177"/>
  <c r="R368" i="176" s="1"/>
  <c r="T459" i="177"/>
  <c r="Q368" i="176" s="1"/>
  <c r="W458" i="177"/>
  <c r="T367" i="176" s="1"/>
  <c r="V458" i="177"/>
  <c r="S367" i="176" s="1"/>
  <c r="U458" i="177"/>
  <c r="R367" i="176" s="1"/>
  <c r="T458" i="177"/>
  <c r="Q367" i="176" s="1"/>
  <c r="W457" i="177"/>
  <c r="T366" i="176" s="1"/>
  <c r="V457" i="177"/>
  <c r="S366" i="176" s="1"/>
  <c r="U457" i="177"/>
  <c r="R366" i="176" s="1"/>
  <c r="T457" i="177"/>
  <c r="Q366" i="176" s="1"/>
  <c r="W456" i="177"/>
  <c r="T365" i="176" s="1"/>
  <c r="V456" i="177"/>
  <c r="S365" i="176" s="1"/>
  <c r="U456" i="177"/>
  <c r="R365" i="176" s="1"/>
  <c r="T456" i="177"/>
  <c r="Q365" i="176" s="1"/>
  <c r="W455" i="177"/>
  <c r="T364" i="176" s="1"/>
  <c r="V455" i="177"/>
  <c r="S364" i="176" s="1"/>
  <c r="U455" i="177"/>
  <c r="R364" i="176" s="1"/>
  <c r="T455" i="177"/>
  <c r="Q364" i="176" s="1"/>
  <c r="W454" i="177"/>
  <c r="T363" i="176" s="1"/>
  <c r="V454" i="177"/>
  <c r="S363" i="176" s="1"/>
  <c r="U454" i="177"/>
  <c r="R363" i="176" s="1"/>
  <c r="T454" i="177"/>
  <c r="Q363" i="176" s="1"/>
  <c r="W453" i="177"/>
  <c r="T362" i="176" s="1"/>
  <c r="V453" i="177"/>
  <c r="S362" i="176" s="1"/>
  <c r="U453" i="177"/>
  <c r="R362" i="176" s="1"/>
  <c r="T453" i="177"/>
  <c r="Q362" i="176" s="1"/>
  <c r="W452" i="177"/>
  <c r="T361" i="176" s="1"/>
  <c r="V452" i="177"/>
  <c r="S361" i="176" s="1"/>
  <c r="U452" i="177"/>
  <c r="R361" i="176" s="1"/>
  <c r="T452" i="177"/>
  <c r="Q361" i="176" s="1"/>
  <c r="W451" i="177"/>
  <c r="T360" i="176" s="1"/>
  <c r="V451" i="177"/>
  <c r="S360" i="176" s="1"/>
  <c r="U451" i="177"/>
  <c r="R360" i="176" s="1"/>
  <c r="T451" i="177"/>
  <c r="Q360" i="176" s="1"/>
  <c r="W450" i="177"/>
  <c r="T359" i="176" s="1"/>
  <c r="V450" i="177"/>
  <c r="S359" i="176" s="1"/>
  <c r="U450" i="177"/>
  <c r="R359" i="176" s="1"/>
  <c r="T450" i="177"/>
  <c r="Q359" i="176" s="1"/>
  <c r="W449" i="177"/>
  <c r="T358" i="176" s="1"/>
  <c r="V449" i="177"/>
  <c r="S358" i="176" s="1"/>
  <c r="U449" i="177"/>
  <c r="R358" i="176" s="1"/>
  <c r="T449" i="177"/>
  <c r="Q358" i="176" s="1"/>
  <c r="W448" i="177"/>
  <c r="T357" i="176" s="1"/>
  <c r="V448" i="177"/>
  <c r="S357" i="176" s="1"/>
  <c r="U448" i="177"/>
  <c r="R357" i="176" s="1"/>
  <c r="T448" i="177"/>
  <c r="Q357" i="176" s="1"/>
  <c r="W447" i="177"/>
  <c r="T356" i="176" s="1"/>
  <c r="V447" i="177"/>
  <c r="S356" i="176" s="1"/>
  <c r="U447" i="177"/>
  <c r="R356" i="176" s="1"/>
  <c r="T447" i="177"/>
  <c r="Q356" i="176" s="1"/>
  <c r="W446" i="177"/>
  <c r="T355" i="176" s="1"/>
  <c r="V446" i="177"/>
  <c r="S355" i="176" s="1"/>
  <c r="U446" i="177"/>
  <c r="R355" i="176" s="1"/>
  <c r="T446" i="177"/>
  <c r="Q355" i="176" s="1"/>
  <c r="W445" i="177"/>
  <c r="T354" i="176" s="1"/>
  <c r="V445" i="177"/>
  <c r="S354" i="176" s="1"/>
  <c r="U445" i="177"/>
  <c r="R354" i="176" s="1"/>
  <c r="T445" i="177"/>
  <c r="Q354" i="176" s="1"/>
  <c r="W444" i="177"/>
  <c r="T353" i="176" s="1"/>
  <c r="V444" i="177"/>
  <c r="S353" i="176" s="1"/>
  <c r="U444" i="177"/>
  <c r="R353" i="176" s="1"/>
  <c r="T444" i="177"/>
  <c r="Q353" i="176" s="1"/>
  <c r="W443" i="177"/>
  <c r="T352" i="176" s="1"/>
  <c r="V443" i="177"/>
  <c r="S352" i="176" s="1"/>
  <c r="U443" i="177"/>
  <c r="R352" i="176" s="1"/>
  <c r="T443" i="177"/>
  <c r="Q352" i="176" s="1"/>
  <c r="W442" i="177"/>
  <c r="T351" i="176" s="1"/>
  <c r="V442" i="177"/>
  <c r="S351" i="176" s="1"/>
  <c r="U442" i="177"/>
  <c r="R351" i="176" s="1"/>
  <c r="T442" i="177"/>
  <c r="Q351" i="176" s="1"/>
  <c r="W441" i="177"/>
  <c r="T350" i="176" s="1"/>
  <c r="V441" i="177"/>
  <c r="S350" i="176" s="1"/>
  <c r="U441" i="177"/>
  <c r="R350" i="176" s="1"/>
  <c r="T441" i="177"/>
  <c r="Q350" i="176" s="1"/>
  <c r="W440" i="177"/>
  <c r="T349" i="176" s="1"/>
  <c r="V440" i="177"/>
  <c r="S349" i="176" s="1"/>
  <c r="U440" i="177"/>
  <c r="R349" i="176" s="1"/>
  <c r="T440" i="177"/>
  <c r="Q349" i="176" s="1"/>
  <c r="W439" i="177"/>
  <c r="T348" i="176" s="1"/>
  <c r="V439" i="177"/>
  <c r="S348" i="176" s="1"/>
  <c r="U439" i="177"/>
  <c r="R348" i="176" s="1"/>
  <c r="T439" i="177"/>
  <c r="Q348" i="176" s="1"/>
  <c r="W438" i="177"/>
  <c r="T347" i="176" s="1"/>
  <c r="V438" i="177"/>
  <c r="S347" i="176" s="1"/>
  <c r="U438" i="177"/>
  <c r="R347" i="176" s="1"/>
  <c r="T438" i="177"/>
  <c r="Q347" i="176" s="1"/>
  <c r="W437" i="177"/>
  <c r="T346" i="176" s="1"/>
  <c r="V437" i="177"/>
  <c r="S346" i="176" s="1"/>
  <c r="U437" i="177"/>
  <c r="R346" i="176" s="1"/>
  <c r="T437" i="177"/>
  <c r="Q346" i="176" s="1"/>
  <c r="W436" i="177"/>
  <c r="T345" i="176" s="1"/>
  <c r="V436" i="177"/>
  <c r="S345" i="176" s="1"/>
  <c r="U436" i="177"/>
  <c r="R345" i="176" s="1"/>
  <c r="T436" i="177"/>
  <c r="Q345" i="176" s="1"/>
  <c r="W435" i="177"/>
  <c r="T344" i="176" s="1"/>
  <c r="V435" i="177"/>
  <c r="S344" i="176" s="1"/>
  <c r="U435" i="177"/>
  <c r="R344" i="176" s="1"/>
  <c r="T435" i="177"/>
  <c r="Q344" i="176" s="1"/>
  <c r="W434" i="177"/>
  <c r="T343" i="176" s="1"/>
  <c r="V434" i="177"/>
  <c r="S343" i="176" s="1"/>
  <c r="U434" i="177"/>
  <c r="R343" i="176" s="1"/>
  <c r="T434" i="177"/>
  <c r="Q343" i="176" s="1"/>
  <c r="W433" i="177"/>
  <c r="T342" i="176" s="1"/>
  <c r="V433" i="177"/>
  <c r="S342" i="176" s="1"/>
  <c r="U433" i="177"/>
  <c r="R342" i="176" s="1"/>
  <c r="T433" i="177"/>
  <c r="Q342" i="176" s="1"/>
  <c r="W432" i="177"/>
  <c r="T341" i="176" s="1"/>
  <c r="V432" i="177"/>
  <c r="S341" i="176" s="1"/>
  <c r="U432" i="177"/>
  <c r="R341" i="176" s="1"/>
  <c r="T432" i="177"/>
  <c r="Q341" i="176" s="1"/>
  <c r="W431" i="177"/>
  <c r="T340" i="176" s="1"/>
  <c r="V431" i="177"/>
  <c r="S340" i="176" s="1"/>
  <c r="U431" i="177"/>
  <c r="R340" i="176" s="1"/>
  <c r="T431" i="177"/>
  <c r="Q340" i="176" s="1"/>
  <c r="W430" i="177"/>
  <c r="T339" i="176" s="1"/>
  <c r="V430" i="177"/>
  <c r="S339" i="176" s="1"/>
  <c r="U430" i="177"/>
  <c r="R339" i="176" s="1"/>
  <c r="T430" i="177"/>
  <c r="Q339" i="176" s="1"/>
  <c r="W429" i="177"/>
  <c r="T338" i="176" s="1"/>
  <c r="V429" i="177"/>
  <c r="S338" i="176" s="1"/>
  <c r="U429" i="177"/>
  <c r="R338" i="176" s="1"/>
  <c r="T429" i="177"/>
  <c r="Q338" i="176" s="1"/>
  <c r="W428" i="177"/>
  <c r="T337" i="176" s="1"/>
  <c r="V428" i="177"/>
  <c r="S337" i="176" s="1"/>
  <c r="U428" i="177"/>
  <c r="R337" i="176" s="1"/>
  <c r="T428" i="177"/>
  <c r="Q337" i="176" s="1"/>
  <c r="W427" i="177"/>
  <c r="T336" i="176" s="1"/>
  <c r="V427" i="177"/>
  <c r="S336" i="176" s="1"/>
  <c r="U427" i="177"/>
  <c r="R336" i="176" s="1"/>
  <c r="T427" i="177"/>
  <c r="Q336" i="176" s="1"/>
  <c r="W426" i="177"/>
  <c r="T335" i="176" s="1"/>
  <c r="V426" i="177"/>
  <c r="S335" i="176" s="1"/>
  <c r="U426" i="177"/>
  <c r="R335" i="176" s="1"/>
  <c r="T426" i="177"/>
  <c r="Q335" i="176" s="1"/>
  <c r="W425" i="177"/>
  <c r="T334" i="176" s="1"/>
  <c r="V425" i="177"/>
  <c r="S334" i="176" s="1"/>
  <c r="U425" i="177"/>
  <c r="R334" i="176" s="1"/>
  <c r="T425" i="177"/>
  <c r="Q334" i="176" s="1"/>
  <c r="W424" i="177"/>
  <c r="T333" i="176" s="1"/>
  <c r="V424" i="177"/>
  <c r="S333" i="176" s="1"/>
  <c r="U424" i="177"/>
  <c r="R333" i="176" s="1"/>
  <c r="T424" i="177"/>
  <c r="Q333" i="176" s="1"/>
  <c r="W423" i="177"/>
  <c r="T332" i="176" s="1"/>
  <c r="V423" i="177"/>
  <c r="S332" i="176" s="1"/>
  <c r="U423" i="177"/>
  <c r="R332" i="176" s="1"/>
  <c r="T423" i="177"/>
  <c r="Q332" i="176" s="1"/>
  <c r="W422" i="177"/>
  <c r="T331" i="176" s="1"/>
  <c r="V422" i="177"/>
  <c r="S331" i="176" s="1"/>
  <c r="U422" i="177"/>
  <c r="R331" i="176" s="1"/>
  <c r="T422" i="177"/>
  <c r="Q331" i="176" s="1"/>
  <c r="W421" i="177"/>
  <c r="T330" i="176" s="1"/>
  <c r="V421" i="177"/>
  <c r="S330" i="176" s="1"/>
  <c r="U421" i="177"/>
  <c r="R330" i="176" s="1"/>
  <c r="T421" i="177"/>
  <c r="Q330" i="176" s="1"/>
  <c r="W420" i="177"/>
  <c r="T329" i="176" s="1"/>
  <c r="V420" i="177"/>
  <c r="S329" i="176" s="1"/>
  <c r="U420" i="177"/>
  <c r="R329" i="176" s="1"/>
  <c r="T420" i="177"/>
  <c r="Q329" i="176" s="1"/>
  <c r="W419" i="177"/>
  <c r="T328" i="176" s="1"/>
  <c r="V419" i="177"/>
  <c r="S328" i="176" s="1"/>
  <c r="U419" i="177"/>
  <c r="R328" i="176" s="1"/>
  <c r="T419" i="177"/>
  <c r="Q328" i="176" s="1"/>
  <c r="W418" i="177"/>
  <c r="T327" i="176" s="1"/>
  <c r="V418" i="177"/>
  <c r="S327" i="176" s="1"/>
  <c r="U418" i="177"/>
  <c r="R327" i="176" s="1"/>
  <c r="T418" i="177"/>
  <c r="Q327" i="176" s="1"/>
  <c r="W417" i="177"/>
  <c r="T326" i="176" s="1"/>
  <c r="V417" i="177"/>
  <c r="S326" i="176" s="1"/>
  <c r="U417" i="177"/>
  <c r="R326" i="176" s="1"/>
  <c r="T417" i="177"/>
  <c r="Q326" i="176" s="1"/>
  <c r="W416" i="177"/>
  <c r="T325" i="176" s="1"/>
  <c r="V416" i="177"/>
  <c r="S325" i="176" s="1"/>
  <c r="U416" i="177"/>
  <c r="R325" i="176" s="1"/>
  <c r="T416" i="177"/>
  <c r="Q325" i="176" s="1"/>
  <c r="W415" i="177"/>
  <c r="T324" i="176" s="1"/>
  <c r="V415" i="177"/>
  <c r="S324" i="176" s="1"/>
  <c r="U415" i="177"/>
  <c r="R324" i="176" s="1"/>
  <c r="T415" i="177"/>
  <c r="Q324" i="176" s="1"/>
  <c r="W414" i="177"/>
  <c r="T323" i="176" s="1"/>
  <c r="V414" i="177"/>
  <c r="S323" i="176" s="1"/>
  <c r="U414" i="177"/>
  <c r="R323" i="176" s="1"/>
  <c r="T414" i="177"/>
  <c r="Q323" i="176" s="1"/>
  <c r="W413" i="177"/>
  <c r="T322" i="176" s="1"/>
  <c r="V413" i="177"/>
  <c r="S322" i="176" s="1"/>
  <c r="U413" i="177"/>
  <c r="R322" i="176" s="1"/>
  <c r="T413" i="177"/>
  <c r="Q322" i="176" s="1"/>
  <c r="W412" i="177"/>
  <c r="T321" i="176" s="1"/>
  <c r="V412" i="177"/>
  <c r="S321" i="176" s="1"/>
  <c r="U412" i="177"/>
  <c r="R321" i="176" s="1"/>
  <c r="T412" i="177"/>
  <c r="Q321" i="176" s="1"/>
  <c r="W411" i="177"/>
  <c r="T320" i="176" s="1"/>
  <c r="V411" i="177"/>
  <c r="S320" i="176" s="1"/>
  <c r="U411" i="177"/>
  <c r="R320" i="176" s="1"/>
  <c r="T411" i="177"/>
  <c r="Q320" i="176" s="1"/>
  <c r="W410" i="177"/>
  <c r="T319" i="176" s="1"/>
  <c r="V410" i="177"/>
  <c r="S319" i="176" s="1"/>
  <c r="U410" i="177"/>
  <c r="R319" i="176" s="1"/>
  <c r="T410" i="177"/>
  <c r="Q319" i="176" s="1"/>
  <c r="W409" i="177"/>
  <c r="T318" i="176" s="1"/>
  <c r="V409" i="177"/>
  <c r="S318" i="176" s="1"/>
  <c r="U409" i="177"/>
  <c r="R318" i="176" s="1"/>
  <c r="T409" i="177"/>
  <c r="Q318" i="176" s="1"/>
  <c r="W408" i="177"/>
  <c r="T317" i="176" s="1"/>
  <c r="V408" i="177"/>
  <c r="S317" i="176" s="1"/>
  <c r="U408" i="177"/>
  <c r="R317" i="176" s="1"/>
  <c r="T408" i="177"/>
  <c r="Q317" i="176" s="1"/>
  <c r="W407" i="177"/>
  <c r="T316" i="176" s="1"/>
  <c r="V407" i="177"/>
  <c r="S316" i="176" s="1"/>
  <c r="U407" i="177"/>
  <c r="R316" i="176" s="1"/>
  <c r="T407" i="177"/>
  <c r="Q316" i="176" s="1"/>
  <c r="W406" i="177"/>
  <c r="T315" i="176" s="1"/>
  <c r="V406" i="177"/>
  <c r="S315" i="176" s="1"/>
  <c r="U406" i="177"/>
  <c r="R315" i="176" s="1"/>
  <c r="T406" i="177"/>
  <c r="Q315" i="176" s="1"/>
  <c r="W405" i="177"/>
  <c r="T314" i="176" s="1"/>
  <c r="V405" i="177"/>
  <c r="S314" i="176" s="1"/>
  <c r="U405" i="177"/>
  <c r="R314" i="176" s="1"/>
  <c r="T405" i="177"/>
  <c r="Q314" i="176" s="1"/>
  <c r="W404" i="177"/>
  <c r="T313" i="176" s="1"/>
  <c r="V404" i="177"/>
  <c r="S313" i="176" s="1"/>
  <c r="U404" i="177"/>
  <c r="R313" i="176" s="1"/>
  <c r="T404" i="177"/>
  <c r="Q313" i="176" s="1"/>
  <c r="W403" i="177"/>
  <c r="T312" i="176" s="1"/>
  <c r="V403" i="177"/>
  <c r="S312" i="176" s="1"/>
  <c r="U403" i="177"/>
  <c r="R312" i="176" s="1"/>
  <c r="T403" i="177"/>
  <c r="Q312" i="176" s="1"/>
  <c r="W402" i="177"/>
  <c r="T311" i="176" s="1"/>
  <c r="V402" i="177"/>
  <c r="S311" i="176" s="1"/>
  <c r="U402" i="177"/>
  <c r="R311" i="176" s="1"/>
  <c r="T402" i="177"/>
  <c r="Q311" i="176" s="1"/>
  <c r="W401" i="177"/>
  <c r="T310" i="176" s="1"/>
  <c r="V401" i="177"/>
  <c r="S310" i="176" s="1"/>
  <c r="U401" i="177"/>
  <c r="R310" i="176" s="1"/>
  <c r="T401" i="177"/>
  <c r="Q310" i="176" s="1"/>
  <c r="W400" i="177"/>
  <c r="T309" i="176" s="1"/>
  <c r="V400" i="177"/>
  <c r="S309" i="176" s="1"/>
  <c r="U400" i="177"/>
  <c r="R309" i="176" s="1"/>
  <c r="T400" i="177"/>
  <c r="Q309" i="176" s="1"/>
  <c r="W399" i="177"/>
  <c r="T308" i="176" s="1"/>
  <c r="V399" i="177"/>
  <c r="S308" i="176" s="1"/>
  <c r="U399" i="177"/>
  <c r="R308" i="176" s="1"/>
  <c r="T399" i="177"/>
  <c r="Q308" i="176" s="1"/>
  <c r="W398" i="177"/>
  <c r="T307" i="176" s="1"/>
  <c r="V398" i="177"/>
  <c r="S307" i="176" s="1"/>
  <c r="U398" i="177"/>
  <c r="R307" i="176" s="1"/>
  <c r="T398" i="177"/>
  <c r="Q307" i="176" s="1"/>
  <c r="W397" i="177"/>
  <c r="T306" i="176" s="1"/>
  <c r="V397" i="177"/>
  <c r="S306" i="176" s="1"/>
  <c r="U397" i="177"/>
  <c r="R306" i="176" s="1"/>
  <c r="T397" i="177"/>
  <c r="Q306" i="176" s="1"/>
  <c r="W396" i="177"/>
  <c r="T305" i="176" s="1"/>
  <c r="V396" i="177"/>
  <c r="S305" i="176" s="1"/>
  <c r="U396" i="177"/>
  <c r="R305" i="176" s="1"/>
  <c r="T396" i="177"/>
  <c r="Q305" i="176" s="1"/>
  <c r="W395" i="177"/>
  <c r="T304" i="176" s="1"/>
  <c r="V395" i="177"/>
  <c r="S304" i="176" s="1"/>
  <c r="U395" i="177"/>
  <c r="R304" i="176" s="1"/>
  <c r="T395" i="177"/>
  <c r="Q304" i="176" s="1"/>
  <c r="W394" i="177"/>
  <c r="T303" i="176" s="1"/>
  <c r="V394" i="177"/>
  <c r="S303" i="176" s="1"/>
  <c r="U394" i="177"/>
  <c r="R303" i="176" s="1"/>
  <c r="T394" i="177"/>
  <c r="Q303" i="176" s="1"/>
  <c r="W393" i="177"/>
  <c r="T302" i="176" s="1"/>
  <c r="V393" i="177"/>
  <c r="S302" i="176" s="1"/>
  <c r="U393" i="177"/>
  <c r="R302" i="176" s="1"/>
  <c r="T393" i="177"/>
  <c r="Q302" i="176" s="1"/>
  <c r="W392" i="177"/>
  <c r="T301" i="176" s="1"/>
  <c r="V392" i="177"/>
  <c r="S301" i="176" s="1"/>
  <c r="U392" i="177"/>
  <c r="R301" i="176" s="1"/>
  <c r="T392" i="177"/>
  <c r="Q301" i="176" s="1"/>
  <c r="W391" i="177"/>
  <c r="T300" i="176" s="1"/>
  <c r="V391" i="177"/>
  <c r="S300" i="176" s="1"/>
  <c r="U391" i="177"/>
  <c r="R300" i="176" s="1"/>
  <c r="T391" i="177"/>
  <c r="Q300" i="176" s="1"/>
  <c r="W390" i="177"/>
  <c r="T299" i="176" s="1"/>
  <c r="V390" i="177"/>
  <c r="S299" i="176" s="1"/>
  <c r="U390" i="177"/>
  <c r="R299" i="176" s="1"/>
  <c r="T390" i="177"/>
  <c r="Q299" i="176" s="1"/>
  <c r="W389" i="177"/>
  <c r="T298" i="176" s="1"/>
  <c r="V389" i="177"/>
  <c r="S298" i="176" s="1"/>
  <c r="U389" i="177"/>
  <c r="R298" i="176" s="1"/>
  <c r="T389" i="177"/>
  <c r="Q298" i="176" s="1"/>
  <c r="W388" i="177"/>
  <c r="T297" i="176" s="1"/>
  <c r="V388" i="177"/>
  <c r="S297" i="176" s="1"/>
  <c r="U388" i="177"/>
  <c r="R297" i="176" s="1"/>
  <c r="T388" i="177"/>
  <c r="Q297" i="176" s="1"/>
  <c r="W387" i="177"/>
  <c r="T296" i="176" s="1"/>
  <c r="V387" i="177"/>
  <c r="S296" i="176" s="1"/>
  <c r="U387" i="177"/>
  <c r="R296" i="176" s="1"/>
  <c r="T387" i="177"/>
  <c r="Q296" i="176" s="1"/>
  <c r="W386" i="177"/>
  <c r="T295" i="176" s="1"/>
  <c r="V386" i="177"/>
  <c r="S295" i="176" s="1"/>
  <c r="U386" i="177"/>
  <c r="R295" i="176" s="1"/>
  <c r="T386" i="177"/>
  <c r="Q295" i="176" s="1"/>
  <c r="W385" i="177"/>
  <c r="T294" i="176" s="1"/>
  <c r="V385" i="177"/>
  <c r="S294" i="176" s="1"/>
  <c r="U385" i="177"/>
  <c r="R294" i="176" s="1"/>
  <c r="T385" i="177"/>
  <c r="Q294" i="176" s="1"/>
  <c r="W384" i="177"/>
  <c r="T293" i="176" s="1"/>
  <c r="V384" i="177"/>
  <c r="S293" i="176" s="1"/>
  <c r="U384" i="177"/>
  <c r="R293" i="176" s="1"/>
  <c r="T384" i="177"/>
  <c r="Q293" i="176" s="1"/>
  <c r="W383" i="177"/>
  <c r="T292" i="176" s="1"/>
  <c r="V383" i="177"/>
  <c r="S292" i="176" s="1"/>
  <c r="U383" i="177"/>
  <c r="R292" i="176" s="1"/>
  <c r="T383" i="177"/>
  <c r="Q292" i="176" s="1"/>
  <c r="W382" i="177"/>
  <c r="T291" i="176" s="1"/>
  <c r="V382" i="177"/>
  <c r="S291" i="176" s="1"/>
  <c r="U382" i="177"/>
  <c r="R291" i="176" s="1"/>
  <c r="T382" i="177"/>
  <c r="Q291" i="176" s="1"/>
  <c r="W381" i="177"/>
  <c r="T290" i="176" s="1"/>
  <c r="V381" i="177"/>
  <c r="S290" i="176" s="1"/>
  <c r="U381" i="177"/>
  <c r="R290" i="176" s="1"/>
  <c r="T381" i="177"/>
  <c r="Q290" i="176" s="1"/>
  <c r="W380" i="177"/>
  <c r="T289" i="176" s="1"/>
  <c r="V380" i="177"/>
  <c r="S289" i="176" s="1"/>
  <c r="U380" i="177"/>
  <c r="R289" i="176" s="1"/>
  <c r="T380" i="177"/>
  <c r="Q289" i="176" s="1"/>
  <c r="W379" i="177"/>
  <c r="T288" i="176" s="1"/>
  <c r="V379" i="177"/>
  <c r="S288" i="176" s="1"/>
  <c r="U379" i="177"/>
  <c r="R288" i="176" s="1"/>
  <c r="T379" i="177"/>
  <c r="Q288" i="176" s="1"/>
  <c r="W378" i="177"/>
  <c r="T287" i="176" s="1"/>
  <c r="V378" i="177"/>
  <c r="S287" i="176" s="1"/>
  <c r="U378" i="177"/>
  <c r="R287" i="176" s="1"/>
  <c r="T378" i="177"/>
  <c r="Q287" i="176" s="1"/>
  <c r="W377" i="177"/>
  <c r="T286" i="176" s="1"/>
  <c r="V377" i="177"/>
  <c r="S286" i="176" s="1"/>
  <c r="U377" i="177"/>
  <c r="R286" i="176" s="1"/>
  <c r="T377" i="177"/>
  <c r="Q286" i="176" s="1"/>
  <c r="W376" i="177"/>
  <c r="T285" i="176" s="1"/>
  <c r="V376" i="177"/>
  <c r="S285" i="176" s="1"/>
  <c r="U376" i="177"/>
  <c r="R285" i="176" s="1"/>
  <c r="T376" i="177"/>
  <c r="Q285" i="176" s="1"/>
  <c r="W375" i="177"/>
  <c r="T284" i="176" s="1"/>
  <c r="V375" i="177"/>
  <c r="S284" i="176" s="1"/>
  <c r="U375" i="177"/>
  <c r="R284" i="176" s="1"/>
  <c r="T375" i="177"/>
  <c r="Q284" i="176" s="1"/>
  <c r="W374" i="177"/>
  <c r="T283" i="176" s="1"/>
  <c r="V374" i="177"/>
  <c r="S283" i="176" s="1"/>
  <c r="U374" i="177"/>
  <c r="R283" i="176" s="1"/>
  <c r="T374" i="177"/>
  <c r="Q283" i="176" s="1"/>
  <c r="W373" i="177"/>
  <c r="T282" i="176" s="1"/>
  <c r="V373" i="177"/>
  <c r="S282" i="176" s="1"/>
  <c r="U373" i="177"/>
  <c r="R282" i="176" s="1"/>
  <c r="T373" i="177"/>
  <c r="Q282" i="176" s="1"/>
  <c r="W372" i="177"/>
  <c r="T281" i="176" s="1"/>
  <c r="V372" i="177"/>
  <c r="S281" i="176" s="1"/>
  <c r="U372" i="177"/>
  <c r="R281" i="176" s="1"/>
  <c r="T372" i="177"/>
  <c r="Q281" i="176" s="1"/>
  <c r="W371" i="177"/>
  <c r="T280" i="176" s="1"/>
  <c r="V371" i="177"/>
  <c r="S280" i="176" s="1"/>
  <c r="U371" i="177"/>
  <c r="R280" i="176" s="1"/>
  <c r="T371" i="177"/>
  <c r="Q280" i="176" s="1"/>
  <c r="W370" i="177"/>
  <c r="T279" i="176" s="1"/>
  <c r="V370" i="177"/>
  <c r="S279" i="176" s="1"/>
  <c r="U370" i="177"/>
  <c r="R279" i="176" s="1"/>
  <c r="T370" i="177"/>
  <c r="Q279" i="176" s="1"/>
  <c r="W369" i="177"/>
  <c r="T278" i="176" s="1"/>
  <c r="V369" i="177"/>
  <c r="S278" i="176" s="1"/>
  <c r="U369" i="177"/>
  <c r="R278" i="176" s="1"/>
  <c r="T369" i="177"/>
  <c r="Q278" i="176" s="1"/>
  <c r="W368" i="177"/>
  <c r="T277" i="176" s="1"/>
  <c r="V368" i="177"/>
  <c r="S277" i="176" s="1"/>
  <c r="U368" i="177"/>
  <c r="R277" i="176" s="1"/>
  <c r="T368" i="177"/>
  <c r="Q277" i="176" s="1"/>
  <c r="W367" i="177"/>
  <c r="T276" i="176" s="1"/>
  <c r="V367" i="177"/>
  <c r="S276" i="176" s="1"/>
  <c r="U367" i="177"/>
  <c r="R276" i="176" s="1"/>
  <c r="T367" i="177"/>
  <c r="Q276" i="176" s="1"/>
  <c r="W366" i="177"/>
  <c r="T275" i="176" s="1"/>
  <c r="V366" i="177"/>
  <c r="S275" i="176" s="1"/>
  <c r="U366" i="177"/>
  <c r="R275" i="176" s="1"/>
  <c r="T366" i="177"/>
  <c r="Q275" i="176" s="1"/>
  <c r="W365" i="177"/>
  <c r="T274" i="176" s="1"/>
  <c r="V365" i="177"/>
  <c r="S274" i="176" s="1"/>
  <c r="U365" i="177"/>
  <c r="R274" i="176" s="1"/>
  <c r="T365" i="177"/>
  <c r="Q274" i="176" s="1"/>
  <c r="W364" i="177"/>
  <c r="T273" i="176" s="1"/>
  <c r="V364" i="177"/>
  <c r="S273" i="176" s="1"/>
  <c r="U364" i="177"/>
  <c r="R273" i="176" s="1"/>
  <c r="T364" i="177"/>
  <c r="Q273" i="176" s="1"/>
  <c r="W363" i="177"/>
  <c r="T272" i="176" s="1"/>
  <c r="V363" i="177"/>
  <c r="S272" i="176" s="1"/>
  <c r="U363" i="177"/>
  <c r="R272" i="176" s="1"/>
  <c r="T363" i="177"/>
  <c r="Q272" i="176" s="1"/>
  <c r="W362" i="177"/>
  <c r="T271" i="176" s="1"/>
  <c r="V362" i="177"/>
  <c r="S271" i="176" s="1"/>
  <c r="U362" i="177"/>
  <c r="R271" i="176" s="1"/>
  <c r="T362" i="177"/>
  <c r="Q271" i="176" s="1"/>
  <c r="W361" i="177"/>
  <c r="T270" i="176" s="1"/>
  <c r="V361" i="177"/>
  <c r="S270" i="176" s="1"/>
  <c r="U361" i="177"/>
  <c r="R270" i="176" s="1"/>
  <c r="T361" i="177"/>
  <c r="Q270" i="176" s="1"/>
  <c r="W360" i="177"/>
  <c r="T269" i="176" s="1"/>
  <c r="V360" i="177"/>
  <c r="S269" i="176" s="1"/>
  <c r="U360" i="177"/>
  <c r="R269" i="176" s="1"/>
  <c r="T360" i="177"/>
  <c r="Q269" i="176" s="1"/>
  <c r="W359" i="177"/>
  <c r="T268" i="176" s="1"/>
  <c r="V359" i="177"/>
  <c r="S268" i="176" s="1"/>
  <c r="U359" i="177"/>
  <c r="R268" i="176" s="1"/>
  <c r="T359" i="177"/>
  <c r="Q268" i="176" s="1"/>
  <c r="W358" i="177"/>
  <c r="T267" i="176" s="1"/>
  <c r="V358" i="177"/>
  <c r="S267" i="176" s="1"/>
  <c r="U358" i="177"/>
  <c r="R267" i="176" s="1"/>
  <c r="T358" i="177"/>
  <c r="Q267" i="176" s="1"/>
  <c r="W357" i="177"/>
  <c r="T266" i="176" s="1"/>
  <c r="V357" i="177"/>
  <c r="S266" i="176" s="1"/>
  <c r="U357" i="177"/>
  <c r="R266" i="176" s="1"/>
  <c r="T357" i="177"/>
  <c r="Q266" i="176" s="1"/>
  <c r="W356" i="177"/>
  <c r="T265" i="176" s="1"/>
  <c r="V356" i="177"/>
  <c r="S265" i="176" s="1"/>
  <c r="U356" i="177"/>
  <c r="R265" i="176" s="1"/>
  <c r="T356" i="177"/>
  <c r="Q265" i="176" s="1"/>
  <c r="W355" i="177"/>
  <c r="T264" i="176" s="1"/>
  <c r="V355" i="177"/>
  <c r="S264" i="176" s="1"/>
  <c r="U355" i="177"/>
  <c r="R264" i="176" s="1"/>
  <c r="T355" i="177"/>
  <c r="Q264" i="176" s="1"/>
  <c r="W354" i="177"/>
  <c r="T263" i="176" s="1"/>
  <c r="V354" i="177"/>
  <c r="S263" i="176" s="1"/>
  <c r="U354" i="177"/>
  <c r="R263" i="176" s="1"/>
  <c r="T354" i="177"/>
  <c r="Q263" i="176" s="1"/>
  <c r="W353" i="177"/>
  <c r="T262" i="176" s="1"/>
  <c r="V353" i="177"/>
  <c r="S262" i="176" s="1"/>
  <c r="U353" i="177"/>
  <c r="R262" i="176" s="1"/>
  <c r="T353" i="177"/>
  <c r="Q262" i="176" s="1"/>
  <c r="W352" i="177"/>
  <c r="T261" i="176" s="1"/>
  <c r="V352" i="177"/>
  <c r="S261" i="176" s="1"/>
  <c r="U352" i="177"/>
  <c r="R261" i="176" s="1"/>
  <c r="T352" i="177"/>
  <c r="Q261" i="176" s="1"/>
  <c r="W351" i="177"/>
  <c r="T260" i="176" s="1"/>
  <c r="V351" i="177"/>
  <c r="S260" i="176" s="1"/>
  <c r="U351" i="177"/>
  <c r="R260" i="176" s="1"/>
  <c r="T351" i="177"/>
  <c r="Q260" i="176" s="1"/>
  <c r="W350" i="177"/>
  <c r="T259" i="176" s="1"/>
  <c r="V350" i="177"/>
  <c r="S259" i="176" s="1"/>
  <c r="U350" i="177"/>
  <c r="R259" i="176" s="1"/>
  <c r="T350" i="177"/>
  <c r="Q259" i="176" s="1"/>
  <c r="W349" i="177"/>
  <c r="T258" i="176" s="1"/>
  <c r="V349" i="177"/>
  <c r="S258" i="176" s="1"/>
  <c r="U349" i="177"/>
  <c r="R258" i="176" s="1"/>
  <c r="T349" i="177"/>
  <c r="Q258" i="176" s="1"/>
  <c r="W348" i="177"/>
  <c r="T257" i="176" s="1"/>
  <c r="V348" i="177"/>
  <c r="S257" i="176" s="1"/>
  <c r="U348" i="177"/>
  <c r="R257" i="176" s="1"/>
  <c r="T348" i="177"/>
  <c r="Q257" i="176" s="1"/>
  <c r="W347" i="177"/>
  <c r="T256" i="176" s="1"/>
  <c r="V347" i="177"/>
  <c r="S256" i="176" s="1"/>
  <c r="U347" i="177"/>
  <c r="R256" i="176" s="1"/>
  <c r="T347" i="177"/>
  <c r="Q256" i="176" s="1"/>
  <c r="W346" i="177"/>
  <c r="T255" i="176" s="1"/>
  <c r="V346" i="177"/>
  <c r="S255" i="176" s="1"/>
  <c r="U346" i="177"/>
  <c r="R255" i="176" s="1"/>
  <c r="T346" i="177"/>
  <c r="Q255" i="176" s="1"/>
  <c r="W345" i="177"/>
  <c r="T254" i="176" s="1"/>
  <c r="V345" i="177"/>
  <c r="S254" i="176" s="1"/>
  <c r="U345" i="177"/>
  <c r="R254" i="176" s="1"/>
  <c r="T345" i="177"/>
  <c r="Q254" i="176" s="1"/>
  <c r="W344" i="177"/>
  <c r="T253" i="176" s="1"/>
  <c r="V344" i="177"/>
  <c r="S253" i="176" s="1"/>
  <c r="U344" i="177"/>
  <c r="R253" i="176" s="1"/>
  <c r="T344" i="177"/>
  <c r="Q253" i="176" s="1"/>
  <c r="W343" i="177"/>
  <c r="T252" i="176" s="1"/>
  <c r="V343" i="177"/>
  <c r="S252" i="176" s="1"/>
  <c r="U343" i="177"/>
  <c r="R252" i="176" s="1"/>
  <c r="T343" i="177"/>
  <c r="Q252" i="176" s="1"/>
  <c r="W342" i="177"/>
  <c r="T251" i="176" s="1"/>
  <c r="V342" i="177"/>
  <c r="S251" i="176" s="1"/>
  <c r="U342" i="177"/>
  <c r="R251" i="176" s="1"/>
  <c r="T342" i="177"/>
  <c r="Q251" i="176" s="1"/>
  <c r="W341" i="177"/>
  <c r="T250" i="176" s="1"/>
  <c r="V341" i="177"/>
  <c r="S250" i="176" s="1"/>
  <c r="U341" i="177"/>
  <c r="R250" i="176" s="1"/>
  <c r="T341" i="177"/>
  <c r="Q250" i="176" s="1"/>
  <c r="W340" i="177"/>
  <c r="T249" i="176" s="1"/>
  <c r="V340" i="177"/>
  <c r="S249" i="176" s="1"/>
  <c r="U340" i="177"/>
  <c r="R249" i="176" s="1"/>
  <c r="T340" i="177"/>
  <c r="Q249" i="176" s="1"/>
  <c r="W339" i="177"/>
  <c r="T248" i="176" s="1"/>
  <c r="V339" i="177"/>
  <c r="S248" i="176" s="1"/>
  <c r="U339" i="177"/>
  <c r="R248" i="176" s="1"/>
  <c r="T339" i="177"/>
  <c r="Q248" i="176" s="1"/>
  <c r="W338" i="177"/>
  <c r="T247" i="176" s="1"/>
  <c r="V338" i="177"/>
  <c r="S247" i="176" s="1"/>
  <c r="U338" i="177"/>
  <c r="R247" i="176" s="1"/>
  <c r="T338" i="177"/>
  <c r="Q247" i="176" s="1"/>
  <c r="W337" i="177"/>
  <c r="T246" i="176" s="1"/>
  <c r="V337" i="177"/>
  <c r="S246" i="176" s="1"/>
  <c r="U337" i="177"/>
  <c r="R246" i="176" s="1"/>
  <c r="T337" i="177"/>
  <c r="Q246" i="176" s="1"/>
  <c r="W336" i="177"/>
  <c r="T245" i="176" s="1"/>
  <c r="V336" i="177"/>
  <c r="S245" i="176" s="1"/>
  <c r="U336" i="177"/>
  <c r="R245" i="176" s="1"/>
  <c r="T336" i="177"/>
  <c r="Q245" i="176" s="1"/>
  <c r="W335" i="177"/>
  <c r="T244" i="176" s="1"/>
  <c r="V335" i="177"/>
  <c r="S244" i="176" s="1"/>
  <c r="U335" i="177"/>
  <c r="R244" i="176" s="1"/>
  <c r="T335" i="177"/>
  <c r="Q244" i="176" s="1"/>
  <c r="W334" i="177"/>
  <c r="T243" i="176" s="1"/>
  <c r="V334" i="177"/>
  <c r="S243" i="176" s="1"/>
  <c r="U334" i="177"/>
  <c r="R243" i="176" s="1"/>
  <c r="T334" i="177"/>
  <c r="Q243" i="176" s="1"/>
  <c r="W333" i="177"/>
  <c r="T242" i="176" s="1"/>
  <c r="V333" i="177"/>
  <c r="S242" i="176" s="1"/>
  <c r="U333" i="177"/>
  <c r="R242" i="176" s="1"/>
  <c r="T333" i="177"/>
  <c r="Q242" i="176" s="1"/>
  <c r="W332" i="177"/>
  <c r="T241" i="176" s="1"/>
  <c r="V332" i="177"/>
  <c r="S241" i="176" s="1"/>
  <c r="U332" i="177"/>
  <c r="R241" i="176" s="1"/>
  <c r="T332" i="177"/>
  <c r="Q241" i="176" s="1"/>
  <c r="W331" i="177"/>
  <c r="T240" i="176" s="1"/>
  <c r="V331" i="177"/>
  <c r="S240" i="176" s="1"/>
  <c r="U331" i="177"/>
  <c r="R240" i="176" s="1"/>
  <c r="T331" i="177"/>
  <c r="Q240" i="176" s="1"/>
  <c r="W330" i="177"/>
  <c r="T239" i="176" s="1"/>
  <c r="V330" i="177"/>
  <c r="S239" i="176" s="1"/>
  <c r="U330" i="177"/>
  <c r="R239" i="176" s="1"/>
  <c r="T330" i="177"/>
  <c r="Q239" i="176" s="1"/>
  <c r="W329" i="177"/>
  <c r="T238" i="176" s="1"/>
  <c r="V329" i="177"/>
  <c r="S238" i="176" s="1"/>
  <c r="U329" i="177"/>
  <c r="R238" i="176" s="1"/>
  <c r="T329" i="177"/>
  <c r="Q238" i="176" s="1"/>
  <c r="W328" i="177"/>
  <c r="T237" i="176" s="1"/>
  <c r="V328" i="177"/>
  <c r="S237" i="176" s="1"/>
  <c r="U328" i="177"/>
  <c r="R237" i="176" s="1"/>
  <c r="T328" i="177"/>
  <c r="Q237" i="176" s="1"/>
  <c r="W327" i="177"/>
  <c r="T236" i="176" s="1"/>
  <c r="V327" i="177"/>
  <c r="S236" i="176" s="1"/>
  <c r="U327" i="177"/>
  <c r="R236" i="176" s="1"/>
  <c r="T327" i="177"/>
  <c r="Q236" i="176" s="1"/>
  <c r="W326" i="177"/>
  <c r="T235" i="176" s="1"/>
  <c r="V326" i="177"/>
  <c r="S235" i="176" s="1"/>
  <c r="U326" i="177"/>
  <c r="R235" i="176" s="1"/>
  <c r="T326" i="177"/>
  <c r="Q235" i="176" s="1"/>
  <c r="W325" i="177"/>
  <c r="T234" i="176" s="1"/>
  <c r="V325" i="177"/>
  <c r="S234" i="176" s="1"/>
  <c r="U325" i="177"/>
  <c r="R234" i="176" s="1"/>
  <c r="T325" i="177"/>
  <c r="Q234" i="176" s="1"/>
  <c r="W324" i="177"/>
  <c r="T233" i="176" s="1"/>
  <c r="V324" i="177"/>
  <c r="S233" i="176" s="1"/>
  <c r="U324" i="177"/>
  <c r="R233" i="176" s="1"/>
  <c r="T324" i="177"/>
  <c r="Q233" i="176" s="1"/>
  <c r="W323" i="177"/>
  <c r="T232" i="176" s="1"/>
  <c r="V323" i="177"/>
  <c r="S232" i="176" s="1"/>
  <c r="U323" i="177"/>
  <c r="R232" i="176" s="1"/>
  <c r="T323" i="177"/>
  <c r="Q232" i="176" s="1"/>
  <c r="W322" i="177"/>
  <c r="T231" i="176" s="1"/>
  <c r="V322" i="177"/>
  <c r="S231" i="176" s="1"/>
  <c r="U322" i="177"/>
  <c r="R231" i="176" s="1"/>
  <c r="T322" i="177"/>
  <c r="Q231" i="176" s="1"/>
  <c r="W321" i="177"/>
  <c r="T230" i="176" s="1"/>
  <c r="V321" i="177"/>
  <c r="S230" i="176" s="1"/>
  <c r="U321" i="177"/>
  <c r="R230" i="176" s="1"/>
  <c r="T321" i="177"/>
  <c r="Q230" i="176" s="1"/>
  <c r="W320" i="177"/>
  <c r="T229" i="176" s="1"/>
  <c r="V320" i="177"/>
  <c r="S229" i="176" s="1"/>
  <c r="U320" i="177"/>
  <c r="R229" i="176" s="1"/>
  <c r="T320" i="177"/>
  <c r="Q229" i="176" s="1"/>
  <c r="W319" i="177"/>
  <c r="T228" i="176" s="1"/>
  <c r="V319" i="177"/>
  <c r="S228" i="176" s="1"/>
  <c r="U319" i="177"/>
  <c r="R228" i="176" s="1"/>
  <c r="T319" i="177"/>
  <c r="Q228" i="176" s="1"/>
  <c r="W318" i="177"/>
  <c r="T227" i="176" s="1"/>
  <c r="V318" i="177"/>
  <c r="S227" i="176" s="1"/>
  <c r="U318" i="177"/>
  <c r="R227" i="176" s="1"/>
  <c r="T318" i="177"/>
  <c r="Q227" i="176" s="1"/>
  <c r="W317" i="177"/>
  <c r="T226" i="176" s="1"/>
  <c r="V317" i="177"/>
  <c r="S226" i="176" s="1"/>
  <c r="U317" i="177"/>
  <c r="R226" i="176" s="1"/>
  <c r="T317" i="177"/>
  <c r="Q226" i="176" s="1"/>
  <c r="W316" i="177"/>
  <c r="T225" i="176" s="1"/>
  <c r="V316" i="177"/>
  <c r="S225" i="176" s="1"/>
  <c r="U316" i="177"/>
  <c r="R225" i="176" s="1"/>
  <c r="T316" i="177"/>
  <c r="Q225" i="176" s="1"/>
  <c r="W315" i="177"/>
  <c r="T224" i="176" s="1"/>
  <c r="V315" i="177"/>
  <c r="S224" i="176" s="1"/>
  <c r="U315" i="177"/>
  <c r="R224" i="176" s="1"/>
  <c r="T315" i="177"/>
  <c r="Q224" i="176" s="1"/>
  <c r="W314" i="177"/>
  <c r="T223" i="176" s="1"/>
  <c r="V314" i="177"/>
  <c r="S223" i="176" s="1"/>
  <c r="U314" i="177"/>
  <c r="R223" i="176" s="1"/>
  <c r="T314" i="177"/>
  <c r="Q223" i="176" s="1"/>
  <c r="W313" i="177"/>
  <c r="T222" i="176" s="1"/>
  <c r="V313" i="177"/>
  <c r="S222" i="176" s="1"/>
  <c r="U313" i="177"/>
  <c r="R222" i="176" s="1"/>
  <c r="T313" i="177"/>
  <c r="Q222" i="176" s="1"/>
  <c r="W312" i="177"/>
  <c r="T221" i="176" s="1"/>
  <c r="V312" i="177"/>
  <c r="S221" i="176" s="1"/>
  <c r="U312" i="177"/>
  <c r="R221" i="176" s="1"/>
  <c r="T312" i="177"/>
  <c r="Q221" i="176" s="1"/>
  <c r="W311" i="177"/>
  <c r="T220" i="176" s="1"/>
  <c r="V311" i="177"/>
  <c r="S220" i="176" s="1"/>
  <c r="U311" i="177"/>
  <c r="R220" i="176" s="1"/>
  <c r="T311" i="177"/>
  <c r="Q220" i="176" s="1"/>
  <c r="W310" i="177"/>
  <c r="T219" i="176" s="1"/>
  <c r="V310" i="177"/>
  <c r="S219" i="176" s="1"/>
  <c r="U310" i="177"/>
  <c r="R219" i="176" s="1"/>
  <c r="T310" i="177"/>
  <c r="Q219" i="176" s="1"/>
  <c r="W309" i="177"/>
  <c r="T218" i="176" s="1"/>
  <c r="V309" i="177"/>
  <c r="S218" i="176" s="1"/>
  <c r="U309" i="177"/>
  <c r="R218" i="176" s="1"/>
  <c r="T309" i="177"/>
  <c r="Q218" i="176" s="1"/>
  <c r="W308" i="177"/>
  <c r="T217" i="176" s="1"/>
  <c r="V308" i="177"/>
  <c r="S217" i="176" s="1"/>
  <c r="U308" i="177"/>
  <c r="R217" i="176" s="1"/>
  <c r="T308" i="177"/>
  <c r="Q217" i="176" s="1"/>
  <c r="W307" i="177"/>
  <c r="T216" i="176" s="1"/>
  <c r="V307" i="177"/>
  <c r="S216" i="176" s="1"/>
  <c r="U307" i="177"/>
  <c r="R216" i="176" s="1"/>
  <c r="T307" i="177"/>
  <c r="Q216" i="176" s="1"/>
  <c r="W306" i="177"/>
  <c r="T215" i="176" s="1"/>
  <c r="V306" i="177"/>
  <c r="S215" i="176" s="1"/>
  <c r="U306" i="177"/>
  <c r="R215" i="176" s="1"/>
  <c r="T306" i="177"/>
  <c r="Q215" i="176" s="1"/>
  <c r="W305" i="177"/>
  <c r="T214" i="176" s="1"/>
  <c r="V305" i="177"/>
  <c r="S214" i="176" s="1"/>
  <c r="U305" i="177"/>
  <c r="R214" i="176" s="1"/>
  <c r="T305" i="177"/>
  <c r="Q214" i="176" s="1"/>
  <c r="W304" i="177"/>
  <c r="T213" i="176" s="1"/>
  <c r="V304" i="177"/>
  <c r="S213" i="176" s="1"/>
  <c r="U304" i="177"/>
  <c r="R213" i="176" s="1"/>
  <c r="T304" i="177"/>
  <c r="Q213" i="176" s="1"/>
  <c r="W303" i="177"/>
  <c r="T212" i="176" s="1"/>
  <c r="V303" i="177"/>
  <c r="S212" i="176" s="1"/>
  <c r="U303" i="177"/>
  <c r="R212" i="176" s="1"/>
  <c r="T303" i="177"/>
  <c r="Q212" i="176" s="1"/>
  <c r="W302" i="177"/>
  <c r="T211" i="176" s="1"/>
  <c r="V302" i="177"/>
  <c r="S211" i="176" s="1"/>
  <c r="U302" i="177"/>
  <c r="R211" i="176" s="1"/>
  <c r="T302" i="177"/>
  <c r="Q211" i="176" s="1"/>
  <c r="W301" i="177"/>
  <c r="T210" i="176" s="1"/>
  <c r="V301" i="177"/>
  <c r="S210" i="176" s="1"/>
  <c r="U301" i="177"/>
  <c r="R210" i="176" s="1"/>
  <c r="T301" i="177"/>
  <c r="Q210" i="176" s="1"/>
  <c r="W300" i="177"/>
  <c r="T209" i="176" s="1"/>
  <c r="V300" i="177"/>
  <c r="S209" i="176" s="1"/>
  <c r="U300" i="177"/>
  <c r="R209" i="176" s="1"/>
  <c r="T300" i="177"/>
  <c r="Q209" i="176" s="1"/>
  <c r="W299" i="177"/>
  <c r="T208" i="176" s="1"/>
  <c r="V299" i="177"/>
  <c r="S208" i="176" s="1"/>
  <c r="U299" i="177"/>
  <c r="R208" i="176" s="1"/>
  <c r="T299" i="177"/>
  <c r="Q208" i="176" s="1"/>
  <c r="W298" i="177"/>
  <c r="T207" i="176" s="1"/>
  <c r="V298" i="177"/>
  <c r="S207" i="176" s="1"/>
  <c r="U298" i="177"/>
  <c r="R207" i="176" s="1"/>
  <c r="T298" i="177"/>
  <c r="Q207" i="176" s="1"/>
  <c r="W297" i="177"/>
  <c r="T206" i="176" s="1"/>
  <c r="V297" i="177"/>
  <c r="S206" i="176" s="1"/>
  <c r="U297" i="177"/>
  <c r="R206" i="176" s="1"/>
  <c r="T297" i="177"/>
  <c r="Q206" i="176" s="1"/>
  <c r="W296" i="177"/>
  <c r="T205" i="176" s="1"/>
  <c r="V296" i="177"/>
  <c r="S205" i="176" s="1"/>
  <c r="U296" i="177"/>
  <c r="R205" i="176" s="1"/>
  <c r="T296" i="177"/>
  <c r="Q205" i="176" s="1"/>
  <c r="W295" i="177"/>
  <c r="T204" i="176" s="1"/>
  <c r="V295" i="177"/>
  <c r="S204" i="176" s="1"/>
  <c r="U295" i="177"/>
  <c r="R204" i="176" s="1"/>
  <c r="T295" i="177"/>
  <c r="Q204" i="176" s="1"/>
  <c r="W294" i="177"/>
  <c r="T203" i="176" s="1"/>
  <c r="V294" i="177"/>
  <c r="S203" i="176" s="1"/>
  <c r="U294" i="177"/>
  <c r="R203" i="176" s="1"/>
  <c r="T294" i="177"/>
  <c r="Q203" i="176" s="1"/>
  <c r="W293" i="177"/>
  <c r="T202" i="176" s="1"/>
  <c r="V293" i="177"/>
  <c r="S202" i="176" s="1"/>
  <c r="U293" i="177"/>
  <c r="R202" i="176" s="1"/>
  <c r="T293" i="177"/>
  <c r="Q202" i="176" s="1"/>
  <c r="W292" i="177"/>
  <c r="T201" i="176" s="1"/>
  <c r="V292" i="177"/>
  <c r="S201" i="176" s="1"/>
  <c r="U292" i="177"/>
  <c r="R201" i="176" s="1"/>
  <c r="T292" i="177"/>
  <c r="Q201" i="176" s="1"/>
  <c r="W291" i="177"/>
  <c r="T200" i="176" s="1"/>
  <c r="V291" i="177"/>
  <c r="S200" i="176" s="1"/>
  <c r="U291" i="177"/>
  <c r="R200" i="176" s="1"/>
  <c r="T291" i="177"/>
  <c r="Q200" i="176" s="1"/>
  <c r="W290" i="177"/>
  <c r="T199" i="176" s="1"/>
  <c r="V290" i="177"/>
  <c r="S199" i="176" s="1"/>
  <c r="U290" i="177"/>
  <c r="R199" i="176" s="1"/>
  <c r="T290" i="177"/>
  <c r="Q199" i="176" s="1"/>
  <c r="W289" i="177"/>
  <c r="T198" i="176" s="1"/>
  <c r="V289" i="177"/>
  <c r="S198" i="176" s="1"/>
  <c r="U289" i="177"/>
  <c r="R198" i="176" s="1"/>
  <c r="T289" i="177"/>
  <c r="Q198" i="176" s="1"/>
  <c r="W288" i="177"/>
  <c r="T197" i="176" s="1"/>
  <c r="V288" i="177"/>
  <c r="S197" i="176" s="1"/>
  <c r="U288" i="177"/>
  <c r="R197" i="176" s="1"/>
  <c r="T288" i="177"/>
  <c r="Q197" i="176" s="1"/>
  <c r="W287" i="177"/>
  <c r="T196" i="176" s="1"/>
  <c r="V287" i="177"/>
  <c r="S196" i="176" s="1"/>
  <c r="U287" i="177"/>
  <c r="R196" i="176" s="1"/>
  <c r="T287" i="177"/>
  <c r="Q196" i="176" s="1"/>
  <c r="W286" i="177"/>
  <c r="T195" i="176" s="1"/>
  <c r="V286" i="177"/>
  <c r="S195" i="176" s="1"/>
  <c r="U286" i="177"/>
  <c r="R195" i="176" s="1"/>
  <c r="T286" i="177"/>
  <c r="Q195" i="176" s="1"/>
  <c r="W285" i="177"/>
  <c r="T194" i="176" s="1"/>
  <c r="V285" i="177"/>
  <c r="S194" i="176" s="1"/>
  <c r="U285" i="177"/>
  <c r="R194" i="176" s="1"/>
  <c r="T285" i="177"/>
  <c r="Q194" i="176" s="1"/>
  <c r="W284" i="177"/>
  <c r="T193" i="176" s="1"/>
  <c r="V284" i="177"/>
  <c r="S193" i="176" s="1"/>
  <c r="U284" i="177"/>
  <c r="R193" i="176" s="1"/>
  <c r="T284" i="177"/>
  <c r="Q193" i="176" s="1"/>
  <c r="W283" i="177"/>
  <c r="T192" i="176" s="1"/>
  <c r="V283" i="177"/>
  <c r="S192" i="176" s="1"/>
  <c r="U283" i="177"/>
  <c r="R192" i="176" s="1"/>
  <c r="T283" i="177"/>
  <c r="Q192" i="176" s="1"/>
  <c r="W282" i="177"/>
  <c r="T191" i="176" s="1"/>
  <c r="V282" i="177"/>
  <c r="S191" i="176" s="1"/>
  <c r="U282" i="177"/>
  <c r="R191" i="176" s="1"/>
  <c r="T282" i="177"/>
  <c r="Q191" i="176" s="1"/>
  <c r="W281" i="177"/>
  <c r="T190" i="176" s="1"/>
  <c r="V281" i="177"/>
  <c r="S190" i="176" s="1"/>
  <c r="U281" i="177"/>
  <c r="R190" i="176" s="1"/>
  <c r="T281" i="177"/>
  <c r="Q190" i="176" s="1"/>
  <c r="W280" i="177"/>
  <c r="T189" i="176" s="1"/>
  <c r="V280" i="177"/>
  <c r="S189" i="176" s="1"/>
  <c r="U280" i="177"/>
  <c r="R189" i="176" s="1"/>
  <c r="T280" i="177"/>
  <c r="Q189" i="176" s="1"/>
  <c r="W279" i="177"/>
  <c r="T188" i="176" s="1"/>
  <c r="V279" i="177"/>
  <c r="S188" i="176" s="1"/>
  <c r="U279" i="177"/>
  <c r="R188" i="176" s="1"/>
  <c r="T279" i="177"/>
  <c r="Q188" i="176" s="1"/>
  <c r="W278" i="177"/>
  <c r="T187" i="176" s="1"/>
  <c r="V278" i="177"/>
  <c r="S187" i="176" s="1"/>
  <c r="U278" i="177"/>
  <c r="R187" i="176" s="1"/>
  <c r="T278" i="177"/>
  <c r="Q187" i="176" s="1"/>
  <c r="W277" i="177"/>
  <c r="T186" i="176" s="1"/>
  <c r="V277" i="177"/>
  <c r="S186" i="176" s="1"/>
  <c r="U277" i="177"/>
  <c r="R186" i="176" s="1"/>
  <c r="T277" i="177"/>
  <c r="Q186" i="176" s="1"/>
  <c r="W276" i="177"/>
  <c r="T185" i="176" s="1"/>
  <c r="V276" i="177"/>
  <c r="S185" i="176" s="1"/>
  <c r="U276" i="177"/>
  <c r="R185" i="176" s="1"/>
  <c r="T276" i="177"/>
  <c r="Q185" i="176" s="1"/>
  <c r="W275" i="177"/>
  <c r="T184" i="176" s="1"/>
  <c r="V275" i="177"/>
  <c r="S184" i="176" s="1"/>
  <c r="U275" i="177"/>
  <c r="R184" i="176" s="1"/>
  <c r="T275" i="177"/>
  <c r="Q184" i="176" s="1"/>
  <c r="W274" i="177"/>
  <c r="T183" i="176" s="1"/>
  <c r="V274" i="177"/>
  <c r="S183" i="176" s="1"/>
  <c r="U274" i="177"/>
  <c r="R183" i="176" s="1"/>
  <c r="T274" i="177"/>
  <c r="Q183" i="176" s="1"/>
  <c r="W273" i="177"/>
  <c r="T182" i="176" s="1"/>
  <c r="V273" i="177"/>
  <c r="S182" i="176" s="1"/>
  <c r="U273" i="177"/>
  <c r="R182" i="176" s="1"/>
  <c r="T273" i="177"/>
  <c r="Q182" i="176" s="1"/>
  <c r="W272" i="177"/>
  <c r="T181" i="176" s="1"/>
  <c r="V272" i="177"/>
  <c r="S181" i="176" s="1"/>
  <c r="U272" i="177"/>
  <c r="R181" i="176" s="1"/>
  <c r="T272" i="177"/>
  <c r="Q181" i="176" s="1"/>
  <c r="W271" i="177"/>
  <c r="T180" i="176" s="1"/>
  <c r="V271" i="177"/>
  <c r="S180" i="176" s="1"/>
  <c r="U271" i="177"/>
  <c r="R180" i="176" s="1"/>
  <c r="T271" i="177"/>
  <c r="Q180" i="176" s="1"/>
  <c r="W270" i="177"/>
  <c r="T179" i="176" s="1"/>
  <c r="V270" i="177"/>
  <c r="S179" i="176" s="1"/>
  <c r="U270" i="177"/>
  <c r="R179" i="176" s="1"/>
  <c r="T270" i="177"/>
  <c r="Q179" i="176" s="1"/>
  <c r="W269" i="177"/>
  <c r="T178" i="176" s="1"/>
  <c r="V269" i="177"/>
  <c r="S178" i="176" s="1"/>
  <c r="U269" i="177"/>
  <c r="R178" i="176" s="1"/>
  <c r="T269" i="177"/>
  <c r="Q178" i="176" s="1"/>
  <c r="W268" i="177"/>
  <c r="T177" i="176" s="1"/>
  <c r="V268" i="177"/>
  <c r="S177" i="176" s="1"/>
  <c r="U268" i="177"/>
  <c r="R177" i="176" s="1"/>
  <c r="T268" i="177"/>
  <c r="Q177" i="176" s="1"/>
  <c r="W267" i="177"/>
  <c r="T176" i="176" s="1"/>
  <c r="V267" i="177"/>
  <c r="S176" i="176" s="1"/>
  <c r="U267" i="177"/>
  <c r="R176" i="176" s="1"/>
  <c r="T267" i="177"/>
  <c r="Q176" i="176" s="1"/>
  <c r="W266" i="177"/>
  <c r="T175" i="176" s="1"/>
  <c r="V266" i="177"/>
  <c r="S175" i="176" s="1"/>
  <c r="U266" i="177"/>
  <c r="R175" i="176" s="1"/>
  <c r="T266" i="177"/>
  <c r="Q175" i="176" s="1"/>
  <c r="W265" i="177"/>
  <c r="T174" i="176" s="1"/>
  <c r="V265" i="177"/>
  <c r="S174" i="176" s="1"/>
  <c r="U265" i="177"/>
  <c r="R174" i="176" s="1"/>
  <c r="T265" i="177"/>
  <c r="Q174" i="176" s="1"/>
  <c r="W264" i="177"/>
  <c r="T173" i="176" s="1"/>
  <c r="V264" i="177"/>
  <c r="S173" i="176" s="1"/>
  <c r="U264" i="177"/>
  <c r="R173" i="176" s="1"/>
  <c r="T264" i="177"/>
  <c r="Q173" i="176" s="1"/>
  <c r="W263" i="177"/>
  <c r="T172" i="176" s="1"/>
  <c r="V263" i="177"/>
  <c r="S172" i="176" s="1"/>
  <c r="U263" i="177"/>
  <c r="R172" i="176" s="1"/>
  <c r="T263" i="177"/>
  <c r="Q172" i="176" s="1"/>
  <c r="W262" i="177"/>
  <c r="T171" i="176" s="1"/>
  <c r="V262" i="177"/>
  <c r="S171" i="176" s="1"/>
  <c r="U262" i="177"/>
  <c r="R171" i="176" s="1"/>
  <c r="T262" i="177"/>
  <c r="Q171" i="176" s="1"/>
  <c r="W261" i="177"/>
  <c r="T170" i="176" s="1"/>
  <c r="V261" i="177"/>
  <c r="S170" i="176" s="1"/>
  <c r="U261" i="177"/>
  <c r="R170" i="176" s="1"/>
  <c r="T261" i="177"/>
  <c r="Q170" i="176" s="1"/>
  <c r="W260" i="177"/>
  <c r="T169" i="176" s="1"/>
  <c r="V260" i="177"/>
  <c r="S169" i="176" s="1"/>
  <c r="U260" i="177"/>
  <c r="R169" i="176" s="1"/>
  <c r="T260" i="177"/>
  <c r="Q169" i="176" s="1"/>
  <c r="W259" i="177"/>
  <c r="T168" i="176" s="1"/>
  <c r="V259" i="177"/>
  <c r="S168" i="176" s="1"/>
  <c r="U259" i="177"/>
  <c r="R168" i="176" s="1"/>
  <c r="T259" i="177"/>
  <c r="Q168" i="176" s="1"/>
  <c r="W258" i="177"/>
  <c r="T167" i="176" s="1"/>
  <c r="V258" i="177"/>
  <c r="S167" i="176" s="1"/>
  <c r="U258" i="177"/>
  <c r="R167" i="176" s="1"/>
  <c r="T258" i="177"/>
  <c r="Q167" i="176" s="1"/>
  <c r="W257" i="177"/>
  <c r="T166" i="176" s="1"/>
  <c r="V257" i="177"/>
  <c r="S166" i="176" s="1"/>
  <c r="U257" i="177"/>
  <c r="R166" i="176" s="1"/>
  <c r="T257" i="177"/>
  <c r="Q166" i="176" s="1"/>
  <c r="W256" i="177"/>
  <c r="T165" i="176" s="1"/>
  <c r="V256" i="177"/>
  <c r="S165" i="176" s="1"/>
  <c r="U256" i="177"/>
  <c r="R165" i="176" s="1"/>
  <c r="T256" i="177"/>
  <c r="Q165" i="176" s="1"/>
  <c r="W255" i="177"/>
  <c r="T164" i="176" s="1"/>
  <c r="V255" i="177"/>
  <c r="S164" i="176" s="1"/>
  <c r="U255" i="177"/>
  <c r="R164" i="176" s="1"/>
  <c r="T255" i="177"/>
  <c r="Q164" i="176" s="1"/>
  <c r="W254" i="177"/>
  <c r="T163" i="176" s="1"/>
  <c r="V254" i="177"/>
  <c r="S163" i="176" s="1"/>
  <c r="U254" i="177"/>
  <c r="R163" i="176" s="1"/>
  <c r="T254" i="177"/>
  <c r="Q163" i="176" s="1"/>
  <c r="W253" i="177"/>
  <c r="T162" i="176" s="1"/>
  <c r="V253" i="177"/>
  <c r="S162" i="176" s="1"/>
  <c r="U253" i="177"/>
  <c r="R162" i="176" s="1"/>
  <c r="T253" i="177"/>
  <c r="Q162" i="176" s="1"/>
  <c r="W252" i="177"/>
  <c r="T161" i="176" s="1"/>
  <c r="V252" i="177"/>
  <c r="S161" i="176" s="1"/>
  <c r="U252" i="177"/>
  <c r="R161" i="176" s="1"/>
  <c r="T252" i="177"/>
  <c r="Q161" i="176" s="1"/>
  <c r="W251" i="177"/>
  <c r="T160" i="176" s="1"/>
  <c r="V251" i="177"/>
  <c r="S160" i="176" s="1"/>
  <c r="U251" i="177"/>
  <c r="R160" i="176" s="1"/>
  <c r="T251" i="177"/>
  <c r="Q160" i="176" s="1"/>
  <c r="W250" i="177"/>
  <c r="T159" i="176" s="1"/>
  <c r="V250" i="177"/>
  <c r="S159" i="176" s="1"/>
  <c r="U250" i="177"/>
  <c r="R159" i="176" s="1"/>
  <c r="T250" i="177"/>
  <c r="Q159" i="176" s="1"/>
  <c r="W249" i="177"/>
  <c r="T158" i="176" s="1"/>
  <c r="V249" i="177"/>
  <c r="S158" i="176" s="1"/>
  <c r="U249" i="177"/>
  <c r="R158" i="176" s="1"/>
  <c r="T249" i="177"/>
  <c r="Q158" i="176" s="1"/>
  <c r="W248" i="177"/>
  <c r="T157" i="176" s="1"/>
  <c r="V248" i="177"/>
  <c r="S157" i="176" s="1"/>
  <c r="U248" i="177"/>
  <c r="R157" i="176" s="1"/>
  <c r="T248" i="177"/>
  <c r="Q157" i="176" s="1"/>
  <c r="W247" i="177"/>
  <c r="T156" i="176" s="1"/>
  <c r="V247" i="177"/>
  <c r="S156" i="176" s="1"/>
  <c r="U247" i="177"/>
  <c r="R156" i="176" s="1"/>
  <c r="T247" i="177"/>
  <c r="Q156" i="176" s="1"/>
  <c r="W246" i="177"/>
  <c r="T155" i="176" s="1"/>
  <c r="V246" i="177"/>
  <c r="S155" i="176" s="1"/>
  <c r="U246" i="177"/>
  <c r="R155" i="176" s="1"/>
  <c r="T246" i="177"/>
  <c r="Q155" i="176" s="1"/>
  <c r="W245" i="177"/>
  <c r="T154" i="176" s="1"/>
  <c r="V245" i="177"/>
  <c r="S154" i="176" s="1"/>
  <c r="U245" i="177"/>
  <c r="R154" i="176" s="1"/>
  <c r="T245" i="177"/>
  <c r="Q154" i="176" s="1"/>
  <c r="W244" i="177"/>
  <c r="T153" i="176" s="1"/>
  <c r="V244" i="177"/>
  <c r="S153" i="176" s="1"/>
  <c r="U244" i="177"/>
  <c r="R153" i="176" s="1"/>
  <c r="T244" i="177"/>
  <c r="Q153" i="176" s="1"/>
  <c r="W243" i="177"/>
  <c r="T152" i="176" s="1"/>
  <c r="V243" i="177"/>
  <c r="S152" i="176" s="1"/>
  <c r="U243" i="177"/>
  <c r="R152" i="176" s="1"/>
  <c r="T243" i="177"/>
  <c r="Q152" i="176" s="1"/>
  <c r="W242" i="177"/>
  <c r="T151" i="176" s="1"/>
  <c r="V242" i="177"/>
  <c r="S151" i="176" s="1"/>
  <c r="U242" i="177"/>
  <c r="R151" i="176" s="1"/>
  <c r="T242" i="177"/>
  <c r="Q151" i="176" s="1"/>
  <c r="W241" i="177"/>
  <c r="T150" i="176" s="1"/>
  <c r="V241" i="177"/>
  <c r="S150" i="176" s="1"/>
  <c r="U241" i="177"/>
  <c r="R150" i="176" s="1"/>
  <c r="T241" i="177"/>
  <c r="Q150" i="176" s="1"/>
  <c r="W240" i="177"/>
  <c r="T149" i="176" s="1"/>
  <c r="V240" i="177"/>
  <c r="S149" i="176" s="1"/>
  <c r="U240" i="177"/>
  <c r="R149" i="176" s="1"/>
  <c r="T240" i="177"/>
  <c r="Q149" i="176" s="1"/>
  <c r="W239" i="177"/>
  <c r="T148" i="176" s="1"/>
  <c r="V239" i="177"/>
  <c r="S148" i="176" s="1"/>
  <c r="U239" i="177"/>
  <c r="R148" i="176" s="1"/>
  <c r="T239" i="177"/>
  <c r="Q148" i="176" s="1"/>
  <c r="W238" i="177"/>
  <c r="T147" i="176" s="1"/>
  <c r="V238" i="177"/>
  <c r="S147" i="176" s="1"/>
  <c r="U238" i="177"/>
  <c r="R147" i="176" s="1"/>
  <c r="T238" i="177"/>
  <c r="Q147" i="176" s="1"/>
  <c r="W237" i="177"/>
  <c r="T146" i="176" s="1"/>
  <c r="V237" i="177"/>
  <c r="S146" i="176" s="1"/>
  <c r="U237" i="177"/>
  <c r="R146" i="176" s="1"/>
  <c r="T237" i="177"/>
  <c r="Q146" i="176" s="1"/>
  <c r="W236" i="177"/>
  <c r="T145" i="176" s="1"/>
  <c r="V236" i="177"/>
  <c r="S145" i="176" s="1"/>
  <c r="U236" i="177"/>
  <c r="R145" i="176" s="1"/>
  <c r="T236" i="177"/>
  <c r="Q145" i="176" s="1"/>
  <c r="W235" i="177"/>
  <c r="T144" i="176" s="1"/>
  <c r="V235" i="177"/>
  <c r="S144" i="176" s="1"/>
  <c r="U235" i="177"/>
  <c r="R144" i="176" s="1"/>
  <c r="T235" i="177"/>
  <c r="Q144" i="176" s="1"/>
  <c r="W234" i="177"/>
  <c r="T143" i="176" s="1"/>
  <c r="V234" i="177"/>
  <c r="S143" i="176" s="1"/>
  <c r="U234" i="177"/>
  <c r="R143" i="176" s="1"/>
  <c r="T234" i="177"/>
  <c r="Q143" i="176" s="1"/>
  <c r="W233" i="177"/>
  <c r="T142" i="176" s="1"/>
  <c r="V233" i="177"/>
  <c r="S142" i="176" s="1"/>
  <c r="U233" i="177"/>
  <c r="R142" i="176" s="1"/>
  <c r="T233" i="177"/>
  <c r="Q142" i="176" s="1"/>
  <c r="W232" i="177"/>
  <c r="T141" i="176" s="1"/>
  <c r="V232" i="177"/>
  <c r="S141" i="176" s="1"/>
  <c r="U232" i="177"/>
  <c r="R141" i="176" s="1"/>
  <c r="T232" i="177"/>
  <c r="Q141" i="176" s="1"/>
  <c r="W231" i="177"/>
  <c r="T140" i="176" s="1"/>
  <c r="V231" i="177"/>
  <c r="S140" i="176" s="1"/>
  <c r="U231" i="177"/>
  <c r="R140" i="176" s="1"/>
  <c r="T231" i="177"/>
  <c r="Q140" i="176" s="1"/>
  <c r="W230" i="177"/>
  <c r="T139" i="176" s="1"/>
  <c r="V230" i="177"/>
  <c r="S139" i="176" s="1"/>
  <c r="U230" i="177"/>
  <c r="R139" i="176" s="1"/>
  <c r="T230" i="177"/>
  <c r="Q139" i="176" s="1"/>
  <c r="W229" i="177"/>
  <c r="T138" i="176" s="1"/>
  <c r="V229" i="177"/>
  <c r="S138" i="176" s="1"/>
  <c r="U229" i="177"/>
  <c r="R138" i="176" s="1"/>
  <c r="T229" i="177"/>
  <c r="Q138" i="176" s="1"/>
  <c r="W228" i="177"/>
  <c r="T137" i="176" s="1"/>
  <c r="V228" i="177"/>
  <c r="S137" i="176" s="1"/>
  <c r="U228" i="177"/>
  <c r="R137" i="176" s="1"/>
  <c r="T228" i="177"/>
  <c r="Q137" i="176" s="1"/>
  <c r="W227" i="177"/>
  <c r="T136" i="176" s="1"/>
  <c r="V227" i="177"/>
  <c r="S136" i="176" s="1"/>
  <c r="U227" i="177"/>
  <c r="R136" i="176" s="1"/>
  <c r="T227" i="177"/>
  <c r="Q136" i="176" s="1"/>
  <c r="W226" i="177"/>
  <c r="T135" i="176" s="1"/>
  <c r="V226" i="177"/>
  <c r="S135" i="176" s="1"/>
  <c r="U226" i="177"/>
  <c r="R135" i="176" s="1"/>
  <c r="T226" i="177"/>
  <c r="Q135" i="176" s="1"/>
  <c r="W225" i="177"/>
  <c r="T134" i="176" s="1"/>
  <c r="V225" i="177"/>
  <c r="S134" i="176" s="1"/>
  <c r="U225" i="177"/>
  <c r="R134" i="176" s="1"/>
  <c r="T225" i="177"/>
  <c r="Q134" i="176" s="1"/>
  <c r="W224" i="177"/>
  <c r="T133" i="176" s="1"/>
  <c r="V224" i="177"/>
  <c r="S133" i="176" s="1"/>
  <c r="U224" i="177"/>
  <c r="R133" i="176" s="1"/>
  <c r="T224" i="177"/>
  <c r="Q133" i="176" s="1"/>
  <c r="W223" i="177"/>
  <c r="T132" i="176" s="1"/>
  <c r="V223" i="177"/>
  <c r="S132" i="176" s="1"/>
  <c r="U223" i="177"/>
  <c r="R132" i="176" s="1"/>
  <c r="T223" i="177"/>
  <c r="Q132" i="176" s="1"/>
  <c r="W222" i="177"/>
  <c r="T131" i="176" s="1"/>
  <c r="V222" i="177"/>
  <c r="S131" i="176" s="1"/>
  <c r="U222" i="177"/>
  <c r="R131" i="176" s="1"/>
  <c r="T222" i="177"/>
  <c r="Q131" i="176" s="1"/>
  <c r="W221" i="177"/>
  <c r="T130" i="176" s="1"/>
  <c r="V221" i="177"/>
  <c r="S130" i="176" s="1"/>
  <c r="U221" i="177"/>
  <c r="R130" i="176" s="1"/>
  <c r="T221" i="177"/>
  <c r="Q130" i="176" s="1"/>
  <c r="W220" i="177"/>
  <c r="T129" i="176" s="1"/>
  <c r="V220" i="177"/>
  <c r="S129" i="176" s="1"/>
  <c r="U220" i="177"/>
  <c r="R129" i="176" s="1"/>
  <c r="T220" i="177"/>
  <c r="Q129" i="176" s="1"/>
  <c r="W219" i="177"/>
  <c r="T128" i="176" s="1"/>
  <c r="V219" i="177"/>
  <c r="S128" i="176" s="1"/>
  <c r="U219" i="177"/>
  <c r="R128" i="176" s="1"/>
  <c r="T219" i="177"/>
  <c r="Q128" i="176" s="1"/>
  <c r="W218" i="177"/>
  <c r="T127" i="176" s="1"/>
  <c r="V218" i="177"/>
  <c r="S127" i="176" s="1"/>
  <c r="U218" i="177"/>
  <c r="R127" i="176" s="1"/>
  <c r="T218" i="177"/>
  <c r="Q127" i="176" s="1"/>
  <c r="W217" i="177"/>
  <c r="T126" i="176" s="1"/>
  <c r="V217" i="177"/>
  <c r="S126" i="176" s="1"/>
  <c r="U217" i="177"/>
  <c r="R126" i="176" s="1"/>
  <c r="T217" i="177"/>
  <c r="Q126" i="176" s="1"/>
  <c r="W216" i="177"/>
  <c r="T125" i="176" s="1"/>
  <c r="V216" i="177"/>
  <c r="S125" i="176" s="1"/>
  <c r="U216" i="177"/>
  <c r="R125" i="176" s="1"/>
  <c r="T216" i="177"/>
  <c r="Q125" i="176" s="1"/>
  <c r="W215" i="177"/>
  <c r="T124" i="176" s="1"/>
  <c r="V215" i="177"/>
  <c r="S124" i="176" s="1"/>
  <c r="U215" i="177"/>
  <c r="R124" i="176" s="1"/>
  <c r="T215" i="177"/>
  <c r="Q124" i="176" s="1"/>
  <c r="W214" i="177"/>
  <c r="T123" i="176" s="1"/>
  <c r="V214" i="177"/>
  <c r="S123" i="176" s="1"/>
  <c r="U214" i="177"/>
  <c r="R123" i="176" s="1"/>
  <c r="T214" i="177"/>
  <c r="Q123" i="176" s="1"/>
  <c r="W213" i="177"/>
  <c r="T122" i="176" s="1"/>
  <c r="V213" i="177"/>
  <c r="S122" i="176" s="1"/>
  <c r="U213" i="177"/>
  <c r="R122" i="176" s="1"/>
  <c r="T213" i="177"/>
  <c r="Q122" i="176" s="1"/>
  <c r="W212" i="177"/>
  <c r="T121" i="176" s="1"/>
  <c r="V212" i="177"/>
  <c r="S121" i="176" s="1"/>
  <c r="U212" i="177"/>
  <c r="R121" i="176" s="1"/>
  <c r="T212" i="177"/>
  <c r="Q121" i="176" s="1"/>
  <c r="W211" i="177"/>
  <c r="T120" i="176" s="1"/>
  <c r="V211" i="177"/>
  <c r="S120" i="176" s="1"/>
  <c r="U211" i="177"/>
  <c r="R120" i="176" s="1"/>
  <c r="T211" i="177"/>
  <c r="Q120" i="176" s="1"/>
  <c r="W210" i="177"/>
  <c r="T119" i="176" s="1"/>
  <c r="V210" i="177"/>
  <c r="S119" i="176" s="1"/>
  <c r="U210" i="177"/>
  <c r="R119" i="176" s="1"/>
  <c r="T210" i="177"/>
  <c r="Q119" i="176" s="1"/>
  <c r="W209" i="177"/>
  <c r="T118" i="176" s="1"/>
  <c r="V209" i="177"/>
  <c r="S118" i="176" s="1"/>
  <c r="U209" i="177"/>
  <c r="R118" i="176" s="1"/>
  <c r="T209" i="177"/>
  <c r="Q118" i="176" s="1"/>
  <c r="W208" i="177"/>
  <c r="T117" i="176" s="1"/>
  <c r="V208" i="177"/>
  <c r="S117" i="176" s="1"/>
  <c r="U208" i="177"/>
  <c r="R117" i="176" s="1"/>
  <c r="T208" i="177"/>
  <c r="Q117" i="176" s="1"/>
  <c r="W207" i="177"/>
  <c r="T116" i="176" s="1"/>
  <c r="V207" i="177"/>
  <c r="S116" i="176" s="1"/>
  <c r="U207" i="177"/>
  <c r="R116" i="176" s="1"/>
  <c r="T207" i="177"/>
  <c r="Q116" i="176" s="1"/>
  <c r="W206" i="177"/>
  <c r="T115" i="176" s="1"/>
  <c r="V206" i="177"/>
  <c r="S115" i="176" s="1"/>
  <c r="U206" i="177"/>
  <c r="R115" i="176" s="1"/>
  <c r="T206" i="177"/>
  <c r="Q115" i="176" s="1"/>
  <c r="W205" i="177"/>
  <c r="T114" i="176" s="1"/>
  <c r="V205" i="177"/>
  <c r="S114" i="176" s="1"/>
  <c r="U205" i="177"/>
  <c r="R114" i="176" s="1"/>
  <c r="T205" i="177"/>
  <c r="Q114" i="176" s="1"/>
  <c r="W204" i="177"/>
  <c r="T113" i="176" s="1"/>
  <c r="V204" i="177"/>
  <c r="S113" i="176" s="1"/>
  <c r="U204" i="177"/>
  <c r="R113" i="176" s="1"/>
  <c r="T204" i="177"/>
  <c r="Q113" i="176" s="1"/>
  <c r="W203" i="177"/>
  <c r="T112" i="176" s="1"/>
  <c r="V203" i="177"/>
  <c r="S112" i="176" s="1"/>
  <c r="U203" i="177"/>
  <c r="R112" i="176" s="1"/>
  <c r="T203" i="177"/>
  <c r="Q112" i="176" s="1"/>
  <c r="W202" i="177"/>
  <c r="T111" i="176" s="1"/>
  <c r="V202" i="177"/>
  <c r="S111" i="176" s="1"/>
  <c r="U202" i="177"/>
  <c r="R111" i="176" s="1"/>
  <c r="T202" i="177"/>
  <c r="Q111" i="176" s="1"/>
  <c r="W201" i="177"/>
  <c r="T110" i="176" s="1"/>
  <c r="V201" i="177"/>
  <c r="S110" i="176" s="1"/>
  <c r="U201" i="177"/>
  <c r="R110" i="176" s="1"/>
  <c r="T201" i="177"/>
  <c r="Q110" i="176" s="1"/>
  <c r="W200" i="177"/>
  <c r="T109" i="176" s="1"/>
  <c r="V200" i="177"/>
  <c r="S109" i="176" s="1"/>
  <c r="U200" i="177"/>
  <c r="R109" i="176" s="1"/>
  <c r="T200" i="177"/>
  <c r="Q109" i="176" s="1"/>
  <c r="W199" i="177"/>
  <c r="T108" i="176" s="1"/>
  <c r="V199" i="177"/>
  <c r="S108" i="176" s="1"/>
  <c r="U199" i="177"/>
  <c r="R108" i="176" s="1"/>
  <c r="T199" i="177"/>
  <c r="Q108" i="176" s="1"/>
  <c r="W198" i="177"/>
  <c r="T107" i="176" s="1"/>
  <c r="V198" i="177"/>
  <c r="S107" i="176" s="1"/>
  <c r="U198" i="177"/>
  <c r="R107" i="176" s="1"/>
  <c r="T198" i="177"/>
  <c r="Q107" i="176" s="1"/>
  <c r="W197" i="177"/>
  <c r="T106" i="176" s="1"/>
  <c r="V197" i="177"/>
  <c r="S106" i="176" s="1"/>
  <c r="U197" i="177"/>
  <c r="R106" i="176" s="1"/>
  <c r="T197" i="177"/>
  <c r="Q106" i="176" s="1"/>
  <c r="W196" i="177"/>
  <c r="T105" i="176" s="1"/>
  <c r="V196" i="177"/>
  <c r="S105" i="176" s="1"/>
  <c r="U196" i="177"/>
  <c r="R105" i="176" s="1"/>
  <c r="T196" i="177"/>
  <c r="Q105" i="176" s="1"/>
  <c r="W195" i="177"/>
  <c r="T104" i="176" s="1"/>
  <c r="V195" i="177"/>
  <c r="S104" i="176" s="1"/>
  <c r="U195" i="177"/>
  <c r="R104" i="176" s="1"/>
  <c r="T195" i="177"/>
  <c r="Q104" i="176" s="1"/>
  <c r="W194" i="177"/>
  <c r="T103" i="176" s="1"/>
  <c r="V194" i="177"/>
  <c r="S103" i="176" s="1"/>
  <c r="U194" i="177"/>
  <c r="R103" i="176" s="1"/>
  <c r="T194" i="177"/>
  <c r="Q103" i="176" s="1"/>
  <c r="W193" i="177"/>
  <c r="T102" i="176" s="1"/>
  <c r="V193" i="177"/>
  <c r="S102" i="176" s="1"/>
  <c r="U193" i="177"/>
  <c r="R102" i="176" s="1"/>
  <c r="T193" i="177"/>
  <c r="Q102" i="176" s="1"/>
  <c r="W192" i="177"/>
  <c r="T101" i="176" s="1"/>
  <c r="V192" i="177"/>
  <c r="S101" i="176" s="1"/>
  <c r="U192" i="177"/>
  <c r="R101" i="176" s="1"/>
  <c r="T192" i="177"/>
  <c r="Q101" i="176" s="1"/>
  <c r="W191" i="177"/>
  <c r="T100" i="176" s="1"/>
  <c r="V191" i="177"/>
  <c r="S100" i="176" s="1"/>
  <c r="U191" i="177"/>
  <c r="R100" i="176" s="1"/>
  <c r="T191" i="177"/>
  <c r="Q100" i="176" s="1"/>
  <c r="W190" i="177"/>
  <c r="T99" i="176" s="1"/>
  <c r="V190" i="177"/>
  <c r="S99" i="176" s="1"/>
  <c r="U190" i="177"/>
  <c r="R99" i="176" s="1"/>
  <c r="T190" i="177"/>
  <c r="Q99" i="176" s="1"/>
  <c r="W189" i="177"/>
  <c r="T98" i="176" s="1"/>
  <c r="V189" i="177"/>
  <c r="S98" i="176" s="1"/>
  <c r="U189" i="177"/>
  <c r="R98" i="176" s="1"/>
  <c r="T189" i="177"/>
  <c r="Q98" i="176" s="1"/>
  <c r="W188" i="177"/>
  <c r="T97" i="176" s="1"/>
  <c r="V188" i="177"/>
  <c r="S97" i="176" s="1"/>
  <c r="U188" i="177"/>
  <c r="R97" i="176" s="1"/>
  <c r="T188" i="177"/>
  <c r="Q97" i="176" s="1"/>
  <c r="W187" i="177"/>
  <c r="T96" i="176" s="1"/>
  <c r="V187" i="177"/>
  <c r="S96" i="176" s="1"/>
  <c r="U187" i="177"/>
  <c r="R96" i="176" s="1"/>
  <c r="T187" i="177"/>
  <c r="Q96" i="176" s="1"/>
  <c r="W186" i="177"/>
  <c r="T95" i="176" s="1"/>
  <c r="V186" i="177"/>
  <c r="S95" i="176" s="1"/>
  <c r="U186" i="177"/>
  <c r="R95" i="176" s="1"/>
  <c r="T186" i="177"/>
  <c r="Q95" i="176" s="1"/>
  <c r="W185" i="177"/>
  <c r="T94" i="176" s="1"/>
  <c r="V185" i="177"/>
  <c r="S94" i="176" s="1"/>
  <c r="U185" i="177"/>
  <c r="R94" i="176" s="1"/>
  <c r="T185" i="177"/>
  <c r="Q94" i="176" s="1"/>
  <c r="W184" i="177"/>
  <c r="T93" i="176" s="1"/>
  <c r="V184" i="177"/>
  <c r="S93" i="176" s="1"/>
  <c r="U184" i="177"/>
  <c r="R93" i="176" s="1"/>
  <c r="T184" i="177"/>
  <c r="Q93" i="176" s="1"/>
  <c r="W183" i="177"/>
  <c r="T92" i="176" s="1"/>
  <c r="V183" i="177"/>
  <c r="S92" i="176" s="1"/>
  <c r="U183" i="177"/>
  <c r="R92" i="176" s="1"/>
  <c r="T183" i="177"/>
  <c r="Q92" i="176" s="1"/>
  <c r="W182" i="177"/>
  <c r="T91" i="176" s="1"/>
  <c r="V182" i="177"/>
  <c r="S91" i="176" s="1"/>
  <c r="U182" i="177"/>
  <c r="R91" i="176" s="1"/>
  <c r="T182" i="177"/>
  <c r="Q91" i="176" s="1"/>
  <c r="W181" i="177"/>
  <c r="T90" i="176" s="1"/>
  <c r="V181" i="177"/>
  <c r="S90" i="176" s="1"/>
  <c r="U181" i="177"/>
  <c r="R90" i="176" s="1"/>
  <c r="T181" i="177"/>
  <c r="Q90" i="176" s="1"/>
  <c r="W180" i="177"/>
  <c r="T89" i="176" s="1"/>
  <c r="V180" i="177"/>
  <c r="S89" i="176" s="1"/>
  <c r="U180" i="177"/>
  <c r="R89" i="176" s="1"/>
  <c r="T180" i="177"/>
  <c r="Q89" i="176" s="1"/>
  <c r="W179" i="177"/>
  <c r="T88" i="176" s="1"/>
  <c r="V179" i="177"/>
  <c r="S88" i="176" s="1"/>
  <c r="U179" i="177"/>
  <c r="R88" i="176" s="1"/>
  <c r="T179" i="177"/>
  <c r="Q88" i="176" s="1"/>
  <c r="W178" i="177"/>
  <c r="T87" i="176" s="1"/>
  <c r="V178" i="177"/>
  <c r="S87" i="176" s="1"/>
  <c r="U178" i="177"/>
  <c r="R87" i="176" s="1"/>
  <c r="T178" i="177"/>
  <c r="Q87" i="176" s="1"/>
  <c r="W177" i="177"/>
  <c r="T86" i="176" s="1"/>
  <c r="V177" i="177"/>
  <c r="S86" i="176" s="1"/>
  <c r="U177" i="177"/>
  <c r="R86" i="176" s="1"/>
  <c r="T177" i="177"/>
  <c r="Q86" i="176" s="1"/>
  <c r="W176" i="177"/>
  <c r="T85" i="176" s="1"/>
  <c r="V176" i="177"/>
  <c r="S85" i="176" s="1"/>
  <c r="U176" i="177"/>
  <c r="R85" i="176" s="1"/>
  <c r="T176" i="177"/>
  <c r="Q85" i="176" s="1"/>
  <c r="W175" i="177"/>
  <c r="T84" i="176" s="1"/>
  <c r="V175" i="177"/>
  <c r="S84" i="176" s="1"/>
  <c r="U175" i="177"/>
  <c r="R84" i="176" s="1"/>
  <c r="T175" i="177"/>
  <c r="Q84" i="176" s="1"/>
  <c r="W174" i="177"/>
  <c r="T83" i="176" s="1"/>
  <c r="V174" i="177"/>
  <c r="S83" i="176" s="1"/>
  <c r="U174" i="177"/>
  <c r="R83" i="176" s="1"/>
  <c r="T174" i="177"/>
  <c r="Q83" i="176" s="1"/>
  <c r="W173" i="177"/>
  <c r="T82" i="176" s="1"/>
  <c r="V173" i="177"/>
  <c r="S82" i="176" s="1"/>
  <c r="U173" i="177"/>
  <c r="R82" i="176" s="1"/>
  <c r="T173" i="177"/>
  <c r="Q82" i="176" s="1"/>
  <c r="W172" i="177"/>
  <c r="T81" i="176" s="1"/>
  <c r="V172" i="177"/>
  <c r="S81" i="176" s="1"/>
  <c r="U172" i="177"/>
  <c r="R81" i="176" s="1"/>
  <c r="T172" i="177"/>
  <c r="Q81" i="176" s="1"/>
  <c r="W171" i="177"/>
  <c r="T80" i="176" s="1"/>
  <c r="V171" i="177"/>
  <c r="S80" i="176" s="1"/>
  <c r="U171" i="177"/>
  <c r="R80" i="176" s="1"/>
  <c r="T171" i="177"/>
  <c r="Q80" i="176" s="1"/>
  <c r="W170" i="177"/>
  <c r="T79" i="176" s="1"/>
  <c r="V170" i="177"/>
  <c r="S79" i="176" s="1"/>
  <c r="U170" i="177"/>
  <c r="R79" i="176" s="1"/>
  <c r="T170" i="177"/>
  <c r="Q79" i="176" s="1"/>
  <c r="W169" i="177"/>
  <c r="T78" i="176" s="1"/>
  <c r="V169" i="177"/>
  <c r="S78" i="176" s="1"/>
  <c r="U169" i="177"/>
  <c r="R78" i="176" s="1"/>
  <c r="T169" i="177"/>
  <c r="Q78" i="176" s="1"/>
  <c r="W168" i="177"/>
  <c r="T77" i="176" s="1"/>
  <c r="V168" i="177"/>
  <c r="S77" i="176" s="1"/>
  <c r="U168" i="177"/>
  <c r="R77" i="176" s="1"/>
  <c r="T168" i="177"/>
  <c r="Q77" i="176" s="1"/>
  <c r="W167" i="177"/>
  <c r="T76" i="176" s="1"/>
  <c r="V167" i="177"/>
  <c r="S76" i="176" s="1"/>
  <c r="U167" i="177"/>
  <c r="R76" i="176" s="1"/>
  <c r="T167" i="177"/>
  <c r="Q76" i="176" s="1"/>
  <c r="W166" i="177"/>
  <c r="T75" i="176" s="1"/>
  <c r="V166" i="177"/>
  <c r="S75" i="176" s="1"/>
  <c r="U166" i="177"/>
  <c r="R75" i="176" s="1"/>
  <c r="T166" i="177"/>
  <c r="Q75" i="176" s="1"/>
  <c r="W165" i="177"/>
  <c r="T74" i="176" s="1"/>
  <c r="V165" i="177"/>
  <c r="S74" i="176" s="1"/>
  <c r="U165" i="177"/>
  <c r="R74" i="176" s="1"/>
  <c r="T165" i="177"/>
  <c r="Q74" i="176" s="1"/>
  <c r="W164" i="177"/>
  <c r="T73" i="176" s="1"/>
  <c r="V164" i="177"/>
  <c r="S73" i="176" s="1"/>
  <c r="U164" i="177"/>
  <c r="R73" i="176" s="1"/>
  <c r="T164" i="177"/>
  <c r="Q73" i="176" s="1"/>
  <c r="W163" i="177"/>
  <c r="T72" i="176" s="1"/>
  <c r="V163" i="177"/>
  <c r="S72" i="176" s="1"/>
  <c r="U163" i="177"/>
  <c r="R72" i="176" s="1"/>
  <c r="T163" i="177"/>
  <c r="Q72" i="176" s="1"/>
  <c r="W162" i="177"/>
  <c r="T71" i="176" s="1"/>
  <c r="V162" i="177"/>
  <c r="S71" i="176" s="1"/>
  <c r="U162" i="177"/>
  <c r="R71" i="176" s="1"/>
  <c r="T162" i="177"/>
  <c r="Q71" i="176" s="1"/>
  <c r="W161" i="177"/>
  <c r="T70" i="176" s="1"/>
  <c r="V161" i="177"/>
  <c r="S70" i="176" s="1"/>
  <c r="U161" i="177"/>
  <c r="R70" i="176" s="1"/>
  <c r="T161" i="177"/>
  <c r="Q70" i="176" s="1"/>
  <c r="W160" i="177"/>
  <c r="T69" i="176" s="1"/>
  <c r="V160" i="177"/>
  <c r="S69" i="176" s="1"/>
  <c r="U160" i="177"/>
  <c r="R69" i="176" s="1"/>
  <c r="T160" i="177"/>
  <c r="Q69" i="176" s="1"/>
  <c r="W159" i="177"/>
  <c r="T68" i="176" s="1"/>
  <c r="V159" i="177"/>
  <c r="S68" i="176" s="1"/>
  <c r="U159" i="177"/>
  <c r="R68" i="176" s="1"/>
  <c r="T159" i="177"/>
  <c r="Q68" i="176" s="1"/>
  <c r="W158" i="177"/>
  <c r="T67" i="176" s="1"/>
  <c r="V158" i="177"/>
  <c r="S67" i="176" s="1"/>
  <c r="U158" i="177"/>
  <c r="R67" i="176" s="1"/>
  <c r="T158" i="177"/>
  <c r="Q67" i="176" s="1"/>
  <c r="W157" i="177"/>
  <c r="T66" i="176" s="1"/>
  <c r="V157" i="177"/>
  <c r="S66" i="176" s="1"/>
  <c r="U157" i="177"/>
  <c r="R66" i="176" s="1"/>
  <c r="T157" i="177"/>
  <c r="Q66" i="176" s="1"/>
  <c r="W156" i="177"/>
  <c r="T65" i="176" s="1"/>
  <c r="V156" i="177"/>
  <c r="S65" i="176" s="1"/>
  <c r="U156" i="177"/>
  <c r="R65" i="176" s="1"/>
  <c r="T156" i="177"/>
  <c r="Q65" i="176" s="1"/>
  <c r="W155" i="177"/>
  <c r="T64" i="176" s="1"/>
  <c r="V155" i="177"/>
  <c r="S64" i="176" s="1"/>
  <c r="U155" i="177"/>
  <c r="R64" i="176" s="1"/>
  <c r="T155" i="177"/>
  <c r="Q64" i="176" s="1"/>
  <c r="W154" i="177"/>
  <c r="T63" i="176" s="1"/>
  <c r="V154" i="177"/>
  <c r="S63" i="176" s="1"/>
  <c r="U154" i="177"/>
  <c r="R63" i="176" s="1"/>
  <c r="T154" i="177"/>
  <c r="Q63" i="176" s="1"/>
  <c r="W153" i="177"/>
  <c r="T62" i="176" s="1"/>
  <c r="V153" i="177"/>
  <c r="S62" i="176" s="1"/>
  <c r="U153" i="177"/>
  <c r="R62" i="176" s="1"/>
  <c r="T153" i="177"/>
  <c r="Q62" i="176" s="1"/>
  <c r="W152" i="177"/>
  <c r="T61" i="176" s="1"/>
  <c r="V152" i="177"/>
  <c r="S61" i="176" s="1"/>
  <c r="U152" i="177"/>
  <c r="R61" i="176" s="1"/>
  <c r="T152" i="177"/>
  <c r="Q61" i="176" s="1"/>
  <c r="W151" i="177"/>
  <c r="T60" i="176" s="1"/>
  <c r="V151" i="177"/>
  <c r="S60" i="176" s="1"/>
  <c r="U151" i="177"/>
  <c r="R60" i="176" s="1"/>
  <c r="T151" i="177"/>
  <c r="Q60" i="176" s="1"/>
  <c r="W150" i="177"/>
  <c r="T59" i="176" s="1"/>
  <c r="V150" i="177"/>
  <c r="S59" i="176" s="1"/>
  <c r="U150" i="177"/>
  <c r="R59" i="176" s="1"/>
  <c r="T150" i="177"/>
  <c r="Q59" i="176" s="1"/>
  <c r="W149" i="177"/>
  <c r="T58" i="176" s="1"/>
  <c r="V149" i="177"/>
  <c r="S58" i="176" s="1"/>
  <c r="U149" i="177"/>
  <c r="R58" i="176" s="1"/>
  <c r="T149" i="177"/>
  <c r="Q58" i="176" s="1"/>
  <c r="W148" i="177"/>
  <c r="T57" i="176" s="1"/>
  <c r="V148" i="177"/>
  <c r="S57" i="176" s="1"/>
  <c r="U148" i="177"/>
  <c r="R57" i="176" s="1"/>
  <c r="T148" i="177"/>
  <c r="Q57" i="176" s="1"/>
  <c r="W147" i="177"/>
  <c r="T56" i="176" s="1"/>
  <c r="V147" i="177"/>
  <c r="S56" i="176" s="1"/>
  <c r="U147" i="177"/>
  <c r="R56" i="176" s="1"/>
  <c r="T147" i="177"/>
  <c r="Q56" i="176" s="1"/>
  <c r="W146" i="177"/>
  <c r="T55" i="176" s="1"/>
  <c r="V146" i="177"/>
  <c r="S55" i="176" s="1"/>
  <c r="U146" i="177"/>
  <c r="R55" i="176" s="1"/>
  <c r="T146" i="177"/>
  <c r="Q55" i="176" s="1"/>
  <c r="W145" i="177"/>
  <c r="T54" i="176" s="1"/>
  <c r="V145" i="177"/>
  <c r="S54" i="176" s="1"/>
  <c r="U145" i="177"/>
  <c r="R54" i="176" s="1"/>
  <c r="T145" i="177"/>
  <c r="Q54" i="176" s="1"/>
  <c r="W144" i="177"/>
  <c r="T53" i="176" s="1"/>
  <c r="V144" i="177"/>
  <c r="S53" i="176" s="1"/>
  <c r="U144" i="177"/>
  <c r="R53" i="176" s="1"/>
  <c r="T144" i="177"/>
  <c r="Q53" i="176" s="1"/>
  <c r="W143" i="177"/>
  <c r="T52" i="176" s="1"/>
  <c r="V143" i="177"/>
  <c r="S52" i="176" s="1"/>
  <c r="U143" i="177"/>
  <c r="R52" i="176" s="1"/>
  <c r="T143" i="177"/>
  <c r="Q52" i="176" s="1"/>
  <c r="W142" i="177"/>
  <c r="T51" i="176" s="1"/>
  <c r="V142" i="177"/>
  <c r="S51" i="176" s="1"/>
  <c r="U142" i="177"/>
  <c r="R51" i="176" s="1"/>
  <c r="T142" i="177"/>
  <c r="Q51" i="176" s="1"/>
  <c r="W141" i="177"/>
  <c r="T50" i="176" s="1"/>
  <c r="V141" i="177"/>
  <c r="S50" i="176" s="1"/>
  <c r="U141" i="177"/>
  <c r="R50" i="176" s="1"/>
  <c r="T141" i="177"/>
  <c r="Q50" i="176" s="1"/>
  <c r="W140" i="177"/>
  <c r="T49" i="176" s="1"/>
  <c r="V140" i="177"/>
  <c r="S49" i="176" s="1"/>
  <c r="U140" i="177"/>
  <c r="R49" i="176" s="1"/>
  <c r="T140" i="177"/>
  <c r="Q49" i="176" s="1"/>
  <c r="W139" i="177"/>
  <c r="T48" i="176" s="1"/>
  <c r="V139" i="177"/>
  <c r="S48" i="176" s="1"/>
  <c r="U139" i="177"/>
  <c r="R48" i="176" s="1"/>
  <c r="T139" i="177"/>
  <c r="Q48" i="176" s="1"/>
  <c r="W138" i="177"/>
  <c r="T47" i="176" s="1"/>
  <c r="V138" i="177"/>
  <c r="S47" i="176" s="1"/>
  <c r="U138" i="177"/>
  <c r="R47" i="176" s="1"/>
  <c r="T138" i="177"/>
  <c r="Q47" i="176" s="1"/>
  <c r="W137" i="177"/>
  <c r="T46" i="176" s="1"/>
  <c r="V137" i="177"/>
  <c r="S46" i="176" s="1"/>
  <c r="U137" i="177"/>
  <c r="R46" i="176" s="1"/>
  <c r="T137" i="177"/>
  <c r="Q46" i="176" s="1"/>
  <c r="W136" i="177"/>
  <c r="T45" i="176" s="1"/>
  <c r="V136" i="177"/>
  <c r="S45" i="176" s="1"/>
  <c r="U136" i="177"/>
  <c r="R45" i="176" s="1"/>
  <c r="T136" i="177"/>
  <c r="Q45" i="176" s="1"/>
  <c r="W135" i="177"/>
  <c r="T44" i="176" s="1"/>
  <c r="V135" i="177"/>
  <c r="S44" i="176" s="1"/>
  <c r="U135" i="177"/>
  <c r="R44" i="176" s="1"/>
  <c r="T135" i="177"/>
  <c r="Q44" i="176" s="1"/>
  <c r="W134" i="177"/>
  <c r="T43" i="176" s="1"/>
  <c r="V134" i="177"/>
  <c r="S43" i="176" s="1"/>
  <c r="U134" i="177"/>
  <c r="R43" i="176" s="1"/>
  <c r="T134" i="177"/>
  <c r="Q43" i="176" s="1"/>
  <c r="W133" i="177"/>
  <c r="T42" i="176" s="1"/>
  <c r="V133" i="177"/>
  <c r="S42" i="176" s="1"/>
  <c r="U133" i="177"/>
  <c r="R42" i="176" s="1"/>
  <c r="T133" i="177"/>
  <c r="Q42" i="176" s="1"/>
  <c r="W132" i="177"/>
  <c r="T41" i="176" s="1"/>
  <c r="V132" i="177"/>
  <c r="S41" i="176" s="1"/>
  <c r="U132" i="177"/>
  <c r="R41" i="176" s="1"/>
  <c r="T132" i="177"/>
  <c r="Q41" i="176" s="1"/>
  <c r="W131" i="177"/>
  <c r="T40" i="176" s="1"/>
  <c r="V131" i="177"/>
  <c r="S40" i="176" s="1"/>
  <c r="U131" i="177"/>
  <c r="R40" i="176" s="1"/>
  <c r="T131" i="177"/>
  <c r="Q40" i="176" s="1"/>
  <c r="W130" i="177"/>
  <c r="T39" i="176" s="1"/>
  <c r="V130" i="177"/>
  <c r="S39" i="176" s="1"/>
  <c r="U130" i="177"/>
  <c r="R39" i="176" s="1"/>
  <c r="T130" i="177"/>
  <c r="Q39" i="176" s="1"/>
  <c r="W129" i="177"/>
  <c r="T38" i="176" s="1"/>
  <c r="V129" i="177"/>
  <c r="S38" i="176" s="1"/>
  <c r="U129" i="177"/>
  <c r="R38" i="176" s="1"/>
  <c r="T129" i="177"/>
  <c r="Q38" i="176" s="1"/>
  <c r="W128" i="177"/>
  <c r="T37" i="176" s="1"/>
  <c r="V128" i="177"/>
  <c r="S37" i="176" s="1"/>
  <c r="U128" i="177"/>
  <c r="R37" i="176" s="1"/>
  <c r="T128" i="177"/>
  <c r="Q37" i="176" s="1"/>
  <c r="W127" i="177"/>
  <c r="T36" i="176" s="1"/>
  <c r="V127" i="177"/>
  <c r="S36" i="176" s="1"/>
  <c r="U127" i="177"/>
  <c r="R36" i="176" s="1"/>
  <c r="T127" i="177"/>
  <c r="Q36" i="176" s="1"/>
  <c r="W126" i="177"/>
  <c r="T35" i="176" s="1"/>
  <c r="V126" i="177"/>
  <c r="S35" i="176" s="1"/>
  <c r="U126" i="177"/>
  <c r="R35" i="176" s="1"/>
  <c r="T126" i="177"/>
  <c r="Q35" i="176" s="1"/>
  <c r="W125" i="177"/>
  <c r="T34" i="176" s="1"/>
  <c r="V125" i="177"/>
  <c r="S34" i="176" s="1"/>
  <c r="U125" i="177"/>
  <c r="R34" i="176" s="1"/>
  <c r="T125" i="177"/>
  <c r="Q34" i="176" s="1"/>
  <c r="W124" i="177"/>
  <c r="T33" i="176" s="1"/>
  <c r="V124" i="177"/>
  <c r="S33" i="176" s="1"/>
  <c r="U124" i="177"/>
  <c r="R33" i="176" s="1"/>
  <c r="T124" i="177"/>
  <c r="Q33" i="176" s="1"/>
  <c r="W123" i="177"/>
  <c r="T32" i="176" s="1"/>
  <c r="V123" i="177"/>
  <c r="S32" i="176" s="1"/>
  <c r="U123" i="177"/>
  <c r="R32" i="176" s="1"/>
  <c r="T123" i="177"/>
  <c r="Q32" i="176" s="1"/>
  <c r="W122" i="177"/>
  <c r="T31" i="176" s="1"/>
  <c r="V122" i="177"/>
  <c r="S31" i="176" s="1"/>
  <c r="U122" i="177"/>
  <c r="R31" i="176" s="1"/>
  <c r="T122" i="177"/>
  <c r="Q31" i="176" s="1"/>
  <c r="W121" i="177"/>
  <c r="T30" i="176" s="1"/>
  <c r="V121" i="177"/>
  <c r="S30" i="176" s="1"/>
  <c r="U121" i="177"/>
  <c r="R30" i="176" s="1"/>
  <c r="T121" i="177"/>
  <c r="Q30" i="176" s="1"/>
  <c r="W120" i="177"/>
  <c r="T29" i="176" s="1"/>
  <c r="V120" i="177"/>
  <c r="S29" i="176" s="1"/>
  <c r="U120" i="177"/>
  <c r="R29" i="176" s="1"/>
  <c r="T120" i="177"/>
  <c r="Q29" i="176" s="1"/>
  <c r="W119" i="177"/>
  <c r="T28" i="176" s="1"/>
  <c r="V119" i="177"/>
  <c r="S28" i="176" s="1"/>
  <c r="U119" i="177"/>
  <c r="R28" i="176" s="1"/>
  <c r="T119" i="177"/>
  <c r="Q28" i="176" s="1"/>
  <c r="W118" i="177"/>
  <c r="T27" i="176" s="1"/>
  <c r="V118" i="177"/>
  <c r="S27" i="176" s="1"/>
  <c r="U118" i="177"/>
  <c r="R27" i="176" s="1"/>
  <c r="T118" i="177"/>
  <c r="Q27" i="176" s="1"/>
  <c r="W117" i="177"/>
  <c r="T26" i="176" s="1"/>
  <c r="V117" i="177"/>
  <c r="S26" i="176" s="1"/>
  <c r="U117" i="177"/>
  <c r="R26" i="176" s="1"/>
  <c r="T117" i="177"/>
  <c r="Q26" i="176" s="1"/>
  <c r="W116" i="177"/>
  <c r="T25" i="176" s="1"/>
  <c r="V116" i="177"/>
  <c r="S25" i="176" s="1"/>
  <c r="U116" i="177"/>
  <c r="R25" i="176" s="1"/>
  <c r="T116" i="177"/>
  <c r="Q25" i="176" s="1"/>
  <c r="W115" i="177"/>
  <c r="T24" i="176" s="1"/>
  <c r="V115" i="177"/>
  <c r="S24" i="176" s="1"/>
  <c r="U115" i="177"/>
  <c r="R24" i="176" s="1"/>
  <c r="T115" i="177"/>
  <c r="Q24" i="176" s="1"/>
  <c r="W114" i="177"/>
  <c r="T23" i="176" s="1"/>
  <c r="V114" i="177"/>
  <c r="S23" i="176" s="1"/>
  <c r="U114" i="177"/>
  <c r="R23" i="176" s="1"/>
  <c r="T114" i="177"/>
  <c r="Q23" i="176" s="1"/>
  <c r="W113" i="177"/>
  <c r="T22" i="176" s="1"/>
  <c r="V113" i="177"/>
  <c r="S22" i="176" s="1"/>
  <c r="U113" i="177"/>
  <c r="R22" i="176" s="1"/>
  <c r="T113" i="177"/>
  <c r="Q22" i="176" s="1"/>
  <c r="W112" i="177"/>
  <c r="T21" i="176" s="1"/>
  <c r="V112" i="177"/>
  <c r="S21" i="176" s="1"/>
  <c r="U112" i="177"/>
  <c r="R21" i="176" s="1"/>
  <c r="T112" i="177"/>
  <c r="Q21" i="176" s="1"/>
  <c r="W111" i="177"/>
  <c r="T20" i="176" s="1"/>
  <c r="V111" i="177"/>
  <c r="S20" i="176" s="1"/>
  <c r="U111" i="177"/>
  <c r="R20" i="176" s="1"/>
  <c r="T111" i="177"/>
  <c r="Q20" i="176" s="1"/>
  <c r="W110" i="177"/>
  <c r="T19" i="176" s="1"/>
  <c r="V110" i="177"/>
  <c r="S19" i="176" s="1"/>
  <c r="U110" i="177"/>
  <c r="R19" i="176" s="1"/>
  <c r="T110" i="177"/>
  <c r="Q19" i="176" s="1"/>
  <c r="W109" i="177"/>
  <c r="T18" i="176" s="1"/>
  <c r="V109" i="177"/>
  <c r="S18" i="176" s="1"/>
  <c r="U109" i="177"/>
  <c r="R18" i="176" s="1"/>
  <c r="T109" i="177"/>
  <c r="Q18" i="176" s="1"/>
  <c r="W108" i="177"/>
  <c r="T17" i="176" s="1"/>
  <c r="V108" i="177"/>
  <c r="S17" i="176" s="1"/>
  <c r="U108" i="177"/>
  <c r="R17" i="176" s="1"/>
  <c r="T108" i="177"/>
  <c r="Q17" i="176" s="1"/>
  <c r="W107" i="177"/>
  <c r="T16" i="176" s="1"/>
  <c r="V107" i="177"/>
  <c r="S16" i="176" s="1"/>
  <c r="U107" i="177"/>
  <c r="R16" i="176" s="1"/>
  <c r="T107" i="177"/>
  <c r="Q16" i="176" s="1"/>
  <c r="W106" i="177"/>
  <c r="T15" i="176" s="1"/>
  <c r="V106" i="177"/>
  <c r="S15" i="176" s="1"/>
  <c r="U106" i="177"/>
  <c r="R15" i="176" s="1"/>
  <c r="T106" i="177"/>
  <c r="Q15" i="176" s="1"/>
  <c r="W105" i="177"/>
  <c r="T14" i="176" s="1"/>
  <c r="V105" i="177"/>
  <c r="S14" i="176" s="1"/>
  <c r="U105" i="177"/>
  <c r="R14" i="176" s="1"/>
  <c r="T105" i="177"/>
  <c r="Q14" i="176" s="1"/>
  <c r="W104" i="177"/>
  <c r="T13" i="176" s="1"/>
  <c r="V104" i="177"/>
  <c r="S13" i="176" s="1"/>
  <c r="U104" i="177"/>
  <c r="R13" i="176" s="1"/>
  <c r="T104" i="177"/>
  <c r="Q13" i="176" s="1"/>
  <c r="W103" i="177"/>
  <c r="T12" i="176" s="1"/>
  <c r="V103" i="177"/>
  <c r="S12" i="176" s="1"/>
  <c r="U103" i="177"/>
  <c r="R12" i="176" s="1"/>
  <c r="T103" i="177"/>
  <c r="Q12" i="176" s="1"/>
  <c r="W102" i="177"/>
  <c r="T11" i="176" s="1"/>
  <c r="V102" i="177"/>
  <c r="S11" i="176" s="1"/>
  <c r="U102" i="177"/>
  <c r="R11" i="176" s="1"/>
  <c r="T102" i="177"/>
  <c r="Q11" i="176" s="1"/>
  <c r="W101" i="177"/>
  <c r="T10" i="176" s="1"/>
  <c r="V101" i="177"/>
  <c r="S10" i="176" s="1"/>
  <c r="U101" i="177"/>
  <c r="R10" i="176" s="1"/>
  <c r="T101" i="177"/>
  <c r="Q10" i="176" s="1"/>
  <c r="W100" i="177"/>
  <c r="T9" i="176" s="1"/>
  <c r="V100" i="177"/>
  <c r="S9" i="176" s="1"/>
  <c r="U100" i="177"/>
  <c r="R9" i="176" s="1"/>
  <c r="T100" i="177"/>
  <c r="Q9" i="176" s="1"/>
  <c r="C606" i="177"/>
  <c r="L515" i="176" s="1"/>
  <c r="N515" i="176" s="1"/>
  <c r="C605" i="177"/>
  <c r="L514" i="176" s="1"/>
  <c r="N514" i="176" s="1"/>
  <c r="C604" i="177"/>
  <c r="L513" i="176" s="1"/>
  <c r="N513" i="176" s="1"/>
  <c r="C603" i="177"/>
  <c r="L512" i="176" s="1"/>
  <c r="N512" i="176" s="1"/>
  <c r="C602" i="177"/>
  <c r="L511" i="176" s="1"/>
  <c r="N511" i="176" s="1"/>
  <c r="C601" i="177"/>
  <c r="L510" i="176" s="1"/>
  <c r="N510" i="176" s="1"/>
  <c r="C600" i="177"/>
  <c r="L509" i="176" s="1"/>
  <c r="N509" i="176" s="1"/>
  <c r="C599" i="177"/>
  <c r="L508" i="176" s="1"/>
  <c r="N508" i="176" s="1"/>
  <c r="C598" i="177"/>
  <c r="L507" i="176" s="1"/>
  <c r="N507" i="176" s="1"/>
  <c r="C597" i="177"/>
  <c r="L506" i="176" s="1"/>
  <c r="N506" i="176" s="1"/>
  <c r="C596" i="177"/>
  <c r="L505" i="176" s="1"/>
  <c r="N505" i="176" s="1"/>
  <c r="C595" i="177"/>
  <c r="L504" i="176" s="1"/>
  <c r="N504" i="176" s="1"/>
  <c r="C594" i="177"/>
  <c r="L503" i="176" s="1"/>
  <c r="N503" i="176" s="1"/>
  <c r="C593" i="177"/>
  <c r="L502" i="176" s="1"/>
  <c r="N502" i="176" s="1"/>
  <c r="C592" i="177"/>
  <c r="L501" i="176" s="1"/>
  <c r="N501" i="176" s="1"/>
  <c r="C591" i="177"/>
  <c r="L500" i="176" s="1"/>
  <c r="N500" i="176" s="1"/>
  <c r="C590" i="177"/>
  <c r="L499" i="176" s="1"/>
  <c r="N499" i="176" s="1"/>
  <c r="C589" i="177"/>
  <c r="L498" i="176" s="1"/>
  <c r="N498" i="176" s="1"/>
  <c r="C588" i="177"/>
  <c r="L497" i="176" s="1"/>
  <c r="N497" i="176" s="1"/>
  <c r="C587" i="177"/>
  <c r="L496" i="176" s="1"/>
  <c r="N496" i="176" s="1"/>
  <c r="C586" i="177"/>
  <c r="L495" i="176" s="1"/>
  <c r="N495" i="176" s="1"/>
  <c r="C585" i="177"/>
  <c r="L494" i="176" s="1"/>
  <c r="N494" i="176" s="1"/>
  <c r="C584" i="177"/>
  <c r="L493" i="176" s="1"/>
  <c r="N493" i="176" s="1"/>
  <c r="C583" i="177"/>
  <c r="L492" i="176" s="1"/>
  <c r="N492" i="176" s="1"/>
  <c r="C582" i="177"/>
  <c r="L491" i="176" s="1"/>
  <c r="N491" i="176" s="1"/>
  <c r="C581" i="177"/>
  <c r="L490" i="176" s="1"/>
  <c r="N490" i="176" s="1"/>
  <c r="C580" i="177"/>
  <c r="L489" i="176" s="1"/>
  <c r="C579" i="177"/>
  <c r="L488" i="176" s="1"/>
  <c r="N488" i="176" s="1"/>
  <c r="C578" i="177"/>
  <c r="L487" i="176" s="1"/>
  <c r="N487" i="176" s="1"/>
  <c r="C577" i="177"/>
  <c r="L486" i="176" s="1"/>
  <c r="N486" i="176" s="1"/>
  <c r="C576" i="177"/>
  <c r="L485" i="176" s="1"/>
  <c r="N485" i="176" s="1"/>
  <c r="C575" i="177"/>
  <c r="L484" i="176" s="1"/>
  <c r="N484" i="176" s="1"/>
  <c r="C574" i="177"/>
  <c r="L483" i="176" s="1"/>
  <c r="N483" i="176" s="1"/>
  <c r="C573" i="177"/>
  <c r="L482" i="176" s="1"/>
  <c r="N482" i="176" s="1"/>
  <c r="C572" i="177"/>
  <c r="L481" i="176" s="1"/>
  <c r="N481" i="176" s="1"/>
  <c r="C571" i="177"/>
  <c r="L480" i="176" s="1"/>
  <c r="N480" i="176" s="1"/>
  <c r="C570" i="177"/>
  <c r="L479" i="176" s="1"/>
  <c r="N479" i="176" s="1"/>
  <c r="C569" i="177"/>
  <c r="L478" i="176" s="1"/>
  <c r="N478" i="176" s="1"/>
  <c r="C568" i="177"/>
  <c r="L477" i="176" s="1"/>
  <c r="N477" i="176" s="1"/>
  <c r="C567" i="177"/>
  <c r="L476" i="176" s="1"/>
  <c r="N476" i="176" s="1"/>
  <c r="C566" i="177"/>
  <c r="L475" i="176" s="1"/>
  <c r="N475" i="176" s="1"/>
  <c r="C565" i="177"/>
  <c r="L474" i="176" s="1"/>
  <c r="N474" i="176" s="1"/>
  <c r="C564" i="177"/>
  <c r="L473" i="176" s="1"/>
  <c r="N473" i="176" s="1"/>
  <c r="C563" i="177"/>
  <c r="L472" i="176" s="1"/>
  <c r="N472" i="176" s="1"/>
  <c r="C562" i="177"/>
  <c r="L471" i="176" s="1"/>
  <c r="N471" i="176" s="1"/>
  <c r="C561" i="177"/>
  <c r="L470" i="176" s="1"/>
  <c r="N470" i="176" s="1"/>
  <c r="C560" i="177"/>
  <c r="L469" i="176" s="1"/>
  <c r="N469" i="176" s="1"/>
  <c r="C559" i="177"/>
  <c r="L468" i="176" s="1"/>
  <c r="N468" i="176" s="1"/>
  <c r="C558" i="177"/>
  <c r="L467" i="176" s="1"/>
  <c r="N467" i="176" s="1"/>
  <c r="C557" i="177"/>
  <c r="L466" i="176" s="1"/>
  <c r="N466" i="176" s="1"/>
  <c r="C556" i="177"/>
  <c r="L465" i="176" s="1"/>
  <c r="N465" i="176" s="1"/>
  <c r="C555" i="177"/>
  <c r="L464" i="176" s="1"/>
  <c r="N464" i="176" s="1"/>
  <c r="C554" i="177"/>
  <c r="L463" i="176" s="1"/>
  <c r="N463" i="176" s="1"/>
  <c r="C553" i="177"/>
  <c r="L462" i="176" s="1"/>
  <c r="N462" i="176" s="1"/>
  <c r="C552" i="177"/>
  <c r="L461" i="176" s="1"/>
  <c r="C551" i="177"/>
  <c r="L460" i="176" s="1"/>
  <c r="N460" i="176" s="1"/>
  <c r="C550" i="177"/>
  <c r="L459" i="176" s="1"/>
  <c r="N459" i="176" s="1"/>
  <c r="C549" i="177"/>
  <c r="L458" i="176" s="1"/>
  <c r="N458" i="176" s="1"/>
  <c r="C548" i="177"/>
  <c r="L457" i="176" s="1"/>
  <c r="N457" i="176" s="1"/>
  <c r="C547" i="177"/>
  <c r="L456" i="176" s="1"/>
  <c r="N456" i="176" s="1"/>
  <c r="C546" i="177"/>
  <c r="L455" i="176" s="1"/>
  <c r="N455" i="176" s="1"/>
  <c r="C545" i="177"/>
  <c r="L454" i="176" s="1"/>
  <c r="N454" i="176" s="1"/>
  <c r="C544" i="177"/>
  <c r="L453" i="176" s="1"/>
  <c r="N453" i="176" s="1"/>
  <c r="C543" i="177"/>
  <c r="L452" i="176" s="1"/>
  <c r="N452" i="176" s="1"/>
  <c r="C542" i="177"/>
  <c r="L451" i="176" s="1"/>
  <c r="N451" i="176" s="1"/>
  <c r="C541" i="177"/>
  <c r="L450" i="176" s="1"/>
  <c r="N450" i="176" s="1"/>
  <c r="C540" i="177"/>
  <c r="L449" i="176" s="1"/>
  <c r="N449" i="176" s="1"/>
  <c r="C539" i="177"/>
  <c r="L448" i="176" s="1"/>
  <c r="N448" i="176" s="1"/>
  <c r="C538" i="177"/>
  <c r="L447" i="176" s="1"/>
  <c r="N447" i="176" s="1"/>
  <c r="C537" i="177"/>
  <c r="L446" i="176" s="1"/>
  <c r="N446" i="176" s="1"/>
  <c r="C536" i="177"/>
  <c r="L445" i="176" s="1"/>
  <c r="N445" i="176" s="1"/>
  <c r="C535" i="177"/>
  <c r="L444" i="176" s="1"/>
  <c r="N444" i="176" s="1"/>
  <c r="C534" i="177"/>
  <c r="L443" i="176" s="1"/>
  <c r="N443" i="176" s="1"/>
  <c r="C533" i="177"/>
  <c r="L442" i="176" s="1"/>
  <c r="N442" i="176" s="1"/>
  <c r="C532" i="177"/>
  <c r="L441" i="176" s="1"/>
  <c r="N441" i="176" s="1"/>
  <c r="C531" i="177"/>
  <c r="L440" i="176" s="1"/>
  <c r="N440" i="176" s="1"/>
  <c r="C530" i="177"/>
  <c r="L439" i="176" s="1"/>
  <c r="N439" i="176" s="1"/>
  <c r="C529" i="177"/>
  <c r="L438" i="176" s="1"/>
  <c r="N438" i="176" s="1"/>
  <c r="C528" i="177"/>
  <c r="L437" i="176" s="1"/>
  <c r="N437" i="176" s="1"/>
  <c r="C527" i="177"/>
  <c r="L436" i="176" s="1"/>
  <c r="N436" i="176" s="1"/>
  <c r="C526" i="177"/>
  <c r="L435" i="176" s="1"/>
  <c r="N435" i="176" s="1"/>
  <c r="C525" i="177"/>
  <c r="L434" i="176" s="1"/>
  <c r="N434" i="176" s="1"/>
  <c r="C524" i="177"/>
  <c r="L433" i="176" s="1"/>
  <c r="N433" i="176" s="1"/>
  <c r="C523" i="177"/>
  <c r="L432" i="176" s="1"/>
  <c r="N432" i="176" s="1"/>
  <c r="C522" i="177"/>
  <c r="L431" i="176" s="1"/>
  <c r="N431" i="176" s="1"/>
  <c r="C521" i="177"/>
  <c r="L430" i="176" s="1"/>
  <c r="N430" i="176" s="1"/>
  <c r="C520" i="177"/>
  <c r="L429" i="176" s="1"/>
  <c r="N429" i="176" s="1"/>
  <c r="C519" i="177"/>
  <c r="L428" i="176" s="1"/>
  <c r="N428" i="176" s="1"/>
  <c r="C518" i="177"/>
  <c r="L427" i="176" s="1"/>
  <c r="N427" i="176" s="1"/>
  <c r="C517" i="177"/>
  <c r="L426" i="176" s="1"/>
  <c r="N426" i="176" s="1"/>
  <c r="C516" i="177"/>
  <c r="L425" i="176" s="1"/>
  <c r="C515" i="177"/>
  <c r="L424" i="176" s="1"/>
  <c r="N424" i="176" s="1"/>
  <c r="C514" i="177"/>
  <c r="L423" i="176" s="1"/>
  <c r="N423" i="176" s="1"/>
  <c r="C513" i="177"/>
  <c r="L422" i="176" s="1"/>
  <c r="N422" i="176" s="1"/>
  <c r="C512" i="177"/>
  <c r="L421" i="176" s="1"/>
  <c r="N421" i="176" s="1"/>
  <c r="C511" i="177"/>
  <c r="L420" i="176" s="1"/>
  <c r="N420" i="176" s="1"/>
  <c r="C510" i="177"/>
  <c r="L419" i="176" s="1"/>
  <c r="N419" i="176" s="1"/>
  <c r="C509" i="177"/>
  <c r="L418" i="176" s="1"/>
  <c r="N418" i="176" s="1"/>
  <c r="C508" i="177"/>
  <c r="L417" i="176" s="1"/>
  <c r="N417" i="176" s="1"/>
  <c r="C507" i="177"/>
  <c r="L416" i="176" s="1"/>
  <c r="N416" i="176" s="1"/>
  <c r="C506" i="177"/>
  <c r="L415" i="176" s="1"/>
  <c r="N415" i="176" s="1"/>
  <c r="C505" i="177"/>
  <c r="L414" i="176" s="1"/>
  <c r="N414" i="176" s="1"/>
  <c r="C504" i="177"/>
  <c r="L413" i="176" s="1"/>
  <c r="N413" i="176" s="1"/>
  <c r="C503" i="177"/>
  <c r="L412" i="176" s="1"/>
  <c r="N412" i="176" s="1"/>
  <c r="C502" i="177"/>
  <c r="L411" i="176" s="1"/>
  <c r="N411" i="176" s="1"/>
  <c r="C501" i="177"/>
  <c r="L410" i="176" s="1"/>
  <c r="N410" i="176" s="1"/>
  <c r="C500" i="177"/>
  <c r="L409" i="176" s="1"/>
  <c r="N409" i="176" s="1"/>
  <c r="C499" i="177"/>
  <c r="L408" i="176" s="1"/>
  <c r="N408" i="176" s="1"/>
  <c r="C498" i="177"/>
  <c r="L407" i="176" s="1"/>
  <c r="N407" i="176" s="1"/>
  <c r="C497" i="177"/>
  <c r="L406" i="176" s="1"/>
  <c r="N406" i="176" s="1"/>
  <c r="C496" i="177"/>
  <c r="L405" i="176" s="1"/>
  <c r="N405" i="176" s="1"/>
  <c r="C495" i="177"/>
  <c r="L404" i="176" s="1"/>
  <c r="N404" i="176" s="1"/>
  <c r="C494" i="177"/>
  <c r="L403" i="176" s="1"/>
  <c r="N403" i="176" s="1"/>
  <c r="C493" i="177"/>
  <c r="L402" i="176" s="1"/>
  <c r="N402" i="176" s="1"/>
  <c r="C492" i="177"/>
  <c r="L401" i="176" s="1"/>
  <c r="N401" i="176" s="1"/>
  <c r="C491" i="177"/>
  <c r="L400" i="176" s="1"/>
  <c r="N400" i="176" s="1"/>
  <c r="C490" i="177"/>
  <c r="L399" i="176" s="1"/>
  <c r="N399" i="176" s="1"/>
  <c r="C489" i="177"/>
  <c r="L398" i="176" s="1"/>
  <c r="N398" i="176" s="1"/>
  <c r="C488" i="177"/>
  <c r="L397" i="176" s="1"/>
  <c r="N397" i="176" s="1"/>
  <c r="C487" i="177"/>
  <c r="L396" i="176" s="1"/>
  <c r="N396" i="176" s="1"/>
  <c r="C486" i="177"/>
  <c r="L395" i="176" s="1"/>
  <c r="N395" i="176" s="1"/>
  <c r="C485" i="177"/>
  <c r="L394" i="176" s="1"/>
  <c r="N394" i="176" s="1"/>
  <c r="C484" i="177"/>
  <c r="L393" i="176" s="1"/>
  <c r="N393" i="176" s="1"/>
  <c r="C483" i="177"/>
  <c r="L392" i="176" s="1"/>
  <c r="N392" i="176" s="1"/>
  <c r="C482" i="177"/>
  <c r="L391" i="176" s="1"/>
  <c r="N391" i="176" s="1"/>
  <c r="C481" i="177"/>
  <c r="L390" i="176" s="1"/>
  <c r="N390" i="176" s="1"/>
  <c r="C480" i="177"/>
  <c r="L389" i="176" s="1"/>
  <c r="N389" i="176" s="1"/>
  <c r="C479" i="177"/>
  <c r="L388" i="176" s="1"/>
  <c r="N388" i="176" s="1"/>
  <c r="C478" i="177"/>
  <c r="L387" i="176" s="1"/>
  <c r="N387" i="176" s="1"/>
  <c r="C477" i="177"/>
  <c r="L386" i="176" s="1"/>
  <c r="N386" i="176" s="1"/>
  <c r="C476" i="177"/>
  <c r="L385" i="176" s="1"/>
  <c r="N385" i="176" s="1"/>
  <c r="C475" i="177"/>
  <c r="L384" i="176" s="1"/>
  <c r="N384" i="176" s="1"/>
  <c r="C474" i="177"/>
  <c r="L383" i="176" s="1"/>
  <c r="N383" i="176" s="1"/>
  <c r="C473" i="177"/>
  <c r="L382" i="176" s="1"/>
  <c r="N382" i="176" s="1"/>
  <c r="C472" i="177"/>
  <c r="L381" i="176" s="1"/>
  <c r="N381" i="176" s="1"/>
  <c r="C471" i="177"/>
  <c r="L380" i="176" s="1"/>
  <c r="N380" i="176" s="1"/>
  <c r="C470" i="177"/>
  <c r="L379" i="176" s="1"/>
  <c r="N379" i="176" s="1"/>
  <c r="C469" i="177"/>
  <c r="L378" i="176" s="1"/>
  <c r="N378" i="176" s="1"/>
  <c r="C468" i="177"/>
  <c r="L377" i="176" s="1"/>
  <c r="N377" i="176" s="1"/>
  <c r="C467" i="177"/>
  <c r="L376" i="176" s="1"/>
  <c r="N376" i="176" s="1"/>
  <c r="C466" i="177"/>
  <c r="L375" i="176" s="1"/>
  <c r="N375" i="176" s="1"/>
  <c r="C465" i="177"/>
  <c r="L374" i="176" s="1"/>
  <c r="N374" i="176" s="1"/>
  <c r="C464" i="177"/>
  <c r="L373" i="176" s="1"/>
  <c r="C463" i="177"/>
  <c r="L372" i="176" s="1"/>
  <c r="N372" i="176" s="1"/>
  <c r="C462" i="177"/>
  <c r="L371" i="176" s="1"/>
  <c r="N371" i="176" s="1"/>
  <c r="C461" i="177"/>
  <c r="L370" i="176" s="1"/>
  <c r="N370" i="176" s="1"/>
  <c r="C460" i="177"/>
  <c r="L369" i="176" s="1"/>
  <c r="N369" i="176" s="1"/>
  <c r="C459" i="177"/>
  <c r="L368" i="176" s="1"/>
  <c r="N368" i="176" s="1"/>
  <c r="C458" i="177"/>
  <c r="L367" i="176" s="1"/>
  <c r="N367" i="176" s="1"/>
  <c r="C457" i="177"/>
  <c r="L366" i="176" s="1"/>
  <c r="N366" i="176" s="1"/>
  <c r="C456" i="177"/>
  <c r="L365" i="176" s="1"/>
  <c r="N365" i="176" s="1"/>
  <c r="C455" i="177"/>
  <c r="L364" i="176" s="1"/>
  <c r="N364" i="176" s="1"/>
  <c r="C454" i="177"/>
  <c r="L363" i="176" s="1"/>
  <c r="N363" i="176" s="1"/>
  <c r="C453" i="177"/>
  <c r="L362" i="176" s="1"/>
  <c r="N362" i="176" s="1"/>
  <c r="C452" i="177"/>
  <c r="L361" i="176" s="1"/>
  <c r="N361" i="176" s="1"/>
  <c r="C451" i="177"/>
  <c r="L360" i="176" s="1"/>
  <c r="N360" i="176" s="1"/>
  <c r="C450" i="177"/>
  <c r="L359" i="176" s="1"/>
  <c r="N359" i="176" s="1"/>
  <c r="C449" i="177"/>
  <c r="L358" i="176" s="1"/>
  <c r="N358" i="176" s="1"/>
  <c r="C448" i="177"/>
  <c r="L357" i="176" s="1"/>
  <c r="N357" i="176" s="1"/>
  <c r="C447" i="177"/>
  <c r="L356" i="176" s="1"/>
  <c r="N356" i="176" s="1"/>
  <c r="C446" i="177"/>
  <c r="L355" i="176" s="1"/>
  <c r="N355" i="176" s="1"/>
  <c r="C445" i="177"/>
  <c r="L354" i="176" s="1"/>
  <c r="N354" i="176" s="1"/>
  <c r="C444" i="177"/>
  <c r="L353" i="176" s="1"/>
  <c r="N353" i="176" s="1"/>
  <c r="C443" i="177"/>
  <c r="L352" i="176" s="1"/>
  <c r="N352" i="176" s="1"/>
  <c r="C442" i="177"/>
  <c r="L351" i="176" s="1"/>
  <c r="N351" i="176" s="1"/>
  <c r="C441" i="177"/>
  <c r="L350" i="176" s="1"/>
  <c r="N350" i="176" s="1"/>
  <c r="C440" i="177"/>
  <c r="L349" i="176" s="1"/>
  <c r="N349" i="176" s="1"/>
  <c r="C439" i="177"/>
  <c r="L348" i="176" s="1"/>
  <c r="N348" i="176" s="1"/>
  <c r="C438" i="177"/>
  <c r="L347" i="176" s="1"/>
  <c r="N347" i="176" s="1"/>
  <c r="C437" i="177"/>
  <c r="L346" i="176" s="1"/>
  <c r="N346" i="176" s="1"/>
  <c r="C436" i="177"/>
  <c r="L345" i="176" s="1"/>
  <c r="N345" i="176" s="1"/>
  <c r="C435" i="177"/>
  <c r="L344" i="176" s="1"/>
  <c r="N344" i="176" s="1"/>
  <c r="C434" i="177"/>
  <c r="L343" i="176" s="1"/>
  <c r="N343" i="176" s="1"/>
  <c r="C433" i="177"/>
  <c r="L342" i="176" s="1"/>
  <c r="N342" i="176" s="1"/>
  <c r="C432" i="177"/>
  <c r="L341" i="176" s="1"/>
  <c r="N341" i="176" s="1"/>
  <c r="C431" i="177"/>
  <c r="L340" i="176" s="1"/>
  <c r="N340" i="176" s="1"/>
  <c r="C430" i="177"/>
  <c r="L339" i="176" s="1"/>
  <c r="N339" i="176" s="1"/>
  <c r="C429" i="177"/>
  <c r="L338" i="176" s="1"/>
  <c r="N338" i="176" s="1"/>
  <c r="C428" i="177"/>
  <c r="L337" i="176" s="1"/>
  <c r="N337" i="176" s="1"/>
  <c r="C427" i="177"/>
  <c r="L336" i="176" s="1"/>
  <c r="N336" i="176" s="1"/>
  <c r="C426" i="177"/>
  <c r="L335" i="176" s="1"/>
  <c r="N335" i="176" s="1"/>
  <c r="C425" i="177"/>
  <c r="L334" i="176" s="1"/>
  <c r="N334" i="176" s="1"/>
  <c r="C424" i="177"/>
  <c r="L333" i="176" s="1"/>
  <c r="N333" i="176" s="1"/>
  <c r="C423" i="177"/>
  <c r="L332" i="176" s="1"/>
  <c r="N332" i="176" s="1"/>
  <c r="C422" i="177"/>
  <c r="L331" i="176" s="1"/>
  <c r="N331" i="176" s="1"/>
  <c r="C421" i="177"/>
  <c r="L330" i="176" s="1"/>
  <c r="N330" i="176" s="1"/>
  <c r="C420" i="177"/>
  <c r="L329" i="176" s="1"/>
  <c r="N329" i="176" s="1"/>
  <c r="C419" i="177"/>
  <c r="L328" i="176" s="1"/>
  <c r="N328" i="176" s="1"/>
  <c r="C418" i="177"/>
  <c r="L327" i="176" s="1"/>
  <c r="N327" i="176" s="1"/>
  <c r="C417" i="177"/>
  <c r="L326" i="176" s="1"/>
  <c r="N326" i="176" s="1"/>
  <c r="C416" i="177"/>
  <c r="L325" i="176" s="1"/>
  <c r="N325" i="176" s="1"/>
  <c r="C415" i="177"/>
  <c r="L324" i="176" s="1"/>
  <c r="N324" i="176" s="1"/>
  <c r="C414" i="177"/>
  <c r="L323" i="176" s="1"/>
  <c r="N323" i="176" s="1"/>
  <c r="C413" i="177"/>
  <c r="L322" i="176" s="1"/>
  <c r="N322" i="176" s="1"/>
  <c r="C412" i="177"/>
  <c r="L321" i="176" s="1"/>
  <c r="N321" i="176" s="1"/>
  <c r="C411" i="177"/>
  <c r="L320" i="176" s="1"/>
  <c r="N320" i="176" s="1"/>
  <c r="C410" i="177"/>
  <c r="L319" i="176" s="1"/>
  <c r="N319" i="176" s="1"/>
  <c r="C409" i="177"/>
  <c r="L318" i="176" s="1"/>
  <c r="N318" i="176" s="1"/>
  <c r="C408" i="177"/>
  <c r="L317" i="176" s="1"/>
  <c r="N317" i="176" s="1"/>
  <c r="C407" i="177"/>
  <c r="L316" i="176" s="1"/>
  <c r="N316" i="176" s="1"/>
  <c r="C406" i="177"/>
  <c r="L315" i="176" s="1"/>
  <c r="N315" i="176" s="1"/>
  <c r="C405" i="177"/>
  <c r="L314" i="176" s="1"/>
  <c r="N314" i="176" s="1"/>
  <c r="C404" i="177"/>
  <c r="L313" i="176" s="1"/>
  <c r="N313" i="176" s="1"/>
  <c r="C403" i="177"/>
  <c r="L312" i="176" s="1"/>
  <c r="N312" i="176" s="1"/>
  <c r="C402" i="177"/>
  <c r="L311" i="176" s="1"/>
  <c r="N311" i="176" s="1"/>
  <c r="C401" i="177"/>
  <c r="L310" i="176" s="1"/>
  <c r="N310" i="176" s="1"/>
  <c r="C400" i="177"/>
  <c r="L309" i="176" s="1"/>
  <c r="N309" i="176" s="1"/>
  <c r="C399" i="177"/>
  <c r="L308" i="176" s="1"/>
  <c r="N308" i="176" s="1"/>
  <c r="C398" i="177"/>
  <c r="L307" i="176" s="1"/>
  <c r="N307" i="176" s="1"/>
  <c r="C397" i="177"/>
  <c r="L306" i="176" s="1"/>
  <c r="N306" i="176" s="1"/>
  <c r="C396" i="177"/>
  <c r="L305" i="176" s="1"/>
  <c r="N305" i="176" s="1"/>
  <c r="C395" i="177"/>
  <c r="L304" i="176" s="1"/>
  <c r="N304" i="176" s="1"/>
  <c r="C394" i="177"/>
  <c r="L303" i="176" s="1"/>
  <c r="N303" i="176" s="1"/>
  <c r="C393" i="177"/>
  <c r="L302" i="176" s="1"/>
  <c r="N302" i="176" s="1"/>
  <c r="C392" i="177"/>
  <c r="L301" i="176" s="1"/>
  <c r="N301" i="176" s="1"/>
  <c r="C391" i="177"/>
  <c r="L300" i="176" s="1"/>
  <c r="N300" i="176" s="1"/>
  <c r="C390" i="177"/>
  <c r="L299" i="176" s="1"/>
  <c r="N299" i="176" s="1"/>
  <c r="C389" i="177"/>
  <c r="L298" i="176" s="1"/>
  <c r="N298" i="176" s="1"/>
  <c r="C388" i="177"/>
  <c r="L297" i="176" s="1"/>
  <c r="N297" i="176" s="1"/>
  <c r="C387" i="177"/>
  <c r="L296" i="176" s="1"/>
  <c r="N296" i="176" s="1"/>
  <c r="C386" i="177"/>
  <c r="L295" i="176" s="1"/>
  <c r="N295" i="176" s="1"/>
  <c r="C385" i="177"/>
  <c r="L294" i="176" s="1"/>
  <c r="N294" i="176" s="1"/>
  <c r="C384" i="177"/>
  <c r="L293" i="176" s="1"/>
  <c r="N293" i="176" s="1"/>
  <c r="C383" i="177"/>
  <c r="L292" i="176" s="1"/>
  <c r="N292" i="176" s="1"/>
  <c r="C382" i="177"/>
  <c r="L291" i="176" s="1"/>
  <c r="N291" i="176" s="1"/>
  <c r="C381" i="177"/>
  <c r="L290" i="176" s="1"/>
  <c r="N290" i="176" s="1"/>
  <c r="C380" i="177"/>
  <c r="L289" i="176" s="1"/>
  <c r="N289" i="176" s="1"/>
  <c r="C379" i="177"/>
  <c r="L288" i="176" s="1"/>
  <c r="N288" i="176" s="1"/>
  <c r="C378" i="177"/>
  <c r="L287" i="176" s="1"/>
  <c r="N287" i="176" s="1"/>
  <c r="C377" i="177"/>
  <c r="L286" i="176" s="1"/>
  <c r="N286" i="176" s="1"/>
  <c r="C376" i="177"/>
  <c r="L285" i="176" s="1"/>
  <c r="N285" i="176" s="1"/>
  <c r="C375" i="177"/>
  <c r="L284" i="176" s="1"/>
  <c r="N284" i="176" s="1"/>
  <c r="C374" i="177"/>
  <c r="L283" i="176" s="1"/>
  <c r="N283" i="176" s="1"/>
  <c r="C373" i="177"/>
  <c r="L282" i="176" s="1"/>
  <c r="N282" i="176" s="1"/>
  <c r="C372" i="177"/>
  <c r="L281" i="176" s="1"/>
  <c r="N281" i="176" s="1"/>
  <c r="C371" i="177"/>
  <c r="L280" i="176" s="1"/>
  <c r="N280" i="176" s="1"/>
  <c r="C370" i="177"/>
  <c r="L279" i="176" s="1"/>
  <c r="N279" i="176" s="1"/>
  <c r="C369" i="177"/>
  <c r="L278" i="176" s="1"/>
  <c r="N278" i="176" s="1"/>
  <c r="C368" i="177"/>
  <c r="L277" i="176" s="1"/>
  <c r="N277" i="176" s="1"/>
  <c r="C367" i="177"/>
  <c r="L276" i="176" s="1"/>
  <c r="N276" i="176" s="1"/>
  <c r="C366" i="177"/>
  <c r="L275" i="176" s="1"/>
  <c r="N275" i="176" s="1"/>
  <c r="C365" i="177"/>
  <c r="L274" i="176" s="1"/>
  <c r="N274" i="176" s="1"/>
  <c r="C364" i="177"/>
  <c r="L273" i="176" s="1"/>
  <c r="N273" i="176" s="1"/>
  <c r="C363" i="177"/>
  <c r="L272" i="176" s="1"/>
  <c r="N272" i="176" s="1"/>
  <c r="C362" i="177"/>
  <c r="L271" i="176" s="1"/>
  <c r="N271" i="176" s="1"/>
  <c r="C361" i="177"/>
  <c r="L270" i="176" s="1"/>
  <c r="N270" i="176" s="1"/>
  <c r="C360" i="177"/>
  <c r="L269" i="176" s="1"/>
  <c r="N269" i="176" s="1"/>
  <c r="C359" i="177"/>
  <c r="L268" i="176" s="1"/>
  <c r="N268" i="176" s="1"/>
  <c r="C358" i="177"/>
  <c r="L267" i="176" s="1"/>
  <c r="N267" i="176" s="1"/>
  <c r="C357" i="177"/>
  <c r="L266" i="176" s="1"/>
  <c r="C356" i="177"/>
  <c r="L265" i="176" s="1"/>
  <c r="N265" i="176" s="1"/>
  <c r="C355" i="177"/>
  <c r="L264" i="176" s="1"/>
  <c r="N264" i="176" s="1"/>
  <c r="C354" i="177"/>
  <c r="L263" i="176" s="1"/>
  <c r="N263" i="176" s="1"/>
  <c r="C353" i="177"/>
  <c r="L262" i="176" s="1"/>
  <c r="N262" i="176" s="1"/>
  <c r="C352" i="177"/>
  <c r="L261" i="176" s="1"/>
  <c r="N261" i="176" s="1"/>
  <c r="C351" i="177"/>
  <c r="L260" i="176" s="1"/>
  <c r="N260" i="176" s="1"/>
  <c r="C350" i="177"/>
  <c r="L259" i="176" s="1"/>
  <c r="N259" i="176" s="1"/>
  <c r="C349" i="177"/>
  <c r="L258" i="176" s="1"/>
  <c r="N258" i="176" s="1"/>
  <c r="C348" i="177"/>
  <c r="L257" i="176" s="1"/>
  <c r="N257" i="176" s="1"/>
  <c r="C347" i="177"/>
  <c r="L256" i="176" s="1"/>
  <c r="N256" i="176" s="1"/>
  <c r="C346" i="177"/>
  <c r="L255" i="176" s="1"/>
  <c r="N255" i="176" s="1"/>
  <c r="C345" i="177"/>
  <c r="L254" i="176" s="1"/>
  <c r="N254" i="176" s="1"/>
  <c r="C344" i="177"/>
  <c r="L253" i="176" s="1"/>
  <c r="N253" i="176" s="1"/>
  <c r="C343" i="177"/>
  <c r="L252" i="176" s="1"/>
  <c r="N252" i="176" s="1"/>
  <c r="C342" i="177"/>
  <c r="L251" i="176" s="1"/>
  <c r="N251" i="176" s="1"/>
  <c r="C341" i="177"/>
  <c r="L250" i="176" s="1"/>
  <c r="N250" i="176" s="1"/>
  <c r="C340" i="177"/>
  <c r="L249" i="176" s="1"/>
  <c r="N249" i="176" s="1"/>
  <c r="C339" i="177"/>
  <c r="L248" i="176" s="1"/>
  <c r="N248" i="176" s="1"/>
  <c r="C338" i="177"/>
  <c r="L247" i="176" s="1"/>
  <c r="N247" i="176" s="1"/>
  <c r="C337" i="177"/>
  <c r="L246" i="176" s="1"/>
  <c r="N246" i="176" s="1"/>
  <c r="C336" i="177"/>
  <c r="L245" i="176" s="1"/>
  <c r="N245" i="176" s="1"/>
  <c r="C335" i="177"/>
  <c r="L244" i="176" s="1"/>
  <c r="N244" i="176" s="1"/>
  <c r="C334" i="177"/>
  <c r="L243" i="176" s="1"/>
  <c r="N243" i="176" s="1"/>
  <c r="C333" i="177"/>
  <c r="L242" i="176" s="1"/>
  <c r="N242" i="176" s="1"/>
  <c r="C332" i="177"/>
  <c r="L241" i="176" s="1"/>
  <c r="N241" i="176" s="1"/>
  <c r="C331" i="177"/>
  <c r="L240" i="176" s="1"/>
  <c r="N240" i="176" s="1"/>
  <c r="C330" i="177"/>
  <c r="L239" i="176" s="1"/>
  <c r="N239" i="176" s="1"/>
  <c r="C329" i="177"/>
  <c r="L238" i="176" s="1"/>
  <c r="N238" i="176" s="1"/>
  <c r="C328" i="177"/>
  <c r="L237" i="176" s="1"/>
  <c r="N237" i="176" s="1"/>
  <c r="C327" i="177"/>
  <c r="L236" i="176" s="1"/>
  <c r="N236" i="176" s="1"/>
  <c r="C326" i="177"/>
  <c r="L235" i="176" s="1"/>
  <c r="N235" i="176" s="1"/>
  <c r="C325" i="177"/>
  <c r="L234" i="176" s="1"/>
  <c r="N234" i="176" s="1"/>
  <c r="C324" i="177"/>
  <c r="L233" i="176" s="1"/>
  <c r="N233" i="176" s="1"/>
  <c r="C323" i="177"/>
  <c r="L232" i="176" s="1"/>
  <c r="N232" i="176" s="1"/>
  <c r="C322" i="177"/>
  <c r="L231" i="176" s="1"/>
  <c r="N231" i="176" s="1"/>
  <c r="C321" i="177"/>
  <c r="L230" i="176" s="1"/>
  <c r="N230" i="176" s="1"/>
  <c r="C320" i="177"/>
  <c r="L229" i="176" s="1"/>
  <c r="N229" i="176" s="1"/>
  <c r="C319" i="177"/>
  <c r="L228" i="176" s="1"/>
  <c r="N228" i="176" s="1"/>
  <c r="C318" i="177"/>
  <c r="L227" i="176" s="1"/>
  <c r="N227" i="176" s="1"/>
  <c r="C317" i="177"/>
  <c r="L226" i="176" s="1"/>
  <c r="N226" i="176" s="1"/>
  <c r="C316" i="177"/>
  <c r="L225" i="176" s="1"/>
  <c r="N225" i="176" s="1"/>
  <c r="C315" i="177"/>
  <c r="L224" i="176" s="1"/>
  <c r="N224" i="176" s="1"/>
  <c r="C314" i="177"/>
  <c r="L223" i="176" s="1"/>
  <c r="N223" i="176" s="1"/>
  <c r="C313" i="177"/>
  <c r="L222" i="176" s="1"/>
  <c r="N222" i="176" s="1"/>
  <c r="C312" i="177"/>
  <c r="L221" i="176" s="1"/>
  <c r="N221" i="176" s="1"/>
  <c r="C311" i="177"/>
  <c r="L220" i="176" s="1"/>
  <c r="N220" i="176" s="1"/>
  <c r="C310" i="177"/>
  <c r="L219" i="176" s="1"/>
  <c r="N219" i="176" s="1"/>
  <c r="C309" i="177"/>
  <c r="L218" i="176" s="1"/>
  <c r="N218" i="176" s="1"/>
  <c r="C308" i="177"/>
  <c r="L217" i="176" s="1"/>
  <c r="N217" i="176" s="1"/>
  <c r="C307" i="177"/>
  <c r="L216" i="176" s="1"/>
  <c r="N216" i="176" s="1"/>
  <c r="C306" i="177"/>
  <c r="L215" i="176" s="1"/>
  <c r="N215" i="176" s="1"/>
  <c r="C305" i="177"/>
  <c r="L214" i="176" s="1"/>
  <c r="N214" i="176" s="1"/>
  <c r="C304" i="177"/>
  <c r="L213" i="176" s="1"/>
  <c r="N213" i="176" s="1"/>
  <c r="C303" i="177"/>
  <c r="L212" i="176" s="1"/>
  <c r="N212" i="176" s="1"/>
  <c r="C302" i="177"/>
  <c r="L211" i="176" s="1"/>
  <c r="C301" i="177"/>
  <c r="L210" i="176" s="1"/>
  <c r="C300" i="177"/>
  <c r="L209" i="176" s="1"/>
  <c r="N209" i="176" s="1"/>
  <c r="C299" i="177"/>
  <c r="L208" i="176" s="1"/>
  <c r="N208" i="176" s="1"/>
  <c r="C298" i="177"/>
  <c r="L207" i="176" s="1"/>
  <c r="N207" i="176" s="1"/>
  <c r="C297" i="177"/>
  <c r="L206" i="176" s="1"/>
  <c r="N206" i="176" s="1"/>
  <c r="C296" i="177"/>
  <c r="L205" i="176" s="1"/>
  <c r="N205" i="176" s="1"/>
  <c r="C295" i="177"/>
  <c r="L204" i="176" s="1"/>
  <c r="N204" i="176" s="1"/>
  <c r="C294" i="177"/>
  <c r="L203" i="176" s="1"/>
  <c r="N203" i="176" s="1"/>
  <c r="C293" i="177"/>
  <c r="L202" i="176" s="1"/>
  <c r="N202" i="176" s="1"/>
  <c r="C292" i="177"/>
  <c r="L201" i="176" s="1"/>
  <c r="N201" i="176" s="1"/>
  <c r="C291" i="177"/>
  <c r="L200" i="176" s="1"/>
  <c r="N200" i="176" s="1"/>
  <c r="C290" i="177"/>
  <c r="L199" i="176" s="1"/>
  <c r="N199" i="176" s="1"/>
  <c r="C289" i="177"/>
  <c r="L198" i="176" s="1"/>
  <c r="N198" i="176" s="1"/>
  <c r="C288" i="177"/>
  <c r="L197" i="176" s="1"/>
  <c r="N197" i="176" s="1"/>
  <c r="C287" i="177"/>
  <c r="L196" i="176" s="1"/>
  <c r="N196" i="176" s="1"/>
  <c r="C286" i="177"/>
  <c r="L195" i="176" s="1"/>
  <c r="N195" i="176" s="1"/>
  <c r="C285" i="177"/>
  <c r="L194" i="176" s="1"/>
  <c r="N194" i="176" s="1"/>
  <c r="C284" i="177"/>
  <c r="L193" i="176" s="1"/>
  <c r="N193" i="176" s="1"/>
  <c r="C283" i="177"/>
  <c r="L192" i="176" s="1"/>
  <c r="N192" i="176" s="1"/>
  <c r="C282" i="177"/>
  <c r="L191" i="176" s="1"/>
  <c r="N191" i="176" s="1"/>
  <c r="C281" i="177"/>
  <c r="L190" i="176" s="1"/>
  <c r="N190" i="176" s="1"/>
  <c r="C280" i="177"/>
  <c r="L189" i="176" s="1"/>
  <c r="N189" i="176" s="1"/>
  <c r="C279" i="177"/>
  <c r="L188" i="176" s="1"/>
  <c r="N188" i="176" s="1"/>
  <c r="C278" i="177"/>
  <c r="L187" i="176" s="1"/>
  <c r="N187" i="176" s="1"/>
  <c r="C277" i="177"/>
  <c r="L186" i="176" s="1"/>
  <c r="N186" i="176" s="1"/>
  <c r="C276" i="177"/>
  <c r="L185" i="176" s="1"/>
  <c r="N185" i="176" s="1"/>
  <c r="C275" i="177"/>
  <c r="L184" i="176" s="1"/>
  <c r="N184" i="176" s="1"/>
  <c r="C274" i="177"/>
  <c r="L183" i="176" s="1"/>
  <c r="N183" i="176" s="1"/>
  <c r="C273" i="177"/>
  <c r="L182" i="176" s="1"/>
  <c r="N182" i="176" s="1"/>
  <c r="C272" i="177"/>
  <c r="L181" i="176" s="1"/>
  <c r="N181" i="176" s="1"/>
  <c r="C271" i="177"/>
  <c r="L180" i="176" s="1"/>
  <c r="N180" i="176" s="1"/>
  <c r="C270" i="177"/>
  <c r="L179" i="176" s="1"/>
  <c r="N179" i="176" s="1"/>
  <c r="C269" i="177"/>
  <c r="L178" i="176" s="1"/>
  <c r="N178" i="176" s="1"/>
  <c r="C268" i="177"/>
  <c r="L177" i="176" s="1"/>
  <c r="N177" i="176" s="1"/>
  <c r="C267" i="177"/>
  <c r="L176" i="176" s="1"/>
  <c r="N176" i="176" s="1"/>
  <c r="C266" i="177"/>
  <c r="L175" i="176" s="1"/>
  <c r="N175" i="176" s="1"/>
  <c r="C265" i="177"/>
  <c r="L174" i="176" s="1"/>
  <c r="N174" i="176" s="1"/>
  <c r="C264" i="177"/>
  <c r="L173" i="176" s="1"/>
  <c r="N173" i="176" s="1"/>
  <c r="C263" i="177"/>
  <c r="L172" i="176" s="1"/>
  <c r="N172" i="176" s="1"/>
  <c r="C262" i="177"/>
  <c r="L171" i="176" s="1"/>
  <c r="N171" i="176" s="1"/>
  <c r="C261" i="177"/>
  <c r="L170" i="176" s="1"/>
  <c r="N170" i="176" s="1"/>
  <c r="C260" i="177"/>
  <c r="L169" i="176" s="1"/>
  <c r="N169" i="176" s="1"/>
  <c r="C259" i="177"/>
  <c r="L168" i="176" s="1"/>
  <c r="N168" i="176" s="1"/>
  <c r="C258" i="177"/>
  <c r="L167" i="176" s="1"/>
  <c r="N167" i="176" s="1"/>
  <c r="C257" i="177"/>
  <c r="L166" i="176" s="1"/>
  <c r="N166" i="176" s="1"/>
  <c r="C256" i="177"/>
  <c r="L165" i="176" s="1"/>
  <c r="N165" i="176" s="1"/>
  <c r="C255" i="177"/>
  <c r="L164" i="176" s="1"/>
  <c r="N164" i="176" s="1"/>
  <c r="C254" i="177"/>
  <c r="L163" i="176" s="1"/>
  <c r="N163" i="176" s="1"/>
  <c r="C253" i="177"/>
  <c r="L162" i="176" s="1"/>
  <c r="N162" i="176" s="1"/>
  <c r="C252" i="177"/>
  <c r="L161" i="176" s="1"/>
  <c r="N161" i="176" s="1"/>
  <c r="C251" i="177"/>
  <c r="L160" i="176" s="1"/>
  <c r="N160" i="176" s="1"/>
  <c r="C250" i="177"/>
  <c r="L159" i="176" s="1"/>
  <c r="N159" i="176" s="1"/>
  <c r="C249" i="177"/>
  <c r="L158" i="176" s="1"/>
  <c r="N158" i="176" s="1"/>
  <c r="C248" i="177"/>
  <c r="L157" i="176" s="1"/>
  <c r="N157" i="176" s="1"/>
  <c r="C247" i="177"/>
  <c r="L156" i="176" s="1"/>
  <c r="N156" i="176" s="1"/>
  <c r="C246" i="177"/>
  <c r="L155" i="176" s="1"/>
  <c r="N155" i="176" s="1"/>
  <c r="C245" i="177"/>
  <c r="L154" i="176" s="1"/>
  <c r="N154" i="176" s="1"/>
  <c r="C244" i="177"/>
  <c r="L153" i="176" s="1"/>
  <c r="N153" i="176" s="1"/>
  <c r="C243" i="177"/>
  <c r="L152" i="176" s="1"/>
  <c r="N152" i="176" s="1"/>
  <c r="C242" i="177"/>
  <c r="L151" i="176" s="1"/>
  <c r="N151" i="176" s="1"/>
  <c r="C241" i="177"/>
  <c r="L150" i="176" s="1"/>
  <c r="N150" i="176" s="1"/>
  <c r="C240" i="177"/>
  <c r="L149" i="176" s="1"/>
  <c r="N149" i="176" s="1"/>
  <c r="C239" i="177"/>
  <c r="L148" i="176" s="1"/>
  <c r="N148" i="176" s="1"/>
  <c r="C238" i="177"/>
  <c r="L147" i="176" s="1"/>
  <c r="N147" i="176" s="1"/>
  <c r="C237" i="177"/>
  <c r="L146" i="176" s="1"/>
  <c r="N146" i="176" s="1"/>
  <c r="C236" i="177"/>
  <c r="L145" i="176" s="1"/>
  <c r="N145" i="176" s="1"/>
  <c r="C235" i="177"/>
  <c r="L144" i="176" s="1"/>
  <c r="N144" i="176" s="1"/>
  <c r="C234" i="177"/>
  <c r="L143" i="176" s="1"/>
  <c r="N143" i="176" s="1"/>
  <c r="C233" i="177"/>
  <c r="L142" i="176" s="1"/>
  <c r="N142" i="176" s="1"/>
  <c r="C232" i="177"/>
  <c r="L141" i="176" s="1"/>
  <c r="N141" i="176" s="1"/>
  <c r="C231" i="177"/>
  <c r="L140" i="176" s="1"/>
  <c r="N140" i="176" s="1"/>
  <c r="C230" i="177"/>
  <c r="L139" i="176" s="1"/>
  <c r="N139" i="176" s="1"/>
  <c r="C229" i="177"/>
  <c r="L138" i="176" s="1"/>
  <c r="N138" i="176" s="1"/>
  <c r="C228" i="177"/>
  <c r="L137" i="176" s="1"/>
  <c r="N137" i="176" s="1"/>
  <c r="C227" i="177"/>
  <c r="L136" i="176" s="1"/>
  <c r="N136" i="176" s="1"/>
  <c r="C226" i="177"/>
  <c r="L135" i="176" s="1"/>
  <c r="N135" i="176" s="1"/>
  <c r="C225" i="177"/>
  <c r="L134" i="176" s="1"/>
  <c r="N134" i="176" s="1"/>
  <c r="C224" i="177"/>
  <c r="L133" i="176" s="1"/>
  <c r="N133" i="176" s="1"/>
  <c r="C223" i="177"/>
  <c r="L132" i="176" s="1"/>
  <c r="N132" i="176" s="1"/>
  <c r="C222" i="177"/>
  <c r="L131" i="176" s="1"/>
  <c r="N131" i="176" s="1"/>
  <c r="C221" i="177"/>
  <c r="L130" i="176" s="1"/>
  <c r="N130" i="176" s="1"/>
  <c r="C220" i="177"/>
  <c r="L129" i="176" s="1"/>
  <c r="N129" i="176" s="1"/>
  <c r="C219" i="177"/>
  <c r="L128" i="176" s="1"/>
  <c r="N128" i="176" s="1"/>
  <c r="C218" i="177"/>
  <c r="L127" i="176" s="1"/>
  <c r="N127" i="176" s="1"/>
  <c r="C217" i="177"/>
  <c r="L126" i="176" s="1"/>
  <c r="N126" i="176" s="1"/>
  <c r="C216" i="177"/>
  <c r="L125" i="176" s="1"/>
  <c r="N125" i="176" s="1"/>
  <c r="C215" i="177"/>
  <c r="L124" i="176" s="1"/>
  <c r="N124" i="176" s="1"/>
  <c r="C214" i="177"/>
  <c r="L123" i="176" s="1"/>
  <c r="N123" i="176" s="1"/>
  <c r="C213" i="177"/>
  <c r="L122" i="176" s="1"/>
  <c r="N122" i="176" s="1"/>
  <c r="C212" i="177"/>
  <c r="L121" i="176" s="1"/>
  <c r="N121" i="176" s="1"/>
  <c r="C211" i="177"/>
  <c r="L120" i="176" s="1"/>
  <c r="N120" i="176" s="1"/>
  <c r="C210" i="177"/>
  <c r="L119" i="176" s="1"/>
  <c r="N119" i="176" s="1"/>
  <c r="C209" i="177"/>
  <c r="L118" i="176" s="1"/>
  <c r="N118" i="176" s="1"/>
  <c r="C208" i="177"/>
  <c r="L117" i="176" s="1"/>
  <c r="N117" i="176" s="1"/>
  <c r="C207" i="177"/>
  <c r="L116" i="176" s="1"/>
  <c r="N116" i="176" s="1"/>
  <c r="C206" i="177"/>
  <c r="L115" i="176" s="1"/>
  <c r="N115" i="176" s="1"/>
  <c r="C205" i="177"/>
  <c r="L114" i="176" s="1"/>
  <c r="N114" i="176" s="1"/>
  <c r="C204" i="177"/>
  <c r="L113" i="176" s="1"/>
  <c r="N113" i="176" s="1"/>
  <c r="C203" i="177"/>
  <c r="L112" i="176" s="1"/>
  <c r="N112" i="176" s="1"/>
  <c r="C202" i="177"/>
  <c r="L111" i="176" s="1"/>
  <c r="N111" i="176" s="1"/>
  <c r="C201" i="177"/>
  <c r="L110" i="176" s="1"/>
  <c r="N110" i="176" s="1"/>
  <c r="C200" i="177"/>
  <c r="L109" i="176" s="1"/>
  <c r="N109" i="176" s="1"/>
  <c r="C199" i="177"/>
  <c r="L108" i="176" s="1"/>
  <c r="N108" i="176" s="1"/>
  <c r="C198" i="177"/>
  <c r="L107" i="176" s="1"/>
  <c r="N107" i="176" s="1"/>
  <c r="C197" i="177"/>
  <c r="L106" i="176" s="1"/>
  <c r="N106" i="176" s="1"/>
  <c r="C196" i="177"/>
  <c r="L105" i="176" s="1"/>
  <c r="N105" i="176" s="1"/>
  <c r="C195" i="177"/>
  <c r="L104" i="176" s="1"/>
  <c r="N104" i="176" s="1"/>
  <c r="C194" i="177"/>
  <c r="L103" i="176" s="1"/>
  <c r="N103" i="176" s="1"/>
  <c r="C193" i="177"/>
  <c r="L102" i="176" s="1"/>
  <c r="N102" i="176" s="1"/>
  <c r="C192" i="177"/>
  <c r="L101" i="176" s="1"/>
  <c r="N101" i="176" s="1"/>
  <c r="C191" i="177"/>
  <c r="L100" i="176" s="1"/>
  <c r="N100" i="176" s="1"/>
  <c r="C190" i="177"/>
  <c r="L99" i="176" s="1"/>
  <c r="N99" i="176" s="1"/>
  <c r="C189" i="177"/>
  <c r="L98" i="176" s="1"/>
  <c r="N98" i="176" s="1"/>
  <c r="C188" i="177"/>
  <c r="L97" i="176" s="1"/>
  <c r="N97" i="176" s="1"/>
  <c r="C187" i="177"/>
  <c r="L96" i="176" s="1"/>
  <c r="N96" i="176" s="1"/>
  <c r="C186" i="177"/>
  <c r="L95" i="176" s="1"/>
  <c r="N95" i="176" s="1"/>
  <c r="C185" i="177"/>
  <c r="L94" i="176" s="1"/>
  <c r="N94" i="176" s="1"/>
  <c r="C184" i="177"/>
  <c r="L93" i="176" s="1"/>
  <c r="N93" i="176" s="1"/>
  <c r="C183" i="177"/>
  <c r="L92" i="176" s="1"/>
  <c r="N92" i="176" s="1"/>
  <c r="C182" i="177"/>
  <c r="L91" i="176" s="1"/>
  <c r="N91" i="176" s="1"/>
  <c r="C181" i="177"/>
  <c r="L90" i="176" s="1"/>
  <c r="N90" i="176" s="1"/>
  <c r="C180" i="177"/>
  <c r="L89" i="176" s="1"/>
  <c r="N89" i="176" s="1"/>
  <c r="C179" i="177"/>
  <c r="L88" i="176" s="1"/>
  <c r="N88" i="176" s="1"/>
  <c r="C178" i="177"/>
  <c r="L87" i="176" s="1"/>
  <c r="N87" i="176" s="1"/>
  <c r="C177" i="177"/>
  <c r="L86" i="176" s="1"/>
  <c r="N86" i="176" s="1"/>
  <c r="C176" i="177"/>
  <c r="L85" i="176" s="1"/>
  <c r="N85" i="176" s="1"/>
  <c r="C175" i="177"/>
  <c r="L84" i="176" s="1"/>
  <c r="N84" i="176" s="1"/>
  <c r="C174" i="177"/>
  <c r="L83" i="176" s="1"/>
  <c r="N83" i="176" s="1"/>
  <c r="C173" i="177"/>
  <c r="L82" i="176" s="1"/>
  <c r="N82" i="176" s="1"/>
  <c r="C172" i="177"/>
  <c r="L81" i="176" s="1"/>
  <c r="C171" i="177"/>
  <c r="L80" i="176" s="1"/>
  <c r="N80" i="176" s="1"/>
  <c r="C170" i="177"/>
  <c r="L79" i="176" s="1"/>
  <c r="N79" i="176" s="1"/>
  <c r="C169" i="177"/>
  <c r="L78" i="176" s="1"/>
  <c r="N78" i="176" s="1"/>
  <c r="C168" i="177"/>
  <c r="L77" i="176" s="1"/>
  <c r="N77" i="176" s="1"/>
  <c r="C167" i="177"/>
  <c r="L76" i="176" s="1"/>
  <c r="N76" i="176" s="1"/>
  <c r="C166" i="177"/>
  <c r="L75" i="176" s="1"/>
  <c r="N75" i="176" s="1"/>
  <c r="C165" i="177"/>
  <c r="L74" i="176" s="1"/>
  <c r="N74" i="176" s="1"/>
  <c r="C164" i="177"/>
  <c r="L73" i="176" s="1"/>
  <c r="N73" i="176" s="1"/>
  <c r="C163" i="177"/>
  <c r="L72" i="176" s="1"/>
  <c r="N72" i="176" s="1"/>
  <c r="C162" i="177"/>
  <c r="L71" i="176" s="1"/>
  <c r="N71" i="176" s="1"/>
  <c r="C161" i="177"/>
  <c r="L70" i="176" s="1"/>
  <c r="N70" i="176" s="1"/>
  <c r="C160" i="177"/>
  <c r="L69" i="176" s="1"/>
  <c r="N69" i="176" s="1"/>
  <c r="C159" i="177"/>
  <c r="L68" i="176" s="1"/>
  <c r="N68" i="176" s="1"/>
  <c r="C158" i="177"/>
  <c r="L67" i="176" s="1"/>
  <c r="N67" i="176" s="1"/>
  <c r="C157" i="177"/>
  <c r="L66" i="176" s="1"/>
  <c r="N66" i="176" s="1"/>
  <c r="C156" i="177"/>
  <c r="L65" i="176" s="1"/>
  <c r="N65" i="176" s="1"/>
  <c r="C155" i="177"/>
  <c r="L64" i="176" s="1"/>
  <c r="N64" i="176" s="1"/>
  <c r="C154" i="177"/>
  <c r="L63" i="176" s="1"/>
  <c r="N63" i="176" s="1"/>
  <c r="C153" i="177"/>
  <c r="L62" i="176" s="1"/>
  <c r="N62" i="176" s="1"/>
  <c r="C152" i="177"/>
  <c r="L61" i="176" s="1"/>
  <c r="N61" i="176" s="1"/>
  <c r="C151" i="177"/>
  <c r="L60" i="176" s="1"/>
  <c r="N60" i="176" s="1"/>
  <c r="C150" i="177"/>
  <c r="L59" i="176" s="1"/>
  <c r="N59" i="176" s="1"/>
  <c r="C149" i="177"/>
  <c r="L58" i="176" s="1"/>
  <c r="N58" i="176" s="1"/>
  <c r="C148" i="177"/>
  <c r="L57" i="176" s="1"/>
  <c r="N57" i="176" s="1"/>
  <c r="C147" i="177"/>
  <c r="L56" i="176" s="1"/>
  <c r="N56" i="176" s="1"/>
  <c r="C146" i="177"/>
  <c r="L55" i="176" s="1"/>
  <c r="N55" i="176" s="1"/>
  <c r="C145" i="177"/>
  <c r="L54" i="176" s="1"/>
  <c r="N54" i="176" s="1"/>
  <c r="C144" i="177"/>
  <c r="L53" i="176" s="1"/>
  <c r="N53" i="176" s="1"/>
  <c r="C143" i="177"/>
  <c r="L52" i="176" s="1"/>
  <c r="N52" i="176" s="1"/>
  <c r="C142" i="177"/>
  <c r="L51" i="176" s="1"/>
  <c r="N51" i="176" s="1"/>
  <c r="C141" i="177"/>
  <c r="L50" i="176" s="1"/>
  <c r="N50" i="176" s="1"/>
  <c r="C140" i="177"/>
  <c r="L49" i="176" s="1"/>
  <c r="N49" i="176" s="1"/>
  <c r="C139" i="177"/>
  <c r="L48" i="176" s="1"/>
  <c r="N48" i="176" s="1"/>
  <c r="C138" i="177"/>
  <c r="L47" i="176" s="1"/>
  <c r="N47" i="176" s="1"/>
  <c r="C137" i="177"/>
  <c r="L46" i="176" s="1"/>
  <c r="N46" i="176" s="1"/>
  <c r="C136" i="177"/>
  <c r="L45" i="176" s="1"/>
  <c r="N45" i="176" s="1"/>
  <c r="C135" i="177"/>
  <c r="L44" i="176" s="1"/>
  <c r="N44" i="176" s="1"/>
  <c r="C134" i="177"/>
  <c r="L43" i="176" s="1"/>
  <c r="N43" i="176" s="1"/>
  <c r="C133" i="177"/>
  <c r="L42" i="176" s="1"/>
  <c r="N42" i="176" s="1"/>
  <c r="C132" i="177"/>
  <c r="L41" i="176" s="1"/>
  <c r="N41" i="176" s="1"/>
  <c r="C131" i="177"/>
  <c r="L40" i="176" s="1"/>
  <c r="N40" i="176" s="1"/>
  <c r="C130" i="177"/>
  <c r="L39" i="176" s="1"/>
  <c r="N39" i="176" s="1"/>
  <c r="C129" i="177"/>
  <c r="L38" i="176" s="1"/>
  <c r="N38" i="176" s="1"/>
  <c r="C128" i="177"/>
  <c r="L37" i="176" s="1"/>
  <c r="N37" i="176" s="1"/>
  <c r="C127" i="177"/>
  <c r="L36" i="176" s="1"/>
  <c r="N36" i="176" s="1"/>
  <c r="C126" i="177"/>
  <c r="L35" i="176" s="1"/>
  <c r="N35" i="176" s="1"/>
  <c r="C125" i="177"/>
  <c r="L34" i="176" s="1"/>
  <c r="N34" i="176" s="1"/>
  <c r="C124" i="177"/>
  <c r="L33" i="176" s="1"/>
  <c r="N33" i="176" s="1"/>
  <c r="C123" i="177"/>
  <c r="L32" i="176" s="1"/>
  <c r="N32" i="176" s="1"/>
  <c r="C122" i="177"/>
  <c r="L31" i="176" s="1"/>
  <c r="N31" i="176" s="1"/>
  <c r="C121" i="177"/>
  <c r="L30" i="176" s="1"/>
  <c r="N30" i="176" s="1"/>
  <c r="C120" i="177"/>
  <c r="L29" i="176" s="1"/>
  <c r="N29" i="176" s="1"/>
  <c r="C119" i="177"/>
  <c r="L28" i="176" s="1"/>
  <c r="N28" i="176" s="1"/>
  <c r="C118" i="177"/>
  <c r="L27" i="176" s="1"/>
  <c r="N27" i="176" s="1"/>
  <c r="C117" i="177"/>
  <c r="L26" i="176" s="1"/>
  <c r="N26" i="176" s="1"/>
  <c r="C116" i="177"/>
  <c r="L25" i="176" s="1"/>
  <c r="C115" i="177"/>
  <c r="L24" i="176" s="1"/>
  <c r="N24" i="176" s="1"/>
  <c r="C114" i="177"/>
  <c r="L23" i="176" s="1"/>
  <c r="N23" i="176" s="1"/>
  <c r="C113" i="177"/>
  <c r="L22" i="176" s="1"/>
  <c r="N22" i="176" s="1"/>
  <c r="C112" i="177"/>
  <c r="L21" i="176" s="1"/>
  <c r="N21" i="176" s="1"/>
  <c r="C111" i="177"/>
  <c r="L20" i="176" s="1"/>
  <c r="N20" i="176" s="1"/>
  <c r="C110" i="177"/>
  <c r="L19" i="176" s="1"/>
  <c r="N19" i="176" s="1"/>
  <c r="C109" i="177"/>
  <c r="L18" i="176" s="1"/>
  <c r="N18" i="176" s="1"/>
  <c r="C108" i="177"/>
  <c r="L17" i="176" s="1"/>
  <c r="N17" i="176" s="1"/>
  <c r="C107" i="177"/>
  <c r="L16" i="176" s="1"/>
  <c r="N16" i="176" s="1"/>
  <c r="C106" i="177"/>
  <c r="L15" i="176" s="1"/>
  <c r="N15" i="176" s="1"/>
  <c r="C105" i="177"/>
  <c r="L14" i="176" s="1"/>
  <c r="N14" i="176" s="1"/>
  <c r="C104" i="177"/>
  <c r="L13" i="176" s="1"/>
  <c r="N13" i="176" s="1"/>
  <c r="C103" i="177"/>
  <c r="L12" i="176" s="1"/>
  <c r="C102" i="177"/>
  <c r="L11" i="176" s="1"/>
  <c r="N11" i="176" s="1"/>
  <c r="C101" i="177"/>
  <c r="L10" i="176" s="1"/>
  <c r="N10" i="176" s="1"/>
  <c r="A606" i="177"/>
  <c r="A605" i="177"/>
  <c r="D514" i="176" s="1"/>
  <c r="A604" i="177"/>
  <c r="A603" i="177"/>
  <c r="A602" i="177"/>
  <c r="A601" i="177"/>
  <c r="D510" i="176" s="1"/>
  <c r="A600" i="177"/>
  <c r="A599" i="177"/>
  <c r="A598" i="177"/>
  <c r="A597" i="177"/>
  <c r="A596" i="177"/>
  <c r="A595" i="177"/>
  <c r="D504" i="176" s="1"/>
  <c r="A594" i="177"/>
  <c r="A593" i="177"/>
  <c r="D502" i="176" s="1"/>
  <c r="A592" i="177"/>
  <c r="A591" i="177"/>
  <c r="A590" i="177"/>
  <c r="A589" i="177"/>
  <c r="D498" i="176" s="1"/>
  <c r="A588" i="177"/>
  <c r="A587" i="177"/>
  <c r="A586" i="177"/>
  <c r="A585" i="177"/>
  <c r="A584" i="177"/>
  <c r="A583" i="177"/>
  <c r="D492" i="176" s="1"/>
  <c r="A582" i="177"/>
  <c r="A581" i="177"/>
  <c r="D490" i="176" s="1"/>
  <c r="A580" i="177"/>
  <c r="A579" i="177"/>
  <c r="A578" i="177"/>
  <c r="A577" i="177"/>
  <c r="D486" i="176" s="1"/>
  <c r="A576" i="177"/>
  <c r="A575" i="177"/>
  <c r="A574" i="177"/>
  <c r="A573" i="177"/>
  <c r="A572" i="177"/>
  <c r="A571" i="177"/>
  <c r="D480" i="176" s="1"/>
  <c r="A570" i="177"/>
  <c r="A569" i="177"/>
  <c r="D478" i="176" s="1"/>
  <c r="A568" i="177"/>
  <c r="A567" i="177"/>
  <c r="A566" i="177"/>
  <c r="A565" i="177"/>
  <c r="D474" i="176" s="1"/>
  <c r="A564" i="177"/>
  <c r="A563" i="177"/>
  <c r="A562" i="177"/>
  <c r="A561" i="177"/>
  <c r="A560" i="177"/>
  <c r="A559" i="177"/>
  <c r="D468" i="176" s="1"/>
  <c r="A558" i="177"/>
  <c r="A557" i="177"/>
  <c r="A556" i="177"/>
  <c r="A555" i="177"/>
  <c r="A554" i="177"/>
  <c r="A553" i="177"/>
  <c r="D462" i="176" s="1"/>
  <c r="A552" i="177"/>
  <c r="A551" i="177"/>
  <c r="A550" i="177"/>
  <c r="D459" i="176" s="1"/>
  <c r="A549" i="177"/>
  <c r="A548" i="177"/>
  <c r="A547" i="177"/>
  <c r="D456" i="176" s="1"/>
  <c r="A546" i="177"/>
  <c r="A545" i="177"/>
  <c r="A544" i="177"/>
  <c r="D453" i="176" s="1"/>
  <c r="A543" i="177"/>
  <c r="A542" i="177"/>
  <c r="A541" i="177"/>
  <c r="D450" i="176" s="1"/>
  <c r="A540" i="177"/>
  <c r="A539" i="177"/>
  <c r="A538" i="177"/>
  <c r="D447" i="176" s="1"/>
  <c r="A537" i="177"/>
  <c r="A536" i="177"/>
  <c r="A535" i="177"/>
  <c r="D444" i="176" s="1"/>
  <c r="A534" i="177"/>
  <c r="D443" i="176" s="1"/>
  <c r="A533" i="177"/>
  <c r="D442" i="176" s="1"/>
  <c r="A532" i="177"/>
  <c r="D441" i="176" s="1"/>
  <c r="A531" i="177"/>
  <c r="A530" i="177"/>
  <c r="D439" i="176" s="1"/>
  <c r="A529" i="177"/>
  <c r="D438" i="176" s="1"/>
  <c r="A528" i="177"/>
  <c r="D437" i="176" s="1"/>
  <c r="A527" i="177"/>
  <c r="A526" i="177"/>
  <c r="D435" i="176" s="1"/>
  <c r="A525" i="177"/>
  <c r="A524" i="177"/>
  <c r="D433" i="176" s="1"/>
  <c r="A523" i="177"/>
  <c r="D432" i="176" s="1"/>
  <c r="A522" i="177"/>
  <c r="D431" i="176" s="1"/>
  <c r="A521" i="177"/>
  <c r="D430" i="176" s="1"/>
  <c r="A520" i="177"/>
  <c r="D429" i="176" s="1"/>
  <c r="A519" i="177"/>
  <c r="A518" i="177"/>
  <c r="D427" i="176" s="1"/>
  <c r="A517" i="177"/>
  <c r="D426" i="176" s="1"/>
  <c r="A516" i="177"/>
  <c r="D425" i="176" s="1"/>
  <c r="A515" i="177"/>
  <c r="A514" i="177"/>
  <c r="D423" i="176" s="1"/>
  <c r="A513" i="177"/>
  <c r="A512" i="177"/>
  <c r="D421" i="176" s="1"/>
  <c r="A511" i="177"/>
  <c r="D420" i="176" s="1"/>
  <c r="A510" i="177"/>
  <c r="D419" i="176" s="1"/>
  <c r="A509" i="177"/>
  <c r="D418" i="176" s="1"/>
  <c r="A508" i="177"/>
  <c r="D417" i="176" s="1"/>
  <c r="A507" i="177"/>
  <c r="A506" i="177"/>
  <c r="D415" i="176" s="1"/>
  <c r="A505" i="177"/>
  <c r="D414" i="176" s="1"/>
  <c r="A504" i="177"/>
  <c r="D413" i="176" s="1"/>
  <c r="A503" i="177"/>
  <c r="A502" i="177"/>
  <c r="D411" i="176" s="1"/>
  <c r="A501" i="177"/>
  <c r="A500" i="177"/>
  <c r="D409" i="176" s="1"/>
  <c r="A499" i="177"/>
  <c r="D408" i="176" s="1"/>
  <c r="A498" i="177"/>
  <c r="D407" i="176" s="1"/>
  <c r="A497" i="177"/>
  <c r="D406" i="176" s="1"/>
  <c r="A496" i="177"/>
  <c r="D405" i="176" s="1"/>
  <c r="A495" i="177"/>
  <c r="A494" i="177"/>
  <c r="D403" i="176" s="1"/>
  <c r="A493" i="177"/>
  <c r="D402" i="176" s="1"/>
  <c r="A492" i="177"/>
  <c r="D401" i="176" s="1"/>
  <c r="A491" i="177"/>
  <c r="A490" i="177"/>
  <c r="D399" i="176" s="1"/>
  <c r="A489" i="177"/>
  <c r="A488" i="177"/>
  <c r="D397" i="176" s="1"/>
  <c r="A487" i="177"/>
  <c r="D396" i="176" s="1"/>
  <c r="A486" i="177"/>
  <c r="D395" i="176" s="1"/>
  <c r="A485" i="177"/>
  <c r="D394" i="176" s="1"/>
  <c r="A484" i="177"/>
  <c r="D393" i="176" s="1"/>
  <c r="A483" i="177"/>
  <c r="A482" i="177"/>
  <c r="D391" i="176" s="1"/>
  <c r="A481" i="177"/>
  <c r="D390" i="176" s="1"/>
  <c r="A480" i="177"/>
  <c r="D389" i="176" s="1"/>
  <c r="A479" i="177"/>
  <c r="A478" i="177"/>
  <c r="D387" i="176" s="1"/>
  <c r="A477" i="177"/>
  <c r="A476" i="177"/>
  <c r="D385" i="176" s="1"/>
  <c r="A475" i="177"/>
  <c r="D384" i="176" s="1"/>
  <c r="A474" i="177"/>
  <c r="D383" i="176" s="1"/>
  <c r="A473" i="177"/>
  <c r="D382" i="176" s="1"/>
  <c r="A472" i="177"/>
  <c r="D381" i="176" s="1"/>
  <c r="A471" i="177"/>
  <c r="A470" i="177"/>
  <c r="D379" i="176" s="1"/>
  <c r="A469" i="177"/>
  <c r="D378" i="176" s="1"/>
  <c r="A468" i="177"/>
  <c r="D377" i="176" s="1"/>
  <c r="A467" i="177"/>
  <c r="A466" i="177"/>
  <c r="D375" i="176" s="1"/>
  <c r="A465" i="177"/>
  <c r="A464" i="177"/>
  <c r="D373" i="176" s="1"/>
  <c r="A463" i="177"/>
  <c r="D372" i="176" s="1"/>
  <c r="A462" i="177"/>
  <c r="D371" i="176" s="1"/>
  <c r="A461" i="177"/>
  <c r="D370" i="176" s="1"/>
  <c r="A460" i="177"/>
  <c r="D369" i="176" s="1"/>
  <c r="A459" i="177"/>
  <c r="A458" i="177"/>
  <c r="D367" i="176" s="1"/>
  <c r="A457" i="177"/>
  <c r="D366" i="176" s="1"/>
  <c r="A456" i="177"/>
  <c r="D365" i="176" s="1"/>
  <c r="A455" i="177"/>
  <c r="A454" i="177"/>
  <c r="D363" i="176" s="1"/>
  <c r="A453" i="177"/>
  <c r="A452" i="177"/>
  <c r="D361" i="176" s="1"/>
  <c r="A451" i="177"/>
  <c r="D360" i="176" s="1"/>
  <c r="A450" i="177"/>
  <c r="D359" i="176" s="1"/>
  <c r="A449" i="177"/>
  <c r="D358" i="176" s="1"/>
  <c r="A448" i="177"/>
  <c r="D357" i="176" s="1"/>
  <c r="A447" i="177"/>
  <c r="A446" i="177"/>
  <c r="D355" i="176" s="1"/>
  <c r="A445" i="177"/>
  <c r="D354" i="176" s="1"/>
  <c r="A444" i="177"/>
  <c r="D353" i="176" s="1"/>
  <c r="A443" i="177"/>
  <c r="A442" i="177"/>
  <c r="D351" i="176" s="1"/>
  <c r="A441" i="177"/>
  <c r="A440" i="177"/>
  <c r="D349" i="176" s="1"/>
  <c r="A439" i="177"/>
  <c r="D348" i="176" s="1"/>
  <c r="A438" i="177"/>
  <c r="D347" i="176" s="1"/>
  <c r="A437" i="177"/>
  <c r="A436" i="177"/>
  <c r="D345" i="176" s="1"/>
  <c r="A435" i="177"/>
  <c r="A434" i="177"/>
  <c r="D343" i="176" s="1"/>
  <c r="A433" i="177"/>
  <c r="D342" i="176" s="1"/>
  <c r="A432" i="177"/>
  <c r="D341" i="176" s="1"/>
  <c r="A431" i="177"/>
  <c r="A430" i="177"/>
  <c r="D339" i="176" s="1"/>
  <c r="A429" i="177"/>
  <c r="A428" i="177"/>
  <c r="D337" i="176" s="1"/>
  <c r="A427" i="177"/>
  <c r="D336" i="176" s="1"/>
  <c r="A426" i="177"/>
  <c r="D335" i="176" s="1"/>
  <c r="A425" i="177"/>
  <c r="D334" i="176" s="1"/>
  <c r="A424" i="177"/>
  <c r="D333" i="176" s="1"/>
  <c r="A423" i="177"/>
  <c r="D332" i="176" s="1"/>
  <c r="A422" i="177"/>
  <c r="D331" i="176" s="1"/>
  <c r="A421" i="177"/>
  <c r="D330" i="176" s="1"/>
  <c r="A420" i="177"/>
  <c r="D329" i="176" s="1"/>
  <c r="A419" i="177"/>
  <c r="A418" i="177"/>
  <c r="D327" i="176" s="1"/>
  <c r="A417" i="177"/>
  <c r="D326" i="176" s="1"/>
  <c r="A416" i="177"/>
  <c r="D325" i="176" s="1"/>
  <c r="A415" i="177"/>
  <c r="D324" i="176" s="1"/>
  <c r="A414" i="177"/>
  <c r="D323" i="176" s="1"/>
  <c r="A413" i="177"/>
  <c r="A412" i="177"/>
  <c r="D321" i="176" s="1"/>
  <c r="A411" i="177"/>
  <c r="D320" i="176" s="1"/>
  <c r="A410" i="177"/>
  <c r="D319" i="176" s="1"/>
  <c r="A409" i="177"/>
  <c r="D318" i="176" s="1"/>
  <c r="A408" i="177"/>
  <c r="D317" i="176" s="1"/>
  <c r="A407" i="177"/>
  <c r="A406" i="177"/>
  <c r="D315" i="176" s="1"/>
  <c r="A405" i="177"/>
  <c r="D314" i="176" s="1"/>
  <c r="A404" i="177"/>
  <c r="D313" i="176" s="1"/>
  <c r="A403" i="177"/>
  <c r="D312" i="176" s="1"/>
  <c r="A402" i="177"/>
  <c r="D311" i="176" s="1"/>
  <c r="A401" i="177"/>
  <c r="D310" i="176" s="1"/>
  <c r="A400" i="177"/>
  <c r="D309" i="176" s="1"/>
  <c r="A399" i="177"/>
  <c r="D308" i="176" s="1"/>
  <c r="A398" i="177"/>
  <c r="D307" i="176" s="1"/>
  <c r="A397" i="177"/>
  <c r="D306" i="176" s="1"/>
  <c r="A396" i="177"/>
  <c r="D305" i="176" s="1"/>
  <c r="A395" i="177"/>
  <c r="D304" i="176" s="1"/>
  <c r="A394" i="177"/>
  <c r="D303" i="176" s="1"/>
  <c r="A393" i="177"/>
  <c r="D302" i="176" s="1"/>
  <c r="A392" i="177"/>
  <c r="D301" i="176" s="1"/>
  <c r="A391" i="177"/>
  <c r="D300" i="176" s="1"/>
  <c r="A390" i="177"/>
  <c r="D299" i="176" s="1"/>
  <c r="A389" i="177"/>
  <c r="D298" i="176" s="1"/>
  <c r="A388" i="177"/>
  <c r="D297" i="176" s="1"/>
  <c r="A387" i="177"/>
  <c r="D296" i="176" s="1"/>
  <c r="A386" i="177"/>
  <c r="D295" i="176" s="1"/>
  <c r="A385" i="177"/>
  <c r="D294" i="176" s="1"/>
  <c r="A384" i="177"/>
  <c r="D293" i="176" s="1"/>
  <c r="A383" i="177"/>
  <c r="D292" i="176" s="1"/>
  <c r="A382" i="177"/>
  <c r="D291" i="176" s="1"/>
  <c r="A381" i="177"/>
  <c r="D290" i="176" s="1"/>
  <c r="A380" i="177"/>
  <c r="D289" i="176" s="1"/>
  <c r="A379" i="177"/>
  <c r="D288" i="176" s="1"/>
  <c r="A378" i="177"/>
  <c r="D287" i="176" s="1"/>
  <c r="A377" i="177"/>
  <c r="D286" i="176" s="1"/>
  <c r="A376" i="177"/>
  <c r="D285" i="176" s="1"/>
  <c r="A375" i="177"/>
  <c r="D284" i="176" s="1"/>
  <c r="A374" i="177"/>
  <c r="D283" i="176" s="1"/>
  <c r="A373" i="177"/>
  <c r="D282" i="176" s="1"/>
  <c r="A372" i="177"/>
  <c r="D281" i="176" s="1"/>
  <c r="A371" i="177"/>
  <c r="D280" i="176" s="1"/>
  <c r="A370" i="177"/>
  <c r="D279" i="176" s="1"/>
  <c r="A369" i="177"/>
  <c r="D278" i="176" s="1"/>
  <c r="A368" i="177"/>
  <c r="D277" i="176" s="1"/>
  <c r="A367" i="177"/>
  <c r="D276" i="176" s="1"/>
  <c r="A366" i="177"/>
  <c r="D275" i="176" s="1"/>
  <c r="A365" i="177"/>
  <c r="D274" i="176" s="1"/>
  <c r="A364" i="177"/>
  <c r="D273" i="176" s="1"/>
  <c r="A363" i="177"/>
  <c r="D272" i="176" s="1"/>
  <c r="A362" i="177"/>
  <c r="D271" i="176" s="1"/>
  <c r="A361" i="177"/>
  <c r="D270" i="176" s="1"/>
  <c r="A360" i="177"/>
  <c r="D269" i="176" s="1"/>
  <c r="A359" i="177"/>
  <c r="D268" i="176" s="1"/>
  <c r="A358" i="177"/>
  <c r="D267" i="176" s="1"/>
  <c r="A357" i="177"/>
  <c r="D266" i="176" s="1"/>
  <c r="A356" i="177"/>
  <c r="D265" i="176" s="1"/>
  <c r="A355" i="177"/>
  <c r="D264" i="176" s="1"/>
  <c r="A354" i="177"/>
  <c r="D263" i="176" s="1"/>
  <c r="A353" i="177"/>
  <c r="D262" i="176" s="1"/>
  <c r="A352" i="177"/>
  <c r="D261" i="176" s="1"/>
  <c r="A351" i="177"/>
  <c r="D260" i="176" s="1"/>
  <c r="A350" i="177"/>
  <c r="D259" i="176" s="1"/>
  <c r="A349" i="177"/>
  <c r="D258" i="176" s="1"/>
  <c r="A348" i="177"/>
  <c r="D257" i="176" s="1"/>
  <c r="A347" i="177"/>
  <c r="D256" i="176" s="1"/>
  <c r="A346" i="177"/>
  <c r="D255" i="176" s="1"/>
  <c r="A345" i="177"/>
  <c r="D254" i="176" s="1"/>
  <c r="A344" i="177"/>
  <c r="D253" i="176" s="1"/>
  <c r="A343" i="177"/>
  <c r="D252" i="176" s="1"/>
  <c r="A342" i="177"/>
  <c r="D251" i="176" s="1"/>
  <c r="A341" i="177"/>
  <c r="A340" i="177"/>
  <c r="D249" i="176" s="1"/>
  <c r="A339" i="177"/>
  <c r="D248" i="176" s="1"/>
  <c r="A338" i="177"/>
  <c r="D247" i="176" s="1"/>
  <c r="A337" i="177"/>
  <c r="D246" i="176" s="1"/>
  <c r="A336" i="177"/>
  <c r="D245" i="176" s="1"/>
  <c r="A335" i="177"/>
  <c r="D244" i="176" s="1"/>
  <c r="A334" i="177"/>
  <c r="D243" i="176" s="1"/>
  <c r="A333" i="177"/>
  <c r="D242" i="176" s="1"/>
  <c r="A332" i="177"/>
  <c r="D241" i="176" s="1"/>
  <c r="A331" i="177"/>
  <c r="D240" i="176" s="1"/>
  <c r="A330" i="177"/>
  <c r="D239" i="176" s="1"/>
  <c r="A329" i="177"/>
  <c r="A328" i="177"/>
  <c r="D237" i="176" s="1"/>
  <c r="A327" i="177"/>
  <c r="D236" i="176" s="1"/>
  <c r="A326" i="177"/>
  <c r="D235" i="176" s="1"/>
  <c r="A325" i="177"/>
  <c r="D234" i="176" s="1"/>
  <c r="A324" i="177"/>
  <c r="D233" i="176" s="1"/>
  <c r="A323" i="177"/>
  <c r="D232" i="176" s="1"/>
  <c r="A322" i="177"/>
  <c r="D231" i="176" s="1"/>
  <c r="A321" i="177"/>
  <c r="D230" i="176" s="1"/>
  <c r="A320" i="177"/>
  <c r="D229" i="176" s="1"/>
  <c r="A319" i="177"/>
  <c r="D228" i="176" s="1"/>
  <c r="A318" i="177"/>
  <c r="D227" i="176" s="1"/>
  <c r="A317" i="177"/>
  <c r="D226" i="176" s="1"/>
  <c r="A316" i="177"/>
  <c r="D225" i="176" s="1"/>
  <c r="A315" i="177"/>
  <c r="D224" i="176" s="1"/>
  <c r="A314" i="177"/>
  <c r="D223" i="176" s="1"/>
  <c r="A313" i="177"/>
  <c r="D222" i="176" s="1"/>
  <c r="A312" i="177"/>
  <c r="D221" i="176" s="1"/>
  <c r="A311" i="177"/>
  <c r="D220" i="176" s="1"/>
  <c r="A310" i="177"/>
  <c r="D219" i="176" s="1"/>
  <c r="A309" i="177"/>
  <c r="D218" i="176" s="1"/>
  <c r="A308" i="177"/>
  <c r="D217" i="176" s="1"/>
  <c r="A307" i="177"/>
  <c r="D216" i="176" s="1"/>
  <c r="A306" i="177"/>
  <c r="D215" i="176" s="1"/>
  <c r="A305" i="177"/>
  <c r="A304" i="177"/>
  <c r="D213" i="176" s="1"/>
  <c r="A303" i="177"/>
  <c r="D212" i="176" s="1"/>
  <c r="A302" i="177"/>
  <c r="D211" i="176" s="1"/>
  <c r="A301" i="177"/>
  <c r="D210" i="176" s="1"/>
  <c r="A300" i="177"/>
  <c r="D209" i="176" s="1"/>
  <c r="A299" i="177"/>
  <c r="D208" i="176" s="1"/>
  <c r="A298" i="177"/>
  <c r="D207" i="176" s="1"/>
  <c r="A297" i="177"/>
  <c r="D206" i="176" s="1"/>
  <c r="A296" i="177"/>
  <c r="D205" i="176" s="1"/>
  <c r="A295" i="177"/>
  <c r="D204" i="176" s="1"/>
  <c r="A294" i="177"/>
  <c r="D203" i="176" s="1"/>
  <c r="A293" i="177"/>
  <c r="D202" i="176" s="1"/>
  <c r="A292" i="177"/>
  <c r="D201" i="176" s="1"/>
  <c r="A291" i="177"/>
  <c r="D200" i="176" s="1"/>
  <c r="A290" i="177"/>
  <c r="D199" i="176" s="1"/>
  <c r="A289" i="177"/>
  <c r="D198" i="176" s="1"/>
  <c r="A288" i="177"/>
  <c r="D197" i="176" s="1"/>
  <c r="A287" i="177"/>
  <c r="D196" i="176" s="1"/>
  <c r="A286" i="177"/>
  <c r="D195" i="176" s="1"/>
  <c r="A285" i="177"/>
  <c r="D194" i="176" s="1"/>
  <c r="A284" i="177"/>
  <c r="D193" i="176" s="1"/>
  <c r="A283" i="177"/>
  <c r="D192" i="176" s="1"/>
  <c r="A282" i="177"/>
  <c r="D191" i="176" s="1"/>
  <c r="A281" i="177"/>
  <c r="A280" i="177"/>
  <c r="D189" i="176" s="1"/>
  <c r="A279" i="177"/>
  <c r="D188" i="176" s="1"/>
  <c r="A278" i="177"/>
  <c r="D187" i="176" s="1"/>
  <c r="A277" i="177"/>
  <c r="D186" i="176" s="1"/>
  <c r="A276" i="177"/>
  <c r="D185" i="176" s="1"/>
  <c r="A275" i="177"/>
  <c r="D184" i="176" s="1"/>
  <c r="A274" i="177"/>
  <c r="D183" i="176" s="1"/>
  <c r="A273" i="177"/>
  <c r="D182" i="176" s="1"/>
  <c r="A272" i="177"/>
  <c r="D181" i="176" s="1"/>
  <c r="A271" i="177"/>
  <c r="D180" i="176" s="1"/>
  <c r="A270" i="177"/>
  <c r="D179" i="176" s="1"/>
  <c r="A269" i="177"/>
  <c r="D178" i="176" s="1"/>
  <c r="A268" i="177"/>
  <c r="D177" i="176" s="1"/>
  <c r="A267" i="177"/>
  <c r="D176" i="176" s="1"/>
  <c r="A266" i="177"/>
  <c r="D175" i="176" s="1"/>
  <c r="A265" i="177"/>
  <c r="D174" i="176" s="1"/>
  <c r="A264" i="177"/>
  <c r="D173" i="176" s="1"/>
  <c r="A263" i="177"/>
  <c r="D172" i="176" s="1"/>
  <c r="A262" i="177"/>
  <c r="D171" i="176" s="1"/>
  <c r="A261" i="177"/>
  <c r="D170" i="176" s="1"/>
  <c r="A260" i="177"/>
  <c r="D169" i="176" s="1"/>
  <c r="A259" i="177"/>
  <c r="D168" i="176" s="1"/>
  <c r="A258" i="177"/>
  <c r="D167" i="176" s="1"/>
  <c r="A257" i="177"/>
  <c r="D166" i="176" s="1"/>
  <c r="A256" i="177"/>
  <c r="D165" i="176" s="1"/>
  <c r="A255" i="177"/>
  <c r="D164" i="176" s="1"/>
  <c r="A254" i="177"/>
  <c r="D163" i="176" s="1"/>
  <c r="A253" i="177"/>
  <c r="D162" i="176" s="1"/>
  <c r="A252" i="177"/>
  <c r="D161" i="176" s="1"/>
  <c r="A251" i="177"/>
  <c r="D160" i="176" s="1"/>
  <c r="A250" i="177"/>
  <c r="D159" i="176" s="1"/>
  <c r="A249" i="177"/>
  <c r="D158" i="176" s="1"/>
  <c r="A248" i="177"/>
  <c r="D157" i="176" s="1"/>
  <c r="A247" i="177"/>
  <c r="D156" i="176" s="1"/>
  <c r="A246" i="177"/>
  <c r="D155" i="176" s="1"/>
  <c r="A245" i="177"/>
  <c r="D154" i="176" s="1"/>
  <c r="A244" i="177"/>
  <c r="D153" i="176" s="1"/>
  <c r="A243" i="177"/>
  <c r="D152" i="176" s="1"/>
  <c r="A242" i="177"/>
  <c r="D151" i="176" s="1"/>
  <c r="A241" i="177"/>
  <c r="D150" i="176" s="1"/>
  <c r="A240" i="177"/>
  <c r="D149" i="176" s="1"/>
  <c r="A239" i="177"/>
  <c r="D148" i="176" s="1"/>
  <c r="A238" i="177"/>
  <c r="D147" i="176" s="1"/>
  <c r="A237" i="177"/>
  <c r="D146" i="176" s="1"/>
  <c r="A236" i="177"/>
  <c r="D145" i="176" s="1"/>
  <c r="A235" i="177"/>
  <c r="D144" i="176" s="1"/>
  <c r="A234" i="177"/>
  <c r="D143" i="176" s="1"/>
  <c r="A233" i="177"/>
  <c r="D142" i="176" s="1"/>
  <c r="A232" i="177"/>
  <c r="D141" i="176" s="1"/>
  <c r="A231" i="177"/>
  <c r="D140" i="176" s="1"/>
  <c r="A230" i="177"/>
  <c r="D139" i="176" s="1"/>
  <c r="A229" i="177"/>
  <c r="D138" i="176" s="1"/>
  <c r="A228" i="177"/>
  <c r="D137" i="176" s="1"/>
  <c r="A227" i="177"/>
  <c r="D136" i="176" s="1"/>
  <c r="A226" i="177"/>
  <c r="D135" i="176" s="1"/>
  <c r="A225" i="177"/>
  <c r="D134" i="176" s="1"/>
  <c r="A224" i="177"/>
  <c r="D133" i="176" s="1"/>
  <c r="A223" i="177"/>
  <c r="D132" i="176" s="1"/>
  <c r="A222" i="177"/>
  <c r="D131" i="176" s="1"/>
  <c r="A221" i="177"/>
  <c r="D130" i="176" s="1"/>
  <c r="A220" i="177"/>
  <c r="D129" i="176" s="1"/>
  <c r="A219" i="177"/>
  <c r="D128" i="176" s="1"/>
  <c r="A218" i="177"/>
  <c r="D127" i="176" s="1"/>
  <c r="A217" i="177"/>
  <c r="D126" i="176" s="1"/>
  <c r="A216" i="177"/>
  <c r="D125" i="176" s="1"/>
  <c r="A215" i="177"/>
  <c r="D124" i="176" s="1"/>
  <c r="A214" i="177"/>
  <c r="D123" i="176" s="1"/>
  <c r="A213" i="177"/>
  <c r="D122" i="176" s="1"/>
  <c r="A212" i="177"/>
  <c r="D121" i="176" s="1"/>
  <c r="A211" i="177"/>
  <c r="D120" i="176" s="1"/>
  <c r="A210" i="177"/>
  <c r="D119" i="176" s="1"/>
  <c r="A209" i="177"/>
  <c r="D118" i="176" s="1"/>
  <c r="A208" i="177"/>
  <c r="D117" i="176" s="1"/>
  <c r="A207" i="177"/>
  <c r="D116" i="176" s="1"/>
  <c r="A206" i="177"/>
  <c r="D115" i="176" s="1"/>
  <c r="A205" i="177"/>
  <c r="D114" i="176" s="1"/>
  <c r="A204" i="177"/>
  <c r="D113" i="176" s="1"/>
  <c r="A203" i="177"/>
  <c r="D112" i="176" s="1"/>
  <c r="A202" i="177"/>
  <c r="D111" i="176" s="1"/>
  <c r="A201" i="177"/>
  <c r="D110" i="176" s="1"/>
  <c r="A200" i="177"/>
  <c r="D109" i="176" s="1"/>
  <c r="A199" i="177"/>
  <c r="D108" i="176" s="1"/>
  <c r="A198" i="177"/>
  <c r="D107" i="176" s="1"/>
  <c r="A197" i="177"/>
  <c r="A196" i="177"/>
  <c r="D105" i="176" s="1"/>
  <c r="A195" i="177"/>
  <c r="D104" i="176" s="1"/>
  <c r="A194" i="177"/>
  <c r="D103" i="176" s="1"/>
  <c r="A193" i="177"/>
  <c r="D102" i="176" s="1"/>
  <c r="A192" i="177"/>
  <c r="D101" i="176" s="1"/>
  <c r="A191" i="177"/>
  <c r="D100" i="176" s="1"/>
  <c r="A190" i="177"/>
  <c r="D99" i="176" s="1"/>
  <c r="A189" i="177"/>
  <c r="D98" i="176" s="1"/>
  <c r="A188" i="177"/>
  <c r="D97" i="176" s="1"/>
  <c r="A187" i="177"/>
  <c r="D96" i="176" s="1"/>
  <c r="A186" i="177"/>
  <c r="D95" i="176" s="1"/>
  <c r="A185" i="177"/>
  <c r="A184" i="177"/>
  <c r="D93" i="176" s="1"/>
  <c r="B61" i="177"/>
  <c r="D62" i="173" s="1"/>
  <c r="B60" i="177"/>
  <c r="D61" i="173" s="1"/>
  <c r="B59" i="177"/>
  <c r="D60" i="173" s="1"/>
  <c r="B58" i="177"/>
  <c r="D59" i="173" s="1"/>
  <c r="B57" i="177"/>
  <c r="D58" i="173" s="1"/>
  <c r="B56" i="177"/>
  <c r="D57" i="173" s="1"/>
  <c r="B55" i="177"/>
  <c r="D56" i="173" s="1"/>
  <c r="B54" i="177"/>
  <c r="D55" i="173" s="1"/>
  <c r="B53" i="177"/>
  <c r="D54" i="173" s="1"/>
  <c r="B52" i="177"/>
  <c r="D53" i="173" s="1"/>
  <c r="B51" i="177"/>
  <c r="D52" i="173" s="1"/>
  <c r="B50" i="177"/>
  <c r="D51" i="173" s="1"/>
  <c r="B49" i="177"/>
  <c r="D50" i="173" s="1"/>
  <c r="B48" i="177"/>
  <c r="D49" i="173" s="1"/>
  <c r="B47" i="177"/>
  <c r="D48" i="173" s="1"/>
  <c r="B46" i="177"/>
  <c r="D47" i="173" s="1"/>
  <c r="B45" i="177"/>
  <c r="D46" i="173" s="1"/>
  <c r="B44" i="177"/>
  <c r="D45" i="173" s="1"/>
  <c r="B43" i="177"/>
  <c r="D44" i="173" s="1"/>
  <c r="B42" i="177"/>
  <c r="D43" i="173" s="1"/>
  <c r="B41" i="177"/>
  <c r="D42" i="173" s="1"/>
  <c r="B40" i="177"/>
  <c r="D41" i="173" s="1"/>
  <c r="B39" i="177"/>
  <c r="D40" i="173" s="1"/>
  <c r="B38" i="177"/>
  <c r="D39" i="173" s="1"/>
  <c r="B37" i="177"/>
  <c r="D38" i="173" s="1"/>
  <c r="B36" i="177"/>
  <c r="D37" i="173" s="1"/>
  <c r="B35" i="177"/>
  <c r="D36" i="173" s="1"/>
  <c r="B34" i="177"/>
  <c r="D35" i="173" s="1"/>
  <c r="B33" i="177"/>
  <c r="D34" i="173" s="1"/>
  <c r="B32" i="177"/>
  <c r="D33" i="173" s="1"/>
  <c r="B31" i="177"/>
  <c r="D32" i="173" s="1"/>
  <c r="B30" i="177"/>
  <c r="D31" i="173" s="1"/>
  <c r="B29" i="177"/>
  <c r="D30" i="173" s="1"/>
  <c r="B28" i="177"/>
  <c r="D29" i="173" s="1"/>
  <c r="B27" i="177"/>
  <c r="D28" i="173" s="1"/>
  <c r="B26" i="177"/>
  <c r="D27" i="173" s="1"/>
  <c r="B25" i="177"/>
  <c r="D26" i="173" s="1"/>
  <c r="B24" i="177"/>
  <c r="D25" i="173" s="1"/>
  <c r="B23" i="177"/>
  <c r="D24" i="173" s="1"/>
  <c r="B22" i="177"/>
  <c r="D23" i="173" s="1"/>
  <c r="B21" i="177"/>
  <c r="D22" i="173" s="1"/>
  <c r="B20" i="177"/>
  <c r="D21" i="173" s="1"/>
  <c r="B19" i="177"/>
  <c r="D20" i="173" s="1"/>
  <c r="B18" i="177"/>
  <c r="D19" i="173" s="1"/>
  <c r="B17" i="177"/>
  <c r="D18" i="173" s="1"/>
  <c r="B16" i="177"/>
  <c r="D17" i="173" s="1"/>
  <c r="B15" i="177"/>
  <c r="D16" i="173" s="1"/>
  <c r="B14" i="177"/>
  <c r="D15" i="173" s="1"/>
  <c r="B13" i="177"/>
  <c r="D14" i="173" s="1"/>
  <c r="B12" i="177"/>
  <c r="D13" i="173" s="1"/>
  <c r="B11" i="177"/>
  <c r="D12" i="173" s="1"/>
  <c r="O606" i="177"/>
  <c r="M515" i="176" s="1"/>
  <c r="O605" i="177"/>
  <c r="M514" i="176" s="1"/>
  <c r="O604" i="177"/>
  <c r="M513" i="176" s="1"/>
  <c r="O603" i="177"/>
  <c r="M512" i="176" s="1"/>
  <c r="O602" i="177"/>
  <c r="M511" i="176" s="1"/>
  <c r="O601" i="177"/>
  <c r="M510" i="176" s="1"/>
  <c r="O600" i="177"/>
  <c r="M509" i="176" s="1"/>
  <c r="O599" i="177"/>
  <c r="M508" i="176" s="1"/>
  <c r="O598" i="177"/>
  <c r="M507" i="176" s="1"/>
  <c r="O597" i="177"/>
  <c r="M506" i="176" s="1"/>
  <c r="O596" i="177"/>
  <c r="M505" i="176" s="1"/>
  <c r="O595" i="177"/>
  <c r="M504" i="176" s="1"/>
  <c r="O594" i="177"/>
  <c r="M503" i="176" s="1"/>
  <c r="O593" i="177"/>
  <c r="M502" i="176" s="1"/>
  <c r="O592" i="177"/>
  <c r="M501" i="176" s="1"/>
  <c r="O591" i="177"/>
  <c r="M500" i="176" s="1"/>
  <c r="O590" i="177"/>
  <c r="M499" i="176" s="1"/>
  <c r="O589" i="177"/>
  <c r="M498" i="176" s="1"/>
  <c r="O588" i="177"/>
  <c r="M497" i="176" s="1"/>
  <c r="O587" i="177"/>
  <c r="M496" i="176" s="1"/>
  <c r="O586" i="177"/>
  <c r="M495" i="176" s="1"/>
  <c r="O585" i="177"/>
  <c r="M494" i="176" s="1"/>
  <c r="O584" i="177"/>
  <c r="M493" i="176" s="1"/>
  <c r="O583" i="177"/>
  <c r="M492" i="176" s="1"/>
  <c r="O582" i="177"/>
  <c r="M491" i="176" s="1"/>
  <c r="O581" i="177"/>
  <c r="M490" i="176" s="1"/>
  <c r="O580" i="177"/>
  <c r="M489" i="176" s="1"/>
  <c r="O579" i="177"/>
  <c r="M488" i="176" s="1"/>
  <c r="O578" i="177"/>
  <c r="M487" i="176" s="1"/>
  <c r="O577" i="177"/>
  <c r="M486" i="176" s="1"/>
  <c r="O576" i="177"/>
  <c r="M485" i="176" s="1"/>
  <c r="O575" i="177"/>
  <c r="M484" i="176" s="1"/>
  <c r="O574" i="177"/>
  <c r="M483" i="176" s="1"/>
  <c r="O573" i="177"/>
  <c r="M482" i="176" s="1"/>
  <c r="O572" i="177"/>
  <c r="M481" i="176" s="1"/>
  <c r="O571" i="177"/>
  <c r="M480" i="176" s="1"/>
  <c r="O570" i="177"/>
  <c r="M479" i="176" s="1"/>
  <c r="O569" i="177"/>
  <c r="M478" i="176" s="1"/>
  <c r="O568" i="177"/>
  <c r="M477" i="176" s="1"/>
  <c r="O567" i="177"/>
  <c r="M476" i="176" s="1"/>
  <c r="O566" i="177"/>
  <c r="M475" i="176" s="1"/>
  <c r="O565" i="177"/>
  <c r="M474" i="176" s="1"/>
  <c r="O564" i="177"/>
  <c r="M473" i="176" s="1"/>
  <c r="O563" i="177"/>
  <c r="M472" i="176" s="1"/>
  <c r="O562" i="177"/>
  <c r="M471" i="176" s="1"/>
  <c r="O561" i="177"/>
  <c r="M470" i="176" s="1"/>
  <c r="O560" i="177"/>
  <c r="M469" i="176" s="1"/>
  <c r="O559" i="177"/>
  <c r="M468" i="176" s="1"/>
  <c r="O558" i="177"/>
  <c r="M467" i="176" s="1"/>
  <c r="O557" i="177"/>
  <c r="M466" i="176" s="1"/>
  <c r="O556" i="177"/>
  <c r="M465" i="176" s="1"/>
  <c r="O555" i="177"/>
  <c r="M464" i="176" s="1"/>
  <c r="O554" i="177"/>
  <c r="M463" i="176" s="1"/>
  <c r="O553" i="177"/>
  <c r="M462" i="176" s="1"/>
  <c r="O552" i="177"/>
  <c r="M461" i="176" s="1"/>
  <c r="O551" i="177"/>
  <c r="M460" i="176" s="1"/>
  <c r="O550" i="177"/>
  <c r="M459" i="176" s="1"/>
  <c r="O549" i="177"/>
  <c r="M458" i="176" s="1"/>
  <c r="O548" i="177"/>
  <c r="M457" i="176" s="1"/>
  <c r="O547" i="177"/>
  <c r="M456" i="176" s="1"/>
  <c r="O546" i="177"/>
  <c r="M455" i="176" s="1"/>
  <c r="O545" i="177"/>
  <c r="M454" i="176" s="1"/>
  <c r="O544" i="177"/>
  <c r="M453" i="176" s="1"/>
  <c r="O543" i="177"/>
  <c r="M452" i="176" s="1"/>
  <c r="O542" i="177"/>
  <c r="M451" i="176" s="1"/>
  <c r="O541" i="177"/>
  <c r="M450" i="176" s="1"/>
  <c r="O540" i="177"/>
  <c r="M449" i="176" s="1"/>
  <c r="O539" i="177"/>
  <c r="M448" i="176" s="1"/>
  <c r="O538" i="177"/>
  <c r="M447" i="176" s="1"/>
  <c r="O537" i="177"/>
  <c r="M446" i="176" s="1"/>
  <c r="O536" i="177"/>
  <c r="M445" i="176" s="1"/>
  <c r="O535" i="177"/>
  <c r="M444" i="176" s="1"/>
  <c r="O534" i="177"/>
  <c r="M443" i="176" s="1"/>
  <c r="O533" i="177"/>
  <c r="M442" i="176" s="1"/>
  <c r="O532" i="177"/>
  <c r="M441" i="176" s="1"/>
  <c r="O531" i="177"/>
  <c r="M440" i="176" s="1"/>
  <c r="O530" i="177"/>
  <c r="M439" i="176" s="1"/>
  <c r="O529" i="177"/>
  <c r="M438" i="176" s="1"/>
  <c r="O528" i="177"/>
  <c r="M437" i="176" s="1"/>
  <c r="O527" i="177"/>
  <c r="M436" i="176" s="1"/>
  <c r="O526" i="177"/>
  <c r="M435" i="176" s="1"/>
  <c r="O525" i="177"/>
  <c r="M434" i="176" s="1"/>
  <c r="O524" i="177"/>
  <c r="M433" i="176" s="1"/>
  <c r="O523" i="177"/>
  <c r="M432" i="176" s="1"/>
  <c r="O522" i="177"/>
  <c r="M431" i="176" s="1"/>
  <c r="O521" i="177"/>
  <c r="M430" i="176" s="1"/>
  <c r="O520" i="177"/>
  <c r="M429" i="176" s="1"/>
  <c r="O519" i="177"/>
  <c r="M428" i="176" s="1"/>
  <c r="O518" i="177"/>
  <c r="M427" i="176" s="1"/>
  <c r="O517" i="177"/>
  <c r="M426" i="176" s="1"/>
  <c r="O516" i="177"/>
  <c r="M425" i="176" s="1"/>
  <c r="O515" i="177"/>
  <c r="M424" i="176" s="1"/>
  <c r="O514" i="177"/>
  <c r="M423" i="176" s="1"/>
  <c r="O513" i="177"/>
  <c r="M422" i="176" s="1"/>
  <c r="O512" i="177"/>
  <c r="M421" i="176" s="1"/>
  <c r="O511" i="177"/>
  <c r="M420" i="176" s="1"/>
  <c r="O510" i="177"/>
  <c r="M419" i="176" s="1"/>
  <c r="O509" i="177"/>
  <c r="M418" i="176" s="1"/>
  <c r="O508" i="177"/>
  <c r="M417" i="176" s="1"/>
  <c r="O507" i="177"/>
  <c r="M416" i="176" s="1"/>
  <c r="O506" i="177"/>
  <c r="M415" i="176" s="1"/>
  <c r="O505" i="177"/>
  <c r="M414" i="176" s="1"/>
  <c r="O504" i="177"/>
  <c r="M413" i="176" s="1"/>
  <c r="O503" i="177"/>
  <c r="M412" i="176" s="1"/>
  <c r="O502" i="177"/>
  <c r="M411" i="176" s="1"/>
  <c r="O501" i="177"/>
  <c r="M410" i="176" s="1"/>
  <c r="O500" i="177"/>
  <c r="M409" i="176" s="1"/>
  <c r="O499" i="177"/>
  <c r="M408" i="176" s="1"/>
  <c r="O498" i="177"/>
  <c r="M407" i="176" s="1"/>
  <c r="O497" i="177"/>
  <c r="M406" i="176" s="1"/>
  <c r="O496" i="177"/>
  <c r="M405" i="176" s="1"/>
  <c r="O495" i="177"/>
  <c r="M404" i="176" s="1"/>
  <c r="O494" i="177"/>
  <c r="M403" i="176" s="1"/>
  <c r="O493" i="177"/>
  <c r="M402" i="176" s="1"/>
  <c r="O492" i="177"/>
  <c r="M401" i="176" s="1"/>
  <c r="O491" i="177"/>
  <c r="M400" i="176" s="1"/>
  <c r="O490" i="177"/>
  <c r="M399" i="176" s="1"/>
  <c r="O489" i="177"/>
  <c r="M398" i="176" s="1"/>
  <c r="O488" i="177"/>
  <c r="M397" i="176" s="1"/>
  <c r="O487" i="177"/>
  <c r="M396" i="176" s="1"/>
  <c r="O486" i="177"/>
  <c r="M395" i="176" s="1"/>
  <c r="O485" i="177"/>
  <c r="M394" i="176" s="1"/>
  <c r="O484" i="177"/>
  <c r="M393" i="176" s="1"/>
  <c r="O483" i="177"/>
  <c r="M392" i="176" s="1"/>
  <c r="O482" i="177"/>
  <c r="M391" i="176" s="1"/>
  <c r="O481" i="177"/>
  <c r="M390" i="176" s="1"/>
  <c r="O480" i="177"/>
  <c r="M389" i="176" s="1"/>
  <c r="O479" i="177"/>
  <c r="M388" i="176" s="1"/>
  <c r="O478" i="177"/>
  <c r="M387" i="176" s="1"/>
  <c r="O477" i="177"/>
  <c r="M386" i="176" s="1"/>
  <c r="O476" i="177"/>
  <c r="M385" i="176" s="1"/>
  <c r="O475" i="177"/>
  <c r="M384" i="176" s="1"/>
  <c r="O474" i="177"/>
  <c r="M383" i="176" s="1"/>
  <c r="O473" i="177"/>
  <c r="M382" i="176" s="1"/>
  <c r="O472" i="177"/>
  <c r="M381" i="176" s="1"/>
  <c r="O471" i="177"/>
  <c r="M380" i="176" s="1"/>
  <c r="O470" i="177"/>
  <c r="M379" i="176" s="1"/>
  <c r="O469" i="177"/>
  <c r="M378" i="176" s="1"/>
  <c r="O468" i="177"/>
  <c r="M377" i="176" s="1"/>
  <c r="O467" i="177"/>
  <c r="M376" i="176" s="1"/>
  <c r="O466" i="177"/>
  <c r="M375" i="176" s="1"/>
  <c r="O465" i="177"/>
  <c r="M374" i="176" s="1"/>
  <c r="O464" i="177"/>
  <c r="M373" i="176" s="1"/>
  <c r="O463" i="177"/>
  <c r="M372" i="176" s="1"/>
  <c r="O462" i="177"/>
  <c r="M371" i="176" s="1"/>
  <c r="O461" i="177"/>
  <c r="M370" i="176" s="1"/>
  <c r="O460" i="177"/>
  <c r="M369" i="176" s="1"/>
  <c r="O459" i="177"/>
  <c r="M368" i="176" s="1"/>
  <c r="O458" i="177"/>
  <c r="M367" i="176" s="1"/>
  <c r="O457" i="177"/>
  <c r="M366" i="176" s="1"/>
  <c r="O456" i="177"/>
  <c r="M365" i="176" s="1"/>
  <c r="O455" i="177"/>
  <c r="M364" i="176" s="1"/>
  <c r="O454" i="177"/>
  <c r="M363" i="176" s="1"/>
  <c r="O453" i="177"/>
  <c r="M362" i="176" s="1"/>
  <c r="O452" i="177"/>
  <c r="M361" i="176" s="1"/>
  <c r="O451" i="177"/>
  <c r="M360" i="176" s="1"/>
  <c r="O450" i="177"/>
  <c r="M359" i="176" s="1"/>
  <c r="O449" i="177"/>
  <c r="M358" i="176" s="1"/>
  <c r="O448" i="177"/>
  <c r="M357" i="176" s="1"/>
  <c r="O447" i="177"/>
  <c r="M356" i="176" s="1"/>
  <c r="O446" i="177"/>
  <c r="M355" i="176" s="1"/>
  <c r="O445" i="177"/>
  <c r="M354" i="176" s="1"/>
  <c r="O444" i="177"/>
  <c r="M353" i="176" s="1"/>
  <c r="O443" i="177"/>
  <c r="M352" i="176" s="1"/>
  <c r="O442" i="177"/>
  <c r="M351" i="176" s="1"/>
  <c r="O441" i="177"/>
  <c r="M350" i="176" s="1"/>
  <c r="O440" i="177"/>
  <c r="M349" i="176" s="1"/>
  <c r="O439" i="177"/>
  <c r="M348" i="176" s="1"/>
  <c r="O438" i="177"/>
  <c r="M347" i="176" s="1"/>
  <c r="O437" i="177"/>
  <c r="M346" i="176" s="1"/>
  <c r="O436" i="177"/>
  <c r="M345" i="176" s="1"/>
  <c r="O435" i="177"/>
  <c r="M344" i="176" s="1"/>
  <c r="O434" i="177"/>
  <c r="M343" i="176" s="1"/>
  <c r="O433" i="177"/>
  <c r="M342" i="176" s="1"/>
  <c r="O432" i="177"/>
  <c r="M341" i="176" s="1"/>
  <c r="O431" i="177"/>
  <c r="M340" i="176" s="1"/>
  <c r="O430" i="177"/>
  <c r="M339" i="176" s="1"/>
  <c r="O429" i="177"/>
  <c r="M338" i="176" s="1"/>
  <c r="O428" i="177"/>
  <c r="M337" i="176" s="1"/>
  <c r="O427" i="177"/>
  <c r="M336" i="176" s="1"/>
  <c r="O426" i="177"/>
  <c r="M335" i="176" s="1"/>
  <c r="O425" i="177"/>
  <c r="M334" i="176" s="1"/>
  <c r="O424" i="177"/>
  <c r="M333" i="176" s="1"/>
  <c r="O423" i="177"/>
  <c r="M332" i="176" s="1"/>
  <c r="O422" i="177"/>
  <c r="M331" i="176" s="1"/>
  <c r="O421" i="177"/>
  <c r="M330" i="176" s="1"/>
  <c r="O420" i="177"/>
  <c r="M329" i="176" s="1"/>
  <c r="O419" i="177"/>
  <c r="M328" i="176" s="1"/>
  <c r="O418" i="177"/>
  <c r="M327" i="176" s="1"/>
  <c r="O417" i="177"/>
  <c r="M326" i="176" s="1"/>
  <c r="O416" i="177"/>
  <c r="M325" i="176" s="1"/>
  <c r="O415" i="177"/>
  <c r="M324" i="176" s="1"/>
  <c r="O414" i="177"/>
  <c r="M323" i="176" s="1"/>
  <c r="O413" i="177"/>
  <c r="M322" i="176" s="1"/>
  <c r="O412" i="177"/>
  <c r="M321" i="176" s="1"/>
  <c r="O411" i="177"/>
  <c r="M320" i="176" s="1"/>
  <c r="O410" i="177"/>
  <c r="M319" i="176" s="1"/>
  <c r="O409" i="177"/>
  <c r="M318" i="176" s="1"/>
  <c r="O408" i="177"/>
  <c r="M317" i="176" s="1"/>
  <c r="O407" i="177"/>
  <c r="M316" i="176" s="1"/>
  <c r="O406" i="177"/>
  <c r="M315" i="176" s="1"/>
  <c r="O405" i="177"/>
  <c r="M314" i="176" s="1"/>
  <c r="O404" i="177"/>
  <c r="M313" i="176" s="1"/>
  <c r="O403" i="177"/>
  <c r="M312" i="176" s="1"/>
  <c r="O402" i="177"/>
  <c r="M311" i="176" s="1"/>
  <c r="O401" i="177"/>
  <c r="M310" i="176" s="1"/>
  <c r="O400" i="177"/>
  <c r="M309" i="176" s="1"/>
  <c r="O399" i="177"/>
  <c r="M308" i="176" s="1"/>
  <c r="O398" i="177"/>
  <c r="M307" i="176" s="1"/>
  <c r="O397" i="177"/>
  <c r="M306" i="176" s="1"/>
  <c r="O396" i="177"/>
  <c r="M305" i="176" s="1"/>
  <c r="O395" i="177"/>
  <c r="M304" i="176" s="1"/>
  <c r="O394" i="177"/>
  <c r="M303" i="176" s="1"/>
  <c r="O393" i="177"/>
  <c r="M302" i="176" s="1"/>
  <c r="O392" i="177"/>
  <c r="M301" i="176" s="1"/>
  <c r="O391" i="177"/>
  <c r="M300" i="176" s="1"/>
  <c r="O390" i="177"/>
  <c r="M299" i="176" s="1"/>
  <c r="O389" i="177"/>
  <c r="M298" i="176" s="1"/>
  <c r="O388" i="177"/>
  <c r="M297" i="176" s="1"/>
  <c r="O387" i="177"/>
  <c r="M296" i="176" s="1"/>
  <c r="O386" i="177"/>
  <c r="M295" i="176" s="1"/>
  <c r="O385" i="177"/>
  <c r="M294" i="176" s="1"/>
  <c r="O384" i="177"/>
  <c r="M293" i="176" s="1"/>
  <c r="O383" i="177"/>
  <c r="M292" i="176" s="1"/>
  <c r="O382" i="177"/>
  <c r="M291" i="176" s="1"/>
  <c r="O381" i="177"/>
  <c r="M290" i="176" s="1"/>
  <c r="O380" i="177"/>
  <c r="M289" i="176" s="1"/>
  <c r="O379" i="177"/>
  <c r="M288" i="176" s="1"/>
  <c r="O378" i="177"/>
  <c r="M287" i="176" s="1"/>
  <c r="O377" i="177"/>
  <c r="M286" i="176" s="1"/>
  <c r="O376" i="177"/>
  <c r="M285" i="176" s="1"/>
  <c r="O375" i="177"/>
  <c r="M284" i="176" s="1"/>
  <c r="O374" i="177"/>
  <c r="M283" i="176" s="1"/>
  <c r="O373" i="177"/>
  <c r="M282" i="176" s="1"/>
  <c r="O372" i="177"/>
  <c r="M281" i="176" s="1"/>
  <c r="O371" i="177"/>
  <c r="M280" i="176" s="1"/>
  <c r="O370" i="177"/>
  <c r="M279" i="176" s="1"/>
  <c r="O369" i="177"/>
  <c r="M278" i="176" s="1"/>
  <c r="O368" i="177"/>
  <c r="M277" i="176" s="1"/>
  <c r="O367" i="177"/>
  <c r="M276" i="176" s="1"/>
  <c r="O366" i="177"/>
  <c r="M275" i="176" s="1"/>
  <c r="O365" i="177"/>
  <c r="M274" i="176" s="1"/>
  <c r="O364" i="177"/>
  <c r="M273" i="176" s="1"/>
  <c r="O363" i="177"/>
  <c r="M272" i="176" s="1"/>
  <c r="O362" i="177"/>
  <c r="M271" i="176" s="1"/>
  <c r="O361" i="177"/>
  <c r="M270" i="176" s="1"/>
  <c r="O360" i="177"/>
  <c r="M269" i="176" s="1"/>
  <c r="O359" i="177"/>
  <c r="M268" i="176" s="1"/>
  <c r="O358" i="177"/>
  <c r="M267" i="176" s="1"/>
  <c r="O357" i="177"/>
  <c r="M266" i="176" s="1"/>
  <c r="O356" i="177"/>
  <c r="M265" i="176" s="1"/>
  <c r="O355" i="177"/>
  <c r="M264" i="176" s="1"/>
  <c r="O354" i="177"/>
  <c r="M263" i="176" s="1"/>
  <c r="O353" i="177"/>
  <c r="M262" i="176" s="1"/>
  <c r="O352" i="177"/>
  <c r="M261" i="176" s="1"/>
  <c r="O351" i="177"/>
  <c r="M260" i="176" s="1"/>
  <c r="O350" i="177"/>
  <c r="M259" i="176" s="1"/>
  <c r="O349" i="177"/>
  <c r="M258" i="176" s="1"/>
  <c r="O348" i="177"/>
  <c r="M257" i="176" s="1"/>
  <c r="O347" i="177"/>
  <c r="M256" i="176" s="1"/>
  <c r="O346" i="177"/>
  <c r="M255" i="176" s="1"/>
  <c r="O345" i="177"/>
  <c r="M254" i="176" s="1"/>
  <c r="O344" i="177"/>
  <c r="M253" i="176" s="1"/>
  <c r="O343" i="177"/>
  <c r="M252" i="176" s="1"/>
  <c r="O342" i="177"/>
  <c r="M251" i="176" s="1"/>
  <c r="O341" i="177"/>
  <c r="M250" i="176" s="1"/>
  <c r="O340" i="177"/>
  <c r="M249" i="176" s="1"/>
  <c r="O339" i="177"/>
  <c r="M248" i="176" s="1"/>
  <c r="O338" i="177"/>
  <c r="M247" i="176" s="1"/>
  <c r="O337" i="177"/>
  <c r="M246" i="176" s="1"/>
  <c r="O336" i="177"/>
  <c r="M245" i="176" s="1"/>
  <c r="O335" i="177"/>
  <c r="M244" i="176" s="1"/>
  <c r="O334" i="177"/>
  <c r="M243" i="176" s="1"/>
  <c r="O333" i="177"/>
  <c r="M242" i="176" s="1"/>
  <c r="O332" i="177"/>
  <c r="M241" i="176" s="1"/>
  <c r="O331" i="177"/>
  <c r="M240" i="176" s="1"/>
  <c r="O330" i="177"/>
  <c r="M239" i="176" s="1"/>
  <c r="O329" i="177"/>
  <c r="M238" i="176" s="1"/>
  <c r="O328" i="177"/>
  <c r="M237" i="176" s="1"/>
  <c r="O327" i="177"/>
  <c r="M236" i="176" s="1"/>
  <c r="O326" i="177"/>
  <c r="M235" i="176" s="1"/>
  <c r="O325" i="177"/>
  <c r="M234" i="176" s="1"/>
  <c r="O324" i="177"/>
  <c r="M233" i="176" s="1"/>
  <c r="O323" i="177"/>
  <c r="M232" i="176" s="1"/>
  <c r="O322" i="177"/>
  <c r="M231" i="176" s="1"/>
  <c r="O321" i="177"/>
  <c r="M230" i="176" s="1"/>
  <c r="O320" i="177"/>
  <c r="M229" i="176" s="1"/>
  <c r="O319" i="177"/>
  <c r="M228" i="176" s="1"/>
  <c r="O318" i="177"/>
  <c r="M227" i="176" s="1"/>
  <c r="O317" i="177"/>
  <c r="M226" i="176" s="1"/>
  <c r="O316" i="177"/>
  <c r="M225" i="176" s="1"/>
  <c r="O315" i="177"/>
  <c r="M224" i="176" s="1"/>
  <c r="O314" i="177"/>
  <c r="M223" i="176" s="1"/>
  <c r="O313" i="177"/>
  <c r="M222" i="176" s="1"/>
  <c r="O312" i="177"/>
  <c r="M221" i="176" s="1"/>
  <c r="O311" i="177"/>
  <c r="M220" i="176" s="1"/>
  <c r="O310" i="177"/>
  <c r="M219" i="176" s="1"/>
  <c r="O309" i="177"/>
  <c r="M218" i="176" s="1"/>
  <c r="O308" i="177"/>
  <c r="M217" i="176" s="1"/>
  <c r="O307" i="177"/>
  <c r="M216" i="176" s="1"/>
  <c r="O306" i="177"/>
  <c r="M215" i="176" s="1"/>
  <c r="O305" i="177"/>
  <c r="M214" i="176" s="1"/>
  <c r="O304" i="177"/>
  <c r="M213" i="176" s="1"/>
  <c r="O303" i="177"/>
  <c r="M212" i="176" s="1"/>
  <c r="O302" i="177"/>
  <c r="M211" i="176" s="1"/>
  <c r="O301" i="177"/>
  <c r="M210" i="176" s="1"/>
  <c r="O300" i="177"/>
  <c r="M209" i="176" s="1"/>
  <c r="O299" i="177"/>
  <c r="M208" i="176" s="1"/>
  <c r="O298" i="177"/>
  <c r="M207" i="176" s="1"/>
  <c r="O297" i="177"/>
  <c r="M206" i="176" s="1"/>
  <c r="O296" i="177"/>
  <c r="M205" i="176" s="1"/>
  <c r="O295" i="177"/>
  <c r="M204" i="176" s="1"/>
  <c r="O294" i="177"/>
  <c r="M203" i="176" s="1"/>
  <c r="O293" i="177"/>
  <c r="M202" i="176" s="1"/>
  <c r="O292" i="177"/>
  <c r="M201" i="176" s="1"/>
  <c r="O291" i="177"/>
  <c r="M200" i="176" s="1"/>
  <c r="O290" i="177"/>
  <c r="M199" i="176" s="1"/>
  <c r="O289" i="177"/>
  <c r="M198" i="176" s="1"/>
  <c r="O288" i="177"/>
  <c r="M197" i="176" s="1"/>
  <c r="O287" i="177"/>
  <c r="M196" i="176" s="1"/>
  <c r="O286" i="177"/>
  <c r="M195" i="176" s="1"/>
  <c r="O285" i="177"/>
  <c r="M194" i="176" s="1"/>
  <c r="O284" i="177"/>
  <c r="M193" i="176" s="1"/>
  <c r="O283" i="177"/>
  <c r="M192" i="176" s="1"/>
  <c r="O282" i="177"/>
  <c r="M191" i="176" s="1"/>
  <c r="O281" i="177"/>
  <c r="M190" i="176" s="1"/>
  <c r="O280" i="177"/>
  <c r="M189" i="176" s="1"/>
  <c r="O279" i="177"/>
  <c r="M188" i="176" s="1"/>
  <c r="O278" i="177"/>
  <c r="M187" i="176" s="1"/>
  <c r="O277" i="177"/>
  <c r="M186" i="176" s="1"/>
  <c r="O276" i="177"/>
  <c r="M185" i="176" s="1"/>
  <c r="O275" i="177"/>
  <c r="M184" i="176" s="1"/>
  <c r="O274" i="177"/>
  <c r="M183" i="176" s="1"/>
  <c r="O273" i="177"/>
  <c r="M182" i="176" s="1"/>
  <c r="O272" i="177"/>
  <c r="M181" i="176" s="1"/>
  <c r="O271" i="177"/>
  <c r="M180" i="176" s="1"/>
  <c r="O270" i="177"/>
  <c r="M179" i="176" s="1"/>
  <c r="O269" i="177"/>
  <c r="M178" i="176" s="1"/>
  <c r="O268" i="177"/>
  <c r="M177" i="176" s="1"/>
  <c r="O267" i="177"/>
  <c r="M176" i="176" s="1"/>
  <c r="O266" i="177"/>
  <c r="M175" i="176" s="1"/>
  <c r="O265" i="177"/>
  <c r="M174" i="176" s="1"/>
  <c r="O264" i="177"/>
  <c r="M173" i="176" s="1"/>
  <c r="O263" i="177"/>
  <c r="M172" i="176" s="1"/>
  <c r="O262" i="177"/>
  <c r="M171" i="176" s="1"/>
  <c r="O261" i="177"/>
  <c r="M170" i="176" s="1"/>
  <c r="O260" i="177"/>
  <c r="M169" i="176" s="1"/>
  <c r="O259" i="177"/>
  <c r="M168" i="176" s="1"/>
  <c r="O258" i="177"/>
  <c r="M167" i="176" s="1"/>
  <c r="O257" i="177"/>
  <c r="M166" i="176" s="1"/>
  <c r="O256" i="177"/>
  <c r="M165" i="176" s="1"/>
  <c r="O255" i="177"/>
  <c r="M164" i="176" s="1"/>
  <c r="O254" i="177"/>
  <c r="M163" i="176" s="1"/>
  <c r="O253" i="177"/>
  <c r="M162" i="176" s="1"/>
  <c r="O252" i="177"/>
  <c r="M161" i="176" s="1"/>
  <c r="O251" i="177"/>
  <c r="M160" i="176" s="1"/>
  <c r="O250" i="177"/>
  <c r="M159" i="176" s="1"/>
  <c r="O249" i="177"/>
  <c r="M158" i="176" s="1"/>
  <c r="O248" i="177"/>
  <c r="M157" i="176" s="1"/>
  <c r="O247" i="177"/>
  <c r="M156" i="176" s="1"/>
  <c r="O246" i="177"/>
  <c r="M155" i="176" s="1"/>
  <c r="O245" i="177"/>
  <c r="M154" i="176" s="1"/>
  <c r="O244" i="177"/>
  <c r="M153" i="176" s="1"/>
  <c r="O243" i="177"/>
  <c r="M152" i="176" s="1"/>
  <c r="O242" i="177"/>
  <c r="M151" i="176" s="1"/>
  <c r="O241" i="177"/>
  <c r="M150" i="176" s="1"/>
  <c r="O240" i="177"/>
  <c r="M149" i="176" s="1"/>
  <c r="O239" i="177"/>
  <c r="M148" i="176" s="1"/>
  <c r="O238" i="177"/>
  <c r="M147" i="176" s="1"/>
  <c r="O237" i="177"/>
  <c r="M146" i="176" s="1"/>
  <c r="O236" i="177"/>
  <c r="M145" i="176" s="1"/>
  <c r="O235" i="177"/>
  <c r="M144" i="176" s="1"/>
  <c r="O234" i="177"/>
  <c r="M143" i="176" s="1"/>
  <c r="O233" i="177"/>
  <c r="M142" i="176" s="1"/>
  <c r="O232" i="177"/>
  <c r="M141" i="176" s="1"/>
  <c r="O231" i="177"/>
  <c r="M140" i="176" s="1"/>
  <c r="O230" i="177"/>
  <c r="M139" i="176" s="1"/>
  <c r="O229" i="177"/>
  <c r="M138" i="176" s="1"/>
  <c r="O228" i="177"/>
  <c r="M137" i="176" s="1"/>
  <c r="O227" i="177"/>
  <c r="M136" i="176" s="1"/>
  <c r="O226" i="177"/>
  <c r="M135" i="176" s="1"/>
  <c r="O225" i="177"/>
  <c r="M134" i="176" s="1"/>
  <c r="O224" i="177"/>
  <c r="M133" i="176" s="1"/>
  <c r="O223" i="177"/>
  <c r="M132" i="176" s="1"/>
  <c r="O222" i="177"/>
  <c r="M131" i="176" s="1"/>
  <c r="O221" i="177"/>
  <c r="M130" i="176" s="1"/>
  <c r="O220" i="177"/>
  <c r="M129" i="176" s="1"/>
  <c r="O219" i="177"/>
  <c r="M128" i="176" s="1"/>
  <c r="O218" i="177"/>
  <c r="M127" i="176" s="1"/>
  <c r="O217" i="177"/>
  <c r="M126" i="176" s="1"/>
  <c r="O216" i="177"/>
  <c r="M125" i="176" s="1"/>
  <c r="O215" i="177"/>
  <c r="M124" i="176" s="1"/>
  <c r="O214" i="177"/>
  <c r="M123" i="176" s="1"/>
  <c r="O213" i="177"/>
  <c r="M122" i="176" s="1"/>
  <c r="O212" i="177"/>
  <c r="M121" i="176" s="1"/>
  <c r="O211" i="177"/>
  <c r="M120" i="176" s="1"/>
  <c r="O210" i="177"/>
  <c r="M119" i="176" s="1"/>
  <c r="O209" i="177"/>
  <c r="M118" i="176" s="1"/>
  <c r="O208" i="177"/>
  <c r="M117" i="176" s="1"/>
  <c r="O207" i="177"/>
  <c r="M116" i="176" s="1"/>
  <c r="O206" i="177"/>
  <c r="M115" i="176" s="1"/>
  <c r="O205" i="177"/>
  <c r="M114" i="176" s="1"/>
  <c r="O204" i="177"/>
  <c r="M113" i="176" s="1"/>
  <c r="O203" i="177"/>
  <c r="M112" i="176" s="1"/>
  <c r="O202" i="177"/>
  <c r="M111" i="176" s="1"/>
  <c r="O201" i="177"/>
  <c r="M110" i="176" s="1"/>
  <c r="O200" i="177"/>
  <c r="M109" i="176" s="1"/>
  <c r="O199" i="177"/>
  <c r="M108" i="176" s="1"/>
  <c r="O198" i="177"/>
  <c r="M107" i="176" s="1"/>
  <c r="O197" i="177"/>
  <c r="M106" i="176" s="1"/>
  <c r="O196" i="177"/>
  <c r="M105" i="176" s="1"/>
  <c r="O195" i="177"/>
  <c r="M104" i="176" s="1"/>
  <c r="O194" i="177"/>
  <c r="M103" i="176" s="1"/>
  <c r="O193" i="177"/>
  <c r="M102" i="176" s="1"/>
  <c r="O192" i="177"/>
  <c r="M101" i="176" s="1"/>
  <c r="O191" i="177"/>
  <c r="M100" i="176" s="1"/>
  <c r="O190" i="177"/>
  <c r="M99" i="176" s="1"/>
  <c r="O189" i="177"/>
  <c r="M98" i="176" s="1"/>
  <c r="O188" i="177"/>
  <c r="M97" i="176" s="1"/>
  <c r="O187" i="177"/>
  <c r="M96" i="176" s="1"/>
  <c r="O186" i="177"/>
  <c r="M95" i="176" s="1"/>
  <c r="O185" i="177"/>
  <c r="M94" i="176" s="1"/>
  <c r="O184" i="177"/>
  <c r="M93" i="176" s="1"/>
  <c r="O183" i="177"/>
  <c r="M92" i="176" s="1"/>
  <c r="O182" i="177"/>
  <c r="M91" i="176" s="1"/>
  <c r="O181" i="177"/>
  <c r="M90" i="176" s="1"/>
  <c r="O180" i="177"/>
  <c r="M89" i="176" s="1"/>
  <c r="O179" i="177"/>
  <c r="M88" i="176" s="1"/>
  <c r="O178" i="177"/>
  <c r="M87" i="176" s="1"/>
  <c r="O177" i="177"/>
  <c r="M86" i="176" s="1"/>
  <c r="O176" i="177"/>
  <c r="M85" i="176" s="1"/>
  <c r="O175" i="177"/>
  <c r="M84" i="176" s="1"/>
  <c r="O174" i="177"/>
  <c r="M83" i="176" s="1"/>
  <c r="O173" i="177"/>
  <c r="M82" i="176" s="1"/>
  <c r="O172" i="177"/>
  <c r="M81" i="176" s="1"/>
  <c r="O171" i="177"/>
  <c r="M80" i="176" s="1"/>
  <c r="O170" i="177"/>
  <c r="M79" i="176" s="1"/>
  <c r="O169" i="177"/>
  <c r="M78" i="176" s="1"/>
  <c r="O168" i="177"/>
  <c r="M77" i="176" s="1"/>
  <c r="O167" i="177"/>
  <c r="M76" i="176" s="1"/>
  <c r="O166" i="177"/>
  <c r="M75" i="176" s="1"/>
  <c r="O165" i="177"/>
  <c r="M74" i="176" s="1"/>
  <c r="O164" i="177"/>
  <c r="M73" i="176" s="1"/>
  <c r="O163" i="177"/>
  <c r="M72" i="176" s="1"/>
  <c r="O162" i="177"/>
  <c r="M71" i="176" s="1"/>
  <c r="O161" i="177"/>
  <c r="M70" i="176" s="1"/>
  <c r="O160" i="177"/>
  <c r="M69" i="176" s="1"/>
  <c r="O159" i="177"/>
  <c r="M68" i="176" s="1"/>
  <c r="O158" i="177"/>
  <c r="M67" i="176" s="1"/>
  <c r="O157" i="177"/>
  <c r="M66" i="176" s="1"/>
  <c r="O156" i="177"/>
  <c r="M65" i="176" s="1"/>
  <c r="O155" i="177"/>
  <c r="M64" i="176" s="1"/>
  <c r="O154" i="177"/>
  <c r="M63" i="176" s="1"/>
  <c r="O153" i="177"/>
  <c r="M62" i="176" s="1"/>
  <c r="O152" i="177"/>
  <c r="M61" i="176" s="1"/>
  <c r="O151" i="177"/>
  <c r="M60" i="176" s="1"/>
  <c r="O150" i="177"/>
  <c r="M59" i="176" s="1"/>
  <c r="O149" i="177"/>
  <c r="M58" i="176" s="1"/>
  <c r="O148" i="177"/>
  <c r="M57" i="176" s="1"/>
  <c r="O147" i="177"/>
  <c r="M56" i="176" s="1"/>
  <c r="O146" i="177"/>
  <c r="M55" i="176" s="1"/>
  <c r="O145" i="177"/>
  <c r="M54" i="176" s="1"/>
  <c r="O144" i="177"/>
  <c r="M53" i="176" s="1"/>
  <c r="O143" i="177"/>
  <c r="M52" i="176" s="1"/>
  <c r="O142" i="177"/>
  <c r="M51" i="176" s="1"/>
  <c r="O141" i="177"/>
  <c r="M50" i="176" s="1"/>
  <c r="O140" i="177"/>
  <c r="M49" i="176" s="1"/>
  <c r="O139" i="177"/>
  <c r="M48" i="176" s="1"/>
  <c r="O138" i="177"/>
  <c r="M47" i="176" s="1"/>
  <c r="O137" i="177"/>
  <c r="M46" i="176" s="1"/>
  <c r="O136" i="177"/>
  <c r="M45" i="176" s="1"/>
  <c r="O135" i="177"/>
  <c r="M44" i="176" s="1"/>
  <c r="O134" i="177"/>
  <c r="M43" i="176" s="1"/>
  <c r="O133" i="177"/>
  <c r="M42" i="176" s="1"/>
  <c r="O132" i="177"/>
  <c r="M41" i="176" s="1"/>
  <c r="O131" i="177"/>
  <c r="M40" i="176" s="1"/>
  <c r="O130" i="177"/>
  <c r="M39" i="176" s="1"/>
  <c r="O129" i="177"/>
  <c r="M38" i="176" s="1"/>
  <c r="O128" i="177"/>
  <c r="M37" i="176" s="1"/>
  <c r="O127" i="177"/>
  <c r="M36" i="176" s="1"/>
  <c r="O126" i="177"/>
  <c r="M35" i="176" s="1"/>
  <c r="O125" i="177"/>
  <c r="M34" i="176" s="1"/>
  <c r="O124" i="177"/>
  <c r="M33" i="176" s="1"/>
  <c r="O123" i="177"/>
  <c r="M32" i="176" s="1"/>
  <c r="O122" i="177"/>
  <c r="M31" i="176" s="1"/>
  <c r="O121" i="177"/>
  <c r="M30" i="176" s="1"/>
  <c r="O120" i="177"/>
  <c r="M29" i="176" s="1"/>
  <c r="O119" i="177"/>
  <c r="M28" i="176" s="1"/>
  <c r="O118" i="177"/>
  <c r="M27" i="176" s="1"/>
  <c r="O117" i="177"/>
  <c r="M26" i="176" s="1"/>
  <c r="O116" i="177"/>
  <c r="M25" i="176" s="1"/>
  <c r="O115" i="177"/>
  <c r="M24" i="176" s="1"/>
  <c r="O114" i="177"/>
  <c r="M23" i="176" s="1"/>
  <c r="O113" i="177"/>
  <c r="M22" i="176" s="1"/>
  <c r="O112" i="177"/>
  <c r="M21" i="176" s="1"/>
  <c r="O111" i="177"/>
  <c r="M20" i="176" s="1"/>
  <c r="O110" i="177"/>
  <c r="M19" i="176" s="1"/>
  <c r="O109" i="177"/>
  <c r="M18" i="176" s="1"/>
  <c r="O108" i="177"/>
  <c r="M17" i="176" s="1"/>
  <c r="O107" i="177"/>
  <c r="M16" i="176" s="1"/>
  <c r="O106" i="177"/>
  <c r="M15" i="176" s="1"/>
  <c r="O105" i="177"/>
  <c r="M14" i="176" s="1"/>
  <c r="O104" i="177"/>
  <c r="M13" i="176" s="1"/>
  <c r="O103" i="177"/>
  <c r="M12" i="176" s="1"/>
  <c r="O102" i="177"/>
  <c r="M11" i="176" s="1"/>
  <c r="O101" i="177"/>
  <c r="M10" i="176" s="1"/>
  <c r="O100" i="177"/>
  <c r="M9" i="176" s="1"/>
  <c r="G528" i="223"/>
  <c r="G527" i="223" s="1"/>
  <c r="B528" i="223"/>
  <c r="B527" i="223" s="1"/>
  <c r="AI13" i="173" l="1"/>
  <c r="AH13" i="173"/>
  <c r="AI21" i="173"/>
  <c r="AC21" i="173" s="1" a="1"/>
  <c r="AC21" i="173" s="1"/>
  <c r="AH21" i="173"/>
  <c r="AI29" i="173"/>
  <c r="AC29" i="173" s="1" a="1"/>
  <c r="AC29" i="173" s="1"/>
  <c r="AH29" i="173"/>
  <c r="AI37" i="173"/>
  <c r="AC37" i="173" s="1" a="1"/>
  <c r="AC37" i="173" s="1"/>
  <c r="AH37" i="173"/>
  <c r="AI45" i="173"/>
  <c r="AC45" i="173" s="1" a="1"/>
  <c r="AC45" i="173" s="1"/>
  <c r="AH45" i="173"/>
  <c r="AI53" i="173"/>
  <c r="AC53" i="173" s="1" a="1"/>
  <c r="AC53" i="173" s="1"/>
  <c r="AH53" i="173"/>
  <c r="AI57" i="173"/>
  <c r="AC57" i="173" s="1" a="1"/>
  <c r="AC57" i="173" s="1"/>
  <c r="AH57" i="173"/>
  <c r="AI10" i="173"/>
  <c r="AH10" i="173"/>
  <c r="E11" i="174"/>
  <c r="AI14" i="173"/>
  <c r="AH14" i="173"/>
  <c r="AI18" i="173"/>
  <c r="AC18" i="173" s="1" a="1"/>
  <c r="AC18" i="173" s="1"/>
  <c r="AH18" i="173"/>
  <c r="AI22" i="173"/>
  <c r="AC22" i="173" s="1" a="1"/>
  <c r="AC22" i="173" s="1"/>
  <c r="AH22" i="173"/>
  <c r="AI26" i="173"/>
  <c r="AC26" i="173" s="1" a="1"/>
  <c r="AC26" i="173" s="1"/>
  <c r="AH26" i="173"/>
  <c r="AI30" i="173"/>
  <c r="AC30" i="173" s="1" a="1"/>
  <c r="AC30" i="173" s="1"/>
  <c r="AH30" i="173"/>
  <c r="AI34" i="173"/>
  <c r="AC34" i="173" s="1" a="1"/>
  <c r="AC34" i="173" s="1"/>
  <c r="AH34" i="173"/>
  <c r="AI38" i="173"/>
  <c r="AC38" i="173" s="1" a="1"/>
  <c r="AC38" i="173" s="1"/>
  <c r="AH38" i="173"/>
  <c r="AI42" i="173"/>
  <c r="AC42" i="173" s="1" a="1"/>
  <c r="AC42" i="173" s="1"/>
  <c r="AH42" i="173"/>
  <c r="AI46" i="173"/>
  <c r="AC46" i="173" s="1" a="1"/>
  <c r="AC46" i="173" s="1"/>
  <c r="AH46" i="173"/>
  <c r="AI50" i="173"/>
  <c r="AC50" i="173" s="1" a="1"/>
  <c r="AC50" i="173" s="1"/>
  <c r="AH50" i="173"/>
  <c r="AI54" i="173"/>
  <c r="AC54" i="173" s="1" a="1"/>
  <c r="AC54" i="173" s="1"/>
  <c r="AH54" i="173"/>
  <c r="AI58" i="173"/>
  <c r="AC58" i="173" s="1" a="1"/>
  <c r="AC58" i="173" s="1"/>
  <c r="AH58" i="173"/>
  <c r="AI62" i="173"/>
  <c r="AC62" i="173" s="1" a="1"/>
  <c r="AC62" i="173" s="1"/>
  <c r="AH62" i="173"/>
  <c r="AI9" i="173"/>
  <c r="AH9" i="173"/>
  <c r="E10" i="174"/>
  <c r="AI17" i="173"/>
  <c r="AH17" i="173"/>
  <c r="AI25" i="173"/>
  <c r="AC25" i="173" s="1" a="1"/>
  <c r="AC25" i="173" s="1"/>
  <c r="AH25" i="173"/>
  <c r="AI33" i="173"/>
  <c r="AC33" i="173" s="1" a="1"/>
  <c r="AC33" i="173" s="1"/>
  <c r="AH33" i="173"/>
  <c r="AI41" i="173"/>
  <c r="AC41" i="173" s="1" a="1"/>
  <c r="AC41" i="173" s="1"/>
  <c r="AH41" i="173"/>
  <c r="AI49" i="173"/>
  <c r="AC49" i="173" s="1" a="1"/>
  <c r="AC49" i="173" s="1"/>
  <c r="AH49" i="173"/>
  <c r="AI61" i="173"/>
  <c r="AC61" i="173" s="1" a="1"/>
  <c r="AC61" i="173" s="1"/>
  <c r="AH61" i="173"/>
  <c r="AI7" i="173"/>
  <c r="AH7" i="173"/>
  <c r="E8" i="174"/>
  <c r="AI11" i="173"/>
  <c r="AH11" i="173"/>
  <c r="AI15" i="173"/>
  <c r="AH15" i="173"/>
  <c r="AI19" i="173"/>
  <c r="AC19" i="173" s="1" a="1"/>
  <c r="AC19" i="173" s="1"/>
  <c r="AH19" i="173"/>
  <c r="AI23" i="173"/>
  <c r="AC23" i="173" s="1" a="1"/>
  <c r="AC23" i="173" s="1"/>
  <c r="AH23" i="173"/>
  <c r="AI27" i="173"/>
  <c r="AC27" i="173" s="1" a="1"/>
  <c r="AC27" i="173" s="1"/>
  <c r="AH27" i="173"/>
  <c r="AI31" i="173"/>
  <c r="AC31" i="173" s="1" a="1"/>
  <c r="AC31" i="173" s="1"/>
  <c r="AH31" i="173"/>
  <c r="AI35" i="173"/>
  <c r="AC35" i="173" s="1" a="1"/>
  <c r="AC35" i="173" s="1"/>
  <c r="AH35" i="173"/>
  <c r="AI39" i="173"/>
  <c r="AC39" i="173" s="1" a="1"/>
  <c r="AC39" i="173" s="1"/>
  <c r="AH39" i="173"/>
  <c r="AI43" i="173"/>
  <c r="AC43" i="173" s="1" a="1"/>
  <c r="AC43" i="173" s="1"/>
  <c r="AH43" i="173"/>
  <c r="AI47" i="173"/>
  <c r="AC47" i="173" s="1" a="1"/>
  <c r="AC47" i="173" s="1"/>
  <c r="AH47" i="173"/>
  <c r="AI51" i="173"/>
  <c r="AC51" i="173" s="1" a="1"/>
  <c r="AC51" i="173" s="1"/>
  <c r="AH51" i="173"/>
  <c r="AI55" i="173"/>
  <c r="AC55" i="173" s="1" a="1"/>
  <c r="AC55" i="173" s="1"/>
  <c r="AH55" i="173"/>
  <c r="AI59" i="173"/>
  <c r="AC59" i="173" s="1" a="1"/>
  <c r="AC59" i="173" s="1"/>
  <c r="AH59" i="173"/>
  <c r="AI8" i="173"/>
  <c r="AH8" i="173"/>
  <c r="E9" i="174"/>
  <c r="AI12" i="173"/>
  <c r="AH12" i="173"/>
  <c r="AI16" i="173"/>
  <c r="AH16" i="173"/>
  <c r="AI20" i="173"/>
  <c r="AC20" i="173" s="1" a="1"/>
  <c r="AC20" i="173" s="1"/>
  <c r="AH20" i="173"/>
  <c r="AI24" i="173"/>
  <c r="AC24" i="173" s="1" a="1"/>
  <c r="AC24" i="173" s="1"/>
  <c r="AH24" i="173"/>
  <c r="AI28" i="173"/>
  <c r="AC28" i="173" s="1" a="1"/>
  <c r="AC28" i="173" s="1"/>
  <c r="AH28" i="173"/>
  <c r="AI32" i="173"/>
  <c r="AC32" i="173" s="1" a="1"/>
  <c r="AC32" i="173" s="1"/>
  <c r="AH32" i="173"/>
  <c r="AI36" i="173"/>
  <c r="AC36" i="173" s="1" a="1"/>
  <c r="AC36" i="173" s="1"/>
  <c r="AH36" i="173"/>
  <c r="AI40" i="173"/>
  <c r="AC40" i="173" s="1" a="1"/>
  <c r="AC40" i="173" s="1"/>
  <c r="AH40" i="173"/>
  <c r="AI44" i="173"/>
  <c r="AC44" i="173" s="1" a="1"/>
  <c r="AC44" i="173" s="1"/>
  <c r="AH44" i="173"/>
  <c r="AI48" i="173"/>
  <c r="AC48" i="173" s="1" a="1"/>
  <c r="AC48" i="173" s="1"/>
  <c r="AH48" i="173"/>
  <c r="AI52" i="173"/>
  <c r="AC52" i="173" s="1" a="1"/>
  <c r="AC52" i="173" s="1"/>
  <c r="AH52" i="173"/>
  <c r="AI56" i="173"/>
  <c r="AC56" i="173" s="1" a="1"/>
  <c r="AC56" i="173" s="1"/>
  <c r="AH56" i="173"/>
  <c r="AI60" i="173"/>
  <c r="AC60" i="173" s="1" a="1"/>
  <c r="AC60" i="173" s="1"/>
  <c r="AH60" i="173"/>
  <c r="AA161" i="206"/>
  <c r="D445" i="176"/>
  <c r="D505" i="176"/>
  <c r="D362" i="176"/>
  <c r="D398" i="176"/>
  <c r="D446" i="176"/>
  <c r="D494" i="176"/>
  <c r="D190" i="176"/>
  <c r="D434" i="176"/>
  <c r="D214" i="176"/>
  <c r="D457" i="176"/>
  <c r="D364" i="176"/>
  <c r="D94" i="176"/>
  <c r="D238" i="176"/>
  <c r="D338" i="176"/>
  <c r="D507" i="176"/>
  <c r="D316" i="176"/>
  <c r="D328" i="176"/>
  <c r="D340" i="176"/>
  <c r="D352" i="176"/>
  <c r="D376" i="176"/>
  <c r="D388" i="176"/>
  <c r="D400" i="176"/>
  <c r="D412" i="176"/>
  <c r="D424" i="176"/>
  <c r="D436" i="176"/>
  <c r="D448" i="176"/>
  <c r="D460" i="176"/>
  <c r="D472" i="176"/>
  <c r="D484" i="176"/>
  <c r="D496" i="176"/>
  <c r="D508" i="176"/>
  <c r="D449" i="176"/>
  <c r="D461" i="176"/>
  <c r="D473" i="176"/>
  <c r="D485" i="176"/>
  <c r="D497" i="176"/>
  <c r="D509" i="176"/>
  <c r="D106" i="176"/>
  <c r="D250" i="176"/>
  <c r="D493" i="176"/>
  <c r="D410" i="176"/>
  <c r="D483" i="176"/>
  <c r="D451" i="176"/>
  <c r="D463" i="176"/>
  <c r="D475" i="176"/>
  <c r="D487" i="176"/>
  <c r="D499" i="176"/>
  <c r="D511" i="176"/>
  <c r="D481" i="176"/>
  <c r="D374" i="176"/>
  <c r="D482" i="176"/>
  <c r="D356" i="176"/>
  <c r="D392" i="176"/>
  <c r="D440" i="176"/>
  <c r="D500" i="176"/>
  <c r="D469" i="176"/>
  <c r="D350" i="176"/>
  <c r="D386" i="176"/>
  <c r="D422" i="176"/>
  <c r="D470" i="176"/>
  <c r="D506" i="176"/>
  <c r="D465" i="176"/>
  <c r="D477" i="176"/>
  <c r="D489" i="176"/>
  <c r="D501" i="176"/>
  <c r="D513" i="176"/>
  <c r="D458" i="176"/>
  <c r="D495" i="176"/>
  <c r="D428" i="176"/>
  <c r="D454" i="176"/>
  <c r="D471" i="176"/>
  <c r="D344" i="176"/>
  <c r="D368" i="176"/>
  <c r="D380" i="176"/>
  <c r="D404" i="176"/>
  <c r="D416" i="176"/>
  <c r="D452" i="176"/>
  <c r="D464" i="176"/>
  <c r="D476" i="176"/>
  <c r="D488" i="176"/>
  <c r="D512" i="176"/>
  <c r="D455" i="176"/>
  <c r="D467" i="176"/>
  <c r="D479" i="176"/>
  <c r="D491" i="176"/>
  <c r="D503" i="176"/>
  <c r="D515" i="176"/>
  <c r="D322" i="176"/>
  <c r="D466" i="176"/>
  <c r="Z107" i="206"/>
  <c r="Y107" i="206"/>
  <c r="X10" i="206"/>
  <c r="Y14" i="206"/>
  <c r="Y13" i="206"/>
  <c r="Y12" i="206"/>
  <c r="Y11" i="206"/>
  <c r="Y33" i="206"/>
  <c r="Y32" i="206"/>
  <c r="Y31" i="206"/>
  <c r="Y28" i="206"/>
  <c r="Y27" i="206"/>
  <c r="Y26" i="206"/>
  <c r="Y24" i="206"/>
  <c r="Y23" i="206"/>
  <c r="Y22" i="206"/>
  <c r="Y21" i="206"/>
  <c r="Y20" i="206"/>
  <c r="Y19" i="206"/>
  <c r="Y18" i="206"/>
  <c r="Y17" i="206"/>
  <c r="Y10" i="206"/>
  <c r="W10" i="206"/>
  <c r="Z14" i="206"/>
  <c r="Z13" i="206"/>
  <c r="Z12" i="206"/>
  <c r="Z11" i="206"/>
  <c r="Z33" i="206"/>
  <c r="Z32" i="206"/>
  <c r="Z31" i="206"/>
  <c r="Z30" i="206"/>
  <c r="Z28" i="206"/>
  <c r="Z27" i="206"/>
  <c r="Z26" i="206"/>
  <c r="Z25" i="206"/>
  <c r="Z24" i="206"/>
  <c r="Z23" i="206"/>
  <c r="Z22" i="206"/>
  <c r="Z21" i="206"/>
  <c r="Z20" i="206"/>
  <c r="Z19" i="206"/>
  <c r="Z18" i="206"/>
  <c r="Z17" i="206"/>
  <c r="Z39" i="206"/>
  <c r="Z38" i="206"/>
  <c r="Z37" i="206"/>
  <c r="Z36" i="206"/>
  <c r="Z35" i="206"/>
  <c r="Z60" i="206"/>
  <c r="Z59" i="206"/>
  <c r="Z58" i="206"/>
  <c r="Z57" i="206"/>
  <c r="Z56" i="206"/>
  <c r="X67" i="206"/>
  <c r="X65" i="206"/>
  <c r="AA162" i="206"/>
  <c r="S162" i="206"/>
  <c r="Y38" i="206"/>
  <c r="Y37" i="206"/>
  <c r="Y36" i="206"/>
  <c r="Y111" i="206"/>
  <c r="Y110" i="206"/>
  <c r="Y118" i="206"/>
  <c r="Y116" i="206"/>
  <c r="Y123" i="206"/>
  <c r="Z133" i="206"/>
  <c r="R162" i="206"/>
  <c r="J162" i="206"/>
  <c r="Z55" i="206"/>
  <c r="Z54" i="206"/>
  <c r="Z53" i="206"/>
  <c r="Z52" i="206"/>
  <c r="Z51" i="206"/>
  <c r="Z50" i="206"/>
  <c r="Z49" i="206"/>
  <c r="Z80" i="206"/>
  <c r="Z79" i="206"/>
  <c r="Z78" i="206"/>
  <c r="Z77" i="206"/>
  <c r="Z76" i="206"/>
  <c r="Z75" i="206"/>
  <c r="Z74" i="206"/>
  <c r="Z73" i="206"/>
  <c r="Z72" i="206"/>
  <c r="Z71" i="206"/>
  <c r="Z70" i="206"/>
  <c r="Z69" i="206"/>
  <c r="Z68" i="206"/>
  <c r="Z67" i="206"/>
  <c r="Z66" i="206"/>
  <c r="Z65" i="206"/>
  <c r="Z64" i="206"/>
  <c r="Z98" i="206"/>
  <c r="Z97" i="206"/>
  <c r="Z96" i="206"/>
  <c r="Z95" i="206"/>
  <c r="Z94" i="206"/>
  <c r="Z93" i="206"/>
  <c r="Z92" i="206"/>
  <c r="Z91" i="206"/>
  <c r="Z90" i="206"/>
  <c r="Z89" i="206"/>
  <c r="Z88" i="206"/>
  <c r="Z87" i="206"/>
  <c r="Z86" i="206"/>
  <c r="Z85" i="206"/>
  <c r="Z84" i="206"/>
  <c r="Z83" i="206"/>
  <c r="Z103" i="206"/>
  <c r="Z102" i="206"/>
  <c r="Z101" i="206"/>
  <c r="Z106" i="206"/>
  <c r="Z112" i="206"/>
  <c r="Z111" i="206"/>
  <c r="Z110" i="206"/>
  <c r="Z109" i="206"/>
  <c r="Z118" i="206"/>
  <c r="Z117" i="206"/>
  <c r="Z116" i="206"/>
  <c r="Z120" i="206"/>
  <c r="Z125" i="206"/>
  <c r="Z124" i="206"/>
  <c r="Z123" i="206"/>
  <c r="Z135" i="206"/>
  <c r="Z134" i="206"/>
  <c r="Z136" i="206"/>
  <c r="Z139" i="206"/>
  <c r="Z143" i="206"/>
  <c r="Z142" i="206"/>
  <c r="Z146" i="206"/>
  <c r="Z145" i="206"/>
  <c r="Z150" i="206"/>
  <c r="Z149" i="206"/>
  <c r="Z148" i="206"/>
  <c r="Z159" i="206"/>
  <c r="Z158" i="206"/>
  <c r="Z157" i="206"/>
  <c r="Z156" i="206"/>
  <c r="Z155" i="206"/>
  <c r="Z154" i="206"/>
  <c r="Z153" i="206"/>
  <c r="Z152" i="206"/>
  <c r="Z10" i="206"/>
  <c r="Z140" i="206"/>
  <c r="Q162" i="206"/>
  <c r="M162" i="206"/>
  <c r="I162" i="206"/>
  <c r="Y25" i="206"/>
  <c r="Y30" i="206"/>
  <c r="Y35" i="206"/>
  <c r="Y39" i="206"/>
  <c r="Y120" i="206"/>
  <c r="Y125" i="206"/>
  <c r="X133" i="206"/>
  <c r="X132" i="206"/>
  <c r="P162" i="206"/>
  <c r="L162" i="206"/>
  <c r="H162" i="206"/>
  <c r="X107" i="206"/>
  <c r="X14" i="206"/>
  <c r="X13" i="206"/>
  <c r="X12" i="206"/>
  <c r="X11" i="206"/>
  <c r="X33" i="206"/>
  <c r="X32" i="206"/>
  <c r="X31" i="206"/>
  <c r="AA34" i="206"/>
  <c r="AA40" i="206" s="1"/>
  <c r="X30" i="206"/>
  <c r="X28" i="206"/>
  <c r="X27" i="206"/>
  <c r="X26" i="206"/>
  <c r="X25" i="206"/>
  <c r="X24" i="206"/>
  <c r="X23" i="206"/>
  <c r="X22" i="206"/>
  <c r="X21" i="206"/>
  <c r="X20" i="206"/>
  <c r="X19" i="206"/>
  <c r="X18" i="206"/>
  <c r="X17" i="206"/>
  <c r="X39" i="206"/>
  <c r="X38" i="206"/>
  <c r="X37" i="206"/>
  <c r="X36" i="206"/>
  <c r="X35" i="206"/>
  <c r="X60" i="206"/>
  <c r="X59" i="206"/>
  <c r="X58" i="206"/>
  <c r="X57" i="206"/>
  <c r="X56" i="206"/>
  <c r="X55" i="206"/>
  <c r="X54" i="206"/>
  <c r="X53" i="206"/>
  <c r="X52" i="206"/>
  <c r="X51" i="206"/>
  <c r="X50" i="206"/>
  <c r="X49" i="206"/>
  <c r="X80" i="206"/>
  <c r="X79" i="206"/>
  <c r="X78" i="206"/>
  <c r="X77" i="206"/>
  <c r="X76" i="206"/>
  <c r="X75" i="206"/>
  <c r="X74" i="206"/>
  <c r="X73" i="206"/>
  <c r="X72" i="206"/>
  <c r="X71" i="206"/>
  <c r="X70" i="206"/>
  <c r="X69" i="206"/>
  <c r="X68" i="206"/>
  <c r="X66" i="206"/>
  <c r="X64" i="206"/>
  <c r="X98" i="206"/>
  <c r="X97" i="206"/>
  <c r="X96" i="206"/>
  <c r="X95" i="206"/>
  <c r="X94" i="206"/>
  <c r="X93" i="206"/>
  <c r="X92" i="206"/>
  <c r="X91" i="206"/>
  <c r="X90" i="206"/>
  <c r="X89" i="206"/>
  <c r="X88" i="206"/>
  <c r="X87" i="206"/>
  <c r="X86" i="206"/>
  <c r="X85" i="206"/>
  <c r="X84" i="206"/>
  <c r="X83" i="206"/>
  <c r="X103" i="206"/>
  <c r="X102" i="206"/>
  <c r="X101" i="206"/>
  <c r="X106" i="206"/>
  <c r="X112" i="206"/>
  <c r="X111" i="206"/>
  <c r="X110" i="206"/>
  <c r="X109" i="206"/>
  <c r="X118" i="206"/>
  <c r="X117" i="206"/>
  <c r="X116" i="206"/>
  <c r="X120" i="206"/>
  <c r="X125" i="206"/>
  <c r="X124" i="206"/>
  <c r="X123" i="206"/>
  <c r="X135" i="206"/>
  <c r="X134" i="206"/>
  <c r="Y133" i="206"/>
  <c r="Y132" i="206"/>
  <c r="X136" i="206"/>
  <c r="X140" i="206"/>
  <c r="X139" i="206"/>
  <c r="X143" i="206"/>
  <c r="X142" i="206"/>
  <c r="X146" i="206"/>
  <c r="W145" i="206"/>
  <c r="AA145" i="206"/>
  <c r="X145" i="206"/>
  <c r="X150" i="206"/>
  <c r="X149" i="206"/>
  <c r="X148" i="206"/>
  <c r="X159" i="206"/>
  <c r="X158" i="206"/>
  <c r="X157" i="206"/>
  <c r="AA15" i="206"/>
  <c r="Y60" i="206"/>
  <c r="Y59" i="206"/>
  <c r="Y58" i="206"/>
  <c r="Y57" i="206"/>
  <c r="Y56" i="206"/>
  <c r="Y55" i="206"/>
  <c r="Y54" i="206"/>
  <c r="Y53" i="206"/>
  <c r="Y52" i="206"/>
  <c r="Y51" i="206"/>
  <c r="Y50" i="206"/>
  <c r="Y49" i="206"/>
  <c r="Y80" i="206"/>
  <c r="Y79" i="206"/>
  <c r="Y78" i="206"/>
  <c r="Y77" i="206"/>
  <c r="Y76" i="206"/>
  <c r="Y75" i="206"/>
  <c r="Y74" i="206"/>
  <c r="Y73" i="206"/>
  <c r="Y72" i="206"/>
  <c r="Y71" i="206"/>
  <c r="Y70" i="206"/>
  <c r="Y69" i="206"/>
  <c r="Y68" i="206"/>
  <c r="Y67" i="206"/>
  <c r="Y66" i="206"/>
  <c r="Y65" i="206"/>
  <c r="Y64" i="206"/>
  <c r="Y98" i="206"/>
  <c r="Y97" i="206"/>
  <c r="Y96" i="206"/>
  <c r="Y95" i="206"/>
  <c r="Y94" i="206"/>
  <c r="Y93" i="206"/>
  <c r="Y92" i="206"/>
  <c r="Y91" i="206"/>
  <c r="Y90" i="206"/>
  <c r="Y89" i="206"/>
  <c r="Y88" i="206"/>
  <c r="Y87" i="206"/>
  <c r="Y86" i="206"/>
  <c r="Y85" i="206"/>
  <c r="Y84" i="206"/>
  <c r="Y83" i="206"/>
  <c r="Y103" i="206"/>
  <c r="Y102" i="206"/>
  <c r="Y101" i="206"/>
  <c r="Y106" i="206"/>
  <c r="Y112" i="206"/>
  <c r="Y109" i="206"/>
  <c r="Y117" i="206"/>
  <c r="Y124" i="206"/>
  <c r="Y135" i="206"/>
  <c r="Y134" i="206"/>
  <c r="Z132" i="206"/>
  <c r="Y136" i="206"/>
  <c r="Y140" i="206"/>
  <c r="Y139" i="206"/>
  <c r="Y143" i="206"/>
  <c r="Y142" i="206"/>
  <c r="Y146" i="206"/>
  <c r="Y145" i="206"/>
  <c r="Y150" i="206"/>
  <c r="Y149" i="206"/>
  <c r="Y148" i="206"/>
  <c r="Y159" i="206"/>
  <c r="Y158" i="206"/>
  <c r="Y157" i="206"/>
  <c r="Y156" i="206"/>
  <c r="Y155" i="206"/>
  <c r="Y154" i="206"/>
  <c r="Y153" i="206"/>
  <c r="Y152" i="206"/>
  <c r="N162" i="206"/>
  <c r="X156" i="206"/>
  <c r="X155" i="206"/>
  <c r="X154" i="206"/>
  <c r="X153" i="206"/>
  <c r="X152" i="206"/>
  <c r="W142" i="206"/>
  <c r="H15" i="206"/>
  <c r="H34" i="206"/>
  <c r="H40" i="206" s="1"/>
  <c r="H99" i="206"/>
  <c r="H104" i="206"/>
  <c r="H113" i="206"/>
  <c r="H119" i="206"/>
  <c r="H121" i="206" s="1"/>
  <c r="H61" i="206"/>
  <c r="H81" i="206"/>
  <c r="M15" i="206"/>
  <c r="W139" i="206"/>
  <c r="J15" i="206"/>
  <c r="W132" i="206"/>
  <c r="P15" i="206"/>
  <c r="N15" i="206"/>
  <c r="W124" i="206"/>
  <c r="W116" i="206"/>
  <c r="R104" i="206"/>
  <c r="W120" i="206"/>
  <c r="I104" i="206"/>
  <c r="S119" i="206"/>
  <c r="I126" i="206"/>
  <c r="N113" i="206"/>
  <c r="W96" i="206"/>
  <c r="R126" i="206"/>
  <c r="L113" i="206"/>
  <c r="P126" i="206"/>
  <c r="M104" i="206"/>
  <c r="M119" i="206"/>
  <c r="M121" i="206" s="1"/>
  <c r="W59" i="206"/>
  <c r="S104" i="206"/>
  <c r="AA104" i="206" s="1"/>
  <c r="S126" i="206"/>
  <c r="AA126" i="206" s="1"/>
  <c r="I119" i="206"/>
  <c r="I121" i="206" s="1"/>
  <c r="I34" i="206"/>
  <c r="I40" i="206" s="1"/>
  <c r="J34" i="206"/>
  <c r="J40" i="206" s="1"/>
  <c r="K162" i="206"/>
  <c r="W70" i="206"/>
  <c r="J113" i="206"/>
  <c r="Q126" i="206"/>
  <c r="J119" i="206"/>
  <c r="J121" i="206" s="1"/>
  <c r="Q81" i="206"/>
  <c r="L61" i="206"/>
  <c r="R15" i="206"/>
  <c r="W93" i="206"/>
  <c r="P81" i="206"/>
  <c r="W55" i="206"/>
  <c r="J104" i="206"/>
  <c r="W88" i="206"/>
  <c r="W53" i="206"/>
  <c r="W51" i="206"/>
  <c r="R119" i="206"/>
  <c r="R121" i="206" s="1"/>
  <c r="R34" i="206"/>
  <c r="R40" i="206" s="1"/>
  <c r="W158" i="206"/>
  <c r="L99" i="206"/>
  <c r="O40" i="206"/>
  <c r="W152" i="206"/>
  <c r="P121" i="206"/>
  <c r="P113" i="206"/>
  <c r="J99" i="206"/>
  <c r="L81" i="206"/>
  <c r="R61" i="206"/>
  <c r="W25" i="206"/>
  <c r="J126" i="206"/>
  <c r="O119" i="206"/>
  <c r="O121" i="206" s="1"/>
  <c r="O113" i="206"/>
  <c r="M99" i="206"/>
  <c r="Z48" i="206"/>
  <c r="N34" i="206"/>
  <c r="N40" i="206" s="1"/>
  <c r="Q15" i="206"/>
  <c r="W123" i="206"/>
  <c r="M34" i="206"/>
  <c r="M40" i="206" s="1"/>
  <c r="L15" i="206"/>
  <c r="W112" i="206"/>
  <c r="O104" i="206"/>
  <c r="R99" i="206"/>
  <c r="J61" i="206"/>
  <c r="M61" i="206"/>
  <c r="P61" i="206"/>
  <c r="W38" i="206"/>
  <c r="L119" i="206"/>
  <c r="L121" i="206" s="1"/>
  <c r="R113" i="206"/>
  <c r="K113" i="206"/>
  <c r="N104" i="206"/>
  <c r="O99" i="206"/>
  <c r="W57" i="206"/>
  <c r="O61" i="206"/>
  <c r="I15" i="206"/>
  <c r="W125" i="206"/>
  <c r="W109" i="206"/>
  <c r="W84" i="206"/>
  <c r="W68" i="206"/>
  <c r="W67" i="206"/>
  <c r="W60" i="206"/>
  <c r="W56" i="206"/>
  <c r="W33" i="206"/>
  <c r="W20" i="206"/>
  <c r="W14" i="206"/>
  <c r="W140" i="206"/>
  <c r="M113" i="206"/>
  <c r="W103" i="206"/>
  <c r="W98" i="206"/>
  <c r="W92" i="206"/>
  <c r="S81" i="206"/>
  <c r="AA81" i="206" s="1"/>
  <c r="R81" i="206"/>
  <c r="W78" i="206"/>
  <c r="W77" i="206"/>
  <c r="N61" i="206"/>
  <c r="W118" i="206"/>
  <c r="W87" i="206"/>
  <c r="W83" i="206"/>
  <c r="S61" i="206"/>
  <c r="AA61" i="206" s="1"/>
  <c r="W50" i="206"/>
  <c r="W36" i="206"/>
  <c r="W24" i="206"/>
  <c r="W19" i="206"/>
  <c r="W11" i="206"/>
  <c r="W155" i="206"/>
  <c r="W136" i="206"/>
  <c r="I113" i="206"/>
  <c r="W107" i="206"/>
  <c r="W106" i="206"/>
  <c r="S99" i="206"/>
  <c r="AA99" i="206" s="1"/>
  <c r="W97" i="206"/>
  <c r="W72" i="206"/>
  <c r="W71" i="206"/>
  <c r="S34" i="206"/>
  <c r="S40" i="206" s="1"/>
  <c r="W32" i="206"/>
  <c r="K15" i="206"/>
  <c r="W135" i="206"/>
  <c r="N126" i="206"/>
  <c r="H126" i="206"/>
  <c r="W117" i="206"/>
  <c r="W102" i="206"/>
  <c r="W101" i="206"/>
  <c r="W91" i="206"/>
  <c r="W86" i="206"/>
  <c r="O81" i="206"/>
  <c r="Q61" i="206"/>
  <c r="X48" i="206"/>
  <c r="W28" i="206"/>
  <c r="W23" i="206"/>
  <c r="L126" i="206"/>
  <c r="Q119" i="206"/>
  <c r="K119" i="206"/>
  <c r="Q99" i="206"/>
  <c r="N81" i="206"/>
  <c r="W76" i="206"/>
  <c r="W75" i="206"/>
  <c r="W66" i="206"/>
  <c r="W65" i="206"/>
  <c r="W54" i="206"/>
  <c r="Q34" i="206"/>
  <c r="Q40" i="206" s="1"/>
  <c r="K34" i="206"/>
  <c r="K40" i="206" s="1"/>
  <c r="W18" i="206"/>
  <c r="W12" i="206"/>
  <c r="W110" i="206"/>
  <c r="W154" i="206"/>
  <c r="W150" i="206"/>
  <c r="M126" i="206"/>
  <c r="P99" i="206"/>
  <c r="W95" i="206"/>
  <c r="W90" i="206"/>
  <c r="W58" i="206"/>
  <c r="W49" i="206"/>
  <c r="W48" i="206"/>
  <c r="W37" i="206"/>
  <c r="W27" i="206"/>
  <c r="I99" i="206"/>
  <c r="W157" i="206"/>
  <c r="W149" i="206"/>
  <c r="W146" i="206"/>
  <c r="W143" i="206"/>
  <c r="W134" i="206"/>
  <c r="N119" i="206"/>
  <c r="S113" i="206"/>
  <c r="AA113" i="206" s="1"/>
  <c r="W111" i="206"/>
  <c r="N99" i="206"/>
  <c r="K81" i="206"/>
  <c r="M81" i="206"/>
  <c r="L40" i="206"/>
  <c r="P34" i="206"/>
  <c r="P40" i="206" s="1"/>
  <c r="W31" i="206"/>
  <c r="W22" i="206"/>
  <c r="W17" i="206"/>
  <c r="W153" i="206"/>
  <c r="W133" i="206"/>
  <c r="W94" i="206"/>
  <c r="W80" i="206"/>
  <c r="W69" i="206"/>
  <c r="S15" i="206"/>
  <c r="Q104" i="206"/>
  <c r="W89" i="206"/>
  <c r="W85" i="206"/>
  <c r="J81" i="206"/>
  <c r="W79" i="206"/>
  <c r="I61" i="206"/>
  <c r="W35" i="206"/>
  <c r="W30" i="206"/>
  <c r="W26" i="206"/>
  <c r="W21" i="206"/>
  <c r="W13" i="206"/>
  <c r="O162" i="206"/>
  <c r="W156" i="206"/>
  <c r="W148" i="206"/>
  <c r="K99" i="206"/>
  <c r="I81" i="206"/>
  <c r="W74" i="206"/>
  <c r="W73" i="206"/>
  <c r="W64" i="206"/>
  <c r="K61" i="206"/>
  <c r="W52" i="206"/>
  <c r="W39" i="206"/>
  <c r="AA48" i="206"/>
  <c r="Y48" i="206"/>
  <c r="W159" i="206"/>
  <c r="O15" i="206"/>
  <c r="Q113" i="206"/>
  <c r="W161" i="206" l="1"/>
  <c r="W162" i="206" s="1"/>
  <c r="Z161" i="206"/>
  <c r="Z162" i="206" s="1"/>
  <c r="Y15" i="206"/>
  <c r="Y161" i="206"/>
  <c r="Y162" i="206" s="1"/>
  <c r="X161" i="206"/>
  <c r="X162" i="206" s="1"/>
  <c r="Y34" i="206"/>
  <c r="Y40" i="206" s="1"/>
  <c r="Z113" i="206"/>
  <c r="Z99" i="206"/>
  <c r="Z126" i="206"/>
  <c r="Z104" i="206"/>
  <c r="X61" i="206"/>
  <c r="Y126" i="206"/>
  <c r="Z34" i="206"/>
  <c r="Z40" i="206" s="1"/>
  <c r="Z15" i="206"/>
  <c r="J43" i="206"/>
  <c r="X126" i="206"/>
  <c r="X15" i="206"/>
  <c r="X104" i="206"/>
  <c r="H43" i="206"/>
  <c r="W15" i="206"/>
  <c r="X99" i="206"/>
  <c r="Y99" i="206"/>
  <c r="N121" i="206"/>
  <c r="N128" i="206" s="1"/>
  <c r="Y119" i="206"/>
  <c r="K121" i="206"/>
  <c r="X119" i="206"/>
  <c r="Z61" i="206"/>
  <c r="S121" i="206"/>
  <c r="AA121" i="206" s="1"/>
  <c r="AA119" i="206"/>
  <c r="Q121" i="206"/>
  <c r="Z119" i="206"/>
  <c r="Y104" i="206"/>
  <c r="Z81" i="206"/>
  <c r="X81" i="206"/>
  <c r="Y81" i="206"/>
  <c r="Y61" i="206"/>
  <c r="X113" i="206"/>
  <c r="Y113" i="206"/>
  <c r="X34" i="206"/>
  <c r="X40" i="206" s="1"/>
  <c r="P43" i="206"/>
  <c r="M43" i="206"/>
  <c r="R43" i="206"/>
  <c r="N43" i="206"/>
  <c r="I43" i="206"/>
  <c r="L128" i="206"/>
  <c r="W104" i="206"/>
  <c r="O43" i="206"/>
  <c r="W113" i="206"/>
  <c r="O128" i="206"/>
  <c r="W126" i="206"/>
  <c r="M128" i="206"/>
  <c r="W34" i="206"/>
  <c r="W40" i="206" s="1"/>
  <c r="Q43" i="206"/>
  <c r="I128" i="206"/>
  <c r="J128" i="206"/>
  <c r="W81" i="206"/>
  <c r="P128" i="206"/>
  <c r="W99" i="206"/>
  <c r="R128" i="206"/>
  <c r="S43" i="206"/>
  <c r="L43" i="206"/>
  <c r="W61" i="206"/>
  <c r="H128" i="206"/>
  <c r="W119" i="206"/>
  <c r="W121" i="206" s="1"/>
  <c r="K43" i="206"/>
  <c r="AA43" i="206"/>
  <c r="V50" i="203"/>
  <c r="V49" i="203"/>
  <c r="V48" i="203"/>
  <c r="V47" i="203"/>
  <c r="V33" i="203"/>
  <c r="V32" i="203"/>
  <c r="V31" i="203"/>
  <c r="B10" i="177"/>
  <c r="D11" i="173" s="1"/>
  <c r="B9" i="177"/>
  <c r="D10" i="173" s="1"/>
  <c r="D11" i="174" s="1"/>
  <c r="B8" i="177"/>
  <c r="D9" i="173" s="1"/>
  <c r="D10" i="174" s="1"/>
  <c r="B7" i="177"/>
  <c r="D8" i="173" s="1"/>
  <c r="D9" i="174" s="1"/>
  <c r="Y43" i="206" l="1"/>
  <c r="O178" i="206"/>
  <c r="O166" i="206"/>
  <c r="S166" i="206"/>
  <c r="S178" i="206"/>
  <c r="P178" i="206"/>
  <c r="P166" i="206"/>
  <c r="J166" i="206"/>
  <c r="J178" i="206"/>
  <c r="Q166" i="206"/>
  <c r="Q178" i="206"/>
  <c r="R166" i="206"/>
  <c r="R178" i="206"/>
  <c r="K166" i="206"/>
  <c r="K178" i="206"/>
  <c r="I166" i="206"/>
  <c r="I178" i="206"/>
  <c r="N178" i="206"/>
  <c r="N166" i="206"/>
  <c r="H178" i="206"/>
  <c r="H166" i="206"/>
  <c r="L178" i="206"/>
  <c r="L166" i="206"/>
  <c r="M178" i="206"/>
  <c r="M166" i="206"/>
  <c r="H179" i="206"/>
  <c r="H167" i="206"/>
  <c r="I167" i="206"/>
  <c r="I179" i="206"/>
  <c r="R167" i="206"/>
  <c r="R179" i="206"/>
  <c r="M129" i="206"/>
  <c r="M163" i="206" s="1"/>
  <c r="M179" i="206"/>
  <c r="M167" i="206"/>
  <c r="N179" i="206"/>
  <c r="N167" i="206"/>
  <c r="L179" i="206"/>
  <c r="L167" i="206"/>
  <c r="P179" i="206"/>
  <c r="P167" i="206"/>
  <c r="O179" i="206"/>
  <c r="O167" i="206"/>
  <c r="J179" i="206"/>
  <c r="J167" i="206"/>
  <c r="Z43" i="206"/>
  <c r="X43" i="206"/>
  <c r="Z121" i="206"/>
  <c r="Z128" i="206" s="1"/>
  <c r="S128" i="206"/>
  <c r="S129" i="206" s="1"/>
  <c r="J129" i="206"/>
  <c r="Q128" i="206"/>
  <c r="X121" i="206"/>
  <c r="X128" i="206" s="1"/>
  <c r="Y121" i="206"/>
  <c r="Y128" i="206" s="1"/>
  <c r="K128" i="206"/>
  <c r="I129" i="206"/>
  <c r="O129" i="206"/>
  <c r="W128" i="206"/>
  <c r="P129" i="206"/>
  <c r="W43" i="206"/>
  <c r="R129" i="206"/>
  <c r="H129" i="206"/>
  <c r="L129" i="206"/>
  <c r="N129" i="206"/>
  <c r="AA128" i="206"/>
  <c r="AA129" i="206" s="1"/>
  <c r="AA163" i="206" s="1"/>
  <c r="Z129" i="206" l="1"/>
  <c r="Z163" i="206" s="1"/>
  <c r="Y129" i="206"/>
  <c r="Y163" i="206" s="1"/>
  <c r="W167" i="206"/>
  <c r="W179" i="206"/>
  <c r="W166" i="206"/>
  <c r="W178" i="206"/>
  <c r="S168" i="206"/>
  <c r="S180" i="206"/>
  <c r="Q179" i="206"/>
  <c r="Q167" i="206"/>
  <c r="O180" i="206"/>
  <c r="O168" i="206"/>
  <c r="J163" i="206"/>
  <c r="J168" i="206"/>
  <c r="J180" i="206"/>
  <c r="I168" i="206"/>
  <c r="I180" i="206"/>
  <c r="S167" i="206"/>
  <c r="S179" i="206"/>
  <c r="H180" i="206"/>
  <c r="H168" i="206"/>
  <c r="R180" i="206"/>
  <c r="R168" i="206"/>
  <c r="K167" i="206"/>
  <c r="K179" i="206"/>
  <c r="L163" i="206"/>
  <c r="L168" i="206"/>
  <c r="L180" i="206"/>
  <c r="P180" i="206"/>
  <c r="P168" i="206"/>
  <c r="M168" i="206"/>
  <c r="M180" i="206"/>
  <c r="N163" i="206"/>
  <c r="N180" i="206"/>
  <c r="N168" i="206"/>
  <c r="K129" i="206"/>
  <c r="P163" i="206"/>
  <c r="O163" i="206"/>
  <c r="H163" i="206"/>
  <c r="S163" i="206"/>
  <c r="I163" i="206"/>
  <c r="R163" i="206"/>
  <c r="Q129" i="206"/>
  <c r="W129" i="206"/>
  <c r="X129" i="206"/>
  <c r="X163" i="206" s="1"/>
  <c r="W168" i="206" l="1"/>
  <c r="W180" i="206"/>
  <c r="K180" i="206"/>
  <c r="K168" i="206"/>
  <c r="K163" i="206"/>
  <c r="Q180" i="206"/>
  <c r="Q168" i="206"/>
  <c r="W163" i="206"/>
  <c r="Q163" i="206"/>
  <c r="AE3" i="206"/>
  <c r="I5" i="206" l="1"/>
  <c r="J5" i="206" s="1"/>
  <c r="K5" i="206" s="1"/>
  <c r="L5" i="206" l="1"/>
  <c r="M5" i="206" s="1"/>
  <c r="N5" i="206" s="1"/>
  <c r="X14" i="166"/>
  <c r="L14" i="221" s="1"/>
  <c r="X13" i="166"/>
  <c r="L13" i="221" s="1"/>
  <c r="O5" i="206" l="1"/>
  <c r="P5" i="206" s="1"/>
  <c r="Q5" i="206" s="1"/>
  <c r="R5" i="206" l="1"/>
  <c r="S5" i="206" s="1"/>
  <c r="Z5" i="206" s="1"/>
  <c r="AA5" i="206" l="1"/>
  <c r="W5" i="206"/>
  <c r="X5" i="206"/>
  <c r="Y5" i="206"/>
  <c r="L19" i="221" l="1"/>
  <c r="L16" i="221" l="1"/>
  <c r="L17" i="221"/>
  <c r="L31" i="221"/>
  <c r="L25" i="221"/>
  <c r="L34" i="221"/>
  <c r="L30" i="221"/>
  <c r="L15" i="221"/>
  <c r="L29" i="221"/>
  <c r="L35" i="221"/>
  <c r="L28" i="221"/>
  <c r="L26" i="221"/>
  <c r="L18" i="221"/>
  <c r="L33" i="221"/>
  <c r="L32" i="221"/>
  <c r="B6" i="177" l="1"/>
  <c r="D7" i="173" s="1"/>
  <c r="A107" i="177"/>
  <c r="A108" i="177"/>
  <c r="A109" i="177"/>
  <c r="A110" i="177"/>
  <c r="A111" i="177"/>
  <c r="A112" i="177"/>
  <c r="A113" i="177"/>
  <c r="A114" i="177"/>
  <c r="A115" i="177"/>
  <c r="A116" i="177"/>
  <c r="A117" i="177"/>
  <c r="A118" i="177"/>
  <c r="A119" i="177"/>
  <c r="A120" i="177"/>
  <c r="A121" i="177"/>
  <c r="A122" i="177"/>
  <c r="A123" i="177"/>
  <c r="A124" i="177"/>
  <c r="A125" i="177"/>
  <c r="A126" i="177"/>
  <c r="A127" i="177"/>
  <c r="A128" i="177"/>
  <c r="A129" i="177"/>
  <c r="A130" i="177"/>
  <c r="A131" i="177"/>
  <c r="A132" i="177"/>
  <c r="A133" i="177"/>
  <c r="A134" i="177"/>
  <c r="A135" i="177"/>
  <c r="A136" i="177"/>
  <c r="A137" i="177"/>
  <c r="A138" i="177"/>
  <c r="A139" i="177"/>
  <c r="A140" i="177"/>
  <c r="A141" i="177"/>
  <c r="A142" i="177"/>
  <c r="A143" i="177"/>
  <c r="A144" i="177"/>
  <c r="A145" i="177"/>
  <c r="A146" i="177"/>
  <c r="A147" i="177"/>
  <c r="A148" i="177"/>
  <c r="A149" i="177"/>
  <c r="A150" i="177"/>
  <c r="A151" i="177"/>
  <c r="A152" i="177"/>
  <c r="A153" i="177"/>
  <c r="A154" i="177"/>
  <c r="A155" i="177"/>
  <c r="A156" i="177"/>
  <c r="A157" i="177"/>
  <c r="A158" i="177"/>
  <c r="A159" i="177"/>
  <c r="A160" i="177"/>
  <c r="A161" i="177"/>
  <c r="A162" i="177"/>
  <c r="A163" i="177"/>
  <c r="A164" i="177"/>
  <c r="A165" i="177"/>
  <c r="A166" i="177"/>
  <c r="A167" i="177"/>
  <c r="A168" i="177"/>
  <c r="A169" i="177"/>
  <c r="A170" i="177"/>
  <c r="A171" i="177"/>
  <c r="A172" i="177"/>
  <c r="A173" i="177"/>
  <c r="A174" i="177"/>
  <c r="A175" i="177"/>
  <c r="A176" i="177"/>
  <c r="A177" i="177"/>
  <c r="A178" i="177"/>
  <c r="A179" i="177"/>
  <c r="A180" i="177"/>
  <c r="A181" i="177"/>
  <c r="A182" i="177"/>
  <c r="A183" i="177"/>
  <c r="D22" i="176" l="1"/>
  <c r="D81" i="176"/>
  <c r="D69" i="176"/>
  <c r="D57" i="176"/>
  <c r="D45" i="176"/>
  <c r="D33" i="176"/>
  <c r="D21" i="176"/>
  <c r="D34" i="176"/>
  <c r="D92" i="176"/>
  <c r="D80" i="176"/>
  <c r="D68" i="176"/>
  <c r="D56" i="176"/>
  <c r="D44" i="176"/>
  <c r="D32" i="176"/>
  <c r="D20" i="176"/>
  <c r="D82" i="176"/>
  <c r="D91" i="176"/>
  <c r="D79" i="176"/>
  <c r="D67" i="176"/>
  <c r="D55" i="176"/>
  <c r="D43" i="176"/>
  <c r="D31" i="176"/>
  <c r="D19" i="176"/>
  <c r="D46" i="176"/>
  <c r="D90" i="176"/>
  <c r="D78" i="176"/>
  <c r="D66" i="176"/>
  <c r="D54" i="176"/>
  <c r="D42" i="176"/>
  <c r="D30" i="176"/>
  <c r="D18" i="176"/>
  <c r="D58" i="176"/>
  <c r="D89" i="176"/>
  <c r="D77" i="176"/>
  <c r="D65" i="176"/>
  <c r="D53" i="176"/>
  <c r="D41" i="176"/>
  <c r="D29" i="176"/>
  <c r="D17" i="176"/>
  <c r="D88" i="176"/>
  <c r="D76" i="176"/>
  <c r="D64" i="176"/>
  <c r="D52" i="176"/>
  <c r="D40" i="176"/>
  <c r="D28" i="176"/>
  <c r="D16" i="176"/>
  <c r="D87" i="176"/>
  <c r="D75" i="176"/>
  <c r="D63" i="176"/>
  <c r="D51" i="176"/>
  <c r="D39" i="176"/>
  <c r="D27" i="176"/>
  <c r="D86" i="176"/>
  <c r="D74" i="176"/>
  <c r="D62" i="176"/>
  <c r="D50" i="176"/>
  <c r="D38" i="176"/>
  <c r="D26" i="176"/>
  <c r="D85" i="176"/>
  <c r="D73" i="176"/>
  <c r="D61" i="176"/>
  <c r="D49" i="176"/>
  <c r="D37" i="176"/>
  <c r="D25" i="176"/>
  <c r="D70" i="176"/>
  <c r="D84" i="176"/>
  <c r="D72" i="176"/>
  <c r="D60" i="176"/>
  <c r="D48" i="176"/>
  <c r="D36" i="176"/>
  <c r="D24" i="176"/>
  <c r="D83" i="176"/>
  <c r="D71" i="176"/>
  <c r="D59" i="176"/>
  <c r="D47" i="176"/>
  <c r="D35" i="176"/>
  <c r="D23" i="176"/>
  <c r="D8" i="174"/>
  <c r="F8" i="86" l="1"/>
  <c r="Y3" i="174" l="1"/>
  <c r="M3" i="221"/>
  <c r="Y3" i="166"/>
  <c r="P18" i="166" l="1"/>
  <c r="I18" i="166"/>
  <c r="J18" i="166"/>
  <c r="K18" i="166"/>
  <c r="L18" i="166"/>
  <c r="M18" i="166"/>
  <c r="P28" i="166"/>
  <c r="K28" i="166"/>
  <c r="I28" i="166"/>
  <c r="M28" i="166"/>
  <c r="J28" i="166"/>
  <c r="L28" i="166"/>
  <c r="M21" i="166"/>
  <c r="I21" i="166"/>
  <c r="J21" i="166"/>
  <c r="L21" i="166"/>
  <c r="P21" i="166"/>
  <c r="K21" i="166"/>
  <c r="K17" i="166"/>
  <c r="L17" i="166"/>
  <c r="J17" i="166"/>
  <c r="P17" i="166"/>
  <c r="I17" i="166"/>
  <c r="M17" i="166"/>
  <c r="P38" i="166"/>
  <c r="M38" i="166"/>
  <c r="L38" i="166"/>
  <c r="K38" i="166"/>
  <c r="J38" i="166"/>
  <c r="I38" i="166"/>
  <c r="F5" i="166" l="1"/>
  <c r="E5" i="166"/>
  <c r="AB3" i="206"/>
  <c r="D11" i="206" l="1"/>
  <c r="D8" i="206"/>
  <c r="D9" i="206"/>
  <c r="D13" i="206"/>
  <c r="D17" i="206"/>
  <c r="D21" i="206"/>
  <c r="D25" i="206"/>
  <c r="D29" i="206"/>
  <c r="D33" i="206"/>
  <c r="D37" i="206"/>
  <c r="D41" i="206"/>
  <c r="D45" i="206"/>
  <c r="D49" i="206"/>
  <c r="D53" i="206"/>
  <c r="D57" i="206"/>
  <c r="D61" i="206"/>
  <c r="D65" i="206"/>
  <c r="D69" i="206"/>
  <c r="D73" i="206"/>
  <c r="D77" i="206"/>
  <c r="D81" i="206"/>
  <c r="D85" i="206"/>
  <c r="D89" i="206"/>
  <c r="D93" i="206"/>
  <c r="D97" i="206"/>
  <c r="D101" i="206"/>
  <c r="D105" i="206"/>
  <c r="D109" i="206"/>
  <c r="D113" i="206"/>
  <c r="D117" i="206"/>
  <c r="D121" i="206"/>
  <c r="D125" i="206"/>
  <c r="D129" i="206"/>
  <c r="D133" i="206"/>
  <c r="D137" i="206"/>
  <c r="D141" i="206"/>
  <c r="D145" i="206"/>
  <c r="D149" i="206"/>
  <c r="D153" i="206"/>
  <c r="D157" i="206"/>
  <c r="D161" i="206"/>
  <c r="D10" i="206"/>
  <c r="D14" i="206"/>
  <c r="D18" i="206"/>
  <c r="D22" i="206"/>
  <c r="D26" i="206"/>
  <c r="D30" i="206"/>
  <c r="D34" i="206"/>
  <c r="D38" i="206"/>
  <c r="D42" i="206"/>
  <c r="D46" i="206"/>
  <c r="D50" i="206"/>
  <c r="D54" i="206"/>
  <c r="D58" i="206"/>
  <c r="D62" i="206"/>
  <c r="D66" i="206"/>
  <c r="D70" i="206"/>
  <c r="D74" i="206"/>
  <c r="D78" i="206"/>
  <c r="D82" i="206"/>
  <c r="D86" i="206"/>
  <c r="D90" i="206"/>
  <c r="D94" i="206"/>
  <c r="D98" i="206"/>
  <c r="D102" i="206"/>
  <c r="D106" i="206"/>
  <c r="D110" i="206"/>
  <c r="D114" i="206"/>
  <c r="D118" i="206"/>
  <c r="D122" i="206"/>
  <c r="D126" i="206"/>
  <c r="D130" i="206"/>
  <c r="D134" i="206"/>
  <c r="D138" i="206"/>
  <c r="D142" i="206"/>
  <c r="D146" i="206"/>
  <c r="D150" i="206"/>
  <c r="D154" i="206"/>
  <c r="D158" i="206"/>
  <c r="D162" i="206"/>
  <c r="D7" i="206"/>
  <c r="D15" i="206"/>
  <c r="D19" i="206"/>
  <c r="D23" i="206"/>
  <c r="D27" i="206"/>
  <c r="D31" i="206"/>
  <c r="D35" i="206"/>
  <c r="D12" i="206"/>
  <c r="D28" i="206"/>
  <c r="D40" i="206"/>
  <c r="D48" i="206"/>
  <c r="D56" i="206"/>
  <c r="D64" i="206"/>
  <c r="D72" i="206"/>
  <c r="D80" i="206"/>
  <c r="D88" i="206"/>
  <c r="D96" i="206"/>
  <c r="D104" i="206"/>
  <c r="D112" i="206"/>
  <c r="D120" i="206"/>
  <c r="D128" i="206"/>
  <c r="D136" i="206"/>
  <c r="D144" i="206"/>
  <c r="D152" i="206"/>
  <c r="D160" i="206"/>
  <c r="D20" i="206"/>
  <c r="D36" i="206"/>
  <c r="D44" i="206"/>
  <c r="D52" i="206"/>
  <c r="D60" i="206"/>
  <c r="D68" i="206"/>
  <c r="D76" i="206"/>
  <c r="D84" i="206"/>
  <c r="D92" i="206"/>
  <c r="D100" i="206"/>
  <c r="D108" i="206"/>
  <c r="D116" i="206"/>
  <c r="D124" i="206"/>
  <c r="D132" i="206"/>
  <c r="D140" i="206"/>
  <c r="D148" i="206"/>
  <c r="D156" i="206"/>
  <c r="D16" i="206"/>
  <c r="D32" i="206"/>
  <c r="D43" i="206"/>
  <c r="D51" i="206"/>
  <c r="D59" i="206"/>
  <c r="D67" i="206"/>
  <c r="D75" i="206"/>
  <c r="D83" i="206"/>
  <c r="D91" i="206"/>
  <c r="D99" i="206"/>
  <c r="D107" i="206"/>
  <c r="D115" i="206"/>
  <c r="D123" i="206"/>
  <c r="D131" i="206"/>
  <c r="D139" i="206"/>
  <c r="D147" i="206"/>
  <c r="D155" i="206"/>
  <c r="D24" i="206"/>
  <c r="D39" i="206"/>
  <c r="D47" i="206"/>
  <c r="D55" i="206"/>
  <c r="D63" i="206"/>
  <c r="D71" i="206"/>
  <c r="D79" i="206"/>
  <c r="D87" i="206"/>
  <c r="D95" i="206"/>
  <c r="D103" i="206"/>
  <c r="D111" i="206"/>
  <c r="D119" i="206"/>
  <c r="D127" i="206"/>
  <c r="D135" i="206"/>
  <c r="D143" i="206"/>
  <c r="D151" i="206"/>
  <c r="D159" i="206"/>
  <c r="K20" i="166" l="1"/>
  <c r="M20" i="166"/>
  <c r="L20" i="166"/>
  <c r="P20" i="166"/>
  <c r="I20" i="166"/>
  <c r="J20" i="166"/>
  <c r="H5" i="166" l="1"/>
  <c r="M5" i="166" l="1"/>
  <c r="K5" i="166"/>
  <c r="J5" i="166"/>
  <c r="L5" i="166"/>
  <c r="C39" i="203" l="1"/>
  <c r="C22" i="203"/>
  <c r="C3" i="203"/>
  <c r="M47" i="203"/>
  <c r="M31" i="203"/>
  <c r="M12" i="203"/>
  <c r="P3" i="203"/>
  <c r="O49" i="203"/>
  <c r="N49" i="203"/>
  <c r="O48" i="203"/>
  <c r="N48" i="203"/>
  <c r="O47" i="203"/>
  <c r="O12" i="203" s="1"/>
  <c r="N47" i="203"/>
  <c r="S45" i="203"/>
  <c r="L43" i="203"/>
  <c r="K43" i="203"/>
  <c r="I43" i="203"/>
  <c r="O33" i="203"/>
  <c r="N33" i="203"/>
  <c r="O32" i="203"/>
  <c r="N32" i="203"/>
  <c r="N31" i="203"/>
  <c r="S29" i="203"/>
  <c r="N12" i="203" l="1"/>
  <c r="N13" i="203"/>
  <c r="O13" i="203"/>
  <c r="O14" i="203"/>
  <c r="N14" i="203"/>
  <c r="P48" i="203"/>
  <c r="P33" i="203"/>
  <c r="P31" i="203"/>
  <c r="P49" i="203"/>
  <c r="P32" i="203"/>
  <c r="P47" i="203"/>
  <c r="I8" i="203"/>
  <c r="L8" i="203"/>
  <c r="M13" i="203"/>
  <c r="M14" i="203" s="1"/>
  <c r="M15" i="203" s="1"/>
  <c r="M43" i="203"/>
  <c r="N50" i="203" s="1"/>
  <c r="N43" i="203" l="1"/>
  <c r="M48" i="203"/>
  <c r="M49" i="203" s="1"/>
  <c r="M50" i="203" s="1"/>
  <c r="M32" i="203"/>
  <c r="M33" i="203" s="1"/>
  <c r="M34" i="203" s="1"/>
  <c r="O50" i="203" l="1"/>
  <c r="P50" i="203" s="1"/>
  <c r="U50" i="203"/>
  <c r="O43" i="203"/>
  <c r="V8" i="176" l="1"/>
  <c r="U8" i="176"/>
  <c r="AA6" i="174"/>
  <c r="AB78" i="176" l="1"/>
  <c r="AB32" i="176"/>
  <c r="AB130" i="176"/>
  <c r="AB16" i="176"/>
  <c r="AB102" i="176"/>
  <c r="AB142" i="176"/>
  <c r="AB18" i="176"/>
  <c r="AB17" i="176"/>
  <c r="AB10" i="176"/>
  <c r="AB316" i="176"/>
  <c r="AB34" i="176"/>
  <c r="AB107" i="176"/>
  <c r="AB42" i="176"/>
  <c r="AB54" i="176"/>
  <c r="AB66" i="176"/>
  <c r="AB31" i="176"/>
  <c r="AB90" i="176"/>
  <c r="AB492" i="176"/>
  <c r="AB501" i="176"/>
  <c r="AB475" i="176"/>
  <c r="AB419" i="176"/>
  <c r="AB395" i="176"/>
  <c r="AB371" i="176"/>
  <c r="AB483" i="176"/>
  <c r="AB502" i="176"/>
  <c r="AB428" i="176"/>
  <c r="AB404" i="176"/>
  <c r="AB380" i="176"/>
  <c r="AB356" i="176"/>
  <c r="AB486" i="176"/>
  <c r="AB491" i="176"/>
  <c r="AB19" i="176"/>
  <c r="AB14" i="176"/>
  <c r="AB24" i="176"/>
  <c r="AB27" i="176"/>
  <c r="AB29" i="176"/>
  <c r="AB40" i="176"/>
  <c r="AB56" i="176"/>
  <c r="AB70" i="176"/>
  <c r="AB146" i="176"/>
  <c r="AB504" i="176"/>
  <c r="AB457" i="176"/>
  <c r="AB490" i="176"/>
  <c r="AB427" i="176"/>
  <c r="AB399" i="176"/>
  <c r="AB367" i="176"/>
  <c r="AB460" i="176"/>
  <c r="AB497" i="176"/>
  <c r="AB435" i="176"/>
  <c r="AB432" i="176"/>
  <c r="AB400" i="176"/>
  <c r="AB372" i="176"/>
  <c r="AB344" i="176"/>
  <c r="AB438" i="176"/>
  <c r="AB493" i="176"/>
  <c r="AB514" i="176"/>
  <c r="AB469" i="176"/>
  <c r="AB494" i="176"/>
  <c r="AB434" i="176"/>
  <c r="AB410" i="176"/>
  <c r="AB386" i="176"/>
  <c r="AB362" i="176"/>
  <c r="AB338" i="176"/>
  <c r="AB292" i="176"/>
  <c r="AB212" i="176"/>
  <c r="AB188" i="176"/>
  <c r="AB313" i="176"/>
  <c r="AB289" i="176"/>
  <c r="AB265" i="176"/>
  <c r="AB241" i="176"/>
  <c r="AB217" i="176"/>
  <c r="AB193" i="176"/>
  <c r="AB320" i="176"/>
  <c r="AB303" i="176"/>
  <c r="AB279" i="176"/>
  <c r="AB255" i="176"/>
  <c r="AB231" i="176"/>
  <c r="AB207" i="176"/>
  <c r="AB183" i="176"/>
  <c r="AB155" i="176"/>
  <c r="AB91" i="176"/>
  <c r="AB67" i="176"/>
  <c r="AB43" i="176"/>
  <c r="AB173" i="176"/>
  <c r="AB144" i="176"/>
  <c r="AB120" i="176"/>
  <c r="AB96" i="176"/>
  <c r="AB72" i="176"/>
  <c r="AB145" i="176"/>
  <c r="AB121" i="176"/>
  <c r="AB97" i="176"/>
  <c r="AB73" i="176"/>
  <c r="AB49" i="176"/>
  <c r="AB33" i="176"/>
  <c r="AB138" i="176"/>
  <c r="AB82" i="176"/>
  <c r="AB178" i="176"/>
  <c r="AB258" i="176"/>
  <c r="AB288" i="176"/>
  <c r="AB238" i="176"/>
  <c r="AB166" i="176"/>
  <c r="AB302" i="176"/>
  <c r="AB266" i="176"/>
  <c r="AB264" i="176"/>
  <c r="AB230" i="176"/>
  <c r="AB385" i="176"/>
  <c r="AB405" i="176"/>
  <c r="AB401" i="176"/>
  <c r="AB327" i="176"/>
  <c r="AB329" i="176"/>
  <c r="AB347" i="176"/>
  <c r="AB307" i="176"/>
  <c r="AB317" i="176"/>
  <c r="AB15" i="176"/>
  <c r="AB25" i="176"/>
  <c r="AB111" i="176"/>
  <c r="AB36" i="176"/>
  <c r="AB44" i="176"/>
  <c r="AB58" i="176"/>
  <c r="AB94" i="176"/>
  <c r="AB194" i="176"/>
  <c r="AB500" i="176"/>
  <c r="AB452" i="176"/>
  <c r="AB485" i="176"/>
  <c r="AB423" i="176"/>
  <c r="AB391" i="176"/>
  <c r="AB363" i="176"/>
  <c r="AB455" i="176"/>
  <c r="AB495" i="176"/>
  <c r="AB424" i="176"/>
  <c r="AB396" i="176"/>
  <c r="AB368" i="176"/>
  <c r="AB340" i="176"/>
  <c r="AB481" i="176"/>
  <c r="AB498" i="176"/>
  <c r="AB484" i="176"/>
  <c r="AB464" i="176"/>
  <c r="AB487" i="176"/>
  <c r="AB430" i="176"/>
  <c r="AB406" i="176"/>
  <c r="AB382" i="176"/>
  <c r="AB358" i="176"/>
  <c r="AB334" i="176"/>
  <c r="AB232" i="176"/>
  <c r="AB208" i="176"/>
  <c r="AB184" i="176"/>
  <c r="AB309" i="176"/>
  <c r="AB285" i="176"/>
  <c r="AB261" i="176"/>
  <c r="AB237" i="176"/>
  <c r="AB213" i="176"/>
  <c r="AB189" i="176"/>
  <c r="AB467" i="176"/>
  <c r="AB299" i="176"/>
  <c r="AB275" i="176"/>
  <c r="AB251" i="176"/>
  <c r="AB227" i="176"/>
  <c r="AB203" i="176"/>
  <c r="AB158" i="176"/>
  <c r="AB151" i="176"/>
  <c r="AB87" i="176"/>
  <c r="AB63" i="176"/>
  <c r="AB39" i="176"/>
  <c r="AB164" i="176"/>
  <c r="AB140" i="176"/>
  <c r="AB116" i="176"/>
  <c r="AB92" i="176"/>
  <c r="AB171" i="176"/>
  <c r="AB141" i="176"/>
  <c r="AB117" i="176"/>
  <c r="AB93" i="176"/>
  <c r="AB69" i="176"/>
  <c r="AB45" i="176"/>
  <c r="AB127" i="176"/>
  <c r="AB162" i="176"/>
  <c r="AB106" i="176"/>
  <c r="AB190" i="176"/>
  <c r="AB182" i="176"/>
  <c r="AB274" i="176"/>
  <c r="AB308" i="176"/>
  <c r="AB254" i="176"/>
  <c r="AB361" i="176"/>
  <c r="AB282" i="176"/>
  <c r="AB280" i="176"/>
  <c r="AB246" i="176"/>
  <c r="AB409" i="176"/>
  <c r="AB339" i="176"/>
  <c r="AB425" i="176"/>
  <c r="AB331" i="176"/>
  <c r="AB333" i="176"/>
  <c r="AB365" i="176"/>
  <c r="AB13" i="176"/>
  <c r="AB38" i="176"/>
  <c r="AB52" i="176"/>
  <c r="AB131" i="176"/>
  <c r="AB508" i="176"/>
  <c r="AB375" i="176"/>
  <c r="AB440" i="176"/>
  <c r="AB376" i="176"/>
  <c r="AB507" i="176"/>
  <c r="AB436" i="176"/>
  <c r="AB510" i="176"/>
  <c r="AB414" i="176"/>
  <c r="AB366" i="176"/>
  <c r="AB216" i="176"/>
  <c r="AB477" i="176"/>
  <c r="AB245" i="176"/>
  <c r="AB324" i="176"/>
  <c r="AB185" i="176"/>
  <c r="AB71" i="176"/>
  <c r="AB148" i="176"/>
  <c r="AB76" i="176"/>
  <c r="AB125" i="176"/>
  <c r="AB53" i="176"/>
  <c r="AB37" i="176"/>
  <c r="AB242" i="176"/>
  <c r="AB222" i="176"/>
  <c r="AB214" i="176"/>
  <c r="AB377" i="176"/>
  <c r="AB417" i="176"/>
  <c r="AB172" i="176"/>
  <c r="AB139" i="176"/>
  <c r="AB122" i="176"/>
  <c r="AB46" i="176"/>
  <c r="AB60" i="176"/>
  <c r="AB118" i="176"/>
  <c r="AB26" i="176"/>
  <c r="AB496" i="176"/>
  <c r="AB447" i="176"/>
  <c r="AB480" i="176"/>
  <c r="AB415" i="176"/>
  <c r="AB387" i="176"/>
  <c r="AB359" i="176"/>
  <c r="AB450" i="176"/>
  <c r="AB488" i="176"/>
  <c r="AB473" i="176"/>
  <c r="AB420" i="176"/>
  <c r="AB392" i="176"/>
  <c r="AB364" i="176"/>
  <c r="AB336" i="176"/>
  <c r="AB476" i="176"/>
  <c r="AB461" i="176"/>
  <c r="AB479" i="176"/>
  <c r="AB459" i="176"/>
  <c r="AB482" i="176"/>
  <c r="AB426" i="176"/>
  <c r="AB402" i="176"/>
  <c r="AB378" i="176"/>
  <c r="AB354" i="176"/>
  <c r="AB330" i="176"/>
  <c r="AB228" i="176"/>
  <c r="AB204" i="176"/>
  <c r="AB180" i="176"/>
  <c r="AB305" i="176"/>
  <c r="AB281" i="176"/>
  <c r="AB257" i="176"/>
  <c r="AB233" i="176"/>
  <c r="AB209" i="176"/>
  <c r="AB472" i="176"/>
  <c r="AB318" i="176"/>
  <c r="AB295" i="176"/>
  <c r="AB271" i="176"/>
  <c r="AB247" i="176"/>
  <c r="AB223" i="176"/>
  <c r="AB199" i="176"/>
  <c r="AB191" i="176"/>
  <c r="AB147" i="176"/>
  <c r="AB83" i="176"/>
  <c r="AB59" i="176"/>
  <c r="AB195" i="176"/>
  <c r="AB159" i="176"/>
  <c r="AB136" i="176"/>
  <c r="AB112" i="176"/>
  <c r="AB88" i="176"/>
  <c r="AB169" i="176"/>
  <c r="AB137" i="176"/>
  <c r="AB113" i="176"/>
  <c r="AB89" i="176"/>
  <c r="AB65" i="176"/>
  <c r="AB41" i="176"/>
  <c r="AB28" i="176"/>
  <c r="AB35" i="176"/>
  <c r="AB134" i="176"/>
  <c r="AB244" i="176"/>
  <c r="AB186" i="176"/>
  <c r="AB290" i="176"/>
  <c r="AB310" i="176"/>
  <c r="AB270" i="176"/>
  <c r="AB236" i="176"/>
  <c r="AB202" i="176"/>
  <c r="AB300" i="176"/>
  <c r="AB296" i="176"/>
  <c r="AB262" i="176"/>
  <c r="AB341" i="176"/>
  <c r="AB429" i="176"/>
  <c r="AB319" i="176"/>
  <c r="AB335" i="176"/>
  <c r="AB349" i="176"/>
  <c r="AB345" i="176"/>
  <c r="AB23" i="176"/>
  <c r="AB235" i="176"/>
  <c r="AB284" i="176"/>
  <c r="AB20" i="176"/>
  <c r="AB11" i="176"/>
  <c r="AB74" i="176"/>
  <c r="AB135" i="176"/>
  <c r="AB48" i="176"/>
  <c r="AB62" i="176"/>
  <c r="AB150" i="176"/>
  <c r="AB114" i="176"/>
  <c r="AB442" i="176"/>
  <c r="AB470" i="176"/>
  <c r="AB411" i="176"/>
  <c r="AB383" i="176"/>
  <c r="AB355" i="176"/>
  <c r="AB478" i="176"/>
  <c r="AB468" i="176"/>
  <c r="AB416" i="176"/>
  <c r="AB388" i="176"/>
  <c r="AB360" i="176"/>
  <c r="AB453" i="176"/>
  <c r="AB471" i="176"/>
  <c r="AB456" i="176"/>
  <c r="AB474" i="176"/>
  <c r="AB505" i="176"/>
  <c r="AB454" i="176"/>
  <c r="AB449" i="176"/>
  <c r="AB422" i="176"/>
  <c r="AB398" i="176"/>
  <c r="AB374" i="176"/>
  <c r="AB350" i="176"/>
  <c r="AB326" i="176"/>
  <c r="AB224" i="176"/>
  <c r="AB200" i="176"/>
  <c r="AB176" i="176"/>
  <c r="AB301" i="176"/>
  <c r="AB277" i="176"/>
  <c r="AB253" i="176"/>
  <c r="AB229" i="176"/>
  <c r="AB205" i="176"/>
  <c r="AB332" i="176"/>
  <c r="AB315" i="176"/>
  <c r="AB291" i="176"/>
  <c r="AB267" i="176"/>
  <c r="AB243" i="176"/>
  <c r="AB219" i="176"/>
  <c r="AB163" i="176"/>
  <c r="AB181" i="176"/>
  <c r="AB143" i="176"/>
  <c r="AB79" i="176"/>
  <c r="AB55" i="176"/>
  <c r="AB177" i="176"/>
  <c r="AB156" i="176"/>
  <c r="AB132" i="176"/>
  <c r="AB108" i="176"/>
  <c r="AB84" i="176"/>
  <c r="AB157" i="176"/>
  <c r="AB133" i="176"/>
  <c r="AB109" i="176"/>
  <c r="AB85" i="176"/>
  <c r="AB61" i="176"/>
  <c r="AB167" i="176"/>
  <c r="AB86" i="176"/>
  <c r="AB119" i="176"/>
  <c r="AB174" i="176"/>
  <c r="AB260" i="176"/>
  <c r="AB210" i="176"/>
  <c r="AB312" i="176"/>
  <c r="AB240" i="176"/>
  <c r="AB286" i="176"/>
  <c r="AB252" i="176"/>
  <c r="AB218" i="176"/>
  <c r="AB170" i="176"/>
  <c r="AB278" i="176"/>
  <c r="AB357" i="176"/>
  <c r="AB337" i="176"/>
  <c r="AB373" i="176"/>
  <c r="AB397" i="176"/>
  <c r="AB369" i="176"/>
  <c r="AB389" i="176"/>
  <c r="AB21" i="176"/>
  <c r="AB465" i="176"/>
  <c r="AB408" i="176"/>
  <c r="AB443" i="176"/>
  <c r="AB446" i="176"/>
  <c r="AB489" i="176"/>
  <c r="AB439" i="176"/>
  <c r="AB390" i="176"/>
  <c r="AB342" i="176"/>
  <c r="AB192" i="176"/>
  <c r="AB293" i="176"/>
  <c r="AB221" i="176"/>
  <c r="AB283" i="176"/>
  <c r="AB211" i="176"/>
  <c r="AB95" i="176"/>
  <c r="AB161" i="176"/>
  <c r="AB100" i="176"/>
  <c r="AB101" i="176"/>
  <c r="AB160" i="176"/>
  <c r="AB115" i="176"/>
  <c r="AB248" i="176"/>
  <c r="AB381" i="176"/>
  <c r="AB325" i="176"/>
  <c r="AB12" i="176"/>
  <c r="AB22" i="176"/>
  <c r="AB98" i="176"/>
  <c r="AB154" i="176"/>
  <c r="AB50" i="176"/>
  <c r="AB64" i="176"/>
  <c r="AB103" i="176"/>
  <c r="AB512" i="176"/>
  <c r="AB515" i="176"/>
  <c r="AB437" i="176"/>
  <c r="AB407" i="176"/>
  <c r="AB379" i="176"/>
  <c r="AB351" i="176"/>
  <c r="AB513" i="176"/>
  <c r="AB445" i="176"/>
  <c r="AB463" i="176"/>
  <c r="AB412" i="176"/>
  <c r="AB384" i="176"/>
  <c r="AB352" i="176"/>
  <c r="AB448" i="176"/>
  <c r="AB509" i="176"/>
  <c r="AB466" i="176"/>
  <c r="AB451" i="176"/>
  <c r="AB441" i="176"/>
  <c r="AB503" i="176"/>
  <c r="AB444" i="176"/>
  <c r="AB418" i="176"/>
  <c r="AB394" i="176"/>
  <c r="AB370" i="176"/>
  <c r="AB346" i="176"/>
  <c r="AB322" i="176"/>
  <c r="AB220" i="176"/>
  <c r="AB196" i="176"/>
  <c r="AB462" i="176"/>
  <c r="AB297" i="176"/>
  <c r="AB273" i="176"/>
  <c r="AB249" i="176"/>
  <c r="AB225" i="176"/>
  <c r="AB201" i="176"/>
  <c r="AB328" i="176"/>
  <c r="AB311" i="176"/>
  <c r="AB287" i="176"/>
  <c r="AB263" i="176"/>
  <c r="AB239" i="176"/>
  <c r="AB215" i="176"/>
  <c r="AB187" i="176"/>
  <c r="AB179" i="176"/>
  <c r="AB99" i="176"/>
  <c r="AB75" i="176"/>
  <c r="AB51" i="176"/>
  <c r="AB175" i="176"/>
  <c r="AB152" i="176"/>
  <c r="AB128" i="176"/>
  <c r="AB104" i="176"/>
  <c r="AB80" i="176"/>
  <c r="AB153" i="176"/>
  <c r="AB129" i="176"/>
  <c r="AB105" i="176"/>
  <c r="AB81" i="176"/>
  <c r="AB57" i="176"/>
  <c r="AB165" i="176"/>
  <c r="AB110" i="176"/>
  <c r="AB30" i="176"/>
  <c r="AB9" i="176"/>
  <c r="AB276" i="176"/>
  <c r="AB226" i="176"/>
  <c r="AB256" i="176"/>
  <c r="AB206" i="176"/>
  <c r="AB306" i="176"/>
  <c r="AB268" i="176"/>
  <c r="AB234" i="176"/>
  <c r="AB298" i="176"/>
  <c r="AB198" i="176"/>
  <c r="AB294" i="176"/>
  <c r="AB433" i="176"/>
  <c r="AB353" i="176"/>
  <c r="AB321" i="176"/>
  <c r="AB421" i="176"/>
  <c r="AB393" i="176"/>
  <c r="AB413" i="176"/>
  <c r="AB126" i="176"/>
  <c r="AB68" i="176"/>
  <c r="AB499" i="176"/>
  <c r="AB506" i="176"/>
  <c r="AB431" i="176"/>
  <c r="AB403" i="176"/>
  <c r="AB511" i="176"/>
  <c r="AB458" i="176"/>
  <c r="AB348" i="176"/>
  <c r="AB304" i="176"/>
  <c r="AB269" i="176"/>
  <c r="AB197" i="176"/>
  <c r="AB259" i="176"/>
  <c r="AB168" i="176"/>
  <c r="AB47" i="176"/>
  <c r="AB124" i="176"/>
  <c r="AB149" i="176"/>
  <c r="AB77" i="176"/>
  <c r="AB123" i="176"/>
  <c r="AB314" i="176"/>
  <c r="AB272" i="176"/>
  <c r="AB250" i="176"/>
  <c r="AB343" i="176"/>
  <c r="AB323" i="176"/>
  <c r="AB8" i="176"/>
  <c r="AB6" i="174"/>
  <c r="AC6" i="174" l="1"/>
  <c r="AD6" i="174" l="1"/>
  <c r="D68" i="173" l="1"/>
  <c r="D17" i="174" s="1"/>
  <c r="D67" i="173"/>
  <c r="D16" i="174" s="1"/>
  <c r="D64" i="173"/>
  <c r="D66" i="173"/>
  <c r="A72" i="177"/>
  <c r="A77" i="177" s="1"/>
  <c r="A82" i="177" s="1"/>
  <c r="A87" i="177" s="1"/>
  <c r="A99" i="177"/>
  <c r="B5" i="177"/>
  <c r="A106" i="177"/>
  <c r="A105" i="177"/>
  <c r="A104" i="177"/>
  <c r="A103" i="177"/>
  <c r="A102" i="177"/>
  <c r="A101" i="177"/>
  <c r="A100" i="177"/>
  <c r="D9" i="176" s="1"/>
  <c r="D14" i="176" l="1"/>
  <c r="D105" i="177" a="1"/>
  <c r="D105" i="177" s="1"/>
  <c r="D15" i="176"/>
  <c r="D106" i="177" a="1"/>
  <c r="D106" i="177" s="1"/>
  <c r="D13" i="176"/>
  <c r="D104" i="177" a="1"/>
  <c r="D104" i="177" s="1"/>
  <c r="D12" i="176"/>
  <c r="D103" i="177" a="1"/>
  <c r="D103" i="177" s="1"/>
  <c r="D186" i="177" a="1"/>
  <c r="D186" i="177" s="1"/>
  <c r="D243" i="177" a="1"/>
  <c r="D243" i="177" s="1"/>
  <c r="D195" i="177" a="1"/>
  <c r="D195" i="177" s="1"/>
  <c r="D496" i="177" a="1"/>
  <c r="D496" i="177" s="1"/>
  <c r="D422" i="177" a="1"/>
  <c r="D422" i="177" s="1"/>
  <c r="D222" i="177" a="1"/>
  <c r="D222" i="177" s="1"/>
  <c r="D210" i="177" a="1"/>
  <c r="D210" i="177" s="1"/>
  <c r="D198" i="177" a="1"/>
  <c r="D198" i="177" s="1"/>
  <c r="D460" i="177" a="1"/>
  <c r="D460" i="177" s="1"/>
  <c r="D450" i="177" a="1"/>
  <c r="D450" i="177" s="1"/>
  <c r="D402" i="177" a="1"/>
  <c r="D402" i="177" s="1"/>
  <c r="D390" i="177" a="1"/>
  <c r="D390" i="177" s="1"/>
  <c r="D384" i="177" a="1"/>
  <c r="D384" i="177" s="1"/>
  <c r="D378" i="177" a="1"/>
  <c r="D378" i="177" s="1"/>
  <c r="D372" i="177" a="1"/>
  <c r="D372" i="177" s="1"/>
  <c r="D366" i="177" a="1"/>
  <c r="D366" i="177" s="1"/>
  <c r="D360" i="177" a="1"/>
  <c r="D360" i="177" s="1"/>
  <c r="D354" i="177" a="1"/>
  <c r="D354" i="177" s="1"/>
  <c r="D348" i="177" a="1"/>
  <c r="D348" i="177" s="1"/>
  <c r="D342" i="177" a="1"/>
  <c r="D342" i="177" s="1"/>
  <c r="D336" i="177" a="1"/>
  <c r="D336" i="177" s="1"/>
  <c r="D330" i="177" a="1"/>
  <c r="D330" i="177" s="1"/>
  <c r="D324" i="177" a="1"/>
  <c r="D324" i="177" s="1"/>
  <c r="D318" i="177" a="1"/>
  <c r="D318" i="177" s="1"/>
  <c r="D312" i="177" a="1"/>
  <c r="D312" i="177" s="1"/>
  <c r="D306" i="177" a="1"/>
  <c r="D306" i="177" s="1"/>
  <c r="D300" i="177" a="1"/>
  <c r="D300" i="177" s="1"/>
  <c r="D294" i="177" a="1"/>
  <c r="D294" i="177" s="1"/>
  <c r="D288" i="177" a="1"/>
  <c r="D288" i="177" s="1"/>
  <c r="D282" i="177" a="1"/>
  <c r="D282" i="177" s="1"/>
  <c r="D276" i="177" a="1"/>
  <c r="D276" i="177" s="1"/>
  <c r="D270" i="177" a="1"/>
  <c r="D270" i="177" s="1"/>
  <c r="D264" i="177" a="1"/>
  <c r="D264" i="177" s="1"/>
  <c r="D258" i="177" a="1"/>
  <c r="D258" i="177" s="1"/>
  <c r="D252" i="177" a="1"/>
  <c r="D252" i="177" s="1"/>
  <c r="D246" i="177" a="1"/>
  <c r="D246" i="177" s="1"/>
  <c r="D240" i="177" a="1"/>
  <c r="D240" i="177" s="1"/>
  <c r="D234" i="177" a="1"/>
  <c r="D234" i="177" s="1"/>
  <c r="D228" i="177" a="1"/>
  <c r="D228" i="177" s="1"/>
  <c r="D216" i="177" a="1"/>
  <c r="D216" i="177" s="1"/>
  <c r="D204" i="177" a="1"/>
  <c r="D204" i="177" s="1"/>
  <c r="D192" i="177" a="1"/>
  <c r="D192" i="177" s="1"/>
  <c r="D414" i="177" a="1"/>
  <c r="D414" i="177" s="1"/>
  <c r="D571" i="177" a="1"/>
  <c r="D571" i="177" s="1"/>
  <c r="D559" i="177" a="1"/>
  <c r="D559" i="177" s="1"/>
  <c r="D412" i="177" a="1"/>
  <c r="D412" i="177" s="1"/>
  <c r="D424" i="177" a="1"/>
  <c r="D424" i="177" s="1"/>
  <c r="D426" i="177" a="1"/>
  <c r="D426" i="177" s="1"/>
  <c r="D207" i="177" a="1"/>
  <c r="D207" i="177" s="1"/>
  <c r="D532" i="177" a="1"/>
  <c r="D532" i="177" s="1"/>
  <c r="D518" i="177" a="1"/>
  <c r="D518" i="177" s="1"/>
  <c r="D504" i="177" a="1"/>
  <c r="D504" i="177" s="1"/>
  <c r="D482" i="177" a="1"/>
  <c r="D482" i="177" s="1"/>
  <c r="D468" i="177" a="1"/>
  <c r="D468" i="177" s="1"/>
  <c r="D446" i="177" a="1"/>
  <c r="D446" i="177" s="1"/>
  <c r="D432" i="177" a="1"/>
  <c r="D432" i="177" s="1"/>
  <c r="D339" i="177" a="1"/>
  <c r="D339" i="177" s="1"/>
  <c r="D327" i="177" a="1"/>
  <c r="D327" i="177" s="1"/>
  <c r="D315" i="177" a="1"/>
  <c r="D315" i="177" s="1"/>
  <c r="D303" i="177" a="1"/>
  <c r="D303" i="177" s="1"/>
  <c r="D291" i="177" a="1"/>
  <c r="D291" i="177" s="1"/>
  <c r="D279" i="177" a="1"/>
  <c r="D279" i="177" s="1"/>
  <c r="D267" i="177" a="1"/>
  <c r="D267" i="177" s="1"/>
  <c r="D255" i="177" a="1"/>
  <c r="D255" i="177" s="1"/>
  <c r="D219" i="177" a="1"/>
  <c r="D219" i="177" s="1"/>
  <c r="D438" i="177" a="1"/>
  <c r="D438" i="177" s="1"/>
  <c r="D398" i="177" a="1"/>
  <c r="D398" i="177" s="1"/>
  <c r="D386" i="177" a="1"/>
  <c r="D386" i="177" s="1"/>
  <c r="D374" i="177" a="1"/>
  <c r="D374" i="177" s="1"/>
  <c r="D362" i="177" a="1"/>
  <c r="D362" i="177" s="1"/>
  <c r="D350" i="177" a="1"/>
  <c r="D350" i="177" s="1"/>
  <c r="D338" i="177" a="1"/>
  <c r="D338" i="177" s="1"/>
  <c r="D326" i="177" a="1"/>
  <c r="D326" i="177" s="1"/>
  <c r="D314" i="177" a="1"/>
  <c r="D314" i="177" s="1"/>
  <c r="D302" i="177" a="1"/>
  <c r="D302" i="177" s="1"/>
  <c r="D290" i="177" a="1"/>
  <c r="D290" i="177" s="1"/>
  <c r="D278" i="177" a="1"/>
  <c r="D278" i="177" s="1"/>
  <c r="D266" i="177" a="1"/>
  <c r="D266" i="177" s="1"/>
  <c r="D254" i="177" a="1"/>
  <c r="D254" i="177" s="1"/>
  <c r="D242" i="177" a="1"/>
  <c r="D242" i="177" s="1"/>
  <c r="D230" i="177" a="1"/>
  <c r="D230" i="177" s="1"/>
  <c r="D218" i="177" a="1"/>
  <c r="D218" i="177" s="1"/>
  <c r="D206" i="177" a="1"/>
  <c r="D206" i="177" s="1"/>
  <c r="D194" i="177" a="1"/>
  <c r="D194" i="177" s="1"/>
  <c r="D231" i="177" a="1"/>
  <c r="D231" i="177" s="1"/>
  <c r="D411" i="177" a="1"/>
  <c r="D411" i="177" s="1"/>
  <c r="D281" i="177" a="1"/>
  <c r="D281" i="177" s="1"/>
  <c r="D236" i="177" a="1"/>
  <c r="D236" i="177" s="1"/>
  <c r="D380" i="177" a="1"/>
  <c r="D380" i="177" s="1"/>
  <c r="D589" i="177" a="1"/>
  <c r="D589" i="177" s="1"/>
  <c r="D345" i="177" a="1"/>
  <c r="D345" i="177" s="1"/>
  <c r="D439" i="177" a="1"/>
  <c r="D439" i="177" s="1"/>
  <c r="D304" i="177" a="1"/>
  <c r="D304" i="177" s="1"/>
  <c r="D376" i="177" a="1"/>
  <c r="D376" i="177" s="1"/>
  <c r="D505" i="177" a="1"/>
  <c r="D505" i="177" s="1"/>
  <c r="D244" i="177" a="1"/>
  <c r="D244" i="177" s="1"/>
  <c r="D588" i="177" a="1"/>
  <c r="D588" i="177" s="1"/>
  <c r="D584" i="177" a="1"/>
  <c r="D584" i="177" s="1"/>
  <c r="D311" i="177" a="1"/>
  <c r="D311" i="177" s="1"/>
  <c r="D401" i="177" a="1"/>
  <c r="D401" i="177" s="1"/>
  <c r="D553" i="177" a="1"/>
  <c r="D553" i="177" s="1"/>
  <c r="D602" i="177" a="1"/>
  <c r="D602" i="177" s="1"/>
  <c r="D573" i="177" a="1"/>
  <c r="D573" i="177" s="1"/>
  <c r="D428" i="177" a="1"/>
  <c r="D428" i="177" s="1"/>
  <c r="D441" i="177" a="1"/>
  <c r="D441" i="177" s="1"/>
  <c r="D556" i="177" a="1"/>
  <c r="D556" i="177" s="1"/>
  <c r="D472" i="177" a="1"/>
  <c r="D472" i="177" s="1"/>
  <c r="D497" i="177" a="1"/>
  <c r="D497" i="177" s="1"/>
  <c r="D277" i="177" a="1"/>
  <c r="D277" i="177" s="1"/>
  <c r="D361" i="177" a="1"/>
  <c r="D361" i="177" s="1"/>
  <c r="D480" i="177" a="1"/>
  <c r="D480" i="177" s="1"/>
  <c r="D533" i="177" a="1"/>
  <c r="D533" i="177" s="1"/>
  <c r="D283" i="177" a="1"/>
  <c r="D283" i="177" s="1"/>
  <c r="D606" i="177" a="1"/>
  <c r="D606" i="177" s="1"/>
  <c r="D341" i="177" a="1"/>
  <c r="D341" i="177" s="1"/>
  <c r="D453" i="177" a="1"/>
  <c r="D453" i="177" s="1"/>
  <c r="D248" i="177" a="1"/>
  <c r="D248" i="177" s="1"/>
  <c r="D392" i="177" a="1"/>
  <c r="D392" i="177" s="1"/>
  <c r="D351" i="177" a="1"/>
  <c r="D351" i="177" s="1"/>
  <c r="D475" i="177" a="1"/>
  <c r="D475" i="177" s="1"/>
  <c r="D190" i="177" a="1"/>
  <c r="D190" i="177" s="1"/>
  <c r="D310" i="177" a="1"/>
  <c r="D310" i="177" s="1"/>
  <c r="D382" i="177" a="1"/>
  <c r="D382" i="177" s="1"/>
  <c r="D512" i="177" a="1"/>
  <c r="D512" i="177" s="1"/>
  <c r="D419" i="177" a="1"/>
  <c r="D419" i="177" s="1"/>
  <c r="D503" i="177" a="1"/>
  <c r="D503" i="177" s="1"/>
  <c r="D575" i="177" a="1"/>
  <c r="D575" i="177" s="1"/>
  <c r="D256" i="177" a="1"/>
  <c r="D256" i="177" s="1"/>
  <c r="D323" i="177" a="1"/>
  <c r="D323" i="177" s="1"/>
  <c r="D427" i="177" a="1"/>
  <c r="D427" i="177" s="1"/>
  <c r="D213" i="177" a="1"/>
  <c r="D213" i="177" s="1"/>
  <c r="D408" i="177" a="1"/>
  <c r="D408" i="177" s="1"/>
  <c r="D225" i="177" a="1"/>
  <c r="D225" i="177" s="1"/>
  <c r="D457" i="177" a="1"/>
  <c r="D457" i="177" s="1"/>
  <c r="D508" i="177" a="1"/>
  <c r="D508" i="177" s="1"/>
  <c r="D521" i="177" a="1"/>
  <c r="D521" i="177" s="1"/>
  <c r="D289" i="177" a="1"/>
  <c r="D289" i="177" s="1"/>
  <c r="D367" i="177" a="1"/>
  <c r="D367" i="177" s="1"/>
  <c r="D487" i="177" a="1"/>
  <c r="D487" i="177" s="1"/>
  <c r="D435" i="177" a="1"/>
  <c r="D435" i="177" s="1"/>
  <c r="D555" i="177" a="1"/>
  <c r="D555" i="177" s="1"/>
  <c r="D557" i="177" a="1"/>
  <c r="D557" i="177" s="1"/>
  <c r="D313" i="177" a="1"/>
  <c r="D313" i="177" s="1"/>
  <c r="D197" i="177" a="1"/>
  <c r="D197" i="177" s="1"/>
  <c r="D260" i="177" a="1"/>
  <c r="D260" i="177" s="1"/>
  <c r="D404" i="177" a="1"/>
  <c r="D404" i="177" s="1"/>
  <c r="D357" i="177" a="1"/>
  <c r="D357" i="177" s="1"/>
  <c r="D511" i="177" a="1"/>
  <c r="D511" i="177" s="1"/>
  <c r="D202" i="177" a="1"/>
  <c r="D202" i="177" s="1"/>
  <c r="D316" i="177" a="1"/>
  <c r="D316" i="177" s="1"/>
  <c r="D388" i="177" a="1"/>
  <c r="D388" i="177" s="1"/>
  <c r="D534" i="177" a="1"/>
  <c r="D534" i="177" s="1"/>
  <c r="D268" i="177" a="1"/>
  <c r="D268" i="177" s="1"/>
  <c r="D600" i="177" a="1"/>
  <c r="D600" i="177" s="1"/>
  <c r="D501" i="177" a="1"/>
  <c r="D501" i="177" s="1"/>
  <c r="D335" i="177" a="1"/>
  <c r="D335" i="177" s="1"/>
  <c r="D434" i="177" a="1"/>
  <c r="D434" i="177" s="1"/>
  <c r="D542" i="177" a="1"/>
  <c r="D542" i="177" s="1"/>
  <c r="D421" i="177" a="1"/>
  <c r="D421" i="177" s="1"/>
  <c r="D464" i="177" a="1"/>
  <c r="D464" i="177" s="1"/>
  <c r="D477" i="177" a="1"/>
  <c r="D477" i="177" s="1"/>
  <c r="D568" i="177" a="1"/>
  <c r="D568" i="177" s="1"/>
  <c r="D545" i="177" a="1"/>
  <c r="D545" i="177" s="1"/>
  <c r="D295" i="177" a="1"/>
  <c r="D295" i="177" s="1"/>
  <c r="D373" i="177" a="1"/>
  <c r="D373" i="177" s="1"/>
  <c r="D494" i="177" a="1"/>
  <c r="D494" i="177" s="1"/>
  <c r="D581" i="177" a="1"/>
  <c r="D581" i="177" s="1"/>
  <c r="D546" i="177" a="1"/>
  <c r="D546" i="177" s="1"/>
  <c r="D410" i="177" a="1"/>
  <c r="D410" i="177" s="1"/>
  <c r="D305" i="177" a="1"/>
  <c r="D305" i="177" s="1"/>
  <c r="D489" i="177" a="1"/>
  <c r="D489" i="177" s="1"/>
  <c r="D272" i="177" a="1"/>
  <c r="D272" i="177" s="1"/>
  <c r="D417" i="177" a="1"/>
  <c r="D417" i="177" s="1"/>
  <c r="D363" i="177" a="1"/>
  <c r="D363" i="177" s="1"/>
  <c r="D541" i="177" a="1"/>
  <c r="D541" i="177" s="1"/>
  <c r="D214" i="177" a="1"/>
  <c r="D214" i="177" s="1"/>
  <c r="D322" i="177" a="1"/>
  <c r="D322" i="177" s="1"/>
  <c r="D394" i="177" a="1"/>
  <c r="D394" i="177" s="1"/>
  <c r="D431" i="177" a="1"/>
  <c r="D431" i="177" s="1"/>
  <c r="D515" i="177" a="1"/>
  <c r="D515" i="177" s="1"/>
  <c r="D587" i="177" a="1"/>
  <c r="D587" i="177" s="1"/>
  <c r="D286" i="177" a="1"/>
  <c r="D286" i="177" s="1"/>
  <c r="D237" i="177" a="1"/>
  <c r="D237" i="177" s="1"/>
  <c r="D347" i="177" a="1"/>
  <c r="D347" i="177" s="1"/>
  <c r="D456" i="177" a="1"/>
  <c r="D456" i="177" s="1"/>
  <c r="D574" i="177" a="1"/>
  <c r="D574" i="177" s="1"/>
  <c r="D442" i="177" a="1"/>
  <c r="D442" i="177" s="1"/>
  <c r="D447" i="177" a="1"/>
  <c r="D447" i="177" s="1"/>
  <c r="D486" i="177" a="1"/>
  <c r="D486" i="177" s="1"/>
  <c r="D549" i="177" a="1"/>
  <c r="D549" i="177" s="1"/>
  <c r="D569" i="177" a="1"/>
  <c r="D569" i="177" s="1"/>
  <c r="D301" i="177" a="1"/>
  <c r="D301" i="177" s="1"/>
  <c r="D379" i="177" a="1"/>
  <c r="D379" i="177" s="1"/>
  <c r="D516" i="177" a="1"/>
  <c r="D516" i="177" s="1"/>
  <c r="D459" i="177" a="1"/>
  <c r="D459" i="177" s="1"/>
  <c r="D567" i="177" a="1"/>
  <c r="D567" i="177" s="1"/>
  <c r="D593" i="177" a="1"/>
  <c r="D593" i="177" s="1"/>
  <c r="D423" i="177" a="1"/>
  <c r="D423" i="177" s="1"/>
  <c r="D329" i="177" a="1"/>
  <c r="D329" i="177" s="1"/>
  <c r="D284" i="177" a="1"/>
  <c r="D284" i="177" s="1"/>
  <c r="D445" i="177" a="1"/>
  <c r="D445" i="177" s="1"/>
  <c r="D525" i="177" a="1"/>
  <c r="D525" i="177" s="1"/>
  <c r="D369" i="177" a="1"/>
  <c r="D369" i="177" s="1"/>
  <c r="D550" i="177" a="1"/>
  <c r="D550" i="177" s="1"/>
  <c r="D226" i="177" a="1"/>
  <c r="D226" i="177" s="1"/>
  <c r="D328" i="177" a="1"/>
  <c r="D328" i="177" s="1"/>
  <c r="D400" i="177" a="1"/>
  <c r="D400" i="177" s="1"/>
  <c r="D540" i="177" a="1"/>
  <c r="D540" i="177" s="1"/>
  <c r="D420" i="177" a="1"/>
  <c r="D420" i="177" s="1"/>
  <c r="D209" i="177" a="1"/>
  <c r="D209" i="177" s="1"/>
  <c r="D353" i="177" a="1"/>
  <c r="D353" i="177" s="1"/>
  <c r="D463" i="177" a="1"/>
  <c r="D463" i="177" s="1"/>
  <c r="D191" i="177" a="1"/>
  <c r="D191" i="177" s="1"/>
  <c r="D554" i="177" a="1"/>
  <c r="D554" i="177" s="1"/>
  <c r="D478" i="177" a="1"/>
  <c r="D478" i="177" s="1"/>
  <c r="D493" i="177" a="1"/>
  <c r="D493" i="177" s="1"/>
  <c r="D513" i="177" a="1"/>
  <c r="D513" i="177" s="1"/>
  <c r="D580" i="177" a="1"/>
  <c r="D580" i="177" s="1"/>
  <c r="D605" i="177" a="1"/>
  <c r="D605" i="177" s="1"/>
  <c r="D307" i="177" a="1"/>
  <c r="D307" i="177" s="1"/>
  <c r="D185" i="177" a="1"/>
  <c r="D185" i="177" s="1"/>
  <c r="D537" i="177" a="1"/>
  <c r="D537" i="177" s="1"/>
  <c r="D296" i="177" a="1"/>
  <c r="D296" i="177" s="1"/>
  <c r="D452" i="177" a="1"/>
  <c r="D452" i="177" s="1"/>
  <c r="D261" i="177" a="1"/>
  <c r="D261" i="177" s="1"/>
  <c r="D375" i="177" a="1"/>
  <c r="D375" i="177" s="1"/>
  <c r="D601" i="177" a="1"/>
  <c r="D601" i="177" s="1"/>
  <c r="D238" i="177" a="1"/>
  <c r="D238" i="177" s="1"/>
  <c r="D334" i="177" a="1"/>
  <c r="D334" i="177" s="1"/>
  <c r="D406" i="177" a="1"/>
  <c r="D406" i="177" s="1"/>
  <c r="D443" i="177" a="1"/>
  <c r="D443" i="177" s="1"/>
  <c r="D527" i="177" a="1"/>
  <c r="D527" i="177" s="1"/>
  <c r="D599" i="177" a="1"/>
  <c r="D599" i="177" s="1"/>
  <c r="D448" i="177" a="1"/>
  <c r="D448" i="177" s="1"/>
  <c r="D221" i="177" a="1"/>
  <c r="D221" i="177" s="1"/>
  <c r="D359" i="177" a="1"/>
  <c r="D359" i="177" s="1"/>
  <c r="D470" i="177" a="1"/>
  <c r="D470" i="177" s="1"/>
  <c r="D203" i="177" a="1"/>
  <c r="D203" i="177" s="1"/>
  <c r="D514" i="177" a="1"/>
  <c r="D514" i="177" s="1"/>
  <c r="D483" i="177" a="1"/>
  <c r="D483" i="177" s="1"/>
  <c r="D500" i="177" a="1"/>
  <c r="D500" i="177" s="1"/>
  <c r="D586" i="177" a="1"/>
  <c r="D586" i="177" s="1"/>
  <c r="D193" i="177" a="1"/>
  <c r="D193" i="177" s="1"/>
  <c r="D319" i="177" a="1"/>
  <c r="D319" i="177" s="1"/>
  <c r="D391" i="177" a="1"/>
  <c r="D391" i="177" s="1"/>
  <c r="D530" i="177" a="1"/>
  <c r="D530" i="177" s="1"/>
  <c r="D471" i="177" a="1"/>
  <c r="D471" i="177" s="1"/>
  <c r="D579" i="177" a="1"/>
  <c r="D579" i="177" s="1"/>
  <c r="D199" i="177" a="1"/>
  <c r="D199" i="177" s="1"/>
  <c r="D466" i="177" a="1"/>
  <c r="D466" i="177" s="1"/>
  <c r="D293" i="177" a="1"/>
  <c r="D293" i="177" s="1"/>
  <c r="D308" i="177" a="1"/>
  <c r="D308" i="177" s="1"/>
  <c r="D474" i="177" a="1"/>
  <c r="D474" i="177" s="1"/>
  <c r="D273" i="177" a="1"/>
  <c r="D273" i="177" s="1"/>
  <c r="D381" i="177" a="1"/>
  <c r="D381" i="177" s="1"/>
  <c r="D250" i="177" a="1"/>
  <c r="D250" i="177" s="1"/>
  <c r="D340" i="177" a="1"/>
  <c r="D340" i="177" s="1"/>
  <c r="D433" i="177" a="1"/>
  <c r="D433" i="177" s="1"/>
  <c r="D429" i="177" a="1"/>
  <c r="D429" i="177" s="1"/>
  <c r="D552" i="177" a="1"/>
  <c r="D552" i="177" s="1"/>
  <c r="D484" i="177" a="1"/>
  <c r="D484" i="177" s="1"/>
  <c r="D239" i="177" a="1"/>
  <c r="D239" i="177" s="1"/>
  <c r="D365" i="177" a="1"/>
  <c r="D365" i="177" s="1"/>
  <c r="D492" i="177" a="1"/>
  <c r="D492" i="177" s="1"/>
  <c r="D215" i="177" a="1"/>
  <c r="D215" i="177" s="1"/>
  <c r="D566" i="177" a="1"/>
  <c r="D566" i="177" s="1"/>
  <c r="D595" i="177" a="1"/>
  <c r="D595" i="177" s="1"/>
  <c r="D522" i="177" a="1"/>
  <c r="D522" i="177" s="1"/>
  <c r="D561" i="177" a="1"/>
  <c r="D561" i="177" s="1"/>
  <c r="D592" i="177" a="1"/>
  <c r="D592" i="177" s="1"/>
  <c r="D205" i="177" a="1"/>
  <c r="D205" i="177" s="1"/>
  <c r="D325" i="177" a="1"/>
  <c r="D325" i="177" s="1"/>
  <c r="D397" i="177" a="1"/>
  <c r="D397" i="177" s="1"/>
  <c r="D538" i="177" a="1"/>
  <c r="D538" i="177" s="1"/>
  <c r="D211" i="177" a="1"/>
  <c r="D211" i="177" s="1"/>
  <c r="D570" i="177" a="1"/>
  <c r="D570" i="177" s="1"/>
  <c r="D502" i="177" a="1"/>
  <c r="D502" i="177" s="1"/>
  <c r="D317" i="177" a="1"/>
  <c r="D317" i="177" s="1"/>
  <c r="D585" i="177" a="1"/>
  <c r="D585" i="177" s="1"/>
  <c r="D320" i="177" a="1"/>
  <c r="D320" i="177" s="1"/>
  <c r="D481" i="177" a="1"/>
  <c r="D481" i="177" s="1"/>
  <c r="D285" i="177" a="1"/>
  <c r="D285" i="177" s="1"/>
  <c r="D387" i="177" a="1"/>
  <c r="D387" i="177" s="1"/>
  <c r="D262" i="177" a="1"/>
  <c r="D262" i="177" s="1"/>
  <c r="D346" i="177" a="1"/>
  <c r="D346" i="177" s="1"/>
  <c r="D440" i="177" a="1"/>
  <c r="D440" i="177" s="1"/>
  <c r="D201" i="177" a="1"/>
  <c r="D201" i="177" s="1"/>
  <c r="D467" i="177" a="1"/>
  <c r="D467" i="177" s="1"/>
  <c r="D539" i="177" a="1"/>
  <c r="D539" i="177" s="1"/>
  <c r="D184" i="177" a="1"/>
  <c r="D184" i="177" s="1"/>
  <c r="D520" i="177" a="1"/>
  <c r="D520" i="177" s="1"/>
  <c r="D251" i="177" a="1"/>
  <c r="D251" i="177" s="1"/>
  <c r="D371" i="177" a="1"/>
  <c r="D371" i="177" s="1"/>
  <c r="D499" i="177" a="1"/>
  <c r="D499" i="177" s="1"/>
  <c r="D227" i="177" a="1"/>
  <c r="D227" i="177" s="1"/>
  <c r="D531" i="177" a="1"/>
  <c r="D531" i="177" s="1"/>
  <c r="D529" i="177" a="1"/>
  <c r="D529" i="177" s="1"/>
  <c r="D519" i="177" a="1"/>
  <c r="D519" i="177" s="1"/>
  <c r="D217" i="177" a="1"/>
  <c r="D217" i="177" s="1"/>
  <c r="D331" i="177" a="1"/>
  <c r="D331" i="177" s="1"/>
  <c r="D403" i="177" a="1"/>
  <c r="D403" i="177" s="1"/>
  <c r="D547" i="177" a="1"/>
  <c r="D547" i="177" s="1"/>
  <c r="D495" i="177" a="1"/>
  <c r="D495" i="177" s="1"/>
  <c r="D603" i="177" a="1"/>
  <c r="D603" i="177" s="1"/>
  <c r="D223" i="177" a="1"/>
  <c r="D223" i="177" s="1"/>
  <c r="D188" i="177" a="1"/>
  <c r="D188" i="177" s="1"/>
  <c r="D332" i="177" a="1"/>
  <c r="D332" i="177" s="1"/>
  <c r="D488" i="177" a="1"/>
  <c r="D488" i="177" s="1"/>
  <c r="D297" i="177" a="1"/>
  <c r="D297" i="177" s="1"/>
  <c r="D393" i="177" a="1"/>
  <c r="D393" i="177" s="1"/>
  <c r="D548" i="177" a="1"/>
  <c r="D548" i="177" s="1"/>
  <c r="D274" i="177" a="1"/>
  <c r="D274" i="177" s="1"/>
  <c r="D352" i="177" a="1"/>
  <c r="D352" i="177" s="1"/>
  <c r="D462" i="177" a="1"/>
  <c r="D462" i="177" s="1"/>
  <c r="D196" i="177" a="1"/>
  <c r="D196" i="177" s="1"/>
  <c r="D564" i="177" a="1"/>
  <c r="D564" i="177" s="1"/>
  <c r="D583" i="177" a="1"/>
  <c r="D583" i="177" s="1"/>
  <c r="D263" i="177" a="1"/>
  <c r="D263" i="177" s="1"/>
  <c r="D377" i="177" a="1"/>
  <c r="D377" i="177" s="1"/>
  <c r="D506" i="177" a="1"/>
  <c r="D506" i="177" s="1"/>
  <c r="D233" i="177" a="1"/>
  <c r="D233" i="177" s="1"/>
  <c r="D578" i="177" a="1"/>
  <c r="D578" i="177" s="1"/>
  <c r="D572" i="177" a="1"/>
  <c r="D572" i="177" s="1"/>
  <c r="D565" i="177" a="1"/>
  <c r="D565" i="177" s="1"/>
  <c r="D597" i="177" a="1"/>
  <c r="D597" i="177" s="1"/>
  <c r="D604" i="177" a="1"/>
  <c r="D604" i="177" s="1"/>
  <c r="D413" i="177" a="1"/>
  <c r="D413" i="177" s="1"/>
  <c r="D229" i="177" a="1"/>
  <c r="D229" i="177" s="1"/>
  <c r="D337" i="177" a="1"/>
  <c r="D337" i="177" s="1"/>
  <c r="D416" i="177" a="1"/>
  <c r="D416" i="177" s="1"/>
  <c r="D577" i="177" a="1"/>
  <c r="D577" i="177" s="1"/>
  <c r="D425" i="177" a="1"/>
  <c r="D425" i="177" s="1"/>
  <c r="D235" i="177" a="1"/>
  <c r="D235" i="177" s="1"/>
  <c r="D582" i="177" a="1"/>
  <c r="D582" i="177" s="1"/>
  <c r="D536" i="177" a="1"/>
  <c r="D536" i="177" s="1"/>
  <c r="D200" i="177" a="1"/>
  <c r="D200" i="177" s="1"/>
  <c r="D344" i="177" a="1"/>
  <c r="D344" i="177" s="1"/>
  <c r="D510" i="177" a="1"/>
  <c r="D510" i="177" s="1"/>
  <c r="D309" i="177" a="1"/>
  <c r="D309" i="177" s="1"/>
  <c r="D399" i="177" a="1"/>
  <c r="D399" i="177" s="1"/>
  <c r="D490" i="177" a="1"/>
  <c r="D490" i="177" s="1"/>
  <c r="D280" i="177" a="1"/>
  <c r="D280" i="177" s="1"/>
  <c r="D358" i="177" a="1"/>
  <c r="D358" i="177" s="1"/>
  <c r="D469" i="177" a="1"/>
  <c r="D469" i="177" s="1"/>
  <c r="D598" i="177" a="1"/>
  <c r="D598" i="177" s="1"/>
  <c r="D479" i="177" a="1"/>
  <c r="D479" i="177" s="1"/>
  <c r="D551" i="177" a="1"/>
  <c r="D551" i="177" s="1"/>
  <c r="D208" i="177" a="1"/>
  <c r="D208" i="177" s="1"/>
  <c r="D275" i="177" a="1"/>
  <c r="D275" i="177" s="1"/>
  <c r="D383" i="177" a="1"/>
  <c r="D383" i="177" s="1"/>
  <c r="D528" i="177" a="1"/>
  <c r="D528" i="177" s="1"/>
  <c r="D245" i="177" a="1"/>
  <c r="D245" i="177" s="1"/>
  <c r="D591" i="177" a="1"/>
  <c r="D591" i="177" s="1"/>
  <c r="D189" i="177" a="1"/>
  <c r="D189" i="177" s="1"/>
  <c r="D437" i="177" a="1"/>
  <c r="D437" i="177" s="1"/>
  <c r="D241" i="177" a="1"/>
  <c r="D241" i="177" s="1"/>
  <c r="D343" i="177" a="1"/>
  <c r="D343" i="177" s="1"/>
  <c r="D444" i="177" a="1"/>
  <c r="D444" i="177" s="1"/>
  <c r="D507" i="177" a="1"/>
  <c r="D507" i="177" s="1"/>
  <c r="D461" i="177" a="1"/>
  <c r="D461" i="177" s="1"/>
  <c r="D247" i="177" a="1"/>
  <c r="D247" i="177" s="1"/>
  <c r="D212" i="177" a="1"/>
  <c r="D212" i="177" s="1"/>
  <c r="D356" i="177" a="1"/>
  <c r="D356" i="177" s="1"/>
  <c r="D517" i="177" a="1"/>
  <c r="D517" i="177" s="1"/>
  <c r="D321" i="177" a="1"/>
  <c r="D321" i="177" s="1"/>
  <c r="D405" i="177" a="1"/>
  <c r="D405" i="177" s="1"/>
  <c r="D292" i="177" a="1"/>
  <c r="D292" i="177" s="1"/>
  <c r="D364" i="177" a="1"/>
  <c r="D364" i="177" s="1"/>
  <c r="D476" i="177" a="1"/>
  <c r="D476" i="177" s="1"/>
  <c r="D526" i="177" a="1"/>
  <c r="D526" i="177" s="1"/>
  <c r="D220" i="177" a="1"/>
  <c r="D220" i="177" s="1"/>
  <c r="D576" i="177" a="1"/>
  <c r="D576" i="177" s="1"/>
  <c r="D287" i="177" a="1"/>
  <c r="D287" i="177" s="1"/>
  <c r="D389" i="177" a="1"/>
  <c r="D389" i="177" s="1"/>
  <c r="D535" i="177" a="1"/>
  <c r="D535" i="177" s="1"/>
  <c r="D257" i="177" a="1"/>
  <c r="D257" i="177" s="1"/>
  <c r="D590" i="177" a="1"/>
  <c r="D590" i="177" s="1"/>
  <c r="D465" i="177" a="1"/>
  <c r="D465" i="177" s="1"/>
  <c r="D396" i="177" a="1"/>
  <c r="D396" i="177" s="1"/>
  <c r="D560" i="177" a="1"/>
  <c r="D560" i="177" s="1"/>
  <c r="D249" i="177" a="1"/>
  <c r="D249" i="177" s="1"/>
  <c r="D409" i="177" a="1"/>
  <c r="D409" i="177" s="1"/>
  <c r="D449" i="177" a="1"/>
  <c r="D449" i="177" s="1"/>
  <c r="D253" i="177" a="1"/>
  <c r="D253" i="177" s="1"/>
  <c r="D349" i="177" a="1"/>
  <c r="D349" i="177" s="1"/>
  <c r="D451" i="177" a="1"/>
  <c r="D451" i="177" s="1"/>
  <c r="D485" i="177" a="1"/>
  <c r="D485" i="177" s="1"/>
  <c r="D259" i="177" a="1"/>
  <c r="D259" i="177" s="1"/>
  <c r="D594" i="177" a="1"/>
  <c r="D594" i="177" s="1"/>
  <c r="D333" i="177" a="1"/>
  <c r="D333" i="177" s="1"/>
  <c r="D269" i="177" a="1"/>
  <c r="D269" i="177" s="1"/>
  <c r="D458" i="177" a="1"/>
  <c r="D458" i="177" s="1"/>
  <c r="D418" i="177" a="1"/>
  <c r="D418" i="177" s="1"/>
  <c r="D523" i="177" a="1"/>
  <c r="D523" i="177" s="1"/>
  <c r="D596" i="177" a="1"/>
  <c r="D596" i="177" s="1"/>
  <c r="D407" i="177" a="1"/>
  <c r="D407" i="177" s="1"/>
  <c r="D430" i="177" a="1"/>
  <c r="D430" i="177" s="1"/>
  <c r="D415" i="177" a="1"/>
  <c r="D415" i="177" s="1"/>
  <c r="D563" i="177" a="1"/>
  <c r="D563" i="177" s="1"/>
  <c r="D436" i="177" a="1"/>
  <c r="D436" i="177" s="1"/>
  <c r="D562" i="177" a="1"/>
  <c r="D562" i="177" s="1"/>
  <c r="D509" i="177" a="1"/>
  <c r="D509" i="177" s="1"/>
  <c r="D455" i="177" a="1"/>
  <c r="D455" i="177" s="1"/>
  <c r="D187" i="177" a="1"/>
  <c r="D187" i="177" s="1"/>
  <c r="D271" i="177" a="1"/>
  <c r="D271" i="177" s="1"/>
  <c r="D224" i="177" a="1"/>
  <c r="D224" i="177" s="1"/>
  <c r="D298" i="177" a="1"/>
  <c r="D298" i="177" s="1"/>
  <c r="D368" i="177" a="1"/>
  <c r="D368" i="177" s="1"/>
  <c r="D370" i="177" a="1"/>
  <c r="D370" i="177" s="1"/>
  <c r="D299" i="177" a="1"/>
  <c r="D299" i="177" s="1"/>
  <c r="D473" i="177" a="1"/>
  <c r="D473" i="177" s="1"/>
  <c r="D558" i="177" a="1"/>
  <c r="D558" i="177" s="1"/>
  <c r="D524" i="177" a="1"/>
  <c r="D524" i="177" s="1"/>
  <c r="D498" i="177" a="1"/>
  <c r="D498" i="177" s="1"/>
  <c r="D491" i="177" a="1"/>
  <c r="D491" i="177" s="1"/>
  <c r="D232" i="177" a="1"/>
  <c r="D232" i="177" s="1"/>
  <c r="D395" i="177" a="1"/>
  <c r="D395" i="177" s="1"/>
  <c r="D265" i="177" a="1"/>
  <c r="D265" i="177" s="1"/>
  <c r="D355" i="177" a="1"/>
  <c r="D355" i="177" s="1"/>
  <c r="D385" i="177" a="1"/>
  <c r="D385" i="177" s="1"/>
  <c r="D454" i="177" a="1"/>
  <c r="D454" i="177" s="1"/>
  <c r="D544" i="177" a="1"/>
  <c r="D544" i="177" s="1"/>
  <c r="D543" i="177" a="1"/>
  <c r="D543" i="177" s="1"/>
  <c r="D112" i="177" a="1"/>
  <c r="D112" i="177" s="1"/>
  <c r="D158" i="177" a="1"/>
  <c r="D158" i="177" s="1"/>
  <c r="D109" i="177" a="1"/>
  <c r="D109" i="177" s="1"/>
  <c r="D143" i="177" a="1"/>
  <c r="D143" i="177" s="1"/>
  <c r="D153" i="177" a="1"/>
  <c r="D153" i="177" s="1"/>
  <c r="D163" i="177" a="1"/>
  <c r="D163" i="177" s="1"/>
  <c r="D138" i="177" a="1"/>
  <c r="D138" i="177" s="1"/>
  <c r="D113" i="177" a="1"/>
  <c r="D113" i="177" s="1"/>
  <c r="D135" i="177" a="1"/>
  <c r="D135" i="177" s="1"/>
  <c r="D181" i="177" a="1"/>
  <c r="D181" i="177" s="1"/>
  <c r="D132" i="177" a="1"/>
  <c r="D132" i="177" s="1"/>
  <c r="D154" i="177" a="1"/>
  <c r="D154" i="177" s="1"/>
  <c r="D152" i="177" a="1"/>
  <c r="D152" i="177" s="1"/>
  <c r="D162" i="177" a="1"/>
  <c r="D162" i="177" s="1"/>
  <c r="D165" i="177" a="1"/>
  <c r="D165" i="177" s="1"/>
  <c r="D149" i="177" a="1"/>
  <c r="D149" i="177" s="1"/>
  <c r="D123" i="177" a="1"/>
  <c r="D123" i="177" s="1"/>
  <c r="D169" i="177" a="1"/>
  <c r="D169" i="177" s="1"/>
  <c r="D131" i="177" a="1"/>
  <c r="D131" i="177" s="1"/>
  <c r="D141" i="177" a="1"/>
  <c r="D141" i="177" s="1"/>
  <c r="D151" i="177" a="1"/>
  <c r="D151" i="177" s="1"/>
  <c r="D166" i="177" a="1"/>
  <c r="D166" i="177" s="1"/>
  <c r="D172" i="177" a="1"/>
  <c r="D172" i="177" s="1"/>
  <c r="D125" i="177" a="1"/>
  <c r="D125" i="177" s="1"/>
  <c r="D146" i="177" a="1"/>
  <c r="D146" i="177" s="1"/>
  <c r="D120" i="177" a="1"/>
  <c r="D120" i="177" s="1"/>
  <c r="D142" i="177" a="1"/>
  <c r="D142" i="177" s="1"/>
  <c r="D140" i="177" a="1"/>
  <c r="D140" i="177" s="1"/>
  <c r="D150" i="177" a="1"/>
  <c r="D150" i="177" s="1"/>
  <c r="D175" i="177" a="1"/>
  <c r="D175" i="177" s="1"/>
  <c r="D183" i="177" a="1"/>
  <c r="D183" i="177" s="1"/>
  <c r="D157" i="177" a="1"/>
  <c r="D157" i="177" s="1"/>
  <c r="D108" i="177" a="1"/>
  <c r="D108" i="177" s="1"/>
  <c r="D130" i="177" a="1"/>
  <c r="D130" i="177" s="1"/>
  <c r="D128" i="177" a="1"/>
  <c r="D128" i="177" s="1"/>
  <c r="D164" i="177" a="1"/>
  <c r="D164" i="177" s="1"/>
  <c r="D160" i="177" a="1"/>
  <c r="D160" i="177" s="1"/>
  <c r="D111" i="177" a="1"/>
  <c r="D111" i="177" s="1"/>
  <c r="D134" i="177" a="1"/>
  <c r="D134" i="177" s="1"/>
  <c r="D180" i="177" a="1"/>
  <c r="D180" i="177" s="1"/>
  <c r="D119" i="177" a="1"/>
  <c r="D119" i="177" s="1"/>
  <c r="D129" i="177" a="1"/>
  <c r="D129" i="177" s="1"/>
  <c r="D139" i="177" a="1"/>
  <c r="D139" i="177" s="1"/>
  <c r="D173" i="177" a="1"/>
  <c r="D173" i="177" s="1"/>
  <c r="D122" i="177" a="1"/>
  <c r="D122" i="177" s="1"/>
  <c r="D168" i="177" a="1"/>
  <c r="D168" i="177" s="1"/>
  <c r="D107" i="177" a="1"/>
  <c r="D107" i="177" s="1"/>
  <c r="D117" i="177" a="1"/>
  <c r="D117" i="177" s="1"/>
  <c r="D127" i="177" a="1"/>
  <c r="D127" i="177" s="1"/>
  <c r="D155" i="177" a="1"/>
  <c r="D155" i="177" s="1"/>
  <c r="D148" i="177" a="1"/>
  <c r="D148" i="177" s="1"/>
  <c r="D171" i="177" a="1"/>
  <c r="D171" i="177" s="1"/>
  <c r="D145" i="177" a="1"/>
  <c r="D145" i="177" s="1"/>
  <c r="D179" i="177" a="1"/>
  <c r="D179" i="177" s="1"/>
  <c r="D118" i="177" a="1"/>
  <c r="D118" i="177" s="1"/>
  <c r="D116" i="177" a="1"/>
  <c r="D116" i="177" s="1"/>
  <c r="D126" i="177" a="1"/>
  <c r="D126" i="177" s="1"/>
  <c r="D161" i="177" a="1"/>
  <c r="D161" i="177" s="1"/>
  <c r="D182" i="177" a="1"/>
  <c r="D182" i="177" s="1"/>
  <c r="D133" i="177" a="1"/>
  <c r="D133" i="177" s="1"/>
  <c r="D167" i="177" a="1"/>
  <c r="D167" i="177" s="1"/>
  <c r="D177" i="177" a="1"/>
  <c r="D177" i="177" s="1"/>
  <c r="D115" i="177" a="1"/>
  <c r="D115" i="177" s="1"/>
  <c r="D174" i="177" a="1"/>
  <c r="D174" i="177" s="1"/>
  <c r="D136" i="177" a="1"/>
  <c r="D136" i="177" s="1"/>
  <c r="D159" i="177" a="1"/>
  <c r="D159" i="177" s="1"/>
  <c r="D110" i="177" a="1"/>
  <c r="D110" i="177" s="1"/>
  <c r="D156" i="177" a="1"/>
  <c r="D156" i="177" s="1"/>
  <c r="D178" i="177" a="1"/>
  <c r="D178" i="177" s="1"/>
  <c r="D176" i="177" a="1"/>
  <c r="D176" i="177" s="1"/>
  <c r="D114" i="177" a="1"/>
  <c r="D114" i="177" s="1"/>
  <c r="D137" i="177" a="1"/>
  <c r="D137" i="177" s="1"/>
  <c r="D124" i="177" a="1"/>
  <c r="D124" i="177" s="1"/>
  <c r="D147" i="177" a="1"/>
  <c r="D147" i="177" s="1"/>
  <c r="D170" i="177" a="1"/>
  <c r="D170" i="177" s="1"/>
  <c r="D121" i="177" a="1"/>
  <c r="D121" i="177" s="1"/>
  <c r="D144" i="177" a="1"/>
  <c r="D144" i="177" s="1"/>
  <c r="D10" i="176"/>
  <c r="D101" i="177" a="1"/>
  <c r="D101" i="177" s="1"/>
  <c r="D11" i="176"/>
  <c r="D102" i="177" a="1"/>
  <c r="D102" i="177" s="1"/>
  <c r="P39" i="203"/>
  <c r="P22" i="203"/>
  <c r="D13" i="174"/>
  <c r="D14" i="174"/>
  <c r="D15" i="174"/>
  <c r="D100" i="177" a="1"/>
  <c r="D100" i="177" s="1"/>
  <c r="G9" i="176" s="1"/>
  <c r="T6" i="203" l="1"/>
  <c r="T7" i="203"/>
  <c r="G345" i="176"/>
  <c r="F436" i="177" a="1"/>
  <c r="F436" i="177" s="1"/>
  <c r="E436" i="177" a="1"/>
  <c r="E436" i="177" s="1"/>
  <c r="H436" i="177" a="1"/>
  <c r="H436" i="177" s="1"/>
  <c r="I436" i="177" a="1"/>
  <c r="I436" i="177" s="1"/>
  <c r="I345" i="176" s="1"/>
  <c r="G436" i="177" a="1"/>
  <c r="G436" i="177" s="1"/>
  <c r="H345" i="176" s="1"/>
  <c r="G229" i="176"/>
  <c r="E320" i="177" a="1"/>
  <c r="E320" i="177" s="1"/>
  <c r="I320" i="177" a="1"/>
  <c r="I320" i="177" s="1"/>
  <c r="I229" i="176" s="1"/>
  <c r="H320" i="177" a="1"/>
  <c r="H320" i="177" s="1"/>
  <c r="G320" i="177" a="1"/>
  <c r="G320" i="177" s="1"/>
  <c r="H229" i="176" s="1"/>
  <c r="F320" i="177" a="1"/>
  <c r="F320" i="177" s="1"/>
  <c r="G373" i="176"/>
  <c r="I464" i="177" a="1"/>
  <c r="I464" i="177" s="1"/>
  <c r="I373" i="176" s="1"/>
  <c r="F464" i="177" a="1"/>
  <c r="F464" i="177" s="1"/>
  <c r="H464" i="177" a="1"/>
  <c r="H464" i="177" s="1"/>
  <c r="E464" i="177" a="1"/>
  <c r="E464" i="177" s="1"/>
  <c r="G464" i="177" a="1"/>
  <c r="G464" i="177" s="1"/>
  <c r="H373" i="176" s="1"/>
  <c r="G413" i="176"/>
  <c r="G504" i="177" a="1"/>
  <c r="G504" i="177" s="1"/>
  <c r="H413" i="176" s="1"/>
  <c r="F504" i="177" a="1"/>
  <c r="F504" i="177" s="1"/>
  <c r="I504" i="177" a="1"/>
  <c r="I504" i="177" s="1"/>
  <c r="I413" i="176" s="1"/>
  <c r="H504" i="177" a="1"/>
  <c r="H504" i="177" s="1"/>
  <c r="E504" i="177" a="1"/>
  <c r="E504" i="177" s="1"/>
  <c r="G46" i="176"/>
  <c r="H137" i="177" a="1"/>
  <c r="H137" i="177" s="1"/>
  <c r="I137" i="177" a="1"/>
  <c r="I137" i="177" s="1"/>
  <c r="I46" i="176" s="1"/>
  <c r="F137" i="177" a="1"/>
  <c r="F137" i="177" s="1"/>
  <c r="E137" i="177" a="1"/>
  <c r="E137" i="177" s="1"/>
  <c r="G137" i="177" a="1"/>
  <c r="G137" i="177" s="1"/>
  <c r="H46" i="176" s="1"/>
  <c r="G42" i="176"/>
  <c r="H133" i="177" a="1"/>
  <c r="H133" i="177" s="1"/>
  <c r="G133" i="177" a="1"/>
  <c r="G133" i="177" s="1"/>
  <c r="H42" i="176" s="1"/>
  <c r="I133" i="177" a="1"/>
  <c r="I133" i="177" s="1"/>
  <c r="I42" i="176" s="1"/>
  <c r="F133" i="177" a="1"/>
  <c r="F133" i="177" s="1"/>
  <c r="E133" i="177" a="1"/>
  <c r="E133" i="177" s="1"/>
  <c r="G26" i="176"/>
  <c r="G117" i="177" a="1"/>
  <c r="G117" i="177" s="1"/>
  <c r="H26" i="176" s="1"/>
  <c r="I117" i="177" a="1"/>
  <c r="I117" i="177" s="1"/>
  <c r="I26" i="176" s="1"/>
  <c r="F117" i="177" a="1"/>
  <c r="F117" i="177" s="1"/>
  <c r="E117" i="177" a="1"/>
  <c r="E117" i="177" s="1"/>
  <c r="H117" i="177" a="1"/>
  <c r="H117" i="177" s="1"/>
  <c r="H164" i="177" a="1"/>
  <c r="H164" i="177" s="1"/>
  <c r="I164" i="177" a="1"/>
  <c r="I164" i="177" s="1"/>
  <c r="I73" i="176" s="1"/>
  <c r="G73" i="176"/>
  <c r="E164" i="177" a="1"/>
  <c r="E164" i="177" s="1"/>
  <c r="G164" i="177" a="1"/>
  <c r="G164" i="177" s="1"/>
  <c r="H73" i="176" s="1"/>
  <c r="F164" i="177" a="1"/>
  <c r="F164" i="177" s="1"/>
  <c r="H125" i="177" a="1"/>
  <c r="H125" i="177" s="1"/>
  <c r="G34" i="176"/>
  <c r="I125" i="177" a="1"/>
  <c r="I125" i="177" s="1"/>
  <c r="I34" i="176" s="1"/>
  <c r="F125" i="177" a="1"/>
  <c r="F125" i="177" s="1"/>
  <c r="E125" i="177" a="1"/>
  <c r="E125" i="177" s="1"/>
  <c r="G125" i="177" a="1"/>
  <c r="G125" i="177" s="1"/>
  <c r="H34" i="176" s="1"/>
  <c r="G154" i="177" a="1"/>
  <c r="G154" i="177" s="1"/>
  <c r="H63" i="176" s="1"/>
  <c r="G63" i="176"/>
  <c r="E154" i="177" a="1"/>
  <c r="E154" i="177" s="1"/>
  <c r="I154" i="177" a="1"/>
  <c r="I154" i="177" s="1"/>
  <c r="I63" i="176" s="1"/>
  <c r="F154" i="177" a="1"/>
  <c r="F154" i="177" s="1"/>
  <c r="H154" i="177" a="1"/>
  <c r="H154" i="177" s="1"/>
  <c r="G452" i="176"/>
  <c r="H543" i="177" a="1"/>
  <c r="H543" i="177" s="1"/>
  <c r="I543" i="177" a="1"/>
  <c r="I543" i="177" s="1"/>
  <c r="I452" i="176" s="1"/>
  <c r="G543" i="177" a="1"/>
  <c r="G543" i="177" s="1"/>
  <c r="H452" i="176" s="1"/>
  <c r="F543" i="177" a="1"/>
  <c r="F543" i="177" s="1"/>
  <c r="E543" i="177" a="1"/>
  <c r="E543" i="177" s="1"/>
  <c r="G382" i="176"/>
  <c r="H473" i="177" a="1"/>
  <c r="H473" i="177" s="1"/>
  <c r="I473" i="177" a="1"/>
  <c r="I473" i="177" s="1"/>
  <c r="I382" i="176" s="1"/>
  <c r="F473" i="177" a="1"/>
  <c r="F473" i="177" s="1"/>
  <c r="G473" i="177" a="1"/>
  <c r="G473" i="177" s="1"/>
  <c r="H382" i="176" s="1"/>
  <c r="E473" i="177" a="1"/>
  <c r="E473" i="177" s="1"/>
  <c r="G472" i="176"/>
  <c r="I563" i="177" a="1"/>
  <c r="I563" i="177" s="1"/>
  <c r="I472" i="176" s="1"/>
  <c r="H563" i="177" a="1"/>
  <c r="H563" i="177" s="1"/>
  <c r="E563" i="177" a="1"/>
  <c r="E563" i="177" s="1"/>
  <c r="G563" i="177" a="1"/>
  <c r="G563" i="177" s="1"/>
  <c r="H472" i="176" s="1"/>
  <c r="F563" i="177" a="1"/>
  <c r="F563" i="177" s="1"/>
  <c r="G394" i="176"/>
  <c r="F485" i="177" a="1"/>
  <c r="F485" i="177" s="1"/>
  <c r="G485" i="177" a="1"/>
  <c r="G485" i="177" s="1"/>
  <c r="H394" i="176" s="1"/>
  <c r="E485" i="177" a="1"/>
  <c r="E485" i="177" s="1"/>
  <c r="I485" i="177" a="1"/>
  <c r="I485" i="177" s="1"/>
  <c r="I394" i="176" s="1"/>
  <c r="H485" i="177" a="1"/>
  <c r="H485" i="177" s="1"/>
  <c r="G444" i="176"/>
  <c r="F535" i="177" a="1"/>
  <c r="F535" i="177" s="1"/>
  <c r="E535" i="177" a="1"/>
  <c r="E535" i="177" s="1"/>
  <c r="G535" i="177" a="1"/>
  <c r="G535" i="177" s="1"/>
  <c r="H444" i="176" s="1"/>
  <c r="I535" i="177" a="1"/>
  <c r="I535" i="177" s="1"/>
  <c r="I444" i="176" s="1"/>
  <c r="H535" i="177" a="1"/>
  <c r="H535" i="177" s="1"/>
  <c r="G265" i="176"/>
  <c r="H356" i="177" a="1"/>
  <c r="H356" i="177" s="1"/>
  <c r="F356" i="177" a="1"/>
  <c r="F356" i="177" s="1"/>
  <c r="I356" i="177" a="1"/>
  <c r="I356" i="177" s="1"/>
  <c r="I265" i="176" s="1"/>
  <c r="E356" i="177" a="1"/>
  <c r="E356" i="177" s="1"/>
  <c r="G356" i="177" a="1"/>
  <c r="G356" i="177" s="1"/>
  <c r="H265" i="176" s="1"/>
  <c r="G437" i="176"/>
  <c r="F528" i="177" a="1"/>
  <c r="F528" i="177" s="1"/>
  <c r="G528" i="177" a="1"/>
  <c r="G528" i="177" s="1"/>
  <c r="H437" i="176" s="1"/>
  <c r="I528" i="177" a="1"/>
  <c r="I528" i="177" s="1"/>
  <c r="I437" i="176" s="1"/>
  <c r="H528" i="177" a="1"/>
  <c r="H528" i="177" s="1"/>
  <c r="E528" i="177" a="1"/>
  <c r="E528" i="177" s="1"/>
  <c r="G218" i="176"/>
  <c r="F309" i="177" a="1"/>
  <c r="F309" i="177" s="1"/>
  <c r="E309" i="177" a="1"/>
  <c r="E309" i="177" s="1"/>
  <c r="H309" i="177" a="1"/>
  <c r="H309" i="177" s="1"/>
  <c r="G309" i="177" a="1"/>
  <c r="G309" i="177" s="1"/>
  <c r="H218" i="176" s="1"/>
  <c r="I309" i="177" a="1"/>
  <c r="I309" i="177" s="1"/>
  <c r="I218" i="176" s="1"/>
  <c r="G322" i="176"/>
  <c r="G413" i="177" a="1"/>
  <c r="G413" i="177" s="1"/>
  <c r="H322" i="176" s="1"/>
  <c r="F413" i="177" a="1"/>
  <c r="F413" i="177" s="1"/>
  <c r="E413" i="177" a="1"/>
  <c r="E413" i="177" s="1"/>
  <c r="I413" i="177" a="1"/>
  <c r="I413" i="177" s="1"/>
  <c r="I322" i="176" s="1"/>
  <c r="H413" i="177" a="1"/>
  <c r="H413" i="177" s="1"/>
  <c r="G105" i="176"/>
  <c r="I196" i="177" a="1"/>
  <c r="I196" i="177" s="1"/>
  <c r="I105" i="176" s="1"/>
  <c r="H196" i="177" a="1"/>
  <c r="H196" i="177" s="1"/>
  <c r="G196" i="177" a="1"/>
  <c r="G196" i="177" s="1"/>
  <c r="H105" i="176" s="1"/>
  <c r="F196" i="177" a="1"/>
  <c r="F196" i="177" s="1"/>
  <c r="E196" i="177" a="1"/>
  <c r="E196" i="177" s="1"/>
  <c r="G404" i="176"/>
  <c r="H495" i="177" a="1"/>
  <c r="H495" i="177" s="1"/>
  <c r="E495" i="177" a="1"/>
  <c r="E495" i="177" s="1"/>
  <c r="I495" i="177" a="1"/>
  <c r="I495" i="177" s="1"/>
  <c r="I404" i="176" s="1"/>
  <c r="G495" i="177" a="1"/>
  <c r="G495" i="177" s="1"/>
  <c r="H404" i="176" s="1"/>
  <c r="F495" i="177" a="1"/>
  <c r="F495" i="177" s="1"/>
  <c r="G429" i="176"/>
  <c r="H520" i="177" a="1"/>
  <c r="H520" i="177" s="1"/>
  <c r="G520" i="177" a="1"/>
  <c r="G520" i="177" s="1"/>
  <c r="H429" i="176" s="1"/>
  <c r="E520" i="177" a="1"/>
  <c r="E520" i="177" s="1"/>
  <c r="F520" i="177" a="1"/>
  <c r="F520" i="177" s="1"/>
  <c r="I520" i="177" a="1"/>
  <c r="I520" i="177" s="1"/>
  <c r="I429" i="176" s="1"/>
  <c r="G494" i="176"/>
  <c r="E585" i="177" a="1"/>
  <c r="E585" i="177" s="1"/>
  <c r="G585" i="177" a="1"/>
  <c r="G585" i="177" s="1"/>
  <c r="H494" i="176" s="1"/>
  <c r="I585" i="177" a="1"/>
  <c r="I585" i="177" s="1"/>
  <c r="I494" i="176" s="1"/>
  <c r="H585" i="177" a="1"/>
  <c r="H585" i="177" s="1"/>
  <c r="F585" i="177" a="1"/>
  <c r="F585" i="177" s="1"/>
  <c r="G504" i="176"/>
  <c r="I595" i="177" a="1"/>
  <c r="I595" i="177" s="1"/>
  <c r="I504" i="176" s="1"/>
  <c r="H595" i="177" a="1"/>
  <c r="H595" i="177" s="1"/>
  <c r="G595" i="177" a="1"/>
  <c r="G595" i="177" s="1"/>
  <c r="H504" i="176" s="1"/>
  <c r="F595" i="177" a="1"/>
  <c r="F595" i="177" s="1"/>
  <c r="E595" i="177" a="1"/>
  <c r="E595" i="177" s="1"/>
  <c r="H381" i="177" a="1"/>
  <c r="H381" i="177" s="1"/>
  <c r="G290" i="176"/>
  <c r="G381" i="177" a="1"/>
  <c r="G381" i="177" s="1"/>
  <c r="H290" i="176" s="1"/>
  <c r="F381" i="177" a="1"/>
  <c r="F381" i="177" s="1"/>
  <c r="E381" i="177" a="1"/>
  <c r="E381" i="177" s="1"/>
  <c r="I381" i="177" a="1"/>
  <c r="I381" i="177" s="1"/>
  <c r="I290" i="176" s="1"/>
  <c r="G102" i="176"/>
  <c r="E193" i="177" a="1"/>
  <c r="E193" i="177" s="1"/>
  <c r="F193" i="177" a="1"/>
  <c r="F193" i="177" s="1"/>
  <c r="H193" i="177" a="1"/>
  <c r="H193" i="177" s="1"/>
  <c r="G193" i="177" a="1"/>
  <c r="G193" i="177" s="1"/>
  <c r="H102" i="176" s="1"/>
  <c r="I193" i="177" a="1"/>
  <c r="I193" i="177" s="1"/>
  <c r="I102" i="176" s="1"/>
  <c r="G352" i="176"/>
  <c r="H443" i="177" a="1"/>
  <c r="H443" i="177" s="1"/>
  <c r="E443" i="177" a="1"/>
  <c r="E443" i="177" s="1"/>
  <c r="I443" i="177" a="1"/>
  <c r="I443" i="177" s="1"/>
  <c r="I352" i="176" s="1"/>
  <c r="G443" i="177" a="1"/>
  <c r="G443" i="177" s="1"/>
  <c r="H352" i="176" s="1"/>
  <c r="F443" i="177" a="1"/>
  <c r="F443" i="177" s="1"/>
  <c r="G514" i="176"/>
  <c r="I605" i="177" a="1"/>
  <c r="I605" i="177" s="1"/>
  <c r="I514" i="176" s="1"/>
  <c r="E605" i="177" a="1"/>
  <c r="E605" i="177" s="1"/>
  <c r="F605" i="177" a="1"/>
  <c r="F605" i="177" s="1"/>
  <c r="G605" i="177" a="1"/>
  <c r="G605" i="177" s="1"/>
  <c r="H514" i="176" s="1"/>
  <c r="H605" i="177" a="1"/>
  <c r="H605" i="177" s="1"/>
  <c r="G309" i="176"/>
  <c r="E400" i="177" a="1"/>
  <c r="E400" i="177" s="1"/>
  <c r="G400" i="177" a="1"/>
  <c r="G400" i="177" s="1"/>
  <c r="H309" i="176" s="1"/>
  <c r="H400" i="177" a="1"/>
  <c r="H400" i="177" s="1"/>
  <c r="F400" i="177" a="1"/>
  <c r="F400" i="177" s="1"/>
  <c r="I400" i="177" a="1"/>
  <c r="I400" i="177" s="1"/>
  <c r="I309" i="176" s="1"/>
  <c r="G368" i="176"/>
  <c r="E459" i="177" a="1"/>
  <c r="E459" i="177" s="1"/>
  <c r="I459" i="177" a="1"/>
  <c r="I459" i="177" s="1"/>
  <c r="I368" i="176" s="1"/>
  <c r="G459" i="177" a="1"/>
  <c r="G459" i="177" s="1"/>
  <c r="H368" i="176" s="1"/>
  <c r="H459" i="177" a="1"/>
  <c r="H459" i="177" s="1"/>
  <c r="F459" i="177" a="1"/>
  <c r="F459" i="177" s="1"/>
  <c r="G146" i="176"/>
  <c r="I237" i="177" a="1"/>
  <c r="I237" i="177" s="1"/>
  <c r="I146" i="176" s="1"/>
  <c r="G237" i="177" a="1"/>
  <c r="G237" i="177" s="1"/>
  <c r="H146" i="176" s="1"/>
  <c r="E237" i="177" a="1"/>
  <c r="E237" i="177" s="1"/>
  <c r="F237" i="177" a="1"/>
  <c r="F237" i="177" s="1"/>
  <c r="H237" i="177" a="1"/>
  <c r="H237" i="177" s="1"/>
  <c r="G398" i="176"/>
  <c r="G489" i="177" a="1"/>
  <c r="G489" i="177" s="1"/>
  <c r="H398" i="176" s="1"/>
  <c r="I489" i="177" a="1"/>
  <c r="I489" i="177" s="1"/>
  <c r="I398" i="176" s="1"/>
  <c r="E489" i="177" a="1"/>
  <c r="E489" i="177" s="1"/>
  <c r="H489" i="177" a="1"/>
  <c r="H489" i="177" s="1"/>
  <c r="F489" i="177" a="1"/>
  <c r="F489" i="177" s="1"/>
  <c r="G330" i="176"/>
  <c r="G421" i="177" a="1"/>
  <c r="G421" i="177" s="1"/>
  <c r="H330" i="176" s="1"/>
  <c r="I421" i="177" a="1"/>
  <c r="I421" i="177" s="1"/>
  <c r="I330" i="176" s="1"/>
  <c r="H421" i="177" a="1"/>
  <c r="H421" i="177" s="1"/>
  <c r="F421" i="177" a="1"/>
  <c r="F421" i="177" s="1"/>
  <c r="E421" i="177" a="1"/>
  <c r="E421" i="177" s="1"/>
  <c r="G266" i="176"/>
  <c r="F357" i="177" a="1"/>
  <c r="F357" i="177" s="1"/>
  <c r="H357" i="177" a="1"/>
  <c r="H357" i="177" s="1"/>
  <c r="I357" i="177" a="1"/>
  <c r="I357" i="177" s="1"/>
  <c r="I266" i="176" s="1"/>
  <c r="E357" i="177" a="1"/>
  <c r="E357" i="177" s="1"/>
  <c r="G357" i="177" a="1"/>
  <c r="G357" i="177" s="1"/>
  <c r="H266" i="176" s="1"/>
  <c r="G417" i="176"/>
  <c r="F508" i="177" a="1"/>
  <c r="F508" i="177" s="1"/>
  <c r="I508" i="177" a="1"/>
  <c r="I508" i="177" s="1"/>
  <c r="I417" i="176" s="1"/>
  <c r="H508" i="177" a="1"/>
  <c r="H508" i="177" s="1"/>
  <c r="G508" i="177" a="1"/>
  <c r="G508" i="177" s="1"/>
  <c r="H417" i="176" s="1"/>
  <c r="E508" i="177" a="1"/>
  <c r="E508" i="177" s="1"/>
  <c r="G291" i="176"/>
  <c r="H382" i="177" a="1"/>
  <c r="H382" i="177" s="1"/>
  <c r="G382" i="177" a="1"/>
  <c r="G382" i="177" s="1"/>
  <c r="H291" i="176" s="1"/>
  <c r="E382" i="177" a="1"/>
  <c r="E382" i="177" s="1"/>
  <c r="I382" i="177" a="1"/>
  <c r="I382" i="177" s="1"/>
  <c r="I291" i="176" s="1"/>
  <c r="F382" i="177" a="1"/>
  <c r="F382" i="177" s="1"/>
  <c r="G389" i="176"/>
  <c r="H480" i="177" a="1"/>
  <c r="H480" i="177" s="1"/>
  <c r="G480" i="177" a="1"/>
  <c r="G480" i="177" s="1"/>
  <c r="H389" i="176" s="1"/>
  <c r="I480" i="177" a="1"/>
  <c r="I480" i="177" s="1"/>
  <c r="I389" i="176" s="1"/>
  <c r="E480" i="177" a="1"/>
  <c r="E480" i="177" s="1"/>
  <c r="F480" i="177" a="1"/>
  <c r="F480" i="177" s="1"/>
  <c r="G220" i="176"/>
  <c r="E311" i="177" a="1"/>
  <c r="E311" i="177" s="1"/>
  <c r="I311" i="177" a="1"/>
  <c r="I311" i="177" s="1"/>
  <c r="I220" i="176" s="1"/>
  <c r="H311" i="177" a="1"/>
  <c r="H311" i="177" s="1"/>
  <c r="G311" i="177" a="1"/>
  <c r="G311" i="177" s="1"/>
  <c r="H220" i="176" s="1"/>
  <c r="F311" i="177" a="1"/>
  <c r="F311" i="177" s="1"/>
  <c r="G190" i="176"/>
  <c r="F281" i="177" a="1"/>
  <c r="F281" i="177" s="1"/>
  <c r="G281" i="177" a="1"/>
  <c r="G281" i="177" s="1"/>
  <c r="H190" i="176" s="1"/>
  <c r="E281" i="177" a="1"/>
  <c r="E281" i="177" s="1"/>
  <c r="I281" i="177" a="1"/>
  <c r="I281" i="177" s="1"/>
  <c r="I190" i="176" s="1"/>
  <c r="H281" i="177" a="1"/>
  <c r="H281" i="177" s="1"/>
  <c r="G211" i="176"/>
  <c r="E302" i="177" a="1"/>
  <c r="E302" i="177" s="1"/>
  <c r="I302" i="177" a="1"/>
  <c r="I302" i="177" s="1"/>
  <c r="I211" i="176" s="1"/>
  <c r="F302" i="177" a="1"/>
  <c r="F302" i="177" s="1"/>
  <c r="H302" i="177" a="1"/>
  <c r="H302" i="177" s="1"/>
  <c r="G302" i="177" a="1"/>
  <c r="G302" i="177" s="1"/>
  <c r="H211" i="176" s="1"/>
  <c r="G176" i="176"/>
  <c r="I267" i="177" a="1"/>
  <c r="I267" i="177" s="1"/>
  <c r="I176" i="176" s="1"/>
  <c r="G267" i="177" a="1"/>
  <c r="G267" i="177" s="1"/>
  <c r="H176" i="176" s="1"/>
  <c r="H267" i="177" a="1"/>
  <c r="H267" i="177" s="1"/>
  <c r="E267" i="177" a="1"/>
  <c r="E267" i="177" s="1"/>
  <c r="F267" i="177" a="1"/>
  <c r="F267" i="177" s="1"/>
  <c r="G427" i="176"/>
  <c r="I518" i="177" a="1"/>
  <c r="I518" i="177" s="1"/>
  <c r="I427" i="176" s="1"/>
  <c r="H518" i="177" a="1"/>
  <c r="H518" i="177" s="1"/>
  <c r="G518" i="177" a="1"/>
  <c r="G518" i="177" s="1"/>
  <c r="H427" i="176" s="1"/>
  <c r="F518" i="177" a="1"/>
  <c r="F518" i="177" s="1"/>
  <c r="E518" i="177" a="1"/>
  <c r="E518" i="177" s="1"/>
  <c r="G137" i="176"/>
  <c r="I228" i="177" a="1"/>
  <c r="I228" i="177" s="1"/>
  <c r="I137" i="176" s="1"/>
  <c r="G228" i="177" a="1"/>
  <c r="G228" i="177" s="1"/>
  <c r="H137" i="176" s="1"/>
  <c r="H228" i="177" a="1"/>
  <c r="H228" i="177" s="1"/>
  <c r="F228" i="177" a="1"/>
  <c r="F228" i="177" s="1"/>
  <c r="E228" i="177" a="1"/>
  <c r="E228" i="177" s="1"/>
  <c r="G209" i="176"/>
  <c r="G300" i="177" a="1"/>
  <c r="G300" i="177" s="1"/>
  <c r="H209" i="176" s="1"/>
  <c r="F300" i="177" a="1"/>
  <c r="F300" i="177" s="1"/>
  <c r="E300" i="177" a="1"/>
  <c r="E300" i="177" s="1"/>
  <c r="H300" i="177" a="1"/>
  <c r="H300" i="177" s="1"/>
  <c r="I300" i="177" a="1"/>
  <c r="I300" i="177" s="1"/>
  <c r="I209" i="176" s="1"/>
  <c r="G281" i="176"/>
  <c r="F372" i="177" a="1"/>
  <c r="F372" i="177" s="1"/>
  <c r="I372" i="177" a="1"/>
  <c r="I372" i="177" s="1"/>
  <c r="I281" i="176" s="1"/>
  <c r="E372" i="177" a="1"/>
  <c r="E372" i="177" s="1"/>
  <c r="H372" i="177" a="1"/>
  <c r="H372" i="177" s="1"/>
  <c r="G372" i="177" a="1"/>
  <c r="G372" i="177" s="1"/>
  <c r="H281" i="176" s="1"/>
  <c r="G104" i="176"/>
  <c r="H195" i="177" a="1"/>
  <c r="H195" i="177" s="1"/>
  <c r="G195" i="177" a="1"/>
  <c r="G195" i="177" s="1"/>
  <c r="H104" i="176" s="1"/>
  <c r="F195" i="177" a="1"/>
  <c r="F195" i="177" s="1"/>
  <c r="E195" i="177" a="1"/>
  <c r="E195" i="177" s="1"/>
  <c r="I195" i="177" a="1"/>
  <c r="I195" i="177" s="1"/>
  <c r="I104" i="176" s="1"/>
  <c r="G168" i="176"/>
  <c r="H259" i="177" a="1"/>
  <c r="H259" i="177" s="1"/>
  <c r="I259" i="177" a="1"/>
  <c r="I259" i="177" s="1"/>
  <c r="I168" i="176" s="1"/>
  <c r="G259" i="177" a="1"/>
  <c r="G259" i="177" s="1"/>
  <c r="H168" i="176" s="1"/>
  <c r="F259" i="177" a="1"/>
  <c r="F259" i="177" s="1"/>
  <c r="E259" i="177" a="1"/>
  <c r="E259" i="177" s="1"/>
  <c r="G431" i="176"/>
  <c r="F522" i="177" a="1"/>
  <c r="F522" i="177" s="1"/>
  <c r="G522" i="177" a="1"/>
  <c r="G522" i="177" s="1"/>
  <c r="H431" i="176" s="1"/>
  <c r="H522" i="177" a="1"/>
  <c r="H522" i="177" s="1"/>
  <c r="E522" i="177" a="1"/>
  <c r="E522" i="177" s="1"/>
  <c r="I522" i="177" a="1"/>
  <c r="I522" i="177" s="1"/>
  <c r="I431" i="176" s="1"/>
  <c r="G420" i="176"/>
  <c r="G511" i="177" a="1"/>
  <c r="G511" i="177" s="1"/>
  <c r="H420" i="176" s="1"/>
  <c r="I511" i="177" a="1"/>
  <c r="I511" i="177" s="1"/>
  <c r="I420" i="176" s="1"/>
  <c r="H511" i="177" a="1"/>
  <c r="H511" i="177" s="1"/>
  <c r="F511" i="177" a="1"/>
  <c r="F511" i="177" s="1"/>
  <c r="E511" i="177" a="1"/>
  <c r="E511" i="177" s="1"/>
  <c r="G125" i="176"/>
  <c r="G216" i="177" a="1"/>
  <c r="G216" i="177" s="1"/>
  <c r="H125" i="176" s="1"/>
  <c r="E216" i="177" a="1"/>
  <c r="E216" i="177" s="1"/>
  <c r="I216" i="177" a="1"/>
  <c r="I216" i="177" s="1"/>
  <c r="I125" i="176" s="1"/>
  <c r="H216" i="177" a="1"/>
  <c r="H216" i="177" s="1"/>
  <c r="F216" i="177" a="1"/>
  <c r="F216" i="177" s="1"/>
  <c r="G23" i="176"/>
  <c r="E114" i="177" a="1"/>
  <c r="E114" i="177" s="1"/>
  <c r="I114" i="177" a="1"/>
  <c r="I114" i="177" s="1"/>
  <c r="I23" i="176" s="1"/>
  <c r="G114" i="177" a="1"/>
  <c r="G114" i="177" s="1"/>
  <c r="H23" i="176" s="1"/>
  <c r="H114" i="177" a="1"/>
  <c r="H114" i="177" s="1"/>
  <c r="F114" i="177" a="1"/>
  <c r="F114" i="177" s="1"/>
  <c r="G91" i="176"/>
  <c r="I182" i="177" a="1"/>
  <c r="I182" i="177" s="1"/>
  <c r="I91" i="176" s="1"/>
  <c r="G182" i="177" a="1"/>
  <c r="G182" i="177" s="1"/>
  <c r="H91" i="176" s="1"/>
  <c r="F182" i="177" a="1"/>
  <c r="F182" i="177" s="1"/>
  <c r="E182" i="177" a="1"/>
  <c r="E182" i="177" s="1"/>
  <c r="H182" i="177" a="1"/>
  <c r="H182" i="177" s="1"/>
  <c r="G16" i="176"/>
  <c r="E107" i="177" a="1"/>
  <c r="E107" i="177" s="1"/>
  <c r="F107" i="177" a="1"/>
  <c r="F107" i="177" s="1"/>
  <c r="I107" i="177" a="1"/>
  <c r="I107" i="177" s="1"/>
  <c r="I16" i="176" s="1"/>
  <c r="G107" i="177" a="1"/>
  <c r="G107" i="177" s="1"/>
  <c r="H16" i="176" s="1"/>
  <c r="H107" i="177" a="1"/>
  <c r="H107" i="177" s="1"/>
  <c r="I128" i="177" a="1"/>
  <c r="I128" i="177" s="1"/>
  <c r="I37" i="176" s="1"/>
  <c r="G37" i="176"/>
  <c r="H128" i="177" a="1"/>
  <c r="H128" i="177" s="1"/>
  <c r="G128" i="177" a="1"/>
  <c r="G128" i="177" s="1"/>
  <c r="H37" i="176" s="1"/>
  <c r="E128" i="177" a="1"/>
  <c r="E128" i="177" s="1"/>
  <c r="F128" i="177" a="1"/>
  <c r="F128" i="177" s="1"/>
  <c r="G172" i="177" a="1"/>
  <c r="G172" i="177" s="1"/>
  <c r="H81" i="176" s="1"/>
  <c r="G81" i="176"/>
  <c r="F172" i="177" a="1"/>
  <c r="F172" i="177" s="1"/>
  <c r="I172" i="177" a="1"/>
  <c r="I172" i="177" s="1"/>
  <c r="I81" i="176" s="1"/>
  <c r="H172" i="177" a="1"/>
  <c r="H172" i="177" s="1"/>
  <c r="E172" i="177" a="1"/>
  <c r="E172" i="177" s="1"/>
  <c r="G132" i="177" a="1"/>
  <c r="G132" i="177" s="1"/>
  <c r="H41" i="176" s="1"/>
  <c r="F132" i="177" a="1"/>
  <c r="F132" i="177" s="1"/>
  <c r="G41" i="176"/>
  <c r="I132" i="177" a="1"/>
  <c r="I132" i="177" s="1"/>
  <c r="I41" i="176" s="1"/>
  <c r="H132" i="177" a="1"/>
  <c r="H132" i="177" s="1"/>
  <c r="E132" i="177" a="1"/>
  <c r="E132" i="177" s="1"/>
  <c r="G453" i="176"/>
  <c r="I544" i="177" a="1"/>
  <c r="I544" i="177" s="1"/>
  <c r="I453" i="176" s="1"/>
  <c r="F544" i="177" a="1"/>
  <c r="F544" i="177" s="1"/>
  <c r="E544" i="177" a="1"/>
  <c r="E544" i="177" s="1"/>
  <c r="H544" i="177" a="1"/>
  <c r="H544" i="177" s="1"/>
  <c r="G544" i="177" a="1"/>
  <c r="G544" i="177" s="1"/>
  <c r="H453" i="176" s="1"/>
  <c r="G208" i="176"/>
  <c r="E299" i="177" a="1"/>
  <c r="E299" i="177" s="1"/>
  <c r="I299" i="177" a="1"/>
  <c r="I299" i="177" s="1"/>
  <c r="I208" i="176" s="1"/>
  <c r="H299" i="177" a="1"/>
  <c r="H299" i="177" s="1"/>
  <c r="G299" i="177" a="1"/>
  <c r="G299" i="177" s="1"/>
  <c r="H208" i="176" s="1"/>
  <c r="F299" i="177" a="1"/>
  <c r="F299" i="177" s="1"/>
  <c r="G324" i="176"/>
  <c r="F415" i="177" a="1"/>
  <c r="F415" i="177" s="1"/>
  <c r="H415" i="177" a="1"/>
  <c r="H415" i="177" s="1"/>
  <c r="E415" i="177" a="1"/>
  <c r="E415" i="177" s="1"/>
  <c r="G415" i="177" a="1"/>
  <c r="G415" i="177" s="1"/>
  <c r="H324" i="176" s="1"/>
  <c r="I415" i="177" a="1"/>
  <c r="I415" i="177" s="1"/>
  <c r="I324" i="176" s="1"/>
  <c r="G360" i="176"/>
  <c r="G451" i="177" a="1"/>
  <c r="G451" i="177" s="1"/>
  <c r="H360" i="176" s="1"/>
  <c r="I451" i="177" a="1"/>
  <c r="I451" i="177" s="1"/>
  <c r="I360" i="176" s="1"/>
  <c r="H451" i="177" a="1"/>
  <c r="H451" i="177" s="1"/>
  <c r="F451" i="177" a="1"/>
  <c r="F451" i="177" s="1"/>
  <c r="E451" i="177" a="1"/>
  <c r="E451" i="177" s="1"/>
  <c r="G298" i="176"/>
  <c r="E389" i="177" a="1"/>
  <c r="E389" i="177" s="1"/>
  <c r="I389" i="177" a="1"/>
  <c r="I389" i="177" s="1"/>
  <c r="I298" i="176" s="1"/>
  <c r="H389" i="177" a="1"/>
  <c r="H389" i="177" s="1"/>
  <c r="G389" i="177" a="1"/>
  <c r="G389" i="177" s="1"/>
  <c r="H298" i="176" s="1"/>
  <c r="F389" i="177" a="1"/>
  <c r="F389" i="177" s="1"/>
  <c r="G121" i="176"/>
  <c r="F212" i="177" a="1"/>
  <c r="F212" i="177" s="1"/>
  <c r="I212" i="177" a="1"/>
  <c r="I212" i="177" s="1"/>
  <c r="I121" i="176" s="1"/>
  <c r="E212" i="177" a="1"/>
  <c r="E212" i="177" s="1"/>
  <c r="G212" i="177" a="1"/>
  <c r="G212" i="177" s="1"/>
  <c r="H121" i="176" s="1"/>
  <c r="H212" i="177" a="1"/>
  <c r="H212" i="177" s="1"/>
  <c r="G292" i="176"/>
  <c r="F383" i="177" a="1"/>
  <c r="F383" i="177" s="1"/>
  <c r="H383" i="177" a="1"/>
  <c r="H383" i="177" s="1"/>
  <c r="E383" i="177" a="1"/>
  <c r="E383" i="177" s="1"/>
  <c r="I383" i="177" a="1"/>
  <c r="I383" i="177" s="1"/>
  <c r="I292" i="176" s="1"/>
  <c r="G383" i="177" a="1"/>
  <c r="G383" i="177" s="1"/>
  <c r="H292" i="176" s="1"/>
  <c r="G419" i="176"/>
  <c r="H510" i="177" a="1"/>
  <c r="H510" i="177" s="1"/>
  <c r="G510" i="177" a="1"/>
  <c r="G510" i="177" s="1"/>
  <c r="H419" i="176" s="1"/>
  <c r="F510" i="177" a="1"/>
  <c r="F510" i="177" s="1"/>
  <c r="E510" i="177" a="1"/>
  <c r="E510" i="177" s="1"/>
  <c r="I510" i="177" a="1"/>
  <c r="I510" i="177" s="1"/>
  <c r="I419" i="176" s="1"/>
  <c r="G513" i="176"/>
  <c r="H604" i="177" a="1"/>
  <c r="H604" i="177" s="1"/>
  <c r="F604" i="177" a="1"/>
  <c r="F604" i="177" s="1"/>
  <c r="I604" i="177" a="1"/>
  <c r="I604" i="177" s="1"/>
  <c r="I513" i="176" s="1"/>
  <c r="G604" i="177" a="1"/>
  <c r="G604" i="177" s="1"/>
  <c r="H513" i="176" s="1"/>
  <c r="E604" i="177" a="1"/>
  <c r="E604" i="177" s="1"/>
  <c r="G371" i="176"/>
  <c r="F462" i="177" a="1"/>
  <c r="F462" i="177" s="1"/>
  <c r="H462" i="177" a="1"/>
  <c r="H462" i="177" s="1"/>
  <c r="G462" i="177" a="1"/>
  <c r="G462" i="177" s="1"/>
  <c r="H371" i="176" s="1"/>
  <c r="I462" i="177" a="1"/>
  <c r="I462" i="177" s="1"/>
  <c r="I371" i="176" s="1"/>
  <c r="E462" i="177" a="1"/>
  <c r="E462" i="177" s="1"/>
  <c r="G456" i="176"/>
  <c r="F547" i="177" a="1"/>
  <c r="F547" i="177" s="1"/>
  <c r="I547" i="177" a="1"/>
  <c r="I547" i="177" s="1"/>
  <c r="I456" i="176" s="1"/>
  <c r="H547" i="177" a="1"/>
  <c r="H547" i="177" s="1"/>
  <c r="E547" i="177" a="1"/>
  <c r="E547" i="177" s="1"/>
  <c r="G547" i="177" a="1"/>
  <c r="G547" i="177" s="1"/>
  <c r="H456" i="176" s="1"/>
  <c r="G93" i="176"/>
  <c r="F184" i="177" a="1"/>
  <c r="F184" i="177" s="1"/>
  <c r="G184" i="177" a="1"/>
  <c r="G184" i="177" s="1"/>
  <c r="H93" i="176" s="1"/>
  <c r="E184" i="177" a="1"/>
  <c r="E184" i="177" s="1"/>
  <c r="I184" i="177" a="1"/>
  <c r="I184" i="177" s="1"/>
  <c r="I93" i="176" s="1"/>
  <c r="H184" i="177" a="1"/>
  <c r="H184" i="177" s="1"/>
  <c r="G226" i="176"/>
  <c r="H317" i="177" a="1"/>
  <c r="H317" i="177" s="1"/>
  <c r="E317" i="177" a="1"/>
  <c r="E317" i="177" s="1"/>
  <c r="I317" i="177" a="1"/>
  <c r="I317" i="177" s="1"/>
  <c r="I226" i="176" s="1"/>
  <c r="G317" i="177" a="1"/>
  <c r="G317" i="177" s="1"/>
  <c r="H226" i="176" s="1"/>
  <c r="F317" i="177" a="1"/>
  <c r="F317" i="177" s="1"/>
  <c r="G475" i="176"/>
  <c r="F566" i="177" a="1"/>
  <c r="F566" i="177" s="1"/>
  <c r="I566" i="177" a="1"/>
  <c r="I566" i="177" s="1"/>
  <c r="I475" i="176" s="1"/>
  <c r="H566" i="177" a="1"/>
  <c r="H566" i="177" s="1"/>
  <c r="G566" i="177" a="1"/>
  <c r="G566" i="177" s="1"/>
  <c r="H475" i="176" s="1"/>
  <c r="E566" i="177" a="1"/>
  <c r="E566" i="177" s="1"/>
  <c r="G182" i="176"/>
  <c r="F273" i="177" a="1"/>
  <c r="F273" i="177" s="1"/>
  <c r="H273" i="177" a="1"/>
  <c r="H273" i="177" s="1"/>
  <c r="G273" i="177" a="1"/>
  <c r="G273" i="177" s="1"/>
  <c r="H182" i="176" s="1"/>
  <c r="I273" i="177" a="1"/>
  <c r="I273" i="177" s="1"/>
  <c r="I182" i="176" s="1"/>
  <c r="E273" i="177" a="1"/>
  <c r="E273" i="177" s="1"/>
  <c r="G495" i="176"/>
  <c r="E586" i="177" a="1"/>
  <c r="E586" i="177" s="1"/>
  <c r="F586" i="177" a="1"/>
  <c r="F586" i="177" s="1"/>
  <c r="H586" i="177" a="1"/>
  <c r="H586" i="177" s="1"/>
  <c r="G586" i="177" a="1"/>
  <c r="G586" i="177" s="1"/>
  <c r="H495" i="176" s="1"/>
  <c r="I586" i="177" a="1"/>
  <c r="I586" i="177" s="1"/>
  <c r="I495" i="176" s="1"/>
  <c r="G315" i="176"/>
  <c r="H406" i="177" a="1"/>
  <c r="H406" i="177" s="1"/>
  <c r="F406" i="177" a="1"/>
  <c r="F406" i="177" s="1"/>
  <c r="E406" i="177" a="1"/>
  <c r="E406" i="177" s="1"/>
  <c r="I406" i="177" a="1"/>
  <c r="I406" i="177" s="1"/>
  <c r="I315" i="176" s="1"/>
  <c r="G406" i="177" a="1"/>
  <c r="G406" i="177" s="1"/>
  <c r="H315" i="176" s="1"/>
  <c r="G489" i="176"/>
  <c r="E580" i="177" a="1"/>
  <c r="E580" i="177" s="1"/>
  <c r="I580" i="177" a="1"/>
  <c r="I580" i="177" s="1"/>
  <c r="I489" i="176" s="1"/>
  <c r="F580" i="177" a="1"/>
  <c r="F580" i="177" s="1"/>
  <c r="G580" i="177" a="1"/>
  <c r="G580" i="177" s="1"/>
  <c r="H489" i="176" s="1"/>
  <c r="H580" i="177" a="1"/>
  <c r="H580" i="177" s="1"/>
  <c r="G237" i="176"/>
  <c r="E328" i="177" a="1"/>
  <c r="E328" i="177" s="1"/>
  <c r="I328" i="177" a="1"/>
  <c r="I328" i="177" s="1"/>
  <c r="I237" i="176" s="1"/>
  <c r="H328" i="177" a="1"/>
  <c r="H328" i="177" s="1"/>
  <c r="G328" i="177" a="1"/>
  <c r="G328" i="177" s="1"/>
  <c r="H237" i="176" s="1"/>
  <c r="F328" i="177" a="1"/>
  <c r="F328" i="177" s="1"/>
  <c r="G425" i="176"/>
  <c r="G516" i="177" a="1"/>
  <c r="G516" i="177" s="1"/>
  <c r="H425" i="176" s="1"/>
  <c r="F516" i="177" a="1"/>
  <c r="F516" i="177" s="1"/>
  <c r="H516" i="177" a="1"/>
  <c r="H516" i="177" s="1"/>
  <c r="E516" i="177" a="1"/>
  <c r="E516" i="177" s="1"/>
  <c r="I516" i="177" a="1"/>
  <c r="I516" i="177" s="1"/>
  <c r="I425" i="176" s="1"/>
  <c r="I286" i="177" a="1"/>
  <c r="I286" i="177" s="1"/>
  <c r="I195" i="176" s="1"/>
  <c r="G195" i="176"/>
  <c r="E286" i="177" a="1"/>
  <c r="E286" i="177" s="1"/>
  <c r="F286" i="177" a="1"/>
  <c r="F286" i="177" s="1"/>
  <c r="H286" i="177" a="1"/>
  <c r="H286" i="177" s="1"/>
  <c r="G286" i="177" a="1"/>
  <c r="G286" i="177" s="1"/>
  <c r="H195" i="176" s="1"/>
  <c r="G214" i="176"/>
  <c r="F305" i="177" a="1"/>
  <c r="F305" i="177" s="1"/>
  <c r="I305" i="177" a="1"/>
  <c r="I305" i="177" s="1"/>
  <c r="I214" i="176" s="1"/>
  <c r="H305" i="177" a="1"/>
  <c r="H305" i="177" s="1"/>
  <c r="G305" i="177" a="1"/>
  <c r="G305" i="177" s="1"/>
  <c r="H214" i="176" s="1"/>
  <c r="E305" i="177" a="1"/>
  <c r="E305" i="177" s="1"/>
  <c r="G451" i="176"/>
  <c r="F542" i="177" a="1"/>
  <c r="F542" i="177" s="1"/>
  <c r="E542" i="177" a="1"/>
  <c r="E542" i="177" s="1"/>
  <c r="I542" i="177" a="1"/>
  <c r="I542" i="177" s="1"/>
  <c r="I451" i="176" s="1"/>
  <c r="H542" i="177" a="1"/>
  <c r="H542" i="177" s="1"/>
  <c r="G542" i="177" a="1"/>
  <c r="G542" i="177" s="1"/>
  <c r="H451" i="176" s="1"/>
  <c r="G313" i="176"/>
  <c r="I404" i="177" a="1"/>
  <c r="I404" i="177" s="1"/>
  <c r="I313" i="176" s="1"/>
  <c r="H404" i="177" a="1"/>
  <c r="H404" i="177" s="1"/>
  <c r="G404" i="177" a="1"/>
  <c r="G404" i="177" s="1"/>
  <c r="H313" i="176" s="1"/>
  <c r="E404" i="177" a="1"/>
  <c r="E404" i="177" s="1"/>
  <c r="F404" i="177" a="1"/>
  <c r="F404" i="177" s="1"/>
  <c r="G366" i="176"/>
  <c r="E457" i="177" a="1"/>
  <c r="E457" i="177" s="1"/>
  <c r="I457" i="177" a="1"/>
  <c r="I457" i="177" s="1"/>
  <c r="I366" i="176" s="1"/>
  <c r="G457" i="177" a="1"/>
  <c r="G457" i="177" s="1"/>
  <c r="H366" i="176" s="1"/>
  <c r="H457" i="177" a="1"/>
  <c r="H457" i="177" s="1"/>
  <c r="F457" i="177" a="1"/>
  <c r="F457" i="177" s="1"/>
  <c r="G219" i="176"/>
  <c r="I310" i="177" a="1"/>
  <c r="I310" i="177" s="1"/>
  <c r="I219" i="176" s="1"/>
  <c r="E310" i="177" a="1"/>
  <c r="E310" i="177" s="1"/>
  <c r="H310" i="177" a="1"/>
  <c r="H310" i="177" s="1"/>
  <c r="G310" i="177" a="1"/>
  <c r="G310" i="177" s="1"/>
  <c r="H219" i="176" s="1"/>
  <c r="F310" i="177" a="1"/>
  <c r="F310" i="177" s="1"/>
  <c r="G270" i="176"/>
  <c r="E361" i="177" a="1"/>
  <c r="E361" i="177" s="1"/>
  <c r="H361" i="177" a="1"/>
  <c r="H361" i="177" s="1"/>
  <c r="I361" i="177" a="1"/>
  <c r="I361" i="177" s="1"/>
  <c r="I270" i="176" s="1"/>
  <c r="F361" i="177" a="1"/>
  <c r="F361" i="177" s="1"/>
  <c r="G361" i="177" a="1"/>
  <c r="G361" i="177" s="1"/>
  <c r="H270" i="176" s="1"/>
  <c r="H584" i="177" a="1"/>
  <c r="H584" i="177" s="1"/>
  <c r="G493" i="176"/>
  <c r="I584" i="177" a="1"/>
  <c r="I584" i="177" s="1"/>
  <c r="I493" i="176" s="1"/>
  <c r="G584" i="177" a="1"/>
  <c r="G584" i="177" s="1"/>
  <c r="H493" i="176" s="1"/>
  <c r="E584" i="177" a="1"/>
  <c r="E584" i="177" s="1"/>
  <c r="F584" i="177" a="1"/>
  <c r="F584" i="177" s="1"/>
  <c r="G320" i="176"/>
  <c r="H411" i="177" a="1"/>
  <c r="H411" i="177" s="1"/>
  <c r="G411" i="177" a="1"/>
  <c r="G411" i="177" s="1"/>
  <c r="H320" i="176" s="1"/>
  <c r="I411" i="177" a="1"/>
  <c r="I411" i="177" s="1"/>
  <c r="I320" i="176" s="1"/>
  <c r="E411" i="177" a="1"/>
  <c r="E411" i="177" s="1"/>
  <c r="F411" i="177" a="1"/>
  <c r="F411" i="177" s="1"/>
  <c r="G223" i="176"/>
  <c r="E314" i="177" a="1"/>
  <c r="E314" i="177" s="1"/>
  <c r="I314" i="177" a="1"/>
  <c r="I314" i="177" s="1"/>
  <c r="I223" i="176" s="1"/>
  <c r="H314" i="177" a="1"/>
  <c r="H314" i="177" s="1"/>
  <c r="G314" i="177" a="1"/>
  <c r="G314" i="177" s="1"/>
  <c r="H223" i="176" s="1"/>
  <c r="F314" i="177" a="1"/>
  <c r="F314" i="177" s="1"/>
  <c r="G188" i="176"/>
  <c r="F279" i="177" a="1"/>
  <c r="F279" i="177" s="1"/>
  <c r="E279" i="177" a="1"/>
  <c r="E279" i="177" s="1"/>
  <c r="H279" i="177" a="1"/>
  <c r="H279" i="177" s="1"/>
  <c r="G279" i="177" a="1"/>
  <c r="G279" i="177" s="1"/>
  <c r="H188" i="176" s="1"/>
  <c r="I279" i="177" a="1"/>
  <c r="I279" i="177" s="1"/>
  <c r="I188" i="176" s="1"/>
  <c r="G441" i="176"/>
  <c r="F532" i="177" a="1"/>
  <c r="F532" i="177" s="1"/>
  <c r="I532" i="177" a="1"/>
  <c r="I532" i="177" s="1"/>
  <c r="I441" i="176" s="1"/>
  <c r="H532" i="177" a="1"/>
  <c r="H532" i="177" s="1"/>
  <c r="G532" i="177" a="1"/>
  <c r="G532" i="177" s="1"/>
  <c r="H441" i="176" s="1"/>
  <c r="E532" i="177" a="1"/>
  <c r="E532" i="177" s="1"/>
  <c r="G234" i="177" a="1"/>
  <c r="G234" i="177" s="1"/>
  <c r="H143" i="176" s="1"/>
  <c r="G143" i="176"/>
  <c r="H234" i="177" a="1"/>
  <c r="H234" i="177" s="1"/>
  <c r="I234" i="177" a="1"/>
  <c r="I234" i="177" s="1"/>
  <c r="I143" i="176" s="1"/>
  <c r="E234" i="177" a="1"/>
  <c r="E234" i="177" s="1"/>
  <c r="F234" i="177" a="1"/>
  <c r="F234" i="177" s="1"/>
  <c r="G215" i="176"/>
  <c r="G306" i="177" a="1"/>
  <c r="G306" i="177" s="1"/>
  <c r="H215" i="176" s="1"/>
  <c r="I306" i="177" a="1"/>
  <c r="I306" i="177" s="1"/>
  <c r="I215" i="176" s="1"/>
  <c r="F306" i="177" a="1"/>
  <c r="F306" i="177" s="1"/>
  <c r="E306" i="177" a="1"/>
  <c r="E306" i="177" s="1"/>
  <c r="H306" i="177" a="1"/>
  <c r="H306" i="177" s="1"/>
  <c r="G287" i="176"/>
  <c r="G378" i="177" a="1"/>
  <c r="G378" i="177" s="1"/>
  <c r="H287" i="176" s="1"/>
  <c r="I378" i="177" a="1"/>
  <c r="I378" i="177" s="1"/>
  <c r="I287" i="176" s="1"/>
  <c r="E378" i="177" a="1"/>
  <c r="E378" i="177" s="1"/>
  <c r="F378" i="177" a="1"/>
  <c r="F378" i="177" s="1"/>
  <c r="H378" i="177" a="1"/>
  <c r="H378" i="177" s="1"/>
  <c r="G152" i="176"/>
  <c r="G243" i="177" a="1"/>
  <c r="G243" i="177" s="1"/>
  <c r="H152" i="176" s="1"/>
  <c r="F243" i="177" a="1"/>
  <c r="F243" i="177" s="1"/>
  <c r="I243" i="177" a="1"/>
  <c r="I243" i="177" s="1"/>
  <c r="I152" i="176" s="1"/>
  <c r="E243" i="177" a="1"/>
  <c r="E243" i="177" s="1"/>
  <c r="H243" i="177" a="1"/>
  <c r="H243" i="177" s="1"/>
  <c r="G124" i="177" a="1"/>
  <c r="G124" i="177" s="1"/>
  <c r="H33" i="176" s="1"/>
  <c r="G33" i="176"/>
  <c r="I124" i="177" a="1"/>
  <c r="I124" i="177" s="1"/>
  <c r="I33" i="176" s="1"/>
  <c r="F124" i="177" a="1"/>
  <c r="F124" i="177" s="1"/>
  <c r="E124" i="177" a="1"/>
  <c r="E124" i="177" s="1"/>
  <c r="H124" i="177" a="1"/>
  <c r="H124" i="177" s="1"/>
  <c r="G426" i="176"/>
  <c r="I517" i="177" a="1"/>
  <c r="I517" i="177" s="1"/>
  <c r="I426" i="176" s="1"/>
  <c r="H517" i="177" a="1"/>
  <c r="H517" i="177" s="1"/>
  <c r="F517" i="177" a="1"/>
  <c r="F517" i="177" s="1"/>
  <c r="E517" i="177" a="1"/>
  <c r="E517" i="177" s="1"/>
  <c r="G517" i="177" a="1"/>
  <c r="G517" i="177" s="1"/>
  <c r="H426" i="176" s="1"/>
  <c r="G436" i="176"/>
  <c r="F527" i="177" a="1"/>
  <c r="F527" i="177" s="1"/>
  <c r="G527" i="177" a="1"/>
  <c r="G527" i="177" s="1"/>
  <c r="H436" i="176" s="1"/>
  <c r="E527" i="177" a="1"/>
  <c r="E527" i="177" s="1"/>
  <c r="H527" i="177" a="1"/>
  <c r="H527" i="177" s="1"/>
  <c r="I527" i="177" a="1"/>
  <c r="I527" i="177" s="1"/>
  <c r="I436" i="176" s="1"/>
  <c r="G430" i="176"/>
  <c r="F521" i="177" a="1"/>
  <c r="F521" i="177" s="1"/>
  <c r="G521" i="177" a="1"/>
  <c r="G521" i="177" s="1"/>
  <c r="H430" i="176" s="1"/>
  <c r="H521" i="177" a="1"/>
  <c r="H521" i="177" s="1"/>
  <c r="I521" i="177" a="1"/>
  <c r="I521" i="177" s="1"/>
  <c r="I430" i="176" s="1"/>
  <c r="E521" i="177" a="1"/>
  <c r="E521" i="177" s="1"/>
  <c r="G203" i="176"/>
  <c r="H294" i="177" a="1"/>
  <c r="H294" i="177" s="1"/>
  <c r="G294" i="177" a="1"/>
  <c r="G294" i="177" s="1"/>
  <c r="H203" i="176" s="1"/>
  <c r="I294" i="177" a="1"/>
  <c r="I294" i="177" s="1"/>
  <c r="I203" i="176" s="1"/>
  <c r="E294" i="177" a="1"/>
  <c r="E294" i="177" s="1"/>
  <c r="F294" i="177" a="1"/>
  <c r="F294" i="177" s="1"/>
  <c r="G176" i="177" a="1"/>
  <c r="G176" i="177" s="1"/>
  <c r="H85" i="176" s="1"/>
  <c r="E176" i="177" a="1"/>
  <c r="E176" i="177" s="1"/>
  <c r="G85" i="176"/>
  <c r="I176" i="177" a="1"/>
  <c r="I176" i="177" s="1"/>
  <c r="I85" i="176" s="1"/>
  <c r="H176" i="177" a="1"/>
  <c r="H176" i="177" s="1"/>
  <c r="F176" i="177" a="1"/>
  <c r="F176" i="177" s="1"/>
  <c r="G77" i="176"/>
  <c r="H168" i="177" a="1"/>
  <c r="H168" i="177" s="1"/>
  <c r="E168" i="177" a="1"/>
  <c r="E168" i="177" s="1"/>
  <c r="F168" i="177" a="1"/>
  <c r="F168" i="177" s="1"/>
  <c r="I168" i="177" a="1"/>
  <c r="I168" i="177" s="1"/>
  <c r="I77" i="176" s="1"/>
  <c r="G168" i="177" a="1"/>
  <c r="G168" i="177" s="1"/>
  <c r="H77" i="176" s="1"/>
  <c r="I130" i="177" a="1"/>
  <c r="I130" i="177" s="1"/>
  <c r="I39" i="176" s="1"/>
  <c r="G39" i="176"/>
  <c r="G130" i="177" a="1"/>
  <c r="G130" i="177" s="1"/>
  <c r="H39" i="176" s="1"/>
  <c r="E130" i="177" a="1"/>
  <c r="E130" i="177" s="1"/>
  <c r="H130" i="177" a="1"/>
  <c r="H130" i="177" s="1"/>
  <c r="F130" i="177" a="1"/>
  <c r="F130" i="177" s="1"/>
  <c r="G166" i="177" a="1"/>
  <c r="G166" i="177" s="1"/>
  <c r="H75" i="176" s="1"/>
  <c r="G75" i="176"/>
  <c r="F166" i="177" a="1"/>
  <c r="F166" i="177" s="1"/>
  <c r="H166" i="177" a="1"/>
  <c r="H166" i="177" s="1"/>
  <c r="E166" i="177" a="1"/>
  <c r="E166" i="177" s="1"/>
  <c r="I166" i="177" a="1"/>
  <c r="I166" i="177" s="1"/>
  <c r="I75" i="176" s="1"/>
  <c r="G90" i="176"/>
  <c r="E181" i="177" a="1"/>
  <c r="E181" i="177" s="1"/>
  <c r="I181" i="177" a="1"/>
  <c r="I181" i="177" s="1"/>
  <c r="I90" i="176" s="1"/>
  <c r="H181" i="177" a="1"/>
  <c r="H181" i="177" s="1"/>
  <c r="G181" i="177" a="1"/>
  <c r="G181" i="177" s="1"/>
  <c r="H90" i="176" s="1"/>
  <c r="F181" i="177" a="1"/>
  <c r="F181" i="177" s="1"/>
  <c r="G363" i="176"/>
  <c r="H454" i="177" a="1"/>
  <c r="H454" i="177" s="1"/>
  <c r="E454" i="177" a="1"/>
  <c r="E454" i="177" s="1"/>
  <c r="F454" i="177" a="1"/>
  <c r="F454" i="177" s="1"/>
  <c r="I454" i="177" a="1"/>
  <c r="I454" i="177" s="1"/>
  <c r="I363" i="176" s="1"/>
  <c r="G454" i="177" a="1"/>
  <c r="G454" i="177" s="1"/>
  <c r="H363" i="176" s="1"/>
  <c r="G279" i="176"/>
  <c r="F370" i="177" a="1"/>
  <c r="F370" i="177" s="1"/>
  <c r="H370" i="177" a="1"/>
  <c r="H370" i="177" s="1"/>
  <c r="G370" i="177" a="1"/>
  <c r="G370" i="177" s="1"/>
  <c r="H279" i="176" s="1"/>
  <c r="E370" i="177" a="1"/>
  <c r="E370" i="177" s="1"/>
  <c r="I370" i="177" a="1"/>
  <c r="I370" i="177" s="1"/>
  <c r="I279" i="176" s="1"/>
  <c r="G339" i="176"/>
  <c r="I430" i="177" a="1"/>
  <c r="I430" i="177" s="1"/>
  <c r="I339" i="176" s="1"/>
  <c r="F430" i="177" a="1"/>
  <c r="F430" i="177" s="1"/>
  <c r="H430" i="177" a="1"/>
  <c r="H430" i="177" s="1"/>
  <c r="E430" i="177" a="1"/>
  <c r="E430" i="177" s="1"/>
  <c r="G430" i="177" a="1"/>
  <c r="G430" i="177" s="1"/>
  <c r="H339" i="176" s="1"/>
  <c r="G258" i="176"/>
  <c r="I349" i="177" a="1"/>
  <c r="I349" i="177" s="1"/>
  <c r="I258" i="176" s="1"/>
  <c r="H349" i="177" a="1"/>
  <c r="H349" i="177" s="1"/>
  <c r="G349" i="177" a="1"/>
  <c r="G349" i="177" s="1"/>
  <c r="H258" i="176" s="1"/>
  <c r="F349" i="177" a="1"/>
  <c r="F349" i="177" s="1"/>
  <c r="E349" i="177" a="1"/>
  <c r="E349" i="177" s="1"/>
  <c r="G196" i="176"/>
  <c r="H287" i="177" a="1"/>
  <c r="H287" i="177" s="1"/>
  <c r="E287" i="177" a="1"/>
  <c r="E287" i="177" s="1"/>
  <c r="I287" i="177" a="1"/>
  <c r="I287" i="177" s="1"/>
  <c r="I196" i="176" s="1"/>
  <c r="G287" i="177" a="1"/>
  <c r="G287" i="177" s="1"/>
  <c r="H196" i="176" s="1"/>
  <c r="F287" i="177" a="1"/>
  <c r="F287" i="177" s="1"/>
  <c r="G156" i="176"/>
  <c r="I247" i="177" a="1"/>
  <c r="I247" i="177" s="1"/>
  <c r="I156" i="176" s="1"/>
  <c r="H247" i="177" a="1"/>
  <c r="H247" i="177" s="1"/>
  <c r="G247" i="177" a="1"/>
  <c r="G247" i="177" s="1"/>
  <c r="H156" i="176" s="1"/>
  <c r="E247" i="177" a="1"/>
  <c r="E247" i="177" s="1"/>
  <c r="F247" i="177" a="1"/>
  <c r="F247" i="177" s="1"/>
  <c r="G184" i="176"/>
  <c r="E275" i="177" a="1"/>
  <c r="E275" i="177" s="1"/>
  <c r="I275" i="177" a="1"/>
  <c r="I275" i="177" s="1"/>
  <c r="I184" i="176" s="1"/>
  <c r="H275" i="177" a="1"/>
  <c r="H275" i="177" s="1"/>
  <c r="G275" i="177" a="1"/>
  <c r="G275" i="177" s="1"/>
  <c r="H184" i="176" s="1"/>
  <c r="F275" i="177" a="1"/>
  <c r="F275" i="177" s="1"/>
  <c r="G253" i="176"/>
  <c r="H344" i="177" a="1"/>
  <c r="H344" i="177" s="1"/>
  <c r="G344" i="177" a="1"/>
  <c r="G344" i="177" s="1"/>
  <c r="H253" i="176" s="1"/>
  <c r="E344" i="177" a="1"/>
  <c r="E344" i="177" s="1"/>
  <c r="I344" i="177" a="1"/>
  <c r="I344" i="177" s="1"/>
  <c r="I253" i="176" s="1"/>
  <c r="F344" i="177" a="1"/>
  <c r="F344" i="177" s="1"/>
  <c r="G506" i="176"/>
  <c r="F597" i="177" a="1"/>
  <c r="F597" i="177" s="1"/>
  <c r="E597" i="177" a="1"/>
  <c r="E597" i="177" s="1"/>
  <c r="G597" i="177" a="1"/>
  <c r="G597" i="177" s="1"/>
  <c r="H506" i="176" s="1"/>
  <c r="I597" i="177" a="1"/>
  <c r="I597" i="177" s="1"/>
  <c r="I506" i="176" s="1"/>
  <c r="H597" i="177" a="1"/>
  <c r="H597" i="177" s="1"/>
  <c r="G261" i="176"/>
  <c r="H352" i="177" a="1"/>
  <c r="H352" i="177" s="1"/>
  <c r="G352" i="177" a="1"/>
  <c r="G352" i="177" s="1"/>
  <c r="H261" i="176" s="1"/>
  <c r="E352" i="177" a="1"/>
  <c r="E352" i="177" s="1"/>
  <c r="I352" i="177" a="1"/>
  <c r="I352" i="177" s="1"/>
  <c r="I261" i="176" s="1"/>
  <c r="F352" i="177" a="1"/>
  <c r="F352" i="177" s="1"/>
  <c r="G312" i="176"/>
  <c r="G403" i="177" a="1"/>
  <c r="G403" i="177" s="1"/>
  <c r="H312" i="176" s="1"/>
  <c r="H403" i="177" a="1"/>
  <c r="H403" i="177" s="1"/>
  <c r="I403" i="177" a="1"/>
  <c r="I403" i="177" s="1"/>
  <c r="I312" i="176" s="1"/>
  <c r="E403" i="177" a="1"/>
  <c r="E403" i="177" s="1"/>
  <c r="F403" i="177" a="1"/>
  <c r="F403" i="177" s="1"/>
  <c r="G448" i="176"/>
  <c r="I539" i="177" a="1"/>
  <c r="I539" i="177" s="1"/>
  <c r="I448" i="176" s="1"/>
  <c r="F539" i="177" a="1"/>
  <c r="F539" i="177" s="1"/>
  <c r="G539" i="177" a="1"/>
  <c r="G539" i="177" s="1"/>
  <c r="H448" i="176" s="1"/>
  <c r="H539" i="177" a="1"/>
  <c r="H539" i="177" s="1"/>
  <c r="E539" i="177" a="1"/>
  <c r="E539" i="177" s="1"/>
  <c r="G411" i="176"/>
  <c r="E502" i="177" a="1"/>
  <c r="E502" i="177" s="1"/>
  <c r="H502" i="177" a="1"/>
  <c r="H502" i="177" s="1"/>
  <c r="I502" i="177" a="1"/>
  <c r="I502" i="177" s="1"/>
  <c r="I411" i="176" s="1"/>
  <c r="G502" i="177" a="1"/>
  <c r="G502" i="177" s="1"/>
  <c r="H411" i="176" s="1"/>
  <c r="F502" i="177" a="1"/>
  <c r="F502" i="177" s="1"/>
  <c r="G124" i="176"/>
  <c r="H215" i="177" a="1"/>
  <c r="H215" i="177" s="1"/>
  <c r="G215" i="177" a="1"/>
  <c r="G215" i="177" s="1"/>
  <c r="H124" i="176" s="1"/>
  <c r="F215" i="177" a="1"/>
  <c r="F215" i="177" s="1"/>
  <c r="I215" i="177" a="1"/>
  <c r="I215" i="177" s="1"/>
  <c r="I124" i="176" s="1"/>
  <c r="E215" i="177" a="1"/>
  <c r="E215" i="177" s="1"/>
  <c r="G383" i="176"/>
  <c r="G474" i="177" a="1"/>
  <c r="G474" i="177" s="1"/>
  <c r="H383" i="176" s="1"/>
  <c r="E474" i="177" a="1"/>
  <c r="E474" i="177" s="1"/>
  <c r="F474" i="177" a="1"/>
  <c r="F474" i="177" s="1"/>
  <c r="I474" i="177" a="1"/>
  <c r="I474" i="177" s="1"/>
  <c r="I383" i="176" s="1"/>
  <c r="H474" i="177" a="1"/>
  <c r="H474" i="177" s="1"/>
  <c r="G409" i="176"/>
  <c r="G500" i="177" a="1"/>
  <c r="G500" i="177" s="1"/>
  <c r="H409" i="176" s="1"/>
  <c r="H500" i="177" a="1"/>
  <c r="H500" i="177" s="1"/>
  <c r="E500" i="177" a="1"/>
  <c r="E500" i="177" s="1"/>
  <c r="I500" i="177" a="1"/>
  <c r="I500" i="177" s="1"/>
  <c r="I409" i="176" s="1"/>
  <c r="F500" i="177" a="1"/>
  <c r="F500" i="177" s="1"/>
  <c r="G243" i="176"/>
  <c r="G334" i="177" a="1"/>
  <c r="G334" i="177" s="1"/>
  <c r="H243" i="176" s="1"/>
  <c r="E334" i="177" a="1"/>
  <c r="E334" i="177" s="1"/>
  <c r="I334" i="177" a="1"/>
  <c r="I334" i="177" s="1"/>
  <c r="I243" i="176" s="1"/>
  <c r="H334" i="177" a="1"/>
  <c r="H334" i="177" s="1"/>
  <c r="F334" i="177" a="1"/>
  <c r="F334" i="177" s="1"/>
  <c r="G422" i="176"/>
  <c r="G513" i="177" a="1"/>
  <c r="G513" i="177" s="1"/>
  <c r="H422" i="176" s="1"/>
  <c r="E513" i="177" a="1"/>
  <c r="E513" i="177" s="1"/>
  <c r="I513" i="177" a="1"/>
  <c r="I513" i="177" s="1"/>
  <c r="I422" i="176" s="1"/>
  <c r="H513" i="177" a="1"/>
  <c r="H513" i="177" s="1"/>
  <c r="F513" i="177" a="1"/>
  <c r="F513" i="177" s="1"/>
  <c r="E226" i="177" a="1"/>
  <c r="E226" i="177" s="1"/>
  <c r="G226" i="177" a="1"/>
  <c r="G226" i="177" s="1"/>
  <c r="H135" i="176" s="1"/>
  <c r="F226" i="177" a="1"/>
  <c r="F226" i="177" s="1"/>
  <c r="G135" i="176"/>
  <c r="H226" i="177" a="1"/>
  <c r="H226" i="177" s="1"/>
  <c r="I226" i="177" a="1"/>
  <c r="I226" i="177" s="1"/>
  <c r="I135" i="176" s="1"/>
  <c r="G288" i="176"/>
  <c r="E379" i="177" a="1"/>
  <c r="E379" i="177" s="1"/>
  <c r="G379" i="177" a="1"/>
  <c r="G379" i="177" s="1"/>
  <c r="H288" i="176" s="1"/>
  <c r="H379" i="177" a="1"/>
  <c r="H379" i="177" s="1"/>
  <c r="I379" i="177" a="1"/>
  <c r="I379" i="177" s="1"/>
  <c r="I288" i="176" s="1"/>
  <c r="F379" i="177" a="1"/>
  <c r="F379" i="177" s="1"/>
  <c r="G496" i="176"/>
  <c r="I587" i="177" a="1"/>
  <c r="I587" i="177" s="1"/>
  <c r="I496" i="176" s="1"/>
  <c r="G587" i="177" a="1"/>
  <c r="G587" i="177" s="1"/>
  <c r="H496" i="176" s="1"/>
  <c r="H587" i="177" a="1"/>
  <c r="H587" i="177" s="1"/>
  <c r="F587" i="177" a="1"/>
  <c r="F587" i="177" s="1"/>
  <c r="E587" i="177" a="1"/>
  <c r="E587" i="177" s="1"/>
  <c r="G319" i="176"/>
  <c r="I410" i="177" a="1"/>
  <c r="I410" i="177" s="1"/>
  <c r="I319" i="176" s="1"/>
  <c r="H410" i="177" a="1"/>
  <c r="H410" i="177" s="1"/>
  <c r="G410" i="177" a="1"/>
  <c r="G410" i="177" s="1"/>
  <c r="H319" i="176" s="1"/>
  <c r="E410" i="177" a="1"/>
  <c r="E410" i="177" s="1"/>
  <c r="F410" i="177" a="1"/>
  <c r="F410" i="177" s="1"/>
  <c r="G343" i="176"/>
  <c r="G434" i="177" a="1"/>
  <c r="G434" i="177" s="1"/>
  <c r="H343" i="176" s="1"/>
  <c r="E434" i="177" a="1"/>
  <c r="E434" i="177" s="1"/>
  <c r="F434" i="177" a="1"/>
  <c r="F434" i="177" s="1"/>
  <c r="H434" i="177" a="1"/>
  <c r="H434" i="177" s="1"/>
  <c r="I434" i="177" a="1"/>
  <c r="I434" i="177" s="1"/>
  <c r="I343" i="176" s="1"/>
  <c r="G169" i="176"/>
  <c r="F260" i="177" a="1"/>
  <c r="F260" i="177" s="1"/>
  <c r="G260" i="177" a="1"/>
  <c r="G260" i="177" s="1"/>
  <c r="H169" i="176" s="1"/>
  <c r="E260" i="177" a="1"/>
  <c r="E260" i="177" s="1"/>
  <c r="I260" i="177" a="1"/>
  <c r="I260" i="177" s="1"/>
  <c r="I169" i="176" s="1"/>
  <c r="H260" i="177" a="1"/>
  <c r="H260" i="177" s="1"/>
  <c r="G134" i="176"/>
  <c r="F225" i="177" a="1"/>
  <c r="F225" i="177" s="1"/>
  <c r="H225" i="177" a="1"/>
  <c r="H225" i="177" s="1"/>
  <c r="I225" i="177" a="1"/>
  <c r="I225" i="177" s="1"/>
  <c r="I134" i="176" s="1"/>
  <c r="E225" i="177" a="1"/>
  <c r="E225" i="177" s="1"/>
  <c r="G225" i="177" a="1"/>
  <c r="G225" i="177" s="1"/>
  <c r="H134" i="176" s="1"/>
  <c r="G99" i="176"/>
  <c r="H190" i="177" a="1"/>
  <c r="H190" i="177" s="1"/>
  <c r="F190" i="177" a="1"/>
  <c r="F190" i="177" s="1"/>
  <c r="E190" i="177" a="1"/>
  <c r="E190" i="177" s="1"/>
  <c r="G190" i="177" a="1"/>
  <c r="G190" i="177" s="1"/>
  <c r="H99" i="176" s="1"/>
  <c r="I190" i="177" a="1"/>
  <c r="I190" i="177" s="1"/>
  <c r="I99" i="176" s="1"/>
  <c r="G186" i="176"/>
  <c r="I277" i="177" a="1"/>
  <c r="I277" i="177" s="1"/>
  <c r="I186" i="176" s="1"/>
  <c r="E277" i="177" a="1"/>
  <c r="E277" i="177" s="1"/>
  <c r="F277" i="177" a="1"/>
  <c r="F277" i="177" s="1"/>
  <c r="H277" i="177" a="1"/>
  <c r="H277" i="177" s="1"/>
  <c r="G277" i="177" a="1"/>
  <c r="G277" i="177" s="1"/>
  <c r="H186" i="176" s="1"/>
  <c r="G497" i="176"/>
  <c r="I588" i="177" a="1"/>
  <c r="I588" i="177" s="1"/>
  <c r="I497" i="176" s="1"/>
  <c r="F588" i="177" a="1"/>
  <c r="F588" i="177" s="1"/>
  <c r="H588" i="177" a="1"/>
  <c r="H588" i="177" s="1"/>
  <c r="E588" i="177" a="1"/>
  <c r="E588" i="177" s="1"/>
  <c r="G588" i="177" a="1"/>
  <c r="G588" i="177" s="1"/>
  <c r="H497" i="176" s="1"/>
  <c r="G140" i="176"/>
  <c r="G231" i="177" a="1"/>
  <c r="G231" i="177" s="1"/>
  <c r="H140" i="176" s="1"/>
  <c r="I231" i="177" a="1"/>
  <c r="I231" i="177" s="1"/>
  <c r="I140" i="176" s="1"/>
  <c r="F231" i="177" a="1"/>
  <c r="F231" i="177" s="1"/>
  <c r="E231" i="177" a="1"/>
  <c r="E231" i="177" s="1"/>
  <c r="H231" i="177" a="1"/>
  <c r="H231" i="177" s="1"/>
  <c r="G235" i="176"/>
  <c r="I326" i="177" a="1"/>
  <c r="I326" i="177" s="1"/>
  <c r="I235" i="176" s="1"/>
  <c r="F326" i="177" a="1"/>
  <c r="F326" i="177" s="1"/>
  <c r="E326" i="177" a="1"/>
  <c r="E326" i="177" s="1"/>
  <c r="H326" i="177" a="1"/>
  <c r="H326" i="177" s="1"/>
  <c r="G326" i="177" a="1"/>
  <c r="G326" i="177" s="1"/>
  <c r="H235" i="176" s="1"/>
  <c r="G200" i="176"/>
  <c r="I291" i="177" a="1"/>
  <c r="I291" i="177" s="1"/>
  <c r="I200" i="176" s="1"/>
  <c r="E291" i="177" a="1"/>
  <c r="E291" i="177" s="1"/>
  <c r="H291" i="177" a="1"/>
  <c r="H291" i="177" s="1"/>
  <c r="G291" i="177" a="1"/>
  <c r="G291" i="177" s="1"/>
  <c r="H200" i="176" s="1"/>
  <c r="F291" i="177" a="1"/>
  <c r="F291" i="177" s="1"/>
  <c r="G116" i="176"/>
  <c r="I207" i="177" a="1"/>
  <c r="I207" i="177" s="1"/>
  <c r="I116" i="176" s="1"/>
  <c r="F207" i="177" a="1"/>
  <c r="F207" i="177" s="1"/>
  <c r="G207" i="177" a="1"/>
  <c r="G207" i="177" s="1"/>
  <c r="H116" i="176" s="1"/>
  <c r="H207" i="177" a="1"/>
  <c r="H207" i="177" s="1"/>
  <c r="E207" i="177" a="1"/>
  <c r="E207" i="177" s="1"/>
  <c r="G149" i="176"/>
  <c r="F240" i="177" a="1"/>
  <c r="F240" i="177" s="1"/>
  <c r="H240" i="177" a="1"/>
  <c r="H240" i="177" s="1"/>
  <c r="I240" i="177" a="1"/>
  <c r="I240" i="177" s="1"/>
  <c r="I149" i="176" s="1"/>
  <c r="E240" i="177" a="1"/>
  <c r="E240" i="177" s="1"/>
  <c r="G240" i="177" a="1"/>
  <c r="G240" i="177" s="1"/>
  <c r="H149" i="176" s="1"/>
  <c r="G221" i="176"/>
  <c r="E312" i="177" a="1"/>
  <c r="E312" i="177" s="1"/>
  <c r="H312" i="177" a="1"/>
  <c r="H312" i="177" s="1"/>
  <c r="G312" i="177" a="1"/>
  <c r="G312" i="177" s="1"/>
  <c r="H221" i="176" s="1"/>
  <c r="I312" i="177" a="1"/>
  <c r="I312" i="177" s="1"/>
  <c r="I221" i="176" s="1"/>
  <c r="F312" i="177" a="1"/>
  <c r="F312" i="177" s="1"/>
  <c r="G384" i="177" a="1"/>
  <c r="G384" i="177" s="1"/>
  <c r="H293" i="176" s="1"/>
  <c r="G293" i="176"/>
  <c r="H384" i="177" a="1"/>
  <c r="H384" i="177" s="1"/>
  <c r="F384" i="177" a="1"/>
  <c r="F384" i="177" s="1"/>
  <c r="I384" i="177" a="1"/>
  <c r="I384" i="177" s="1"/>
  <c r="I293" i="176" s="1"/>
  <c r="E384" i="177" a="1"/>
  <c r="E384" i="177" s="1"/>
  <c r="E186" i="177" a="1"/>
  <c r="E186" i="177" s="1"/>
  <c r="G95" i="176"/>
  <c r="F186" i="177" a="1"/>
  <c r="F186" i="177" s="1"/>
  <c r="G186" i="177" a="1"/>
  <c r="G186" i="177" s="1"/>
  <c r="H95" i="176" s="1"/>
  <c r="I186" i="177" a="1"/>
  <c r="I186" i="177" s="1"/>
  <c r="I95" i="176" s="1"/>
  <c r="H186" i="177" a="1"/>
  <c r="H186" i="177" s="1"/>
  <c r="F127" i="177" a="1"/>
  <c r="F127" i="177" s="1"/>
  <c r="G36" i="176"/>
  <c r="I127" i="177" a="1"/>
  <c r="I127" i="177" s="1"/>
  <c r="I36" i="176" s="1"/>
  <c r="E127" i="177" a="1"/>
  <c r="E127" i="177" s="1"/>
  <c r="H127" i="177" a="1"/>
  <c r="H127" i="177" s="1"/>
  <c r="G127" i="177" a="1"/>
  <c r="G127" i="177" s="1"/>
  <c r="H36" i="176" s="1"/>
  <c r="G308" i="176"/>
  <c r="I399" i="177" a="1"/>
  <c r="I399" i="177" s="1"/>
  <c r="I308" i="176" s="1"/>
  <c r="F399" i="177" a="1"/>
  <c r="F399" i="177" s="1"/>
  <c r="H399" i="177" a="1"/>
  <c r="H399" i="177" s="1"/>
  <c r="G399" i="177" a="1"/>
  <c r="G399" i="177" s="1"/>
  <c r="H308" i="176" s="1"/>
  <c r="E399" i="177" a="1"/>
  <c r="E399" i="177" s="1"/>
  <c r="G449" i="176"/>
  <c r="I540" i="177" a="1"/>
  <c r="I540" i="177" s="1"/>
  <c r="I449" i="176" s="1"/>
  <c r="F540" i="177" a="1"/>
  <c r="F540" i="177" s="1"/>
  <c r="H540" i="177" a="1"/>
  <c r="H540" i="177" s="1"/>
  <c r="G540" i="177" a="1"/>
  <c r="G540" i="177" s="1"/>
  <c r="H449" i="176" s="1"/>
  <c r="E540" i="177" a="1"/>
  <c r="E540" i="177" s="1"/>
  <c r="G310" i="176"/>
  <c r="E401" i="177" a="1"/>
  <c r="E401" i="177" s="1"/>
  <c r="I401" i="177" a="1"/>
  <c r="I401" i="177" s="1"/>
  <c r="I310" i="176" s="1"/>
  <c r="F401" i="177" a="1"/>
  <c r="F401" i="177" s="1"/>
  <c r="G401" i="177" a="1"/>
  <c r="G401" i="177" s="1"/>
  <c r="H310" i="176" s="1"/>
  <c r="H401" i="177" a="1"/>
  <c r="H401" i="177" s="1"/>
  <c r="G275" i="176"/>
  <c r="G366" i="177" a="1"/>
  <c r="G366" i="177" s="1"/>
  <c r="H275" i="176" s="1"/>
  <c r="I366" i="177" a="1"/>
  <c r="I366" i="177" s="1"/>
  <c r="I275" i="176" s="1"/>
  <c r="H366" i="177" a="1"/>
  <c r="H366" i="177" s="1"/>
  <c r="E366" i="177" a="1"/>
  <c r="E366" i="177" s="1"/>
  <c r="F366" i="177" a="1"/>
  <c r="F366" i="177" s="1"/>
  <c r="F102" i="177" a="1"/>
  <c r="F102" i="177" s="1"/>
  <c r="H102" i="177" a="1"/>
  <c r="H102" i="177" s="1"/>
  <c r="G102" i="177" a="1"/>
  <c r="G102" i="177" s="1"/>
  <c r="H11" i="176" s="1"/>
  <c r="G11" i="176"/>
  <c r="E102" i="177" a="1"/>
  <c r="E102" i="177" s="1"/>
  <c r="I102" i="177" a="1"/>
  <c r="I102" i="177" s="1"/>
  <c r="I11" i="176" s="1"/>
  <c r="G126" i="177" a="1"/>
  <c r="G126" i="177" s="1"/>
  <c r="H35" i="176" s="1"/>
  <c r="G35" i="176"/>
  <c r="F126" i="177" a="1"/>
  <c r="F126" i="177" s="1"/>
  <c r="E126" i="177" a="1"/>
  <c r="E126" i="177" s="1"/>
  <c r="I126" i="177" a="1"/>
  <c r="I126" i="177" s="1"/>
  <c r="I35" i="176" s="1"/>
  <c r="H126" i="177" a="1"/>
  <c r="H126" i="177" s="1"/>
  <c r="I122" i="177" a="1"/>
  <c r="I122" i="177" s="1"/>
  <c r="I31" i="176" s="1"/>
  <c r="G31" i="176"/>
  <c r="G122" i="177" a="1"/>
  <c r="G122" i="177" s="1"/>
  <c r="H31" i="176" s="1"/>
  <c r="F122" i="177" a="1"/>
  <c r="F122" i="177" s="1"/>
  <c r="E122" i="177" a="1"/>
  <c r="E122" i="177" s="1"/>
  <c r="H122" i="177" a="1"/>
  <c r="H122" i="177" s="1"/>
  <c r="I108" i="177" a="1"/>
  <c r="I108" i="177" s="1"/>
  <c r="I17" i="176" s="1"/>
  <c r="G17" i="176"/>
  <c r="F108" i="177" a="1"/>
  <c r="F108" i="177" s="1"/>
  <c r="H108" i="177" a="1"/>
  <c r="H108" i="177" s="1"/>
  <c r="E108" i="177" a="1"/>
  <c r="E108" i="177" s="1"/>
  <c r="G108" i="177" a="1"/>
  <c r="G108" i="177" s="1"/>
  <c r="H17" i="176" s="1"/>
  <c r="G60" i="176"/>
  <c r="I151" i="177" a="1"/>
  <c r="I151" i="177" s="1"/>
  <c r="I60" i="176" s="1"/>
  <c r="F151" i="177" a="1"/>
  <c r="F151" i="177" s="1"/>
  <c r="H151" i="177" a="1"/>
  <c r="H151" i="177" s="1"/>
  <c r="G151" i="177" a="1"/>
  <c r="G151" i="177" s="1"/>
  <c r="H60" i="176" s="1"/>
  <c r="E151" i="177" a="1"/>
  <c r="E151" i="177" s="1"/>
  <c r="G44" i="176"/>
  <c r="E135" i="177" a="1"/>
  <c r="E135" i="177" s="1"/>
  <c r="H135" i="177" a="1"/>
  <c r="H135" i="177" s="1"/>
  <c r="F135" i="177" a="1"/>
  <c r="F135" i="177" s="1"/>
  <c r="I135" i="177" a="1"/>
  <c r="I135" i="177" s="1"/>
  <c r="I44" i="176" s="1"/>
  <c r="G135" i="177" a="1"/>
  <c r="G135" i="177" s="1"/>
  <c r="H44" i="176" s="1"/>
  <c r="G294" i="176"/>
  <c r="I385" i="177" a="1"/>
  <c r="I385" i="177" s="1"/>
  <c r="I294" i="176" s="1"/>
  <c r="E385" i="177" a="1"/>
  <c r="E385" i="177" s="1"/>
  <c r="H385" i="177" a="1"/>
  <c r="H385" i="177" s="1"/>
  <c r="G385" i="177" a="1"/>
  <c r="G385" i="177" s="1"/>
  <c r="H294" i="176" s="1"/>
  <c r="F385" i="177" a="1"/>
  <c r="F385" i="177" s="1"/>
  <c r="G277" i="176"/>
  <c r="H368" i="177" a="1"/>
  <c r="H368" i="177" s="1"/>
  <c r="I368" i="177" a="1"/>
  <c r="I368" i="177" s="1"/>
  <c r="I277" i="176" s="1"/>
  <c r="G368" i="177" a="1"/>
  <c r="G368" i="177" s="1"/>
  <c r="H277" i="176" s="1"/>
  <c r="E368" i="177" a="1"/>
  <c r="E368" i="177" s="1"/>
  <c r="F368" i="177" a="1"/>
  <c r="F368" i="177" s="1"/>
  <c r="G316" i="176"/>
  <c r="E407" i="177" a="1"/>
  <c r="E407" i="177" s="1"/>
  <c r="G407" i="177" a="1"/>
  <c r="G407" i="177" s="1"/>
  <c r="H316" i="176" s="1"/>
  <c r="H407" i="177" a="1"/>
  <c r="H407" i="177" s="1"/>
  <c r="F407" i="177" a="1"/>
  <c r="F407" i="177" s="1"/>
  <c r="I407" i="177" a="1"/>
  <c r="I407" i="177" s="1"/>
  <c r="I316" i="176" s="1"/>
  <c r="G162" i="176"/>
  <c r="E253" i="177" a="1"/>
  <c r="E253" i="177" s="1"/>
  <c r="H253" i="177" a="1"/>
  <c r="H253" i="177" s="1"/>
  <c r="I253" i="177" a="1"/>
  <c r="I253" i="177" s="1"/>
  <c r="I162" i="176" s="1"/>
  <c r="G253" i="177" a="1"/>
  <c r="G253" i="177" s="1"/>
  <c r="H162" i="176" s="1"/>
  <c r="F253" i="177" a="1"/>
  <c r="F253" i="177" s="1"/>
  <c r="G485" i="176"/>
  <c r="G576" i="177" a="1"/>
  <c r="G576" i="177" s="1"/>
  <c r="H485" i="176" s="1"/>
  <c r="I576" i="177" a="1"/>
  <c r="I576" i="177" s="1"/>
  <c r="I485" i="176" s="1"/>
  <c r="H576" i="177" a="1"/>
  <c r="H576" i="177" s="1"/>
  <c r="F576" i="177" a="1"/>
  <c r="F576" i="177" s="1"/>
  <c r="E576" i="177" a="1"/>
  <c r="E576" i="177" s="1"/>
  <c r="G370" i="176"/>
  <c r="F461" i="177" a="1"/>
  <c r="F461" i="177" s="1"/>
  <c r="G461" i="177" a="1"/>
  <c r="G461" i="177" s="1"/>
  <c r="H370" i="176" s="1"/>
  <c r="I461" i="177" a="1"/>
  <c r="I461" i="177" s="1"/>
  <c r="I370" i="176" s="1"/>
  <c r="E461" i="177" a="1"/>
  <c r="E461" i="177" s="1"/>
  <c r="H461" i="177" a="1"/>
  <c r="H461" i="177" s="1"/>
  <c r="E208" i="177" a="1"/>
  <c r="E208" i="177" s="1"/>
  <c r="H208" i="177" a="1"/>
  <c r="H208" i="177" s="1"/>
  <c r="G117" i="176"/>
  <c r="I208" i="177" a="1"/>
  <c r="I208" i="177" s="1"/>
  <c r="I117" i="176" s="1"/>
  <c r="F208" i="177" a="1"/>
  <c r="F208" i="177" s="1"/>
  <c r="G208" i="177" a="1"/>
  <c r="G208" i="177" s="1"/>
  <c r="H117" i="176" s="1"/>
  <c r="G109" i="176"/>
  <c r="I200" i="177" a="1"/>
  <c r="I200" i="177" s="1"/>
  <c r="I109" i="176" s="1"/>
  <c r="H200" i="177" a="1"/>
  <c r="H200" i="177" s="1"/>
  <c r="F200" i="177" a="1"/>
  <c r="F200" i="177" s="1"/>
  <c r="G200" i="177" a="1"/>
  <c r="G200" i="177" s="1"/>
  <c r="H109" i="176" s="1"/>
  <c r="E200" i="177" a="1"/>
  <c r="E200" i="177" s="1"/>
  <c r="G474" i="176"/>
  <c r="I565" i="177" a="1"/>
  <c r="I565" i="177" s="1"/>
  <c r="I474" i="176" s="1"/>
  <c r="F565" i="177" a="1"/>
  <c r="F565" i="177" s="1"/>
  <c r="E565" i="177" a="1"/>
  <c r="E565" i="177" s="1"/>
  <c r="H565" i="177" a="1"/>
  <c r="H565" i="177" s="1"/>
  <c r="G565" i="177" a="1"/>
  <c r="G565" i="177" s="1"/>
  <c r="H474" i="176" s="1"/>
  <c r="E274" i="177" a="1"/>
  <c r="E274" i="177" s="1"/>
  <c r="I274" i="177" a="1"/>
  <c r="I274" i="177" s="1"/>
  <c r="I183" i="176" s="1"/>
  <c r="G183" i="176"/>
  <c r="F274" i="177" a="1"/>
  <c r="F274" i="177" s="1"/>
  <c r="G274" i="177" a="1"/>
  <c r="G274" i="177" s="1"/>
  <c r="H183" i="176" s="1"/>
  <c r="H274" i="177" a="1"/>
  <c r="H274" i="177" s="1"/>
  <c r="G240" i="176"/>
  <c r="F331" i="177" a="1"/>
  <c r="F331" i="177" s="1"/>
  <c r="E331" i="177" a="1"/>
  <c r="E331" i="177" s="1"/>
  <c r="I331" i="177" a="1"/>
  <c r="I331" i="177" s="1"/>
  <c r="I240" i="176" s="1"/>
  <c r="H331" i="177" a="1"/>
  <c r="H331" i="177" s="1"/>
  <c r="G331" i="177" a="1"/>
  <c r="G331" i="177" s="1"/>
  <c r="H240" i="176" s="1"/>
  <c r="G376" i="176"/>
  <c r="H467" i="177" a="1"/>
  <c r="H467" i="177" s="1"/>
  <c r="G467" i="177" a="1"/>
  <c r="G467" i="177" s="1"/>
  <c r="H376" i="176" s="1"/>
  <c r="F467" i="177" a="1"/>
  <c r="F467" i="177" s="1"/>
  <c r="I467" i="177" a="1"/>
  <c r="I467" i="177" s="1"/>
  <c r="I376" i="176" s="1"/>
  <c r="E467" i="177" a="1"/>
  <c r="E467" i="177" s="1"/>
  <c r="G479" i="176"/>
  <c r="F570" i="177" a="1"/>
  <c r="F570" i="177" s="1"/>
  <c r="H570" i="177" a="1"/>
  <c r="H570" i="177" s="1"/>
  <c r="I570" i="177" a="1"/>
  <c r="I570" i="177" s="1"/>
  <c r="I479" i="176" s="1"/>
  <c r="G570" i="177" a="1"/>
  <c r="G570" i="177" s="1"/>
  <c r="H479" i="176" s="1"/>
  <c r="E570" i="177" a="1"/>
  <c r="E570" i="177" s="1"/>
  <c r="G401" i="176"/>
  <c r="F492" i="177" a="1"/>
  <c r="F492" i="177" s="1"/>
  <c r="I492" i="177" a="1"/>
  <c r="I492" i="177" s="1"/>
  <c r="I401" i="176" s="1"/>
  <c r="E492" i="177" a="1"/>
  <c r="E492" i="177" s="1"/>
  <c r="H492" i="177" a="1"/>
  <c r="H492" i="177" s="1"/>
  <c r="G492" i="177" a="1"/>
  <c r="G492" i="177" s="1"/>
  <c r="H401" i="176" s="1"/>
  <c r="G217" i="176"/>
  <c r="E308" i="177" a="1"/>
  <c r="E308" i="177" s="1"/>
  <c r="I308" i="177" a="1"/>
  <c r="I308" i="177" s="1"/>
  <c r="I217" i="176" s="1"/>
  <c r="H308" i="177" a="1"/>
  <c r="H308" i="177" s="1"/>
  <c r="G308" i="177" a="1"/>
  <c r="G308" i="177" s="1"/>
  <c r="H217" i="176" s="1"/>
  <c r="F308" i="177" a="1"/>
  <c r="F308" i="177" s="1"/>
  <c r="G392" i="176"/>
  <c r="I483" i="177" a="1"/>
  <c r="I483" i="177" s="1"/>
  <c r="I392" i="176" s="1"/>
  <c r="G483" i="177" a="1"/>
  <c r="G483" i="177" s="1"/>
  <c r="H392" i="176" s="1"/>
  <c r="E483" i="177" a="1"/>
  <c r="E483" i="177" s="1"/>
  <c r="H483" i="177" a="1"/>
  <c r="H483" i="177" s="1"/>
  <c r="F483" i="177" a="1"/>
  <c r="F483" i="177" s="1"/>
  <c r="G147" i="176"/>
  <c r="E238" i="177" a="1"/>
  <c r="E238" i="177" s="1"/>
  <c r="I238" i="177" a="1"/>
  <c r="I238" i="177" s="1"/>
  <c r="I147" i="176" s="1"/>
  <c r="H238" i="177" a="1"/>
  <c r="H238" i="177" s="1"/>
  <c r="F238" i="177" a="1"/>
  <c r="F238" i="177" s="1"/>
  <c r="G238" i="177" a="1"/>
  <c r="G238" i="177" s="1"/>
  <c r="H147" i="176" s="1"/>
  <c r="G402" i="176"/>
  <c r="F493" i="177" a="1"/>
  <c r="F493" i="177" s="1"/>
  <c r="G493" i="177" a="1"/>
  <c r="G493" i="177" s="1"/>
  <c r="H402" i="176" s="1"/>
  <c r="I493" i="177" a="1"/>
  <c r="I493" i="177" s="1"/>
  <c r="I402" i="176" s="1"/>
  <c r="H493" i="177" a="1"/>
  <c r="H493" i="177" s="1"/>
  <c r="E493" i="177" a="1"/>
  <c r="E493" i="177" s="1"/>
  <c r="G459" i="176"/>
  <c r="H550" i="177" a="1"/>
  <c r="H550" i="177" s="1"/>
  <c r="G550" i="177" a="1"/>
  <c r="G550" i="177" s="1"/>
  <c r="H459" i="176" s="1"/>
  <c r="F550" i="177" a="1"/>
  <c r="F550" i="177" s="1"/>
  <c r="E550" i="177" a="1"/>
  <c r="E550" i="177" s="1"/>
  <c r="I550" i="177" a="1"/>
  <c r="I550" i="177" s="1"/>
  <c r="I459" i="176" s="1"/>
  <c r="G210" i="176"/>
  <c r="E301" i="177" a="1"/>
  <c r="E301" i="177" s="1"/>
  <c r="I301" i="177" a="1"/>
  <c r="I301" i="177" s="1"/>
  <c r="I210" i="176" s="1"/>
  <c r="H301" i="177" a="1"/>
  <c r="H301" i="177" s="1"/>
  <c r="G301" i="177" a="1"/>
  <c r="G301" i="177" s="1"/>
  <c r="H210" i="176" s="1"/>
  <c r="F301" i="177" a="1"/>
  <c r="F301" i="177" s="1"/>
  <c r="G424" i="176"/>
  <c r="G515" i="177" a="1"/>
  <c r="G515" i="177" s="1"/>
  <c r="H424" i="176" s="1"/>
  <c r="F515" i="177" a="1"/>
  <c r="F515" i="177" s="1"/>
  <c r="E515" i="177" a="1"/>
  <c r="E515" i="177" s="1"/>
  <c r="I515" i="177" a="1"/>
  <c r="I515" i="177" s="1"/>
  <c r="I424" i="176" s="1"/>
  <c r="H515" i="177" a="1"/>
  <c r="H515" i="177" s="1"/>
  <c r="G455" i="176"/>
  <c r="E546" i="177" a="1"/>
  <c r="E546" i="177" s="1"/>
  <c r="I546" i="177" a="1"/>
  <c r="I546" i="177" s="1"/>
  <c r="I455" i="176" s="1"/>
  <c r="H546" i="177" a="1"/>
  <c r="H546" i="177" s="1"/>
  <c r="G546" i="177" a="1"/>
  <c r="G546" i="177" s="1"/>
  <c r="H455" i="176" s="1"/>
  <c r="F546" i="177" a="1"/>
  <c r="F546" i="177" s="1"/>
  <c r="G244" i="176"/>
  <c r="H335" i="177" a="1"/>
  <c r="H335" i="177" s="1"/>
  <c r="G335" i="177" a="1"/>
  <c r="G335" i="177" s="1"/>
  <c r="H244" i="176" s="1"/>
  <c r="F335" i="177" a="1"/>
  <c r="F335" i="177" s="1"/>
  <c r="E335" i="177" a="1"/>
  <c r="E335" i="177" s="1"/>
  <c r="I335" i="177" a="1"/>
  <c r="I335" i="177" s="1"/>
  <c r="I244" i="176" s="1"/>
  <c r="G106" i="176"/>
  <c r="F197" i="177" a="1"/>
  <c r="F197" i="177" s="1"/>
  <c r="E197" i="177" a="1"/>
  <c r="E197" i="177" s="1"/>
  <c r="I197" i="177" a="1"/>
  <c r="I197" i="177" s="1"/>
  <c r="I106" i="176" s="1"/>
  <c r="H197" i="177" a="1"/>
  <c r="H197" i="177" s="1"/>
  <c r="G197" i="177" a="1"/>
  <c r="G197" i="177" s="1"/>
  <c r="H106" i="176" s="1"/>
  <c r="G317" i="176"/>
  <c r="E408" i="177" a="1"/>
  <c r="E408" i="177" s="1"/>
  <c r="H408" i="177" a="1"/>
  <c r="H408" i="177" s="1"/>
  <c r="F408" i="177" a="1"/>
  <c r="F408" i="177" s="1"/>
  <c r="I408" i="177" a="1"/>
  <c r="I408" i="177" s="1"/>
  <c r="I317" i="176" s="1"/>
  <c r="G408" i="177" a="1"/>
  <c r="G408" i="177" s="1"/>
  <c r="H317" i="176" s="1"/>
  <c r="G384" i="176"/>
  <c r="G475" i="177" a="1"/>
  <c r="G475" i="177" s="1"/>
  <c r="H384" i="176" s="1"/>
  <c r="I475" i="177" a="1"/>
  <c r="I475" i="177" s="1"/>
  <c r="I384" i="176" s="1"/>
  <c r="H475" i="177" a="1"/>
  <c r="H475" i="177" s="1"/>
  <c r="F475" i="177" a="1"/>
  <c r="F475" i="177" s="1"/>
  <c r="E475" i="177" a="1"/>
  <c r="E475" i="177" s="1"/>
  <c r="G406" i="176"/>
  <c r="I497" i="177" a="1"/>
  <c r="I497" i="177" s="1"/>
  <c r="I406" i="176" s="1"/>
  <c r="F497" i="177" a="1"/>
  <c r="F497" i="177" s="1"/>
  <c r="H497" i="177" a="1"/>
  <c r="H497" i="177" s="1"/>
  <c r="G497" i="177" a="1"/>
  <c r="G497" i="177" s="1"/>
  <c r="H406" i="176" s="1"/>
  <c r="E497" i="177" a="1"/>
  <c r="E497" i="177" s="1"/>
  <c r="G153" i="176"/>
  <c r="G244" i="177" a="1"/>
  <c r="G244" i="177" s="1"/>
  <c r="H153" i="176" s="1"/>
  <c r="E244" i="177" a="1"/>
  <c r="E244" i="177" s="1"/>
  <c r="I244" i="177" a="1"/>
  <c r="I244" i="177" s="1"/>
  <c r="I153" i="176" s="1"/>
  <c r="H244" i="177" a="1"/>
  <c r="H244" i="177" s="1"/>
  <c r="F244" i="177" a="1"/>
  <c r="F244" i="177" s="1"/>
  <c r="G103" i="176"/>
  <c r="F194" i="177" a="1"/>
  <c r="F194" i="177" s="1"/>
  <c r="G194" i="177" a="1"/>
  <c r="G194" i="177" s="1"/>
  <c r="H103" i="176" s="1"/>
  <c r="E194" i="177" a="1"/>
  <c r="E194" i="177" s="1"/>
  <c r="H194" i="177" a="1"/>
  <c r="H194" i="177" s="1"/>
  <c r="I194" i="177" a="1"/>
  <c r="I194" i="177" s="1"/>
  <c r="I103" i="176" s="1"/>
  <c r="G247" i="176"/>
  <c r="F338" i="177" a="1"/>
  <c r="F338" i="177" s="1"/>
  <c r="E338" i="177" a="1"/>
  <c r="E338" i="177" s="1"/>
  <c r="I338" i="177" a="1"/>
  <c r="I338" i="177" s="1"/>
  <c r="I247" i="176" s="1"/>
  <c r="H338" i="177" a="1"/>
  <c r="H338" i="177" s="1"/>
  <c r="G338" i="177" a="1"/>
  <c r="G338" i="177" s="1"/>
  <c r="H247" i="176" s="1"/>
  <c r="G212" i="176"/>
  <c r="F303" i="177" a="1"/>
  <c r="F303" i="177" s="1"/>
  <c r="E303" i="177" a="1"/>
  <c r="E303" i="177" s="1"/>
  <c r="H303" i="177" a="1"/>
  <c r="H303" i="177" s="1"/>
  <c r="G303" i="177" a="1"/>
  <c r="G303" i="177" s="1"/>
  <c r="H212" i="176" s="1"/>
  <c r="I303" i="177" a="1"/>
  <c r="I303" i="177" s="1"/>
  <c r="I212" i="176" s="1"/>
  <c r="G335" i="176"/>
  <c r="G426" i="177" a="1"/>
  <c r="G426" i="177" s="1"/>
  <c r="H335" i="176" s="1"/>
  <c r="I426" i="177" a="1"/>
  <c r="I426" i="177" s="1"/>
  <c r="I335" i="176" s="1"/>
  <c r="E426" i="177" a="1"/>
  <c r="E426" i="177" s="1"/>
  <c r="H426" i="177" a="1"/>
  <c r="H426" i="177" s="1"/>
  <c r="F426" i="177" a="1"/>
  <c r="F426" i="177" s="1"/>
  <c r="G155" i="176"/>
  <c r="F246" i="177" a="1"/>
  <c r="F246" i="177" s="1"/>
  <c r="H246" i="177" a="1"/>
  <c r="H246" i="177" s="1"/>
  <c r="E246" i="177" a="1"/>
  <c r="E246" i="177" s="1"/>
  <c r="I246" i="177" a="1"/>
  <c r="I246" i="177" s="1"/>
  <c r="I155" i="176" s="1"/>
  <c r="G246" i="177" a="1"/>
  <c r="G246" i="177" s="1"/>
  <c r="H155" i="176" s="1"/>
  <c r="G227" i="176"/>
  <c r="I318" i="177" a="1"/>
  <c r="I318" i="177" s="1"/>
  <c r="I227" i="176" s="1"/>
  <c r="F318" i="177" a="1"/>
  <c r="F318" i="177" s="1"/>
  <c r="H318" i="177" a="1"/>
  <c r="H318" i="177" s="1"/>
  <c r="G318" i="177" a="1"/>
  <c r="G318" i="177" s="1"/>
  <c r="H227" i="176" s="1"/>
  <c r="E318" i="177" a="1"/>
  <c r="E318" i="177" s="1"/>
  <c r="G299" i="176"/>
  <c r="E390" i="177" a="1"/>
  <c r="E390" i="177" s="1"/>
  <c r="I390" i="177" a="1"/>
  <c r="I390" i="177" s="1"/>
  <c r="I299" i="176" s="1"/>
  <c r="F390" i="177" a="1"/>
  <c r="F390" i="177" s="1"/>
  <c r="H390" i="177" a="1"/>
  <c r="H390" i="177" s="1"/>
  <c r="G390" i="177" a="1"/>
  <c r="G390" i="177" s="1"/>
  <c r="H299" i="176" s="1"/>
  <c r="G12" i="176"/>
  <c r="G103" i="177" a="1"/>
  <c r="G103" i="177" s="1"/>
  <c r="H12" i="176" s="1"/>
  <c r="I103" i="177" a="1"/>
  <c r="I103" i="177" s="1"/>
  <c r="I12" i="176" s="1"/>
  <c r="E103" i="177" a="1"/>
  <c r="E103" i="177" s="1"/>
  <c r="F103" i="177" a="1"/>
  <c r="F103" i="177" s="1"/>
  <c r="H103" i="177" a="1"/>
  <c r="H103" i="177" s="1"/>
  <c r="H167" i="177" a="1"/>
  <c r="H167" i="177" s="1"/>
  <c r="G76" i="176"/>
  <c r="I167" i="177" a="1"/>
  <c r="I167" i="177" s="1"/>
  <c r="I76" i="176" s="1"/>
  <c r="E167" i="177" a="1"/>
  <c r="E167" i="177" s="1"/>
  <c r="F167" i="177" a="1"/>
  <c r="F167" i="177" s="1"/>
  <c r="G167" i="177" a="1"/>
  <c r="G167" i="177" s="1"/>
  <c r="H76" i="176" s="1"/>
  <c r="G245" i="177" a="1"/>
  <c r="G245" i="177" s="1"/>
  <c r="H154" i="176" s="1"/>
  <c r="G154" i="176"/>
  <c r="F245" i="177" a="1"/>
  <c r="F245" i="177" s="1"/>
  <c r="H245" i="177" a="1"/>
  <c r="H245" i="177" s="1"/>
  <c r="I245" i="177" a="1"/>
  <c r="I245" i="177" s="1"/>
  <c r="I154" i="176" s="1"/>
  <c r="E245" i="177" a="1"/>
  <c r="E245" i="177" s="1"/>
  <c r="G216" i="176"/>
  <c r="I307" i="177" a="1"/>
  <c r="I307" i="177" s="1"/>
  <c r="I216" i="176" s="1"/>
  <c r="F307" i="177" a="1"/>
  <c r="F307" i="177" s="1"/>
  <c r="E307" i="177" a="1"/>
  <c r="E307" i="177" s="1"/>
  <c r="H307" i="177" a="1"/>
  <c r="H307" i="177" s="1"/>
  <c r="G307" i="177" a="1"/>
  <c r="G307" i="177" s="1"/>
  <c r="H216" i="176" s="1"/>
  <c r="G145" i="176"/>
  <c r="H236" i="177" a="1"/>
  <c r="H236" i="177" s="1"/>
  <c r="E236" i="177" a="1"/>
  <c r="E236" i="177" s="1"/>
  <c r="I236" i="177" a="1"/>
  <c r="I236" i="177" s="1"/>
  <c r="I145" i="176" s="1"/>
  <c r="G236" i="177" a="1"/>
  <c r="G236" i="177" s="1"/>
  <c r="H145" i="176" s="1"/>
  <c r="F236" i="177" a="1"/>
  <c r="F236" i="177" s="1"/>
  <c r="G405" i="176"/>
  <c r="G496" i="177" a="1"/>
  <c r="G496" i="177" s="1"/>
  <c r="H405" i="176" s="1"/>
  <c r="F496" i="177" a="1"/>
  <c r="F496" i="177" s="1"/>
  <c r="I496" i="177" a="1"/>
  <c r="I496" i="177" s="1"/>
  <c r="I405" i="176" s="1"/>
  <c r="H496" i="177" a="1"/>
  <c r="H496" i="177" s="1"/>
  <c r="E496" i="177" a="1"/>
  <c r="E496" i="177" s="1"/>
  <c r="G70" i="176"/>
  <c r="E161" i="177" a="1"/>
  <c r="E161" i="177" s="1"/>
  <c r="H161" i="177" a="1"/>
  <c r="H161" i="177" s="1"/>
  <c r="I161" i="177" a="1"/>
  <c r="I161" i="177" s="1"/>
  <c r="I70" i="176" s="1"/>
  <c r="G161" i="177" a="1"/>
  <c r="G161" i="177" s="1"/>
  <c r="H70" i="176" s="1"/>
  <c r="F161" i="177" a="1"/>
  <c r="F161" i="177" s="1"/>
  <c r="G178" i="177" a="1"/>
  <c r="G178" i="177" s="1"/>
  <c r="H87" i="176" s="1"/>
  <c r="G87" i="176"/>
  <c r="E178" i="177" a="1"/>
  <c r="E178" i="177" s="1"/>
  <c r="I178" i="177" a="1"/>
  <c r="I178" i="177" s="1"/>
  <c r="I87" i="176" s="1"/>
  <c r="F178" i="177" a="1"/>
  <c r="F178" i="177" s="1"/>
  <c r="H178" i="177" a="1"/>
  <c r="H178" i="177" s="1"/>
  <c r="G65" i="176"/>
  <c r="I156" i="177" a="1"/>
  <c r="I156" i="177" s="1"/>
  <c r="I65" i="176" s="1"/>
  <c r="H156" i="177" a="1"/>
  <c r="H156" i="177" s="1"/>
  <c r="G156" i="177" a="1"/>
  <c r="G156" i="177" s="1"/>
  <c r="H65" i="176" s="1"/>
  <c r="F156" i="177" a="1"/>
  <c r="F156" i="177" s="1"/>
  <c r="E156" i="177" a="1"/>
  <c r="E156" i="177" s="1"/>
  <c r="I116" i="177" a="1"/>
  <c r="I116" i="177" s="1"/>
  <c r="I25" i="176" s="1"/>
  <c r="H116" i="177" a="1"/>
  <c r="H116" i="177" s="1"/>
  <c r="G25" i="176"/>
  <c r="G116" i="177" a="1"/>
  <c r="G116" i="177" s="1"/>
  <c r="H25" i="176" s="1"/>
  <c r="F116" i="177" a="1"/>
  <c r="F116" i="177" s="1"/>
  <c r="E116" i="177" a="1"/>
  <c r="E116" i="177" s="1"/>
  <c r="G82" i="176"/>
  <c r="E173" i="177" a="1"/>
  <c r="E173" i="177" s="1"/>
  <c r="H173" i="177" a="1"/>
  <c r="H173" i="177" s="1"/>
  <c r="F173" i="177" a="1"/>
  <c r="F173" i="177" s="1"/>
  <c r="I173" i="177" a="1"/>
  <c r="I173" i="177" s="1"/>
  <c r="I82" i="176" s="1"/>
  <c r="G173" i="177" a="1"/>
  <c r="G173" i="177" s="1"/>
  <c r="H82" i="176" s="1"/>
  <c r="G66" i="176"/>
  <c r="I157" i="177" a="1"/>
  <c r="I157" i="177" s="1"/>
  <c r="I66" i="176" s="1"/>
  <c r="F157" i="177" a="1"/>
  <c r="F157" i="177" s="1"/>
  <c r="G157" i="177" a="1"/>
  <c r="G157" i="177" s="1"/>
  <c r="H66" i="176" s="1"/>
  <c r="E157" i="177" a="1"/>
  <c r="E157" i="177" s="1"/>
  <c r="H157" i="177" a="1"/>
  <c r="H157" i="177" s="1"/>
  <c r="G50" i="176"/>
  <c r="E141" i="177" a="1"/>
  <c r="E141" i="177" s="1"/>
  <c r="H141" i="177" a="1"/>
  <c r="H141" i="177" s="1"/>
  <c r="G141" i="177" a="1"/>
  <c r="G141" i="177" s="1"/>
  <c r="H50" i="176" s="1"/>
  <c r="F141" i="177" a="1"/>
  <c r="F141" i="177" s="1"/>
  <c r="I141" i="177" a="1"/>
  <c r="I141" i="177" s="1"/>
  <c r="I50" i="176" s="1"/>
  <c r="F113" i="177" a="1"/>
  <c r="F113" i="177" s="1"/>
  <c r="H113" i="177" a="1"/>
  <c r="H113" i="177" s="1"/>
  <c r="E113" i="177" a="1"/>
  <c r="E113" i="177" s="1"/>
  <c r="I113" i="177" a="1"/>
  <c r="I113" i="177" s="1"/>
  <c r="I22" i="176" s="1"/>
  <c r="G113" i="177" a="1"/>
  <c r="G113" i="177" s="1"/>
  <c r="H22" i="176" s="1"/>
  <c r="G22" i="176"/>
  <c r="G264" i="176"/>
  <c r="E355" i="177" a="1"/>
  <c r="E355" i="177" s="1"/>
  <c r="I355" i="177" a="1"/>
  <c r="I355" i="177" s="1"/>
  <c r="I264" i="176" s="1"/>
  <c r="H355" i="177" a="1"/>
  <c r="H355" i="177" s="1"/>
  <c r="F355" i="177" a="1"/>
  <c r="F355" i="177" s="1"/>
  <c r="G355" i="177" a="1"/>
  <c r="G355" i="177" s="1"/>
  <c r="H264" i="176" s="1"/>
  <c r="G207" i="176"/>
  <c r="I298" i="177" a="1"/>
  <c r="I298" i="177" s="1"/>
  <c r="I207" i="176" s="1"/>
  <c r="E298" i="177" a="1"/>
  <c r="E298" i="177" s="1"/>
  <c r="F298" i="177" a="1"/>
  <c r="F298" i="177" s="1"/>
  <c r="G298" i="177" a="1"/>
  <c r="G298" i="177" s="1"/>
  <c r="H207" i="176" s="1"/>
  <c r="H298" i="177" a="1"/>
  <c r="H298" i="177" s="1"/>
  <c r="G505" i="176"/>
  <c r="E596" i="177" a="1"/>
  <c r="E596" i="177" s="1"/>
  <c r="I596" i="177" a="1"/>
  <c r="I596" i="177" s="1"/>
  <c r="I505" i="176" s="1"/>
  <c r="H596" i="177" a="1"/>
  <c r="H596" i="177" s="1"/>
  <c r="F596" i="177" a="1"/>
  <c r="F596" i="177" s="1"/>
  <c r="G596" i="177" a="1"/>
  <c r="G596" i="177" s="1"/>
  <c r="H505" i="176" s="1"/>
  <c r="G358" i="176"/>
  <c r="G449" i="177" a="1"/>
  <c r="G449" i="177" s="1"/>
  <c r="H358" i="176" s="1"/>
  <c r="E449" i="177" a="1"/>
  <c r="E449" i="177" s="1"/>
  <c r="I449" i="177" a="1"/>
  <c r="I449" i="177" s="1"/>
  <c r="I358" i="176" s="1"/>
  <c r="H449" i="177" a="1"/>
  <c r="H449" i="177" s="1"/>
  <c r="F449" i="177" a="1"/>
  <c r="F449" i="177" s="1"/>
  <c r="G129" i="176"/>
  <c r="E220" i="177" a="1"/>
  <c r="E220" i="177" s="1"/>
  <c r="I220" i="177" a="1"/>
  <c r="I220" i="177" s="1"/>
  <c r="I129" i="176" s="1"/>
  <c r="H220" i="177" a="1"/>
  <c r="H220" i="177" s="1"/>
  <c r="F220" i="177" a="1"/>
  <c r="F220" i="177" s="1"/>
  <c r="G220" i="177" a="1"/>
  <c r="G220" i="177" s="1"/>
  <c r="H129" i="176" s="1"/>
  <c r="G416" i="176"/>
  <c r="E507" i="177" a="1"/>
  <c r="E507" i="177" s="1"/>
  <c r="I507" i="177" a="1"/>
  <c r="I507" i="177" s="1"/>
  <c r="I416" i="176" s="1"/>
  <c r="H507" i="177" a="1"/>
  <c r="H507" i="177" s="1"/>
  <c r="F507" i="177" a="1"/>
  <c r="F507" i="177" s="1"/>
  <c r="G507" i="177" a="1"/>
  <c r="G507" i="177" s="1"/>
  <c r="H416" i="176" s="1"/>
  <c r="G460" i="176"/>
  <c r="H551" i="177" a="1"/>
  <c r="H551" i="177" s="1"/>
  <c r="I551" i="177" a="1"/>
  <c r="I551" i="177" s="1"/>
  <c r="I460" i="176" s="1"/>
  <c r="G551" i="177" a="1"/>
  <c r="G551" i="177" s="1"/>
  <c r="H460" i="176" s="1"/>
  <c r="F551" i="177" a="1"/>
  <c r="F551" i="177" s="1"/>
  <c r="E551" i="177" a="1"/>
  <c r="E551" i="177" s="1"/>
  <c r="G445" i="176"/>
  <c r="G536" i="177" a="1"/>
  <c r="G536" i="177" s="1"/>
  <c r="H445" i="176" s="1"/>
  <c r="F536" i="177" a="1"/>
  <c r="F536" i="177" s="1"/>
  <c r="E536" i="177" a="1"/>
  <c r="E536" i="177" s="1"/>
  <c r="I536" i="177" a="1"/>
  <c r="I536" i="177" s="1"/>
  <c r="I445" i="176" s="1"/>
  <c r="H536" i="177" a="1"/>
  <c r="H536" i="177" s="1"/>
  <c r="G481" i="176"/>
  <c r="F572" i="177" a="1"/>
  <c r="F572" i="177" s="1"/>
  <c r="I572" i="177" a="1"/>
  <c r="I572" i="177" s="1"/>
  <c r="I481" i="176" s="1"/>
  <c r="H572" i="177" a="1"/>
  <c r="H572" i="177" s="1"/>
  <c r="G572" i="177" a="1"/>
  <c r="G572" i="177" s="1"/>
  <c r="H481" i="176" s="1"/>
  <c r="E572" i="177" a="1"/>
  <c r="E572" i="177" s="1"/>
  <c r="G457" i="176"/>
  <c r="G548" i="177" a="1"/>
  <c r="G548" i="177" s="1"/>
  <c r="H457" i="176" s="1"/>
  <c r="F548" i="177" a="1"/>
  <c r="F548" i="177" s="1"/>
  <c r="I548" i="177" a="1"/>
  <c r="I548" i="177" s="1"/>
  <c r="I457" i="176" s="1"/>
  <c r="E548" i="177" a="1"/>
  <c r="E548" i="177" s="1"/>
  <c r="H548" i="177" a="1"/>
  <c r="H548" i="177" s="1"/>
  <c r="G126" i="176"/>
  <c r="I217" i="177" a="1"/>
  <c r="I217" i="177" s="1"/>
  <c r="I126" i="176" s="1"/>
  <c r="F217" i="177" a="1"/>
  <c r="F217" i="177" s="1"/>
  <c r="E217" i="177" a="1"/>
  <c r="E217" i="177" s="1"/>
  <c r="G217" i="177" a="1"/>
  <c r="G217" i="177" s="1"/>
  <c r="H126" i="176" s="1"/>
  <c r="H217" i="177" a="1"/>
  <c r="H217" i="177" s="1"/>
  <c r="G110" i="176"/>
  <c r="I201" i="177" a="1"/>
  <c r="I201" i="177" s="1"/>
  <c r="I110" i="176" s="1"/>
  <c r="F201" i="177" a="1"/>
  <c r="F201" i="177" s="1"/>
  <c r="H201" i="177" a="1"/>
  <c r="H201" i="177" s="1"/>
  <c r="G201" i="177" a="1"/>
  <c r="G201" i="177" s="1"/>
  <c r="H110" i="176" s="1"/>
  <c r="E201" i="177" a="1"/>
  <c r="E201" i="177" s="1"/>
  <c r="G120" i="176"/>
  <c r="F211" i="177" a="1"/>
  <c r="F211" i="177" s="1"/>
  <c r="I211" i="177" a="1"/>
  <c r="I211" i="177" s="1"/>
  <c r="I120" i="176" s="1"/>
  <c r="H211" i="177" a="1"/>
  <c r="H211" i="177" s="1"/>
  <c r="E211" i="177" a="1"/>
  <c r="E211" i="177" s="1"/>
  <c r="G211" i="177" a="1"/>
  <c r="G211" i="177" s="1"/>
  <c r="H120" i="176" s="1"/>
  <c r="G274" i="176"/>
  <c r="E365" i="177" a="1"/>
  <c r="E365" i="177" s="1"/>
  <c r="F365" i="177" a="1"/>
  <c r="F365" i="177" s="1"/>
  <c r="I365" i="177" a="1"/>
  <c r="I365" i="177" s="1"/>
  <c r="I274" i="176" s="1"/>
  <c r="H365" i="177" a="1"/>
  <c r="H365" i="177" s="1"/>
  <c r="G365" i="177" a="1"/>
  <c r="G365" i="177" s="1"/>
  <c r="H274" i="176" s="1"/>
  <c r="G202" i="176"/>
  <c r="H293" i="177" a="1"/>
  <c r="H293" i="177" s="1"/>
  <c r="E293" i="177" a="1"/>
  <c r="E293" i="177" s="1"/>
  <c r="I293" i="177" a="1"/>
  <c r="I293" i="177" s="1"/>
  <c r="I202" i="176" s="1"/>
  <c r="G293" i="177" a="1"/>
  <c r="G293" i="177" s="1"/>
  <c r="H202" i="176" s="1"/>
  <c r="F293" i="177" a="1"/>
  <c r="F293" i="177" s="1"/>
  <c r="G423" i="176"/>
  <c r="F514" i="177" a="1"/>
  <c r="F514" i="177" s="1"/>
  <c r="I514" i="177" a="1"/>
  <c r="I514" i="177" s="1"/>
  <c r="I423" i="176" s="1"/>
  <c r="H514" i="177" a="1"/>
  <c r="H514" i="177" s="1"/>
  <c r="G514" i="177" a="1"/>
  <c r="G514" i="177" s="1"/>
  <c r="H423" i="176" s="1"/>
  <c r="E514" i="177" a="1"/>
  <c r="E514" i="177" s="1"/>
  <c r="G510" i="176"/>
  <c r="F601" i="177" a="1"/>
  <c r="F601" i="177" s="1"/>
  <c r="E601" i="177" a="1"/>
  <c r="E601" i="177" s="1"/>
  <c r="G601" i="177" a="1"/>
  <c r="G601" i="177" s="1"/>
  <c r="H510" i="176" s="1"/>
  <c r="I601" i="177" a="1"/>
  <c r="I601" i="177" s="1"/>
  <c r="I510" i="176" s="1"/>
  <c r="H601" i="177" a="1"/>
  <c r="H601" i="177" s="1"/>
  <c r="G387" i="176"/>
  <c r="H478" i="177" a="1"/>
  <c r="H478" i="177" s="1"/>
  <c r="I478" i="177" a="1"/>
  <c r="I478" i="177" s="1"/>
  <c r="I387" i="176" s="1"/>
  <c r="G478" i="177" a="1"/>
  <c r="G478" i="177" s="1"/>
  <c r="H387" i="176" s="1"/>
  <c r="E478" i="177" a="1"/>
  <c r="E478" i="177" s="1"/>
  <c r="F478" i="177" a="1"/>
  <c r="F478" i="177" s="1"/>
  <c r="G278" i="176"/>
  <c r="H369" i="177" a="1"/>
  <c r="H369" i="177" s="1"/>
  <c r="I369" i="177" a="1"/>
  <c r="I369" i="177" s="1"/>
  <c r="I278" i="176" s="1"/>
  <c r="G369" i="177" a="1"/>
  <c r="G369" i="177" s="1"/>
  <c r="H278" i="176" s="1"/>
  <c r="E369" i="177" a="1"/>
  <c r="E369" i="177" s="1"/>
  <c r="F369" i="177" a="1"/>
  <c r="F369" i="177" s="1"/>
  <c r="G478" i="176"/>
  <c r="I569" i="177" a="1"/>
  <c r="I569" i="177" s="1"/>
  <c r="I478" i="176" s="1"/>
  <c r="E569" i="177" a="1"/>
  <c r="E569" i="177" s="1"/>
  <c r="F569" i="177" a="1"/>
  <c r="F569" i="177" s="1"/>
  <c r="H569" i="177" a="1"/>
  <c r="H569" i="177" s="1"/>
  <c r="G569" i="177" a="1"/>
  <c r="G569" i="177" s="1"/>
  <c r="H478" i="176" s="1"/>
  <c r="G340" i="176"/>
  <c r="H431" i="177" a="1"/>
  <c r="H431" i="177" s="1"/>
  <c r="G431" i="177" a="1"/>
  <c r="G431" i="177" s="1"/>
  <c r="H340" i="176" s="1"/>
  <c r="I431" i="177" a="1"/>
  <c r="I431" i="177" s="1"/>
  <c r="I340" i="176" s="1"/>
  <c r="F431" i="177" a="1"/>
  <c r="F431" i="177" s="1"/>
  <c r="E431" i="177" a="1"/>
  <c r="E431" i="177" s="1"/>
  <c r="G490" i="176"/>
  <c r="H581" i="177" a="1"/>
  <c r="H581" i="177" s="1"/>
  <c r="F581" i="177" a="1"/>
  <c r="F581" i="177" s="1"/>
  <c r="E581" i="177" a="1"/>
  <c r="E581" i="177" s="1"/>
  <c r="I581" i="177" a="1"/>
  <c r="I581" i="177" s="1"/>
  <c r="I490" i="176" s="1"/>
  <c r="G581" i="177" a="1"/>
  <c r="G581" i="177" s="1"/>
  <c r="H490" i="176" s="1"/>
  <c r="G410" i="176"/>
  <c r="I501" i="177" a="1"/>
  <c r="I501" i="177" s="1"/>
  <c r="I410" i="176" s="1"/>
  <c r="H501" i="177" a="1"/>
  <c r="H501" i="177" s="1"/>
  <c r="F501" i="177" a="1"/>
  <c r="F501" i="177" s="1"/>
  <c r="E501" i="177" a="1"/>
  <c r="E501" i="177" s="1"/>
  <c r="G501" i="177" a="1"/>
  <c r="G501" i="177" s="1"/>
  <c r="H410" i="176" s="1"/>
  <c r="G222" i="176"/>
  <c r="I313" i="177" a="1"/>
  <c r="I313" i="177" s="1"/>
  <c r="I222" i="176" s="1"/>
  <c r="H313" i="177" a="1"/>
  <c r="H313" i="177" s="1"/>
  <c r="G313" i="177" a="1"/>
  <c r="G313" i="177" s="1"/>
  <c r="H222" i="176" s="1"/>
  <c r="E313" i="177" a="1"/>
  <c r="E313" i="177" s="1"/>
  <c r="F313" i="177" a="1"/>
  <c r="F313" i="177" s="1"/>
  <c r="G122" i="176"/>
  <c r="I213" i="177" a="1"/>
  <c r="I213" i="177" s="1"/>
  <c r="I122" i="176" s="1"/>
  <c r="E213" i="177" a="1"/>
  <c r="E213" i="177" s="1"/>
  <c r="G213" i="177" a="1"/>
  <c r="G213" i="177" s="1"/>
  <c r="H122" i="176" s="1"/>
  <c r="F213" i="177" a="1"/>
  <c r="F213" i="177" s="1"/>
  <c r="H213" i="177" a="1"/>
  <c r="H213" i="177" s="1"/>
  <c r="G260" i="176"/>
  <c r="G351" i="177" a="1"/>
  <c r="G351" i="177" s="1"/>
  <c r="H260" i="176" s="1"/>
  <c r="F351" i="177" a="1"/>
  <c r="F351" i="177" s="1"/>
  <c r="I351" i="177" a="1"/>
  <c r="I351" i="177" s="1"/>
  <c r="I260" i="176" s="1"/>
  <c r="E351" i="177" a="1"/>
  <c r="E351" i="177" s="1"/>
  <c r="H351" i="177" a="1"/>
  <c r="H351" i="177" s="1"/>
  <c r="G381" i="176"/>
  <c r="F472" i="177" a="1"/>
  <c r="F472" i="177" s="1"/>
  <c r="G472" i="177" a="1"/>
  <c r="G472" i="177" s="1"/>
  <c r="H381" i="176" s="1"/>
  <c r="I472" i="177" a="1"/>
  <c r="I472" i="177" s="1"/>
  <c r="I381" i="176" s="1"/>
  <c r="H472" i="177" a="1"/>
  <c r="H472" i="177" s="1"/>
  <c r="E472" i="177" a="1"/>
  <c r="E472" i="177" s="1"/>
  <c r="H505" i="177" a="1"/>
  <c r="H505" i="177" s="1"/>
  <c r="G414" i="176"/>
  <c r="G505" i="177" a="1"/>
  <c r="G505" i="177" s="1"/>
  <c r="H414" i="176" s="1"/>
  <c r="I505" i="177" a="1"/>
  <c r="I505" i="177" s="1"/>
  <c r="I414" i="176" s="1"/>
  <c r="F505" i="177" a="1"/>
  <c r="F505" i="177" s="1"/>
  <c r="E505" i="177" a="1"/>
  <c r="E505" i="177" s="1"/>
  <c r="G115" i="176"/>
  <c r="F206" i="177" a="1"/>
  <c r="F206" i="177" s="1"/>
  <c r="G206" i="177" a="1"/>
  <c r="G206" i="177" s="1"/>
  <c r="H115" i="176" s="1"/>
  <c r="I206" i="177" a="1"/>
  <c r="I206" i="177" s="1"/>
  <c r="I115" i="176" s="1"/>
  <c r="E206" i="177" a="1"/>
  <c r="E206" i="177" s="1"/>
  <c r="H206" i="177" a="1"/>
  <c r="H206" i="177" s="1"/>
  <c r="G259" i="176"/>
  <c r="G350" i="177" a="1"/>
  <c r="G350" i="177" s="1"/>
  <c r="H259" i="176" s="1"/>
  <c r="E350" i="177" a="1"/>
  <c r="E350" i="177" s="1"/>
  <c r="I350" i="177" a="1"/>
  <c r="I350" i="177" s="1"/>
  <c r="I259" i="176" s="1"/>
  <c r="F350" i="177" a="1"/>
  <c r="F350" i="177" s="1"/>
  <c r="H350" i="177" a="1"/>
  <c r="H350" i="177" s="1"/>
  <c r="G224" i="176"/>
  <c r="H315" i="177" a="1"/>
  <c r="H315" i="177" s="1"/>
  <c r="F315" i="177" a="1"/>
  <c r="F315" i="177" s="1"/>
  <c r="G315" i="177" a="1"/>
  <c r="G315" i="177" s="1"/>
  <c r="H224" i="176" s="1"/>
  <c r="I315" i="177" a="1"/>
  <c r="I315" i="177" s="1"/>
  <c r="I224" i="176" s="1"/>
  <c r="E315" i="177" a="1"/>
  <c r="E315" i="177" s="1"/>
  <c r="G333" i="176"/>
  <c r="G424" i="177" a="1"/>
  <c r="G424" i="177" s="1"/>
  <c r="H333" i="176" s="1"/>
  <c r="I424" i="177" a="1"/>
  <c r="I424" i="177" s="1"/>
  <c r="I333" i="176" s="1"/>
  <c r="H424" i="177" a="1"/>
  <c r="H424" i="177" s="1"/>
  <c r="F424" i="177" a="1"/>
  <c r="F424" i="177" s="1"/>
  <c r="E424" i="177" a="1"/>
  <c r="E424" i="177" s="1"/>
  <c r="G161" i="176"/>
  <c r="E252" i="177" a="1"/>
  <c r="E252" i="177" s="1"/>
  <c r="H252" i="177" a="1"/>
  <c r="H252" i="177" s="1"/>
  <c r="I252" i="177" a="1"/>
  <c r="I252" i="177" s="1"/>
  <c r="I161" i="176" s="1"/>
  <c r="G252" i="177" a="1"/>
  <c r="G252" i="177" s="1"/>
  <c r="H161" i="176" s="1"/>
  <c r="F252" i="177" a="1"/>
  <c r="F252" i="177" s="1"/>
  <c r="G233" i="176"/>
  <c r="E324" i="177" a="1"/>
  <c r="E324" i="177" s="1"/>
  <c r="I324" i="177" a="1"/>
  <c r="I324" i="177" s="1"/>
  <c r="I233" i="176" s="1"/>
  <c r="H324" i="177" a="1"/>
  <c r="H324" i="177" s="1"/>
  <c r="G324" i="177" a="1"/>
  <c r="G324" i="177" s="1"/>
  <c r="H233" i="176" s="1"/>
  <c r="F324" i="177" a="1"/>
  <c r="F324" i="177" s="1"/>
  <c r="G311" i="176"/>
  <c r="I402" i="177" a="1"/>
  <c r="I402" i="177" s="1"/>
  <c r="I311" i="176" s="1"/>
  <c r="H402" i="177" a="1"/>
  <c r="H402" i="177" s="1"/>
  <c r="F402" i="177" a="1"/>
  <c r="F402" i="177" s="1"/>
  <c r="E402" i="177" a="1"/>
  <c r="E402" i="177" s="1"/>
  <c r="G402" i="177" a="1"/>
  <c r="G402" i="177" s="1"/>
  <c r="H311" i="176" s="1"/>
  <c r="G257" i="177" a="1"/>
  <c r="G257" i="177" s="1"/>
  <c r="H166" i="176" s="1"/>
  <c r="G166" i="176"/>
  <c r="I257" i="177" a="1"/>
  <c r="I257" i="177" s="1"/>
  <c r="I166" i="176" s="1"/>
  <c r="E257" i="177" a="1"/>
  <c r="E257" i="177" s="1"/>
  <c r="H257" i="177" a="1"/>
  <c r="H257" i="177" s="1"/>
  <c r="F257" i="177" a="1"/>
  <c r="F257" i="177" s="1"/>
  <c r="G228" i="176"/>
  <c r="E319" i="177" a="1"/>
  <c r="E319" i="177" s="1"/>
  <c r="I319" i="177" a="1"/>
  <c r="I319" i="177" s="1"/>
  <c r="I228" i="176" s="1"/>
  <c r="H319" i="177" a="1"/>
  <c r="H319" i="177" s="1"/>
  <c r="G319" i="177" a="1"/>
  <c r="G319" i="177" s="1"/>
  <c r="H228" i="176" s="1"/>
  <c r="F319" i="177" a="1"/>
  <c r="F319" i="177" s="1"/>
  <c r="G421" i="176"/>
  <c r="I512" i="177" a="1"/>
  <c r="I512" i="177" s="1"/>
  <c r="I421" i="176" s="1"/>
  <c r="G512" i="177" a="1"/>
  <c r="G512" i="177" s="1"/>
  <c r="H421" i="176" s="1"/>
  <c r="E512" i="177" a="1"/>
  <c r="E512" i="177" s="1"/>
  <c r="F512" i="177" a="1"/>
  <c r="F512" i="177" s="1"/>
  <c r="H512" i="177" a="1"/>
  <c r="H512" i="177" s="1"/>
  <c r="I110" i="177" a="1"/>
  <c r="I110" i="177" s="1"/>
  <c r="I19" i="176" s="1"/>
  <c r="G19" i="176"/>
  <c r="G110" i="177" a="1"/>
  <c r="G110" i="177" s="1"/>
  <c r="H19" i="176" s="1"/>
  <c r="E110" i="177" a="1"/>
  <c r="E110" i="177" s="1"/>
  <c r="H110" i="177" a="1"/>
  <c r="H110" i="177" s="1"/>
  <c r="F110" i="177" a="1"/>
  <c r="F110" i="177" s="1"/>
  <c r="G40" i="176"/>
  <c r="H131" i="177" a="1"/>
  <c r="H131" i="177" s="1"/>
  <c r="F131" i="177" a="1"/>
  <c r="F131" i="177" s="1"/>
  <c r="E131" i="177" a="1"/>
  <c r="E131" i="177" s="1"/>
  <c r="I131" i="177" a="1"/>
  <c r="I131" i="177" s="1"/>
  <c r="I40" i="176" s="1"/>
  <c r="G131" i="177" a="1"/>
  <c r="G131" i="177" s="1"/>
  <c r="H40" i="176" s="1"/>
  <c r="G174" i="176"/>
  <c r="I265" i="177" a="1"/>
  <c r="I265" i="177" s="1"/>
  <c r="I174" i="176" s="1"/>
  <c r="F265" i="177" a="1"/>
  <c r="F265" i="177" s="1"/>
  <c r="E265" i="177" a="1"/>
  <c r="E265" i="177" s="1"/>
  <c r="H265" i="177" a="1"/>
  <c r="H265" i="177" s="1"/>
  <c r="G265" i="177" a="1"/>
  <c r="G265" i="177" s="1"/>
  <c r="H174" i="176" s="1"/>
  <c r="G432" i="176"/>
  <c r="H523" i="177" a="1"/>
  <c r="H523" i="177" s="1"/>
  <c r="F523" i="177" a="1"/>
  <c r="F523" i="177" s="1"/>
  <c r="E523" i="177" a="1"/>
  <c r="E523" i="177" s="1"/>
  <c r="G523" i="177" a="1"/>
  <c r="G523" i="177" s="1"/>
  <c r="H432" i="176" s="1"/>
  <c r="I523" i="177" a="1"/>
  <c r="I523" i="177" s="1"/>
  <c r="I432" i="176" s="1"/>
  <c r="G318" i="176"/>
  <c r="G409" i="177" a="1"/>
  <c r="G409" i="177" s="1"/>
  <c r="H318" i="176" s="1"/>
  <c r="I409" i="177" a="1"/>
  <c r="I409" i="177" s="1"/>
  <c r="I318" i="176" s="1"/>
  <c r="H409" i="177" a="1"/>
  <c r="H409" i="177" s="1"/>
  <c r="F409" i="177" a="1"/>
  <c r="F409" i="177" s="1"/>
  <c r="E409" i="177" a="1"/>
  <c r="E409" i="177" s="1"/>
  <c r="G435" i="176"/>
  <c r="F526" i="177" a="1"/>
  <c r="F526" i="177" s="1"/>
  <c r="I526" i="177" a="1"/>
  <c r="I526" i="177" s="1"/>
  <c r="I435" i="176" s="1"/>
  <c r="H526" i="177" a="1"/>
  <c r="H526" i="177" s="1"/>
  <c r="G526" i="177" a="1"/>
  <c r="G526" i="177" s="1"/>
  <c r="H435" i="176" s="1"/>
  <c r="E526" i="177" a="1"/>
  <c r="E526" i="177" s="1"/>
  <c r="G353" i="176"/>
  <c r="F444" i="177" a="1"/>
  <c r="F444" i="177" s="1"/>
  <c r="I444" i="177" a="1"/>
  <c r="I444" i="177" s="1"/>
  <c r="I353" i="176" s="1"/>
  <c r="E444" i="177" a="1"/>
  <c r="E444" i="177" s="1"/>
  <c r="H444" i="177" a="1"/>
  <c r="H444" i="177" s="1"/>
  <c r="G444" i="177" a="1"/>
  <c r="G444" i="177" s="1"/>
  <c r="H353" i="176" s="1"/>
  <c r="G388" i="176"/>
  <c r="F479" i="177" a="1"/>
  <c r="F479" i="177" s="1"/>
  <c r="I479" i="177" a="1"/>
  <c r="I479" i="177" s="1"/>
  <c r="I388" i="176" s="1"/>
  <c r="H479" i="177" a="1"/>
  <c r="H479" i="177" s="1"/>
  <c r="G479" i="177" a="1"/>
  <c r="G479" i="177" s="1"/>
  <c r="H388" i="176" s="1"/>
  <c r="E479" i="177" a="1"/>
  <c r="E479" i="177" s="1"/>
  <c r="G491" i="176"/>
  <c r="G582" i="177" a="1"/>
  <c r="G582" i="177" s="1"/>
  <c r="H491" i="176" s="1"/>
  <c r="I582" i="177" a="1"/>
  <c r="I582" i="177" s="1"/>
  <c r="I491" i="176" s="1"/>
  <c r="H582" i="177" a="1"/>
  <c r="H582" i="177" s="1"/>
  <c r="F582" i="177" a="1"/>
  <c r="F582" i="177" s="1"/>
  <c r="E582" i="177" a="1"/>
  <c r="E582" i="177" s="1"/>
  <c r="G487" i="176"/>
  <c r="E578" i="177" a="1"/>
  <c r="E578" i="177" s="1"/>
  <c r="H578" i="177" a="1"/>
  <c r="H578" i="177" s="1"/>
  <c r="F578" i="177" a="1"/>
  <c r="F578" i="177" s="1"/>
  <c r="I578" i="177" a="1"/>
  <c r="I578" i="177" s="1"/>
  <c r="I487" i="176" s="1"/>
  <c r="G578" i="177" a="1"/>
  <c r="G578" i="177" s="1"/>
  <c r="H487" i="176" s="1"/>
  <c r="G302" i="176"/>
  <c r="H393" i="177" a="1"/>
  <c r="H393" i="177" s="1"/>
  <c r="G393" i="177" a="1"/>
  <c r="G393" i="177" s="1"/>
  <c r="H302" i="176" s="1"/>
  <c r="F393" i="177" a="1"/>
  <c r="F393" i="177" s="1"/>
  <c r="E393" i="177" a="1"/>
  <c r="E393" i="177" s="1"/>
  <c r="I393" i="177" a="1"/>
  <c r="I393" i="177" s="1"/>
  <c r="I302" i="176" s="1"/>
  <c r="G428" i="176"/>
  <c r="G519" i="177" a="1"/>
  <c r="G519" i="177" s="1"/>
  <c r="H428" i="176" s="1"/>
  <c r="F519" i="177" a="1"/>
  <c r="F519" i="177" s="1"/>
  <c r="E519" i="177" a="1"/>
  <c r="E519" i="177" s="1"/>
  <c r="I519" i="177" a="1"/>
  <c r="I519" i="177" s="1"/>
  <c r="I428" i="176" s="1"/>
  <c r="H519" i="177" a="1"/>
  <c r="H519" i="177" s="1"/>
  <c r="F440" i="177" a="1"/>
  <c r="F440" i="177" s="1"/>
  <c r="I440" i="177" a="1"/>
  <c r="I440" i="177" s="1"/>
  <c r="I349" i="176" s="1"/>
  <c r="E440" i="177" a="1"/>
  <c r="E440" i="177" s="1"/>
  <c r="G349" i="176"/>
  <c r="H440" i="177" a="1"/>
  <c r="H440" i="177" s="1"/>
  <c r="G440" i="177" a="1"/>
  <c r="G440" i="177" s="1"/>
  <c r="H349" i="176" s="1"/>
  <c r="G447" i="176"/>
  <c r="G538" i="177" a="1"/>
  <c r="G538" i="177" s="1"/>
  <c r="H447" i="176" s="1"/>
  <c r="F538" i="177" a="1"/>
  <c r="F538" i="177" s="1"/>
  <c r="H538" i="177" a="1"/>
  <c r="H538" i="177" s="1"/>
  <c r="E538" i="177" a="1"/>
  <c r="E538" i="177" s="1"/>
  <c r="I538" i="177" a="1"/>
  <c r="I538" i="177" s="1"/>
  <c r="I447" i="176" s="1"/>
  <c r="G148" i="176"/>
  <c r="H239" i="177" a="1"/>
  <c r="H239" i="177" s="1"/>
  <c r="F239" i="177" a="1"/>
  <c r="F239" i="177" s="1"/>
  <c r="I239" i="177" a="1"/>
  <c r="I239" i="177" s="1"/>
  <c r="I148" i="176" s="1"/>
  <c r="G239" i="177" a="1"/>
  <c r="G239" i="177" s="1"/>
  <c r="H148" i="176" s="1"/>
  <c r="E239" i="177" a="1"/>
  <c r="E239" i="177" s="1"/>
  <c r="G375" i="176"/>
  <c r="H466" i="177" a="1"/>
  <c r="H466" i="177" s="1"/>
  <c r="F466" i="177" a="1"/>
  <c r="F466" i="177" s="1"/>
  <c r="I466" i="177" a="1"/>
  <c r="I466" i="177" s="1"/>
  <c r="I375" i="176" s="1"/>
  <c r="G466" i="177" a="1"/>
  <c r="G466" i="177" s="1"/>
  <c r="H375" i="176" s="1"/>
  <c r="E466" i="177" a="1"/>
  <c r="E466" i="177" s="1"/>
  <c r="G112" i="176"/>
  <c r="E203" i="177" a="1"/>
  <c r="E203" i="177" s="1"/>
  <c r="H203" i="177" a="1"/>
  <c r="H203" i="177" s="1"/>
  <c r="I203" i="177" a="1"/>
  <c r="I203" i="177" s="1"/>
  <c r="I112" i="176" s="1"/>
  <c r="G203" i="177" a="1"/>
  <c r="G203" i="177" s="1"/>
  <c r="H112" i="176" s="1"/>
  <c r="F203" i="177" a="1"/>
  <c r="F203" i="177" s="1"/>
  <c r="G284" i="176"/>
  <c r="E375" i="177" a="1"/>
  <c r="E375" i="177" s="1"/>
  <c r="I375" i="177" a="1"/>
  <c r="I375" i="177" s="1"/>
  <c r="I284" i="176" s="1"/>
  <c r="G375" i="177" a="1"/>
  <c r="G375" i="177" s="1"/>
  <c r="H284" i="176" s="1"/>
  <c r="H375" i="177" a="1"/>
  <c r="H375" i="177" s="1"/>
  <c r="F375" i="177" a="1"/>
  <c r="F375" i="177" s="1"/>
  <c r="G463" i="176"/>
  <c r="H554" i="177" a="1"/>
  <c r="H554" i="177" s="1"/>
  <c r="F554" i="177" a="1"/>
  <c r="F554" i="177" s="1"/>
  <c r="G554" i="177" a="1"/>
  <c r="G554" i="177" s="1"/>
  <c r="H463" i="176" s="1"/>
  <c r="I554" i="177" a="1"/>
  <c r="I554" i="177" s="1"/>
  <c r="I463" i="176" s="1"/>
  <c r="E554" i="177" a="1"/>
  <c r="E554" i="177" s="1"/>
  <c r="G434" i="176"/>
  <c r="H525" i="177" a="1"/>
  <c r="H525" i="177" s="1"/>
  <c r="G525" i="177" a="1"/>
  <c r="G525" i="177" s="1"/>
  <c r="H434" i="176" s="1"/>
  <c r="F525" i="177" a="1"/>
  <c r="F525" i="177" s="1"/>
  <c r="E525" i="177" a="1"/>
  <c r="E525" i="177" s="1"/>
  <c r="I525" i="177" a="1"/>
  <c r="I525" i="177" s="1"/>
  <c r="I434" i="176" s="1"/>
  <c r="G458" i="176"/>
  <c r="F549" i="177" a="1"/>
  <c r="F549" i="177" s="1"/>
  <c r="G549" i="177" a="1"/>
  <c r="G549" i="177" s="1"/>
  <c r="H458" i="176" s="1"/>
  <c r="E549" i="177" a="1"/>
  <c r="E549" i="177" s="1"/>
  <c r="I549" i="177" a="1"/>
  <c r="I549" i="177" s="1"/>
  <c r="I458" i="176" s="1"/>
  <c r="H549" i="177" a="1"/>
  <c r="H549" i="177" s="1"/>
  <c r="G303" i="176"/>
  <c r="G394" i="177" a="1"/>
  <c r="G394" i="177" s="1"/>
  <c r="H303" i="176" s="1"/>
  <c r="E394" i="177" a="1"/>
  <c r="E394" i="177" s="1"/>
  <c r="I394" i="177" a="1"/>
  <c r="I394" i="177" s="1"/>
  <c r="I303" i="176" s="1"/>
  <c r="F394" i="177" a="1"/>
  <c r="F394" i="177" s="1"/>
  <c r="H394" i="177" a="1"/>
  <c r="H394" i="177" s="1"/>
  <c r="G403" i="176"/>
  <c r="F494" i="177" a="1"/>
  <c r="F494" i="177" s="1"/>
  <c r="I494" i="177" a="1"/>
  <c r="I494" i="177" s="1"/>
  <c r="I403" i="176" s="1"/>
  <c r="G494" i="177" a="1"/>
  <c r="G494" i="177" s="1"/>
  <c r="H403" i="176" s="1"/>
  <c r="H494" i="177" a="1"/>
  <c r="H494" i="177" s="1"/>
  <c r="E494" i="177" a="1"/>
  <c r="E494" i="177" s="1"/>
  <c r="G509" i="176"/>
  <c r="I600" i="177" a="1"/>
  <c r="I600" i="177" s="1"/>
  <c r="I509" i="176" s="1"/>
  <c r="E600" i="177" a="1"/>
  <c r="E600" i="177" s="1"/>
  <c r="H600" i="177" a="1"/>
  <c r="H600" i="177" s="1"/>
  <c r="G600" i="177" a="1"/>
  <c r="G600" i="177" s="1"/>
  <c r="H509" i="176" s="1"/>
  <c r="F600" i="177" a="1"/>
  <c r="F600" i="177" s="1"/>
  <c r="G466" i="176"/>
  <c r="I557" i="177" a="1"/>
  <c r="I557" i="177" s="1"/>
  <c r="I466" i="176" s="1"/>
  <c r="G557" i="177" a="1"/>
  <c r="G557" i="177" s="1"/>
  <c r="H466" i="176" s="1"/>
  <c r="H557" i="177" a="1"/>
  <c r="H557" i="177" s="1"/>
  <c r="F557" i="177" a="1"/>
  <c r="F557" i="177" s="1"/>
  <c r="E557" i="177" a="1"/>
  <c r="E557" i="177" s="1"/>
  <c r="G336" i="176"/>
  <c r="E427" i="177" a="1"/>
  <c r="E427" i="177" s="1"/>
  <c r="F427" i="177" a="1"/>
  <c r="F427" i="177" s="1"/>
  <c r="G427" i="177" a="1"/>
  <c r="G427" i="177" s="1"/>
  <c r="H336" i="176" s="1"/>
  <c r="I427" i="177" a="1"/>
  <c r="I427" i="177" s="1"/>
  <c r="I336" i="176" s="1"/>
  <c r="H427" i="177" a="1"/>
  <c r="H427" i="177" s="1"/>
  <c r="G301" i="176"/>
  <c r="F392" i="177" a="1"/>
  <c r="F392" i="177" s="1"/>
  <c r="H392" i="177" a="1"/>
  <c r="H392" i="177" s="1"/>
  <c r="G392" i="177" a="1"/>
  <c r="G392" i="177" s="1"/>
  <c r="H301" i="176" s="1"/>
  <c r="E392" i="177" a="1"/>
  <c r="E392" i="177" s="1"/>
  <c r="I392" i="177" a="1"/>
  <c r="I392" i="177" s="1"/>
  <c r="I301" i="176" s="1"/>
  <c r="G465" i="176"/>
  <c r="F556" i="177" a="1"/>
  <c r="F556" i="177" s="1"/>
  <c r="G556" i="177" a="1"/>
  <c r="G556" i="177" s="1"/>
  <c r="H465" i="176" s="1"/>
  <c r="I556" i="177" a="1"/>
  <c r="I556" i="177" s="1"/>
  <c r="I465" i="176" s="1"/>
  <c r="H556" i="177" a="1"/>
  <c r="H556" i="177" s="1"/>
  <c r="E556" i="177" a="1"/>
  <c r="E556" i="177" s="1"/>
  <c r="G285" i="176"/>
  <c r="G376" i="177" a="1"/>
  <c r="G376" i="177" s="1"/>
  <c r="H285" i="176" s="1"/>
  <c r="E376" i="177" a="1"/>
  <c r="E376" i="177" s="1"/>
  <c r="I376" i="177" a="1"/>
  <c r="I376" i="177" s="1"/>
  <c r="I285" i="176" s="1"/>
  <c r="F376" i="177" a="1"/>
  <c r="F376" i="177" s="1"/>
  <c r="H376" i="177" a="1"/>
  <c r="H376" i="177" s="1"/>
  <c r="G127" i="176"/>
  <c r="H218" i="177" a="1"/>
  <c r="H218" i="177" s="1"/>
  <c r="E218" i="177" a="1"/>
  <c r="E218" i="177" s="1"/>
  <c r="F218" i="177" a="1"/>
  <c r="F218" i="177" s="1"/>
  <c r="G218" i="177" a="1"/>
  <c r="G218" i="177" s="1"/>
  <c r="H127" i="176" s="1"/>
  <c r="I218" i="177" a="1"/>
  <c r="I218" i="177" s="1"/>
  <c r="I127" i="176" s="1"/>
  <c r="G271" i="176"/>
  <c r="F362" i="177" a="1"/>
  <c r="F362" i="177" s="1"/>
  <c r="H362" i="177" a="1"/>
  <c r="H362" i="177" s="1"/>
  <c r="G362" i="177" a="1"/>
  <c r="G362" i="177" s="1"/>
  <c r="H271" i="176" s="1"/>
  <c r="E362" i="177" a="1"/>
  <c r="E362" i="177" s="1"/>
  <c r="I362" i="177" a="1"/>
  <c r="I362" i="177" s="1"/>
  <c r="I271" i="176" s="1"/>
  <c r="G236" i="176"/>
  <c r="I327" i="177" a="1"/>
  <c r="I327" i="177" s="1"/>
  <c r="I236" i="176" s="1"/>
  <c r="F327" i="177" a="1"/>
  <c r="F327" i="177" s="1"/>
  <c r="E327" i="177" a="1"/>
  <c r="E327" i="177" s="1"/>
  <c r="H327" i="177" a="1"/>
  <c r="H327" i="177" s="1"/>
  <c r="G327" i="177" a="1"/>
  <c r="G327" i="177" s="1"/>
  <c r="H236" i="176" s="1"/>
  <c r="G321" i="176"/>
  <c r="I412" i="177" a="1"/>
  <c r="I412" i="177" s="1"/>
  <c r="I321" i="176" s="1"/>
  <c r="F412" i="177" a="1"/>
  <c r="F412" i="177" s="1"/>
  <c r="H412" i="177" a="1"/>
  <c r="H412" i="177" s="1"/>
  <c r="E412" i="177" a="1"/>
  <c r="E412" i="177" s="1"/>
  <c r="G412" i="177" a="1"/>
  <c r="G412" i="177" s="1"/>
  <c r="H321" i="176" s="1"/>
  <c r="G167" i="176"/>
  <c r="E258" i="177" a="1"/>
  <c r="E258" i="177" s="1"/>
  <c r="F258" i="177" a="1"/>
  <c r="F258" i="177" s="1"/>
  <c r="I258" i="177" a="1"/>
  <c r="I258" i="177" s="1"/>
  <c r="I167" i="176" s="1"/>
  <c r="H258" i="177" a="1"/>
  <c r="H258" i="177" s="1"/>
  <c r="G258" i="177" a="1"/>
  <c r="G258" i="177" s="1"/>
  <c r="H167" i="176" s="1"/>
  <c r="G239" i="176"/>
  <c r="E330" i="177" a="1"/>
  <c r="E330" i="177" s="1"/>
  <c r="I330" i="177" a="1"/>
  <c r="I330" i="177" s="1"/>
  <c r="I239" i="176" s="1"/>
  <c r="H330" i="177" a="1"/>
  <c r="H330" i="177" s="1"/>
  <c r="G330" i="177" a="1"/>
  <c r="G330" i="177" s="1"/>
  <c r="H239" i="176" s="1"/>
  <c r="F330" i="177" a="1"/>
  <c r="F330" i="177" s="1"/>
  <c r="G359" i="176"/>
  <c r="H450" i="177" a="1"/>
  <c r="H450" i="177" s="1"/>
  <c r="E450" i="177" a="1"/>
  <c r="E450" i="177" s="1"/>
  <c r="G450" i="177" a="1"/>
  <c r="G450" i="177" s="1"/>
  <c r="H359" i="176" s="1"/>
  <c r="I450" i="177" a="1"/>
  <c r="I450" i="177" s="1"/>
  <c r="I359" i="176" s="1"/>
  <c r="F450" i="177" a="1"/>
  <c r="F450" i="177" s="1"/>
  <c r="I104" i="177" a="1"/>
  <c r="I104" i="177" s="1"/>
  <c r="I13" i="176" s="1"/>
  <c r="H104" i="177" a="1"/>
  <c r="H104" i="177" s="1"/>
  <c r="G13" i="176"/>
  <c r="G104" i="177" a="1"/>
  <c r="G104" i="177" s="1"/>
  <c r="H13" i="176" s="1"/>
  <c r="F104" i="177" a="1"/>
  <c r="F104" i="177" s="1"/>
  <c r="E104" i="177" a="1"/>
  <c r="E104" i="177" s="1"/>
  <c r="G21" i="176"/>
  <c r="E112" i="177" a="1"/>
  <c r="E112" i="177" s="1"/>
  <c r="I112" i="177" a="1"/>
  <c r="I112" i="177" s="1"/>
  <c r="I21" i="176" s="1"/>
  <c r="F112" i="177" a="1"/>
  <c r="F112" i="177" s="1"/>
  <c r="H112" i="177" a="1"/>
  <c r="H112" i="177" s="1"/>
  <c r="G112" i="177" a="1"/>
  <c r="G112" i="177" s="1"/>
  <c r="H21" i="176" s="1"/>
  <c r="G512" i="176"/>
  <c r="I603" i="177" a="1"/>
  <c r="I603" i="177" s="1"/>
  <c r="I512" i="176" s="1"/>
  <c r="E603" i="177" a="1"/>
  <c r="E603" i="177" s="1"/>
  <c r="F603" i="177" a="1"/>
  <c r="F603" i="177" s="1"/>
  <c r="H603" i="177" a="1"/>
  <c r="H603" i="177" s="1"/>
  <c r="G603" i="177" a="1"/>
  <c r="G603" i="177" s="1"/>
  <c r="H512" i="176" s="1"/>
  <c r="G92" i="176"/>
  <c r="G183" i="177" a="1"/>
  <c r="G183" i="177" s="1"/>
  <c r="H92" i="176" s="1"/>
  <c r="E183" i="177" a="1"/>
  <c r="E183" i="177" s="1"/>
  <c r="H183" i="177" a="1"/>
  <c r="H183" i="177" s="1"/>
  <c r="F183" i="177" a="1"/>
  <c r="F183" i="177" s="1"/>
  <c r="I183" i="177" a="1"/>
  <c r="I183" i="177" s="1"/>
  <c r="I92" i="176" s="1"/>
  <c r="G138" i="177" a="1"/>
  <c r="G138" i="177" s="1"/>
  <c r="H47" i="176" s="1"/>
  <c r="G47" i="176"/>
  <c r="I138" i="177" a="1"/>
  <c r="I138" i="177" s="1"/>
  <c r="I47" i="176" s="1"/>
  <c r="H138" i="177" a="1"/>
  <c r="H138" i="177" s="1"/>
  <c r="F138" i="177" a="1"/>
  <c r="F138" i="177" s="1"/>
  <c r="E138" i="177" a="1"/>
  <c r="E138" i="177" s="1"/>
  <c r="G133" i="176"/>
  <c r="H224" i="177" a="1"/>
  <c r="H224" i="177" s="1"/>
  <c r="G224" i="177" a="1"/>
  <c r="G224" i="177" s="1"/>
  <c r="H133" i="176" s="1"/>
  <c r="I224" i="177" a="1"/>
  <c r="I224" i="177" s="1"/>
  <c r="I133" i="176" s="1"/>
  <c r="E224" i="177" a="1"/>
  <c r="E224" i="177" s="1"/>
  <c r="F224" i="177" a="1"/>
  <c r="F224" i="177" s="1"/>
  <c r="G68" i="176"/>
  <c r="E159" i="177" a="1"/>
  <c r="E159" i="177" s="1"/>
  <c r="H159" i="177" a="1"/>
  <c r="H159" i="177" s="1"/>
  <c r="G159" i="177" a="1"/>
  <c r="G159" i="177" s="1"/>
  <c r="H68" i="176" s="1"/>
  <c r="F159" i="177" a="1"/>
  <c r="F159" i="177" s="1"/>
  <c r="I159" i="177" a="1"/>
  <c r="I159" i="177" s="1"/>
  <c r="I68" i="176" s="1"/>
  <c r="E179" i="177" a="1"/>
  <c r="E179" i="177" s="1"/>
  <c r="F179" i="177" a="1"/>
  <c r="F179" i="177" s="1"/>
  <c r="G88" i="176"/>
  <c r="H179" i="177" a="1"/>
  <c r="H179" i="177" s="1"/>
  <c r="I179" i="177" a="1"/>
  <c r="I179" i="177" s="1"/>
  <c r="I88" i="176" s="1"/>
  <c r="G179" i="177" a="1"/>
  <c r="G179" i="177" s="1"/>
  <c r="H88" i="176" s="1"/>
  <c r="G38" i="176"/>
  <c r="G129" i="177" a="1"/>
  <c r="G129" i="177" s="1"/>
  <c r="H38" i="176" s="1"/>
  <c r="I129" i="177" a="1"/>
  <c r="I129" i="177" s="1"/>
  <c r="I38" i="176" s="1"/>
  <c r="H129" i="177" a="1"/>
  <c r="H129" i="177" s="1"/>
  <c r="F129" i="177" a="1"/>
  <c r="F129" i="177" s="1"/>
  <c r="E129" i="177" a="1"/>
  <c r="E129" i="177" s="1"/>
  <c r="G84" i="176"/>
  <c r="H175" i="177" a="1"/>
  <c r="H175" i="177" s="1"/>
  <c r="F175" i="177" a="1"/>
  <c r="F175" i="177" s="1"/>
  <c r="E175" i="177" a="1"/>
  <c r="E175" i="177" s="1"/>
  <c r="I175" i="177" a="1"/>
  <c r="I175" i="177" s="1"/>
  <c r="I84" i="176" s="1"/>
  <c r="G175" i="177" a="1"/>
  <c r="G175" i="177" s="1"/>
  <c r="H84" i="176" s="1"/>
  <c r="G78" i="176"/>
  <c r="I169" i="177" a="1"/>
  <c r="I169" i="177" s="1"/>
  <c r="I78" i="176" s="1"/>
  <c r="H169" i="177" a="1"/>
  <c r="H169" i="177" s="1"/>
  <c r="G169" i="177" a="1"/>
  <c r="G169" i="177" s="1"/>
  <c r="H78" i="176" s="1"/>
  <c r="F169" i="177" a="1"/>
  <c r="F169" i="177" s="1"/>
  <c r="E169" i="177" a="1"/>
  <c r="E169" i="177" s="1"/>
  <c r="G72" i="176"/>
  <c r="E163" i="177" a="1"/>
  <c r="E163" i="177" s="1"/>
  <c r="I163" i="177" a="1"/>
  <c r="I163" i="177" s="1"/>
  <c r="I72" i="176" s="1"/>
  <c r="H163" i="177" a="1"/>
  <c r="H163" i="177" s="1"/>
  <c r="G163" i="177" a="1"/>
  <c r="G163" i="177" s="1"/>
  <c r="H72" i="176" s="1"/>
  <c r="F163" i="177" a="1"/>
  <c r="F163" i="177" s="1"/>
  <c r="G304" i="176"/>
  <c r="E395" i="177" a="1"/>
  <c r="E395" i="177" s="1"/>
  <c r="G395" i="177" a="1"/>
  <c r="G395" i="177" s="1"/>
  <c r="H304" i="176" s="1"/>
  <c r="H395" i="177" a="1"/>
  <c r="H395" i="177" s="1"/>
  <c r="F395" i="177" a="1"/>
  <c r="F395" i="177" s="1"/>
  <c r="I395" i="177" a="1"/>
  <c r="I395" i="177" s="1"/>
  <c r="I304" i="176" s="1"/>
  <c r="G180" i="176"/>
  <c r="I271" i="177" a="1"/>
  <c r="I271" i="177" s="1"/>
  <c r="I180" i="176" s="1"/>
  <c r="F271" i="177" a="1"/>
  <c r="F271" i="177" s="1"/>
  <c r="E271" i="177" a="1"/>
  <c r="E271" i="177" s="1"/>
  <c r="H271" i="177" a="1"/>
  <c r="H271" i="177" s="1"/>
  <c r="G271" i="177" a="1"/>
  <c r="G271" i="177" s="1"/>
  <c r="H180" i="176" s="1"/>
  <c r="G327" i="176"/>
  <c r="I418" i="177" a="1"/>
  <c r="I418" i="177" s="1"/>
  <c r="I327" i="176" s="1"/>
  <c r="F418" i="177" a="1"/>
  <c r="F418" i="177" s="1"/>
  <c r="E418" i="177" a="1"/>
  <c r="E418" i="177" s="1"/>
  <c r="G418" i="177" a="1"/>
  <c r="G418" i="177" s="1"/>
  <c r="H327" i="176" s="1"/>
  <c r="H418" i="177" a="1"/>
  <c r="H418" i="177" s="1"/>
  <c r="G158" i="176"/>
  <c r="E249" i="177" a="1"/>
  <c r="E249" i="177" s="1"/>
  <c r="H249" i="177" a="1"/>
  <c r="H249" i="177" s="1"/>
  <c r="G249" i="177" a="1"/>
  <c r="G249" i="177" s="1"/>
  <c r="H158" i="176" s="1"/>
  <c r="F249" i="177" a="1"/>
  <c r="F249" i="177" s="1"/>
  <c r="I249" i="177" a="1"/>
  <c r="I249" i="177" s="1"/>
  <c r="I158" i="176" s="1"/>
  <c r="H476" i="177" a="1"/>
  <c r="H476" i="177" s="1"/>
  <c r="E476" i="177" a="1"/>
  <c r="E476" i="177" s="1"/>
  <c r="G385" i="176"/>
  <c r="G476" i="177" a="1"/>
  <c r="G476" i="177" s="1"/>
  <c r="H385" i="176" s="1"/>
  <c r="I476" i="177" a="1"/>
  <c r="I476" i="177" s="1"/>
  <c r="I385" i="176" s="1"/>
  <c r="F476" i="177" a="1"/>
  <c r="F476" i="177" s="1"/>
  <c r="G252" i="176"/>
  <c r="H343" i="177" a="1"/>
  <c r="H343" i="177" s="1"/>
  <c r="G343" i="177" a="1"/>
  <c r="G343" i="177" s="1"/>
  <c r="H252" i="176" s="1"/>
  <c r="F343" i="177" a="1"/>
  <c r="F343" i="177" s="1"/>
  <c r="E343" i="177" a="1"/>
  <c r="E343" i="177" s="1"/>
  <c r="I343" i="177" a="1"/>
  <c r="I343" i="177" s="1"/>
  <c r="I252" i="176" s="1"/>
  <c r="G507" i="176"/>
  <c r="I598" i="177" a="1"/>
  <c r="I598" i="177" s="1"/>
  <c r="I507" i="176" s="1"/>
  <c r="F598" i="177" a="1"/>
  <c r="F598" i="177" s="1"/>
  <c r="E598" i="177" a="1"/>
  <c r="E598" i="177" s="1"/>
  <c r="H598" i="177" a="1"/>
  <c r="H598" i="177" s="1"/>
  <c r="G598" i="177" a="1"/>
  <c r="G598" i="177" s="1"/>
  <c r="H507" i="176" s="1"/>
  <c r="G144" i="176"/>
  <c r="G235" i="177" a="1"/>
  <c r="G235" i="177" s="1"/>
  <c r="H144" i="176" s="1"/>
  <c r="I235" i="177" a="1"/>
  <c r="I235" i="177" s="1"/>
  <c r="I144" i="176" s="1"/>
  <c r="H235" i="177" a="1"/>
  <c r="H235" i="177" s="1"/>
  <c r="E235" i="177" a="1"/>
  <c r="E235" i="177" s="1"/>
  <c r="F235" i="177" a="1"/>
  <c r="F235" i="177" s="1"/>
  <c r="G142" i="176"/>
  <c r="F233" i="177" a="1"/>
  <c r="F233" i="177" s="1"/>
  <c r="G233" i="177" a="1"/>
  <c r="G233" i="177" s="1"/>
  <c r="H142" i="176" s="1"/>
  <c r="E233" i="177" a="1"/>
  <c r="E233" i="177" s="1"/>
  <c r="I233" i="177" a="1"/>
  <c r="I233" i="177" s="1"/>
  <c r="I142" i="176" s="1"/>
  <c r="H233" i="177" a="1"/>
  <c r="H233" i="177" s="1"/>
  <c r="G206" i="176"/>
  <c r="F297" i="177" a="1"/>
  <c r="F297" i="177" s="1"/>
  <c r="E297" i="177" a="1"/>
  <c r="E297" i="177" s="1"/>
  <c r="I297" i="177" a="1"/>
  <c r="I297" i="177" s="1"/>
  <c r="I206" i="176" s="1"/>
  <c r="H297" i="177" a="1"/>
  <c r="H297" i="177" s="1"/>
  <c r="G297" i="177" a="1"/>
  <c r="G297" i="177" s="1"/>
  <c r="H206" i="176" s="1"/>
  <c r="G438" i="176"/>
  <c r="G529" i="177" a="1"/>
  <c r="G529" i="177" s="1"/>
  <c r="H438" i="176" s="1"/>
  <c r="I529" i="177" a="1"/>
  <c r="I529" i="177" s="1"/>
  <c r="I438" i="176" s="1"/>
  <c r="H529" i="177" a="1"/>
  <c r="H529" i="177" s="1"/>
  <c r="F529" i="177" a="1"/>
  <c r="F529" i="177" s="1"/>
  <c r="E529" i="177" a="1"/>
  <c r="E529" i="177" s="1"/>
  <c r="G255" i="176"/>
  <c r="F346" i="177" a="1"/>
  <c r="F346" i="177" s="1"/>
  <c r="E346" i="177" a="1"/>
  <c r="E346" i="177" s="1"/>
  <c r="G346" i="177" a="1"/>
  <c r="G346" i="177" s="1"/>
  <c r="H255" i="176" s="1"/>
  <c r="H346" i="177" a="1"/>
  <c r="H346" i="177" s="1"/>
  <c r="I346" i="177" a="1"/>
  <c r="I346" i="177" s="1"/>
  <c r="I255" i="176" s="1"/>
  <c r="G306" i="176"/>
  <c r="H397" i="177" a="1"/>
  <c r="H397" i="177" s="1"/>
  <c r="G397" i="177" a="1"/>
  <c r="G397" i="177" s="1"/>
  <c r="H306" i="176" s="1"/>
  <c r="F397" i="177" a="1"/>
  <c r="F397" i="177" s="1"/>
  <c r="E397" i="177" a="1"/>
  <c r="E397" i="177" s="1"/>
  <c r="I397" i="177" a="1"/>
  <c r="I397" i="177" s="1"/>
  <c r="I306" i="176" s="1"/>
  <c r="G393" i="176"/>
  <c r="H484" i="177" a="1"/>
  <c r="H484" i="177" s="1"/>
  <c r="E484" i="177" a="1"/>
  <c r="E484" i="177" s="1"/>
  <c r="F484" i="177" a="1"/>
  <c r="F484" i="177" s="1"/>
  <c r="I484" i="177" a="1"/>
  <c r="I484" i="177" s="1"/>
  <c r="I393" i="176" s="1"/>
  <c r="G484" i="177" a="1"/>
  <c r="G484" i="177" s="1"/>
  <c r="H393" i="176" s="1"/>
  <c r="G108" i="176"/>
  <c r="F199" i="177" a="1"/>
  <c r="F199" i="177" s="1"/>
  <c r="G199" i="177" a="1"/>
  <c r="G199" i="177" s="1"/>
  <c r="H108" i="176" s="1"/>
  <c r="I199" i="177" a="1"/>
  <c r="I199" i="177" s="1"/>
  <c r="I108" i="176" s="1"/>
  <c r="E199" i="177" a="1"/>
  <c r="E199" i="177" s="1"/>
  <c r="H199" i="177" a="1"/>
  <c r="H199" i="177" s="1"/>
  <c r="G379" i="176"/>
  <c r="F470" i="177" a="1"/>
  <c r="F470" i="177" s="1"/>
  <c r="G470" i="177" a="1"/>
  <c r="G470" i="177" s="1"/>
  <c r="H379" i="176" s="1"/>
  <c r="E470" i="177" a="1"/>
  <c r="E470" i="177" s="1"/>
  <c r="H470" i="177" a="1"/>
  <c r="H470" i="177" s="1"/>
  <c r="I470" i="177" a="1"/>
  <c r="I470" i="177" s="1"/>
  <c r="I379" i="176" s="1"/>
  <c r="G170" i="176"/>
  <c r="I261" i="177" a="1"/>
  <c r="I261" i="177" s="1"/>
  <c r="I170" i="176" s="1"/>
  <c r="E261" i="177" a="1"/>
  <c r="E261" i="177" s="1"/>
  <c r="G261" i="177" a="1"/>
  <c r="G261" i="177" s="1"/>
  <c r="H170" i="176" s="1"/>
  <c r="H261" i="177" a="1"/>
  <c r="H261" i="177" s="1"/>
  <c r="F261" i="177" a="1"/>
  <c r="F261" i="177" s="1"/>
  <c r="G100" i="176"/>
  <c r="H191" i="177" a="1"/>
  <c r="H191" i="177" s="1"/>
  <c r="I191" i="177" a="1"/>
  <c r="I191" i="177" s="1"/>
  <c r="I100" i="176" s="1"/>
  <c r="E191" i="177" a="1"/>
  <c r="E191" i="177" s="1"/>
  <c r="G191" i="177" a="1"/>
  <c r="G191" i="177" s="1"/>
  <c r="H100" i="176" s="1"/>
  <c r="F191" i="177" a="1"/>
  <c r="F191" i="177" s="1"/>
  <c r="G354" i="176"/>
  <c r="I445" i="177" a="1"/>
  <c r="I445" i="177" s="1"/>
  <c r="I354" i="176" s="1"/>
  <c r="E445" i="177" a="1"/>
  <c r="E445" i="177" s="1"/>
  <c r="H445" i="177" a="1"/>
  <c r="H445" i="177" s="1"/>
  <c r="G445" i="177" a="1"/>
  <c r="G445" i="177" s="1"/>
  <c r="H354" i="176" s="1"/>
  <c r="F445" i="177" a="1"/>
  <c r="F445" i="177" s="1"/>
  <c r="G395" i="176"/>
  <c r="F486" i="177" a="1"/>
  <c r="F486" i="177" s="1"/>
  <c r="H486" i="177" a="1"/>
  <c r="H486" i="177" s="1"/>
  <c r="G486" i="177" a="1"/>
  <c r="G486" i="177" s="1"/>
  <c r="H395" i="176" s="1"/>
  <c r="I486" i="177" a="1"/>
  <c r="I486" i="177" s="1"/>
  <c r="I395" i="176" s="1"/>
  <c r="E486" i="177" a="1"/>
  <c r="E486" i="177" s="1"/>
  <c r="G231" i="176"/>
  <c r="F322" i="177" a="1"/>
  <c r="F322" i="177" s="1"/>
  <c r="G322" i="177" a="1"/>
  <c r="G322" i="177" s="1"/>
  <c r="H231" i="176" s="1"/>
  <c r="I322" i="177" a="1"/>
  <c r="I322" i="177" s="1"/>
  <c r="I231" i="176" s="1"/>
  <c r="H322" i="177" a="1"/>
  <c r="H322" i="177" s="1"/>
  <c r="E322" i="177" a="1"/>
  <c r="E322" i="177" s="1"/>
  <c r="G282" i="176"/>
  <c r="H373" i="177" a="1"/>
  <c r="H373" i="177" s="1"/>
  <c r="I373" i="177" a="1"/>
  <c r="I373" i="177" s="1"/>
  <c r="I282" i="176" s="1"/>
  <c r="G373" i="177" a="1"/>
  <c r="G373" i="177" s="1"/>
  <c r="H282" i="176" s="1"/>
  <c r="F373" i="177" a="1"/>
  <c r="F373" i="177" s="1"/>
  <c r="E373" i="177" a="1"/>
  <c r="E373" i="177" s="1"/>
  <c r="G177" i="176"/>
  <c r="H268" i="177" a="1"/>
  <c r="H268" i="177" s="1"/>
  <c r="I268" i="177" a="1"/>
  <c r="I268" i="177" s="1"/>
  <c r="I177" i="176" s="1"/>
  <c r="G268" i="177" a="1"/>
  <c r="G268" i="177" s="1"/>
  <c r="H177" i="176" s="1"/>
  <c r="F268" i="177" a="1"/>
  <c r="F268" i="177" s="1"/>
  <c r="E268" i="177" a="1"/>
  <c r="E268" i="177" s="1"/>
  <c r="G464" i="176"/>
  <c r="I555" i="177" a="1"/>
  <c r="I555" i="177" s="1"/>
  <c r="I464" i="176" s="1"/>
  <c r="G555" i="177" a="1"/>
  <c r="G555" i="177" s="1"/>
  <c r="H464" i="176" s="1"/>
  <c r="F555" i="177" a="1"/>
  <c r="F555" i="177" s="1"/>
  <c r="H555" i="177" a="1"/>
  <c r="H555" i="177" s="1"/>
  <c r="E555" i="177" a="1"/>
  <c r="E555" i="177" s="1"/>
  <c r="G232" i="176"/>
  <c r="G323" i="177" a="1"/>
  <c r="G323" i="177" s="1"/>
  <c r="H232" i="176" s="1"/>
  <c r="H323" i="177" a="1"/>
  <c r="H323" i="177" s="1"/>
  <c r="F323" i="177" a="1"/>
  <c r="F323" i="177" s="1"/>
  <c r="E323" i="177" a="1"/>
  <c r="E323" i="177" s="1"/>
  <c r="I323" i="177" a="1"/>
  <c r="I323" i="177" s="1"/>
  <c r="I232" i="176" s="1"/>
  <c r="G157" i="176"/>
  <c r="G248" i="177" a="1"/>
  <c r="G248" i="177" s="1"/>
  <c r="H157" i="176" s="1"/>
  <c r="E248" i="177" a="1"/>
  <c r="E248" i="177" s="1"/>
  <c r="I248" i="177" a="1"/>
  <c r="I248" i="177" s="1"/>
  <c r="I157" i="176" s="1"/>
  <c r="H248" i="177" a="1"/>
  <c r="H248" i="177" s="1"/>
  <c r="F248" i="177" a="1"/>
  <c r="F248" i="177" s="1"/>
  <c r="G350" i="176"/>
  <c r="H441" i="177" a="1"/>
  <c r="H441" i="177" s="1"/>
  <c r="I441" i="177" a="1"/>
  <c r="I441" i="177" s="1"/>
  <c r="I350" i="176" s="1"/>
  <c r="F441" i="177" a="1"/>
  <c r="F441" i="177" s="1"/>
  <c r="G441" i="177" a="1"/>
  <c r="G441" i="177" s="1"/>
  <c r="H350" i="176" s="1"/>
  <c r="E441" i="177" a="1"/>
  <c r="E441" i="177" s="1"/>
  <c r="G213" i="176"/>
  <c r="G304" i="177" a="1"/>
  <c r="G304" i="177" s="1"/>
  <c r="H213" i="176" s="1"/>
  <c r="I304" i="177" a="1"/>
  <c r="I304" i="177" s="1"/>
  <c r="I213" i="176" s="1"/>
  <c r="F304" i="177" a="1"/>
  <c r="F304" i="177" s="1"/>
  <c r="E304" i="177" a="1"/>
  <c r="E304" i="177" s="1"/>
  <c r="H304" i="177" a="1"/>
  <c r="H304" i="177" s="1"/>
  <c r="G139" i="176"/>
  <c r="F230" i="177" a="1"/>
  <c r="F230" i="177" s="1"/>
  <c r="E230" i="177" a="1"/>
  <c r="E230" i="177" s="1"/>
  <c r="G230" i="177" a="1"/>
  <c r="G230" i="177" s="1"/>
  <c r="H139" i="176" s="1"/>
  <c r="I230" i="177" a="1"/>
  <c r="I230" i="177" s="1"/>
  <c r="I139" i="176" s="1"/>
  <c r="H230" i="177" a="1"/>
  <c r="H230" i="177" s="1"/>
  <c r="G283" i="176"/>
  <c r="F374" i="177" a="1"/>
  <c r="F374" i="177" s="1"/>
  <c r="G374" i="177" a="1"/>
  <c r="G374" i="177" s="1"/>
  <c r="H283" i="176" s="1"/>
  <c r="E374" i="177" a="1"/>
  <c r="E374" i="177" s="1"/>
  <c r="I374" i="177" a="1"/>
  <c r="I374" i="177" s="1"/>
  <c r="I283" i="176" s="1"/>
  <c r="H374" i="177" a="1"/>
  <c r="H374" i="177" s="1"/>
  <c r="G248" i="176"/>
  <c r="G339" i="177" a="1"/>
  <c r="G339" i="177" s="1"/>
  <c r="H248" i="176" s="1"/>
  <c r="E339" i="177" a="1"/>
  <c r="E339" i="177" s="1"/>
  <c r="I339" i="177" a="1"/>
  <c r="I339" i="177" s="1"/>
  <c r="I248" i="176" s="1"/>
  <c r="H339" i="177" a="1"/>
  <c r="H339" i="177" s="1"/>
  <c r="F339" i="177" a="1"/>
  <c r="F339" i="177" s="1"/>
  <c r="G468" i="176"/>
  <c r="E559" i="177" a="1"/>
  <c r="E559" i="177" s="1"/>
  <c r="F559" i="177" a="1"/>
  <c r="F559" i="177" s="1"/>
  <c r="H559" i="177" a="1"/>
  <c r="H559" i="177" s="1"/>
  <c r="G559" i="177" a="1"/>
  <c r="G559" i="177" s="1"/>
  <c r="H468" i="176" s="1"/>
  <c r="I559" i="177" a="1"/>
  <c r="I559" i="177" s="1"/>
  <c r="I468" i="176" s="1"/>
  <c r="G173" i="176"/>
  <c r="I264" i="177" a="1"/>
  <c r="I264" i="177" s="1"/>
  <c r="I173" i="176" s="1"/>
  <c r="G264" i="177" a="1"/>
  <c r="G264" i="177" s="1"/>
  <c r="H173" i="176" s="1"/>
  <c r="E264" i="177" a="1"/>
  <c r="E264" i="177" s="1"/>
  <c r="F264" i="177" a="1"/>
  <c r="F264" i="177" s="1"/>
  <c r="H264" i="177" a="1"/>
  <c r="H264" i="177" s="1"/>
  <c r="G245" i="176"/>
  <c r="F336" i="177" a="1"/>
  <c r="F336" i="177" s="1"/>
  <c r="E336" i="177" a="1"/>
  <c r="E336" i="177" s="1"/>
  <c r="I336" i="177" a="1"/>
  <c r="I336" i="177" s="1"/>
  <c r="I245" i="176" s="1"/>
  <c r="H336" i="177" a="1"/>
  <c r="H336" i="177" s="1"/>
  <c r="G336" i="177" a="1"/>
  <c r="G336" i="177" s="1"/>
  <c r="H245" i="176" s="1"/>
  <c r="G369" i="176"/>
  <c r="H460" i="177" a="1"/>
  <c r="H460" i="177" s="1"/>
  <c r="F460" i="177" a="1"/>
  <c r="F460" i="177" s="1"/>
  <c r="I460" i="177" a="1"/>
  <c r="I460" i="177" s="1"/>
  <c r="I369" i="176" s="1"/>
  <c r="E460" i="177" a="1"/>
  <c r="E460" i="177" s="1"/>
  <c r="G460" i="177" a="1"/>
  <c r="G460" i="177" s="1"/>
  <c r="H369" i="176" s="1"/>
  <c r="G467" i="176"/>
  <c r="I558" i="177" a="1"/>
  <c r="I558" i="177" s="1"/>
  <c r="I467" i="176" s="1"/>
  <c r="G558" i="177" a="1"/>
  <c r="G558" i="177" s="1"/>
  <c r="H467" i="176" s="1"/>
  <c r="H558" i="177" a="1"/>
  <c r="H558" i="177" s="1"/>
  <c r="F558" i="177" a="1"/>
  <c r="F558" i="177" s="1"/>
  <c r="E558" i="177" a="1"/>
  <c r="E558" i="177" s="1"/>
  <c r="G250" i="177" a="1"/>
  <c r="G250" i="177" s="1"/>
  <c r="H159" i="176" s="1"/>
  <c r="G159" i="176"/>
  <c r="H250" i="177" a="1"/>
  <c r="H250" i="177" s="1"/>
  <c r="I250" i="177" a="1"/>
  <c r="I250" i="177" s="1"/>
  <c r="I159" i="176" s="1"/>
  <c r="F250" i="177" a="1"/>
  <c r="F250" i="177" s="1"/>
  <c r="E250" i="177" a="1"/>
  <c r="E250" i="177" s="1"/>
  <c r="G442" i="176"/>
  <c r="G533" i="177" a="1"/>
  <c r="G533" i="177" s="1"/>
  <c r="H442" i="176" s="1"/>
  <c r="F533" i="177" a="1"/>
  <c r="F533" i="177" s="1"/>
  <c r="I533" i="177" a="1"/>
  <c r="I533" i="177" s="1"/>
  <c r="I442" i="176" s="1"/>
  <c r="H533" i="177" a="1"/>
  <c r="H533" i="177" s="1"/>
  <c r="E533" i="177" a="1"/>
  <c r="E533" i="177" s="1"/>
  <c r="G48" i="176"/>
  <c r="F139" i="177" a="1"/>
  <c r="F139" i="177" s="1"/>
  <c r="I139" i="177" a="1"/>
  <c r="I139" i="177" s="1"/>
  <c r="I48" i="176" s="1"/>
  <c r="H139" i="177" a="1"/>
  <c r="H139" i="177" s="1"/>
  <c r="G139" i="177" a="1"/>
  <c r="G139" i="177" s="1"/>
  <c r="H48" i="176" s="1"/>
  <c r="E139" i="177" a="1"/>
  <c r="E139" i="177" s="1"/>
  <c r="I136" i="177" a="1"/>
  <c r="I136" i="177" s="1"/>
  <c r="I45" i="176" s="1"/>
  <c r="G45" i="176"/>
  <c r="F136" i="177" a="1"/>
  <c r="F136" i="177" s="1"/>
  <c r="E136" i="177" a="1"/>
  <c r="E136" i="177" s="1"/>
  <c r="H136" i="177" a="1"/>
  <c r="H136" i="177" s="1"/>
  <c r="G136" i="177" a="1"/>
  <c r="G136" i="177" s="1"/>
  <c r="H45" i="176" s="1"/>
  <c r="G54" i="176"/>
  <c r="G145" i="177" a="1"/>
  <c r="G145" i="177" s="1"/>
  <c r="H54" i="176" s="1"/>
  <c r="E145" i="177" a="1"/>
  <c r="E145" i="177" s="1"/>
  <c r="F145" i="177" a="1"/>
  <c r="F145" i="177" s="1"/>
  <c r="I145" i="177" a="1"/>
  <c r="I145" i="177" s="1"/>
  <c r="I54" i="176" s="1"/>
  <c r="H145" i="177" a="1"/>
  <c r="H145" i="177" s="1"/>
  <c r="F119" i="177" a="1"/>
  <c r="F119" i="177" s="1"/>
  <c r="G28" i="176"/>
  <c r="H119" i="177" a="1"/>
  <c r="H119" i="177" s="1"/>
  <c r="E119" i="177" a="1"/>
  <c r="E119" i="177" s="1"/>
  <c r="G119" i="177" a="1"/>
  <c r="G119" i="177" s="1"/>
  <c r="H28" i="176" s="1"/>
  <c r="I119" i="177" a="1"/>
  <c r="I119" i="177" s="1"/>
  <c r="I28" i="176" s="1"/>
  <c r="G59" i="176"/>
  <c r="E150" i="177" a="1"/>
  <c r="E150" i="177" s="1"/>
  <c r="I150" i="177" a="1"/>
  <c r="I150" i="177" s="1"/>
  <c r="I59" i="176" s="1"/>
  <c r="H150" i="177" a="1"/>
  <c r="H150" i="177" s="1"/>
  <c r="G150" i="177" a="1"/>
  <c r="G150" i="177" s="1"/>
  <c r="H59" i="176" s="1"/>
  <c r="F150" i="177" a="1"/>
  <c r="F150" i="177" s="1"/>
  <c r="G32" i="176"/>
  <c r="G123" i="177" a="1"/>
  <c r="G123" i="177" s="1"/>
  <c r="H32" i="176" s="1"/>
  <c r="H123" i="177" a="1"/>
  <c r="H123" i="177" s="1"/>
  <c r="F123" i="177" a="1"/>
  <c r="F123" i="177" s="1"/>
  <c r="E123" i="177" a="1"/>
  <c r="E123" i="177" s="1"/>
  <c r="I123" i="177" a="1"/>
  <c r="I123" i="177" s="1"/>
  <c r="I32" i="176" s="1"/>
  <c r="H153" i="177" a="1"/>
  <c r="H153" i="177" s="1"/>
  <c r="G62" i="176"/>
  <c r="G153" i="177" a="1"/>
  <c r="G153" i="177" s="1"/>
  <c r="H62" i="176" s="1"/>
  <c r="F153" i="177" a="1"/>
  <c r="F153" i="177" s="1"/>
  <c r="E153" i="177" a="1"/>
  <c r="E153" i="177" s="1"/>
  <c r="I153" i="177" a="1"/>
  <c r="I153" i="177" s="1"/>
  <c r="I62" i="176" s="1"/>
  <c r="I232" i="177" a="1"/>
  <c r="I232" i="177" s="1"/>
  <c r="I141" i="176" s="1"/>
  <c r="G232" i="177" a="1"/>
  <c r="G232" i="177" s="1"/>
  <c r="H141" i="176" s="1"/>
  <c r="G141" i="176"/>
  <c r="H232" i="177" a="1"/>
  <c r="H232" i="177" s="1"/>
  <c r="F232" i="177" a="1"/>
  <c r="F232" i="177" s="1"/>
  <c r="E232" i="177" a="1"/>
  <c r="E232" i="177" s="1"/>
  <c r="G96" i="176"/>
  <c r="I187" i="177" a="1"/>
  <c r="I187" i="177" s="1"/>
  <c r="I96" i="176" s="1"/>
  <c r="H187" i="177" a="1"/>
  <c r="H187" i="177" s="1"/>
  <c r="G187" i="177" a="1"/>
  <c r="G187" i="177" s="1"/>
  <c r="H96" i="176" s="1"/>
  <c r="F187" i="177" a="1"/>
  <c r="F187" i="177" s="1"/>
  <c r="E187" i="177" a="1"/>
  <c r="E187" i="177" s="1"/>
  <c r="G367" i="176"/>
  <c r="I458" i="177" a="1"/>
  <c r="I458" i="177" s="1"/>
  <c r="I367" i="176" s="1"/>
  <c r="F458" i="177" a="1"/>
  <c r="F458" i="177" s="1"/>
  <c r="G458" i="177" a="1"/>
  <c r="G458" i="177" s="1"/>
  <c r="H367" i="176" s="1"/>
  <c r="E458" i="177" a="1"/>
  <c r="E458" i="177" s="1"/>
  <c r="H458" i="177" a="1"/>
  <c r="H458" i="177" s="1"/>
  <c r="G560" i="177" a="1"/>
  <c r="G560" i="177" s="1"/>
  <c r="H469" i="176" s="1"/>
  <c r="G469" i="176"/>
  <c r="E560" i="177" a="1"/>
  <c r="E560" i="177" s="1"/>
  <c r="F560" i="177" a="1"/>
  <c r="F560" i="177" s="1"/>
  <c r="I560" i="177" a="1"/>
  <c r="I560" i="177" s="1"/>
  <c r="I469" i="176" s="1"/>
  <c r="H560" i="177" a="1"/>
  <c r="H560" i="177" s="1"/>
  <c r="G273" i="176"/>
  <c r="G364" i="177" a="1"/>
  <c r="G364" i="177" s="1"/>
  <c r="H273" i="176" s="1"/>
  <c r="I364" i="177" a="1"/>
  <c r="I364" i="177" s="1"/>
  <c r="I273" i="176" s="1"/>
  <c r="H364" i="177" a="1"/>
  <c r="H364" i="177" s="1"/>
  <c r="F364" i="177" a="1"/>
  <c r="F364" i="177" s="1"/>
  <c r="E364" i="177" a="1"/>
  <c r="E364" i="177" s="1"/>
  <c r="G150" i="176"/>
  <c r="G241" i="177" a="1"/>
  <c r="G241" i="177" s="1"/>
  <c r="H150" i="176" s="1"/>
  <c r="H241" i="177" a="1"/>
  <c r="H241" i="177" s="1"/>
  <c r="I241" i="177" a="1"/>
  <c r="I241" i="177" s="1"/>
  <c r="I150" i="176" s="1"/>
  <c r="F241" i="177" a="1"/>
  <c r="F241" i="177" s="1"/>
  <c r="E241" i="177" a="1"/>
  <c r="E241" i="177" s="1"/>
  <c r="G378" i="176"/>
  <c r="I469" i="177" a="1"/>
  <c r="I469" i="177" s="1"/>
  <c r="I378" i="176" s="1"/>
  <c r="F469" i="177" a="1"/>
  <c r="F469" i="177" s="1"/>
  <c r="G469" i="177" a="1"/>
  <c r="G469" i="177" s="1"/>
  <c r="H378" i="176" s="1"/>
  <c r="H469" i="177" a="1"/>
  <c r="H469" i="177" s="1"/>
  <c r="E469" i="177" a="1"/>
  <c r="E469" i="177" s="1"/>
  <c r="G334" i="176"/>
  <c r="E425" i="177" a="1"/>
  <c r="E425" i="177" s="1"/>
  <c r="I425" i="177" a="1"/>
  <c r="I425" i="177" s="1"/>
  <c r="I334" i="176" s="1"/>
  <c r="H425" i="177" a="1"/>
  <c r="H425" i="177" s="1"/>
  <c r="G425" i="177" a="1"/>
  <c r="G425" i="177" s="1"/>
  <c r="H334" i="176" s="1"/>
  <c r="F425" i="177" a="1"/>
  <c r="F425" i="177" s="1"/>
  <c r="G415" i="176"/>
  <c r="G506" i="177" a="1"/>
  <c r="G506" i="177" s="1"/>
  <c r="H415" i="176" s="1"/>
  <c r="E506" i="177" a="1"/>
  <c r="E506" i="177" s="1"/>
  <c r="F506" i="177" a="1"/>
  <c r="F506" i="177" s="1"/>
  <c r="I506" i="177" a="1"/>
  <c r="I506" i="177" s="1"/>
  <c r="I415" i="176" s="1"/>
  <c r="H506" i="177" a="1"/>
  <c r="H506" i="177" s="1"/>
  <c r="G397" i="176"/>
  <c r="G488" i="177" a="1"/>
  <c r="G488" i="177" s="1"/>
  <c r="H397" i="176" s="1"/>
  <c r="I488" i="177" a="1"/>
  <c r="I488" i="177" s="1"/>
  <c r="I397" i="176" s="1"/>
  <c r="F488" i="177" a="1"/>
  <c r="F488" i="177" s="1"/>
  <c r="H488" i="177" a="1"/>
  <c r="H488" i="177" s="1"/>
  <c r="E488" i="177" a="1"/>
  <c r="E488" i="177" s="1"/>
  <c r="G440" i="176"/>
  <c r="H531" i="177" a="1"/>
  <c r="H531" i="177" s="1"/>
  <c r="G531" i="177" a="1"/>
  <c r="G531" i="177" s="1"/>
  <c r="H440" i="176" s="1"/>
  <c r="F531" i="177" a="1"/>
  <c r="F531" i="177" s="1"/>
  <c r="E531" i="177" a="1"/>
  <c r="E531" i="177" s="1"/>
  <c r="I531" i="177" a="1"/>
  <c r="I531" i="177" s="1"/>
  <c r="I440" i="176" s="1"/>
  <c r="G171" i="176"/>
  <c r="H262" i="177" a="1"/>
  <c r="H262" i="177" s="1"/>
  <c r="I262" i="177" a="1"/>
  <c r="I262" i="177" s="1"/>
  <c r="I171" i="176" s="1"/>
  <c r="G262" i="177" a="1"/>
  <c r="G262" i="177" s="1"/>
  <c r="H171" i="176" s="1"/>
  <c r="F262" i="177" a="1"/>
  <c r="F262" i="177" s="1"/>
  <c r="E262" i="177" a="1"/>
  <c r="E262" i="177" s="1"/>
  <c r="G234" i="176"/>
  <c r="F325" i="177" a="1"/>
  <c r="F325" i="177" s="1"/>
  <c r="E325" i="177" a="1"/>
  <c r="E325" i="177" s="1"/>
  <c r="G325" i="177" a="1"/>
  <c r="G325" i="177" s="1"/>
  <c r="H234" i="176" s="1"/>
  <c r="I325" i="177" a="1"/>
  <c r="I325" i="177" s="1"/>
  <c r="I234" i="176" s="1"/>
  <c r="H325" i="177" a="1"/>
  <c r="H325" i="177" s="1"/>
  <c r="G461" i="176"/>
  <c r="F552" i="177" a="1"/>
  <c r="F552" i="177" s="1"/>
  <c r="E552" i="177" a="1"/>
  <c r="E552" i="177" s="1"/>
  <c r="I552" i="177" a="1"/>
  <c r="I552" i="177" s="1"/>
  <c r="I461" i="176" s="1"/>
  <c r="H552" i="177" a="1"/>
  <c r="H552" i="177" s="1"/>
  <c r="G552" i="177" a="1"/>
  <c r="G552" i="177" s="1"/>
  <c r="H461" i="176" s="1"/>
  <c r="G488" i="176"/>
  <c r="G579" i="177" a="1"/>
  <c r="G579" i="177" s="1"/>
  <c r="H488" i="176" s="1"/>
  <c r="F579" i="177" a="1"/>
  <c r="F579" i="177" s="1"/>
  <c r="H579" i="177" a="1"/>
  <c r="H579" i="177" s="1"/>
  <c r="E579" i="177" a="1"/>
  <c r="E579" i="177" s="1"/>
  <c r="I579" i="177" a="1"/>
  <c r="I579" i="177" s="1"/>
  <c r="I488" i="176" s="1"/>
  <c r="G268" i="176"/>
  <c r="I359" i="177" a="1"/>
  <c r="I359" i="177" s="1"/>
  <c r="I268" i="176" s="1"/>
  <c r="F359" i="177" a="1"/>
  <c r="F359" i="177" s="1"/>
  <c r="E359" i="177" a="1"/>
  <c r="E359" i="177" s="1"/>
  <c r="H359" i="177" a="1"/>
  <c r="H359" i="177" s="1"/>
  <c r="G359" i="177" a="1"/>
  <c r="G359" i="177" s="1"/>
  <c r="H268" i="176" s="1"/>
  <c r="G361" i="176"/>
  <c r="H452" i="177" a="1"/>
  <c r="H452" i="177" s="1"/>
  <c r="E452" i="177" a="1"/>
  <c r="E452" i="177" s="1"/>
  <c r="G452" i="177" a="1"/>
  <c r="G452" i="177" s="1"/>
  <c r="H361" i="176" s="1"/>
  <c r="I452" i="177" a="1"/>
  <c r="I452" i="177" s="1"/>
  <c r="I361" i="176" s="1"/>
  <c r="F452" i="177" a="1"/>
  <c r="F452" i="177" s="1"/>
  <c r="G372" i="176"/>
  <c r="G463" i="177" a="1"/>
  <c r="G463" i="177" s="1"/>
  <c r="H372" i="176" s="1"/>
  <c r="I463" i="177" a="1"/>
  <c r="I463" i="177" s="1"/>
  <c r="I372" i="176" s="1"/>
  <c r="H463" i="177" a="1"/>
  <c r="H463" i="177" s="1"/>
  <c r="F463" i="177" a="1"/>
  <c r="F463" i="177" s="1"/>
  <c r="E463" i="177" a="1"/>
  <c r="E463" i="177" s="1"/>
  <c r="G193" i="176"/>
  <c r="E284" i="177" a="1"/>
  <c r="E284" i="177" s="1"/>
  <c r="G284" i="177" a="1"/>
  <c r="G284" i="177" s="1"/>
  <c r="H193" i="176" s="1"/>
  <c r="I284" i="177" a="1"/>
  <c r="I284" i="177" s="1"/>
  <c r="I193" i="176" s="1"/>
  <c r="H284" i="177" a="1"/>
  <c r="H284" i="177" s="1"/>
  <c r="F284" i="177" a="1"/>
  <c r="F284" i="177" s="1"/>
  <c r="G356" i="176"/>
  <c r="I447" i="177" a="1"/>
  <c r="I447" i="177" s="1"/>
  <c r="I356" i="176" s="1"/>
  <c r="E447" i="177" a="1"/>
  <c r="E447" i="177" s="1"/>
  <c r="H447" i="177" a="1"/>
  <c r="H447" i="177" s="1"/>
  <c r="G447" i="177" a="1"/>
  <c r="G447" i="177" s="1"/>
  <c r="H356" i="176" s="1"/>
  <c r="F447" i="177" a="1"/>
  <c r="F447" i="177" s="1"/>
  <c r="I214" i="177" a="1"/>
  <c r="I214" i="177" s="1"/>
  <c r="I123" i="176" s="1"/>
  <c r="G123" i="176"/>
  <c r="F214" i="177" a="1"/>
  <c r="F214" i="177" s="1"/>
  <c r="E214" i="177" a="1"/>
  <c r="E214" i="177" s="1"/>
  <c r="G214" i="177" a="1"/>
  <c r="G214" i="177" s="1"/>
  <c r="H123" i="176" s="1"/>
  <c r="H214" i="177" a="1"/>
  <c r="H214" i="177" s="1"/>
  <c r="G204" i="176"/>
  <c r="F295" i="177" a="1"/>
  <c r="F295" i="177" s="1"/>
  <c r="I295" i="177" a="1"/>
  <c r="I295" i="177" s="1"/>
  <c r="I204" i="176" s="1"/>
  <c r="E295" i="177" a="1"/>
  <c r="E295" i="177" s="1"/>
  <c r="H295" i="177" a="1"/>
  <c r="H295" i="177" s="1"/>
  <c r="G295" i="177" a="1"/>
  <c r="G295" i="177" s="1"/>
  <c r="H204" i="176" s="1"/>
  <c r="G443" i="176"/>
  <c r="H534" i="177" a="1"/>
  <c r="H534" i="177" s="1"/>
  <c r="G534" i="177" a="1"/>
  <c r="G534" i="177" s="1"/>
  <c r="H443" i="176" s="1"/>
  <c r="E534" i="177" a="1"/>
  <c r="E534" i="177" s="1"/>
  <c r="F534" i="177" a="1"/>
  <c r="F534" i="177" s="1"/>
  <c r="I534" i="177" a="1"/>
  <c r="I534" i="177" s="1"/>
  <c r="I443" i="176" s="1"/>
  <c r="G344" i="176"/>
  <c r="H435" i="177" a="1"/>
  <c r="H435" i="177" s="1"/>
  <c r="E435" i="177" a="1"/>
  <c r="E435" i="177" s="1"/>
  <c r="I435" i="177" a="1"/>
  <c r="I435" i="177" s="1"/>
  <c r="I344" i="176" s="1"/>
  <c r="G435" i="177" a="1"/>
  <c r="G435" i="177" s="1"/>
  <c r="H344" i="176" s="1"/>
  <c r="F435" i="177" a="1"/>
  <c r="F435" i="177" s="1"/>
  <c r="G165" i="176"/>
  <c r="H256" i="177" a="1"/>
  <c r="H256" i="177" s="1"/>
  <c r="I256" i="177" a="1"/>
  <c r="I256" i="177" s="1"/>
  <c r="I165" i="176" s="1"/>
  <c r="G256" i="177" a="1"/>
  <c r="G256" i="177" s="1"/>
  <c r="H165" i="176" s="1"/>
  <c r="F256" i="177" a="1"/>
  <c r="F256" i="177" s="1"/>
  <c r="E256" i="177" a="1"/>
  <c r="E256" i="177" s="1"/>
  <c r="G362" i="176"/>
  <c r="G453" i="177" a="1"/>
  <c r="G453" i="177" s="1"/>
  <c r="H362" i="176" s="1"/>
  <c r="I453" i="177" a="1"/>
  <c r="I453" i="177" s="1"/>
  <c r="I362" i="176" s="1"/>
  <c r="E453" i="177" a="1"/>
  <c r="E453" i="177" s="1"/>
  <c r="F453" i="177" a="1"/>
  <c r="F453" i="177" s="1"/>
  <c r="H453" i="177" a="1"/>
  <c r="H453" i="177" s="1"/>
  <c r="G337" i="176"/>
  <c r="G428" i="177" a="1"/>
  <c r="G428" i="177" s="1"/>
  <c r="H337" i="176" s="1"/>
  <c r="H428" i="177" a="1"/>
  <c r="H428" i="177" s="1"/>
  <c r="I428" i="177" a="1"/>
  <c r="I428" i="177" s="1"/>
  <c r="I337" i="176" s="1"/>
  <c r="F428" i="177" a="1"/>
  <c r="F428" i="177" s="1"/>
  <c r="E428" i="177" a="1"/>
  <c r="E428" i="177" s="1"/>
  <c r="G348" i="176"/>
  <c r="I439" i="177" a="1"/>
  <c r="I439" i="177" s="1"/>
  <c r="I348" i="176" s="1"/>
  <c r="H439" i="177" a="1"/>
  <c r="H439" i="177" s="1"/>
  <c r="G439" i="177" a="1"/>
  <c r="G439" i="177" s="1"/>
  <c r="H348" i="176" s="1"/>
  <c r="E439" i="177" a="1"/>
  <c r="E439" i="177" s="1"/>
  <c r="F439" i="177" a="1"/>
  <c r="F439" i="177" s="1"/>
  <c r="G151" i="176"/>
  <c r="E242" i="177" a="1"/>
  <c r="E242" i="177" s="1"/>
  <c r="H242" i="177" a="1"/>
  <c r="H242" i="177" s="1"/>
  <c r="G242" i="177" a="1"/>
  <c r="G242" i="177" s="1"/>
  <c r="H151" i="176" s="1"/>
  <c r="I242" i="177" a="1"/>
  <c r="I242" i="177" s="1"/>
  <c r="I151" i="176" s="1"/>
  <c r="F242" i="177" a="1"/>
  <c r="F242" i="177" s="1"/>
  <c r="G295" i="176"/>
  <c r="G386" i="177" a="1"/>
  <c r="G386" i="177" s="1"/>
  <c r="H295" i="176" s="1"/>
  <c r="E386" i="177" a="1"/>
  <c r="E386" i="177" s="1"/>
  <c r="I386" i="177" a="1"/>
  <c r="I386" i="177" s="1"/>
  <c r="I295" i="176" s="1"/>
  <c r="F386" i="177" a="1"/>
  <c r="F386" i="177" s="1"/>
  <c r="H386" i="177" a="1"/>
  <c r="H386" i="177" s="1"/>
  <c r="I432" i="177" a="1"/>
  <c r="I432" i="177" s="1"/>
  <c r="I341" i="176" s="1"/>
  <c r="G341" i="176"/>
  <c r="E432" i="177" a="1"/>
  <c r="E432" i="177" s="1"/>
  <c r="G432" i="177" a="1"/>
  <c r="G432" i="177" s="1"/>
  <c r="H341" i="176" s="1"/>
  <c r="H432" i="177" a="1"/>
  <c r="H432" i="177" s="1"/>
  <c r="F432" i="177" a="1"/>
  <c r="F432" i="177" s="1"/>
  <c r="G480" i="176"/>
  <c r="H571" i="177" a="1"/>
  <c r="H571" i="177" s="1"/>
  <c r="G571" i="177" a="1"/>
  <c r="G571" i="177" s="1"/>
  <c r="H480" i="176" s="1"/>
  <c r="I571" i="177" a="1"/>
  <c r="I571" i="177" s="1"/>
  <c r="I480" i="176" s="1"/>
  <c r="F571" i="177" a="1"/>
  <c r="F571" i="177" s="1"/>
  <c r="E571" i="177" a="1"/>
  <c r="E571" i="177" s="1"/>
  <c r="G179" i="176"/>
  <c r="E270" i="177" a="1"/>
  <c r="E270" i="177" s="1"/>
  <c r="H270" i="177" a="1"/>
  <c r="H270" i="177" s="1"/>
  <c r="G270" i="177" a="1"/>
  <c r="G270" i="177" s="1"/>
  <c r="H179" i="176" s="1"/>
  <c r="I270" i="177" a="1"/>
  <c r="I270" i="177" s="1"/>
  <c r="I179" i="176" s="1"/>
  <c r="F270" i="177" a="1"/>
  <c r="F270" i="177" s="1"/>
  <c r="I342" i="177" a="1"/>
  <c r="I342" i="177" s="1"/>
  <c r="I251" i="176" s="1"/>
  <c r="G251" i="176"/>
  <c r="G342" i="177" a="1"/>
  <c r="G342" i="177" s="1"/>
  <c r="H251" i="176" s="1"/>
  <c r="E342" i="177" a="1"/>
  <c r="E342" i="177" s="1"/>
  <c r="F342" i="177" a="1"/>
  <c r="F342" i="177" s="1"/>
  <c r="H342" i="177" a="1"/>
  <c r="H342" i="177" s="1"/>
  <c r="G107" i="176"/>
  <c r="H198" i="177" a="1"/>
  <c r="H198" i="177" s="1"/>
  <c r="G198" i="177" a="1"/>
  <c r="G198" i="177" s="1"/>
  <c r="H107" i="176" s="1"/>
  <c r="E198" i="177" a="1"/>
  <c r="E198" i="177" s="1"/>
  <c r="I198" i="177" a="1"/>
  <c r="I198" i="177" s="1"/>
  <c r="I107" i="176" s="1"/>
  <c r="F198" i="177" a="1"/>
  <c r="F198" i="177" s="1"/>
  <c r="I106" i="177" a="1"/>
  <c r="I106" i="177" s="1"/>
  <c r="I15" i="176" s="1"/>
  <c r="G15" i="176"/>
  <c r="F106" i="177" a="1"/>
  <c r="F106" i="177" s="1"/>
  <c r="G106" i="177" a="1"/>
  <c r="G106" i="177" s="1"/>
  <c r="H15" i="176" s="1"/>
  <c r="H106" i="177" a="1"/>
  <c r="H106" i="177" s="1"/>
  <c r="E106" i="177" a="1"/>
  <c r="E106" i="177" s="1"/>
  <c r="G160" i="177" a="1"/>
  <c r="G160" i="177" s="1"/>
  <c r="H69" i="176" s="1"/>
  <c r="G69" i="176"/>
  <c r="E160" i="177" a="1"/>
  <c r="E160" i="177" s="1"/>
  <c r="F160" i="177" a="1"/>
  <c r="F160" i="177" s="1"/>
  <c r="I160" i="177" a="1"/>
  <c r="I160" i="177" s="1"/>
  <c r="I69" i="176" s="1"/>
  <c r="H160" i="177" a="1"/>
  <c r="H160" i="177" s="1"/>
  <c r="G138" i="176"/>
  <c r="I229" i="177" a="1"/>
  <c r="I229" i="177" s="1"/>
  <c r="I138" i="176" s="1"/>
  <c r="H229" i="177" a="1"/>
  <c r="H229" i="177" s="1"/>
  <c r="F229" i="177" a="1"/>
  <c r="F229" i="177" s="1"/>
  <c r="E229" i="177" a="1"/>
  <c r="E229" i="177" s="1"/>
  <c r="G229" i="177" a="1"/>
  <c r="G229" i="177" s="1"/>
  <c r="H138" i="176" s="1"/>
  <c r="G476" i="176"/>
  <c r="F567" i="177" a="1"/>
  <c r="F567" i="177" s="1"/>
  <c r="I567" i="177" a="1"/>
  <c r="I567" i="177" s="1"/>
  <c r="I476" i="176" s="1"/>
  <c r="E567" i="177" a="1"/>
  <c r="E567" i="177" s="1"/>
  <c r="H567" i="177" a="1"/>
  <c r="H567" i="177" s="1"/>
  <c r="G567" i="177" a="1"/>
  <c r="G567" i="177" s="1"/>
  <c r="H476" i="176" s="1"/>
  <c r="G199" i="176"/>
  <c r="E290" i="177" a="1"/>
  <c r="E290" i="177" s="1"/>
  <c r="G290" i="177" a="1"/>
  <c r="G290" i="177" s="1"/>
  <c r="H199" i="176" s="1"/>
  <c r="I290" i="177" a="1"/>
  <c r="I290" i="177" s="1"/>
  <c r="I199" i="176" s="1"/>
  <c r="F290" i="177" a="1"/>
  <c r="F290" i="177" s="1"/>
  <c r="H290" i="177" a="1"/>
  <c r="H290" i="177" s="1"/>
  <c r="G118" i="177" a="1"/>
  <c r="G118" i="177" s="1"/>
  <c r="H27" i="176" s="1"/>
  <c r="I118" i="177" a="1"/>
  <c r="I118" i="177" s="1"/>
  <c r="I27" i="176" s="1"/>
  <c r="G27" i="176"/>
  <c r="F118" i="177" a="1"/>
  <c r="F118" i="177" s="1"/>
  <c r="E118" i="177" a="1"/>
  <c r="E118" i="177" s="1"/>
  <c r="H118" i="177" a="1"/>
  <c r="H118" i="177" s="1"/>
  <c r="G30" i="176"/>
  <c r="I121" i="177" a="1"/>
  <c r="I121" i="177" s="1"/>
  <c r="I30" i="176" s="1"/>
  <c r="G121" i="177" a="1"/>
  <c r="G121" i="177" s="1"/>
  <c r="H30" i="176" s="1"/>
  <c r="F121" i="177" a="1"/>
  <c r="F121" i="177" s="1"/>
  <c r="H121" i="177" a="1"/>
  <c r="H121" i="177" s="1"/>
  <c r="E121" i="177" a="1"/>
  <c r="E121" i="177" s="1"/>
  <c r="G80" i="176"/>
  <c r="F171" i="177" a="1"/>
  <c r="F171" i="177" s="1"/>
  <c r="G171" i="177" a="1"/>
  <c r="G171" i="177" s="1"/>
  <c r="H80" i="176" s="1"/>
  <c r="E171" i="177" a="1"/>
  <c r="E171" i="177" s="1"/>
  <c r="I171" i="177" a="1"/>
  <c r="I171" i="177" s="1"/>
  <c r="I80" i="176" s="1"/>
  <c r="H171" i="177" a="1"/>
  <c r="H171" i="177" s="1"/>
  <c r="G89" i="176"/>
  <c r="G180" i="177" a="1"/>
  <c r="G180" i="177" s="1"/>
  <c r="H89" i="176" s="1"/>
  <c r="I180" i="177" a="1"/>
  <c r="I180" i="177" s="1"/>
  <c r="I89" i="176" s="1"/>
  <c r="E180" i="177" a="1"/>
  <c r="E180" i="177" s="1"/>
  <c r="H180" i="177" a="1"/>
  <c r="H180" i="177" s="1"/>
  <c r="F180" i="177" a="1"/>
  <c r="F180" i="177" s="1"/>
  <c r="I140" i="177" a="1"/>
  <c r="I140" i="177" s="1"/>
  <c r="I49" i="176" s="1"/>
  <c r="G49" i="176"/>
  <c r="H140" i="177" a="1"/>
  <c r="H140" i="177" s="1"/>
  <c r="G140" i="177" a="1"/>
  <c r="G140" i="177" s="1"/>
  <c r="H49" i="176" s="1"/>
  <c r="F140" i="177" a="1"/>
  <c r="F140" i="177" s="1"/>
  <c r="E140" i="177" a="1"/>
  <c r="E140" i="177" s="1"/>
  <c r="G58" i="176"/>
  <c r="I149" i="177" a="1"/>
  <c r="I149" i="177" s="1"/>
  <c r="I58" i="176" s="1"/>
  <c r="G149" i="177" a="1"/>
  <c r="G149" i="177" s="1"/>
  <c r="H58" i="176" s="1"/>
  <c r="E149" i="177" a="1"/>
  <c r="E149" i="177" s="1"/>
  <c r="H149" i="177" a="1"/>
  <c r="H149" i="177" s="1"/>
  <c r="F149" i="177" a="1"/>
  <c r="F149" i="177" s="1"/>
  <c r="G52" i="176"/>
  <c r="F143" i="177" a="1"/>
  <c r="F143" i="177" s="1"/>
  <c r="H143" i="177" a="1"/>
  <c r="H143" i="177" s="1"/>
  <c r="E143" i="177" a="1"/>
  <c r="E143" i="177" s="1"/>
  <c r="I143" i="177" a="1"/>
  <c r="I143" i="177" s="1"/>
  <c r="I52" i="176" s="1"/>
  <c r="G143" i="177" a="1"/>
  <c r="G143" i="177" s="1"/>
  <c r="H52" i="176" s="1"/>
  <c r="G400" i="176"/>
  <c r="G491" i="177" a="1"/>
  <c r="G491" i="177" s="1"/>
  <c r="H400" i="176" s="1"/>
  <c r="E491" i="177" a="1"/>
  <c r="E491" i="177" s="1"/>
  <c r="H491" i="177" a="1"/>
  <c r="H491" i="177" s="1"/>
  <c r="F491" i="177" a="1"/>
  <c r="F491" i="177" s="1"/>
  <c r="I491" i="177" a="1"/>
  <c r="I491" i="177" s="1"/>
  <c r="I400" i="176" s="1"/>
  <c r="G364" i="176"/>
  <c r="F455" i="177" a="1"/>
  <c r="F455" i="177" s="1"/>
  <c r="I455" i="177" a="1"/>
  <c r="I455" i="177" s="1"/>
  <c r="I364" i="176" s="1"/>
  <c r="H455" i="177" a="1"/>
  <c r="H455" i="177" s="1"/>
  <c r="G455" i="177" a="1"/>
  <c r="G455" i="177" s="1"/>
  <c r="H364" i="176" s="1"/>
  <c r="E455" i="177" a="1"/>
  <c r="E455" i="177" s="1"/>
  <c r="G269" i="177" a="1"/>
  <c r="G269" i="177" s="1"/>
  <c r="H178" i="176" s="1"/>
  <c r="G178" i="176"/>
  <c r="H269" i="177" a="1"/>
  <c r="H269" i="177" s="1"/>
  <c r="E269" i="177" a="1"/>
  <c r="E269" i="177" s="1"/>
  <c r="I269" i="177" a="1"/>
  <c r="I269" i="177" s="1"/>
  <c r="I178" i="176" s="1"/>
  <c r="F269" i="177" a="1"/>
  <c r="F269" i="177" s="1"/>
  <c r="G305" i="176"/>
  <c r="H396" i="177" a="1"/>
  <c r="H396" i="177" s="1"/>
  <c r="F396" i="177" a="1"/>
  <c r="F396" i="177" s="1"/>
  <c r="G396" i="177" a="1"/>
  <c r="G396" i="177" s="1"/>
  <c r="H305" i="176" s="1"/>
  <c r="I396" i="177" a="1"/>
  <c r="I396" i="177" s="1"/>
  <c r="I305" i="176" s="1"/>
  <c r="E396" i="177" a="1"/>
  <c r="E396" i="177" s="1"/>
  <c r="E292" i="177" a="1"/>
  <c r="E292" i="177" s="1"/>
  <c r="G201" i="176"/>
  <c r="F292" i="177" a="1"/>
  <c r="F292" i="177" s="1"/>
  <c r="H292" i="177" a="1"/>
  <c r="H292" i="177" s="1"/>
  <c r="G292" i="177" a="1"/>
  <c r="G292" i="177" s="1"/>
  <c r="H201" i="176" s="1"/>
  <c r="I292" i="177" a="1"/>
  <c r="I292" i="177" s="1"/>
  <c r="I201" i="176" s="1"/>
  <c r="E437" i="177" a="1"/>
  <c r="E437" i="177" s="1"/>
  <c r="G346" i="176"/>
  <c r="G437" i="177" a="1"/>
  <c r="G437" i="177" s="1"/>
  <c r="H346" i="176" s="1"/>
  <c r="I437" i="177" a="1"/>
  <c r="I437" i="177" s="1"/>
  <c r="I346" i="176" s="1"/>
  <c r="H437" i="177" a="1"/>
  <c r="H437" i="177" s="1"/>
  <c r="F437" i="177" a="1"/>
  <c r="F437" i="177" s="1"/>
  <c r="G267" i="176"/>
  <c r="F358" i="177" a="1"/>
  <c r="F358" i="177" s="1"/>
  <c r="E358" i="177" a="1"/>
  <c r="E358" i="177" s="1"/>
  <c r="H358" i="177" a="1"/>
  <c r="H358" i="177" s="1"/>
  <c r="G358" i="177" a="1"/>
  <c r="G358" i="177" s="1"/>
  <c r="H267" i="176" s="1"/>
  <c r="I358" i="177" a="1"/>
  <c r="I358" i="177" s="1"/>
  <c r="I267" i="176" s="1"/>
  <c r="G486" i="176"/>
  <c r="G577" i="177" a="1"/>
  <c r="G577" i="177" s="1"/>
  <c r="H486" i="176" s="1"/>
  <c r="H577" i="177" a="1"/>
  <c r="H577" i="177" s="1"/>
  <c r="F577" i="177" a="1"/>
  <c r="F577" i="177" s="1"/>
  <c r="E577" i="177" a="1"/>
  <c r="E577" i="177" s="1"/>
  <c r="I577" i="177" a="1"/>
  <c r="I577" i="177" s="1"/>
  <c r="I486" i="176" s="1"/>
  <c r="G286" i="176"/>
  <c r="I377" i="177" a="1"/>
  <c r="I377" i="177" s="1"/>
  <c r="I286" i="176" s="1"/>
  <c r="E377" i="177" a="1"/>
  <c r="E377" i="177" s="1"/>
  <c r="H377" i="177" a="1"/>
  <c r="H377" i="177" s="1"/>
  <c r="G377" i="177" a="1"/>
  <c r="G377" i="177" s="1"/>
  <c r="H286" i="176" s="1"/>
  <c r="F377" i="177" a="1"/>
  <c r="F377" i="177" s="1"/>
  <c r="G241" i="176"/>
  <c r="H332" i="177" a="1"/>
  <c r="H332" i="177" s="1"/>
  <c r="E332" i="177" a="1"/>
  <c r="E332" i="177" s="1"/>
  <c r="I332" i="177" a="1"/>
  <c r="I332" i="177" s="1"/>
  <c r="I241" i="176" s="1"/>
  <c r="G332" i="177" a="1"/>
  <c r="G332" i="177" s="1"/>
  <c r="H241" i="176" s="1"/>
  <c r="F332" i="177" a="1"/>
  <c r="F332" i="177" s="1"/>
  <c r="G136" i="176"/>
  <c r="F227" i="177" a="1"/>
  <c r="F227" i="177" s="1"/>
  <c r="E227" i="177" a="1"/>
  <c r="E227" i="177" s="1"/>
  <c r="H227" i="177" a="1"/>
  <c r="H227" i="177" s="1"/>
  <c r="I227" i="177" a="1"/>
  <c r="I227" i="177" s="1"/>
  <c r="I136" i="176" s="1"/>
  <c r="G227" i="177" a="1"/>
  <c r="G227" i="177" s="1"/>
  <c r="H136" i="176" s="1"/>
  <c r="G296" i="176"/>
  <c r="E387" i="177" a="1"/>
  <c r="E387" i="177" s="1"/>
  <c r="H387" i="177" a="1"/>
  <c r="H387" i="177" s="1"/>
  <c r="F387" i="177" a="1"/>
  <c r="F387" i="177" s="1"/>
  <c r="I387" i="177" a="1"/>
  <c r="I387" i="177" s="1"/>
  <c r="I296" i="176" s="1"/>
  <c r="G387" i="177" a="1"/>
  <c r="G387" i="177" s="1"/>
  <c r="H296" i="176" s="1"/>
  <c r="G114" i="176"/>
  <c r="F205" i="177" a="1"/>
  <c r="F205" i="177" s="1"/>
  <c r="H205" i="177" a="1"/>
  <c r="H205" i="177" s="1"/>
  <c r="I205" i="177" a="1"/>
  <c r="I205" i="177" s="1"/>
  <c r="I114" i="176" s="1"/>
  <c r="G205" i="177" a="1"/>
  <c r="G205" i="177" s="1"/>
  <c r="H114" i="176" s="1"/>
  <c r="E205" i="177" a="1"/>
  <c r="E205" i="177" s="1"/>
  <c r="G338" i="176"/>
  <c r="E429" i="177" a="1"/>
  <c r="E429" i="177" s="1"/>
  <c r="I429" i="177" a="1"/>
  <c r="I429" i="177" s="1"/>
  <c r="I338" i="176" s="1"/>
  <c r="G429" i="177" a="1"/>
  <c r="G429" i="177" s="1"/>
  <c r="H338" i="176" s="1"/>
  <c r="F429" i="177" a="1"/>
  <c r="F429" i="177" s="1"/>
  <c r="H429" i="177" a="1"/>
  <c r="H429" i="177" s="1"/>
  <c r="G380" i="176"/>
  <c r="H471" i="177" a="1"/>
  <c r="H471" i="177" s="1"/>
  <c r="E471" i="177" a="1"/>
  <c r="E471" i="177" s="1"/>
  <c r="F471" i="177" a="1"/>
  <c r="F471" i="177" s="1"/>
  <c r="I471" i="177" a="1"/>
  <c r="I471" i="177" s="1"/>
  <c r="I380" i="176" s="1"/>
  <c r="G471" i="177" a="1"/>
  <c r="G471" i="177" s="1"/>
  <c r="H380" i="176" s="1"/>
  <c r="I221" i="177" a="1"/>
  <c r="I221" i="177" s="1"/>
  <c r="I130" i="176" s="1"/>
  <c r="F221" i="177" a="1"/>
  <c r="F221" i="177" s="1"/>
  <c r="E221" i="177" a="1"/>
  <c r="E221" i="177" s="1"/>
  <c r="G130" i="176"/>
  <c r="G221" i="177" a="1"/>
  <c r="G221" i="177" s="1"/>
  <c r="H130" i="176" s="1"/>
  <c r="H221" i="177" a="1"/>
  <c r="H221" i="177" s="1"/>
  <c r="G205" i="176"/>
  <c r="F296" i="177" a="1"/>
  <c r="F296" i="177" s="1"/>
  <c r="G296" i="177" a="1"/>
  <c r="G296" i="177" s="1"/>
  <c r="H205" i="176" s="1"/>
  <c r="E296" i="177" a="1"/>
  <c r="E296" i="177" s="1"/>
  <c r="I296" i="177" a="1"/>
  <c r="I296" i="177" s="1"/>
  <c r="I205" i="176" s="1"/>
  <c r="H296" i="177" a="1"/>
  <c r="H296" i="177" s="1"/>
  <c r="G262" i="176"/>
  <c r="H353" i="177" a="1"/>
  <c r="H353" i="177" s="1"/>
  <c r="E353" i="177" a="1"/>
  <c r="E353" i="177" s="1"/>
  <c r="G353" i="177" a="1"/>
  <c r="G353" i="177" s="1"/>
  <c r="H262" i="176" s="1"/>
  <c r="I353" i="177" a="1"/>
  <c r="I353" i="177" s="1"/>
  <c r="I262" i="176" s="1"/>
  <c r="F353" i="177" a="1"/>
  <c r="F353" i="177" s="1"/>
  <c r="G238" i="176"/>
  <c r="G329" i="177" a="1"/>
  <c r="G329" i="177" s="1"/>
  <c r="H238" i="176" s="1"/>
  <c r="F329" i="177" a="1"/>
  <c r="F329" i="177" s="1"/>
  <c r="E329" i="177" a="1"/>
  <c r="E329" i="177" s="1"/>
  <c r="I329" i="177" a="1"/>
  <c r="I329" i="177" s="1"/>
  <c r="I238" i="176" s="1"/>
  <c r="H329" i="177" a="1"/>
  <c r="H329" i="177" s="1"/>
  <c r="G351" i="176"/>
  <c r="E442" i="177" a="1"/>
  <c r="E442" i="177" s="1"/>
  <c r="H442" i="177" a="1"/>
  <c r="H442" i="177" s="1"/>
  <c r="G442" i="177" a="1"/>
  <c r="G442" i="177" s="1"/>
  <c r="H351" i="176" s="1"/>
  <c r="I442" i="177" a="1"/>
  <c r="I442" i="177" s="1"/>
  <c r="I351" i="176" s="1"/>
  <c r="F442" i="177" a="1"/>
  <c r="F442" i="177" s="1"/>
  <c r="G450" i="176"/>
  <c r="H541" i="177" a="1"/>
  <c r="H541" i="177" s="1"/>
  <c r="I541" i="177" a="1"/>
  <c r="I541" i="177" s="1"/>
  <c r="I450" i="176" s="1"/>
  <c r="G541" i="177" a="1"/>
  <c r="G541" i="177" s="1"/>
  <c r="H450" i="176" s="1"/>
  <c r="E541" i="177" a="1"/>
  <c r="E541" i="177" s="1"/>
  <c r="F541" i="177" a="1"/>
  <c r="F541" i="177" s="1"/>
  <c r="G454" i="176"/>
  <c r="G545" i="177" a="1"/>
  <c r="G545" i="177" s="1"/>
  <c r="H454" i="176" s="1"/>
  <c r="E545" i="177" a="1"/>
  <c r="E545" i="177" s="1"/>
  <c r="F545" i="177" a="1"/>
  <c r="F545" i="177" s="1"/>
  <c r="I545" i="177" a="1"/>
  <c r="I545" i="177" s="1"/>
  <c r="I454" i="176" s="1"/>
  <c r="H545" i="177" a="1"/>
  <c r="H545" i="177" s="1"/>
  <c r="G297" i="176"/>
  <c r="I388" i="177" a="1"/>
  <c r="I388" i="177" s="1"/>
  <c r="I297" i="176" s="1"/>
  <c r="F388" i="177" a="1"/>
  <c r="F388" i="177" s="1"/>
  <c r="G388" i="177" a="1"/>
  <c r="G388" i="177" s="1"/>
  <c r="H297" i="176" s="1"/>
  <c r="E388" i="177" a="1"/>
  <c r="E388" i="177" s="1"/>
  <c r="H388" i="177" a="1"/>
  <c r="H388" i="177" s="1"/>
  <c r="G396" i="176"/>
  <c r="G487" i="177" a="1"/>
  <c r="G487" i="177" s="1"/>
  <c r="H396" i="176" s="1"/>
  <c r="F487" i="177" a="1"/>
  <c r="F487" i="177" s="1"/>
  <c r="I487" i="177" a="1"/>
  <c r="I487" i="177" s="1"/>
  <c r="I396" i="176" s="1"/>
  <c r="H487" i="177" a="1"/>
  <c r="H487" i="177" s="1"/>
  <c r="E487" i="177" a="1"/>
  <c r="E487" i="177" s="1"/>
  <c r="G484" i="176"/>
  <c r="I575" i="177" a="1"/>
  <c r="I575" i="177" s="1"/>
  <c r="I484" i="176" s="1"/>
  <c r="E575" i="177" a="1"/>
  <c r="E575" i="177" s="1"/>
  <c r="G575" i="177" a="1"/>
  <c r="G575" i="177" s="1"/>
  <c r="H484" i="176" s="1"/>
  <c r="H575" i="177" a="1"/>
  <c r="H575" i="177" s="1"/>
  <c r="F575" i="177" a="1"/>
  <c r="F575" i="177" s="1"/>
  <c r="G250" i="176"/>
  <c r="F341" i="177" a="1"/>
  <c r="F341" i="177" s="1"/>
  <c r="H341" i="177" a="1"/>
  <c r="H341" i="177" s="1"/>
  <c r="G341" i="177" a="1"/>
  <c r="G341" i="177" s="1"/>
  <c r="H250" i="176" s="1"/>
  <c r="E341" i="177" a="1"/>
  <c r="E341" i="177" s="1"/>
  <c r="I341" i="177" a="1"/>
  <c r="I341" i="177" s="1"/>
  <c r="I250" i="176" s="1"/>
  <c r="G482" i="176"/>
  <c r="I573" i="177" a="1"/>
  <c r="I573" i="177" s="1"/>
  <c r="I482" i="176" s="1"/>
  <c r="G573" i="177" a="1"/>
  <c r="G573" i="177" s="1"/>
  <c r="H482" i="176" s="1"/>
  <c r="E573" i="177" a="1"/>
  <c r="E573" i="177" s="1"/>
  <c r="F573" i="177" a="1"/>
  <c r="F573" i="177" s="1"/>
  <c r="H573" i="177" a="1"/>
  <c r="H573" i="177" s="1"/>
  <c r="G254" i="176"/>
  <c r="I345" i="177" a="1"/>
  <c r="I345" i="177" s="1"/>
  <c r="I254" i="176" s="1"/>
  <c r="E345" i="177" a="1"/>
  <c r="E345" i="177" s="1"/>
  <c r="F345" i="177" a="1"/>
  <c r="F345" i="177" s="1"/>
  <c r="H345" i="177" a="1"/>
  <c r="H345" i="177" s="1"/>
  <c r="G345" i="177" a="1"/>
  <c r="G345" i="177" s="1"/>
  <c r="H254" i="176" s="1"/>
  <c r="G163" i="176"/>
  <c r="G254" i="177" a="1"/>
  <c r="G254" i="177" s="1"/>
  <c r="H163" i="176" s="1"/>
  <c r="H254" i="177" a="1"/>
  <c r="H254" i="177" s="1"/>
  <c r="F254" i="177" a="1"/>
  <c r="F254" i="177" s="1"/>
  <c r="E254" i="177" a="1"/>
  <c r="E254" i="177" s="1"/>
  <c r="I254" i="177" a="1"/>
  <c r="I254" i="177" s="1"/>
  <c r="I163" i="176" s="1"/>
  <c r="G307" i="176"/>
  <c r="H398" i="177" a="1"/>
  <c r="H398" i="177" s="1"/>
  <c r="I398" i="177" a="1"/>
  <c r="I398" i="177" s="1"/>
  <c r="I307" i="176" s="1"/>
  <c r="F398" i="177" a="1"/>
  <c r="F398" i="177" s="1"/>
  <c r="G398" i="177" a="1"/>
  <c r="G398" i="177" s="1"/>
  <c r="H307" i="176" s="1"/>
  <c r="E398" i="177" a="1"/>
  <c r="E398" i="177" s="1"/>
  <c r="G355" i="176"/>
  <c r="E446" i="177" a="1"/>
  <c r="E446" i="177" s="1"/>
  <c r="I446" i="177" a="1"/>
  <c r="I446" i="177" s="1"/>
  <c r="I355" i="176" s="1"/>
  <c r="G446" i="177" a="1"/>
  <c r="G446" i="177" s="1"/>
  <c r="H355" i="176" s="1"/>
  <c r="F446" i="177" a="1"/>
  <c r="F446" i="177" s="1"/>
  <c r="H446" i="177" a="1"/>
  <c r="H446" i="177" s="1"/>
  <c r="G323" i="176"/>
  <c r="G414" i="177" a="1"/>
  <c r="G414" i="177" s="1"/>
  <c r="H323" i="176" s="1"/>
  <c r="I414" i="177" a="1"/>
  <c r="I414" i="177" s="1"/>
  <c r="I323" i="176" s="1"/>
  <c r="H414" i="177" a="1"/>
  <c r="H414" i="177" s="1"/>
  <c r="F414" i="177" a="1"/>
  <c r="F414" i="177" s="1"/>
  <c r="E414" i="177" a="1"/>
  <c r="E414" i="177" s="1"/>
  <c r="G185" i="176"/>
  <c r="F276" i="177" a="1"/>
  <c r="F276" i="177" s="1"/>
  <c r="E276" i="177" a="1"/>
  <c r="E276" i="177" s="1"/>
  <c r="H276" i="177" a="1"/>
  <c r="H276" i="177" s="1"/>
  <c r="G276" i="177" a="1"/>
  <c r="G276" i="177" s="1"/>
  <c r="H185" i="176" s="1"/>
  <c r="I276" i="177" a="1"/>
  <c r="I276" i="177" s="1"/>
  <c r="I185" i="176" s="1"/>
  <c r="G257" i="176"/>
  <c r="I348" i="177" a="1"/>
  <c r="I348" i="177" s="1"/>
  <c r="I257" i="176" s="1"/>
  <c r="E348" i="177" a="1"/>
  <c r="E348" i="177" s="1"/>
  <c r="F348" i="177" a="1"/>
  <c r="F348" i="177" s="1"/>
  <c r="H348" i="177" a="1"/>
  <c r="H348" i="177" s="1"/>
  <c r="G348" i="177" a="1"/>
  <c r="G348" i="177" s="1"/>
  <c r="H257" i="176" s="1"/>
  <c r="G119" i="176"/>
  <c r="E210" i="177" a="1"/>
  <c r="E210" i="177" s="1"/>
  <c r="G210" i="177" a="1"/>
  <c r="G210" i="177" s="1"/>
  <c r="H119" i="176" s="1"/>
  <c r="I210" i="177" a="1"/>
  <c r="I210" i="177" s="1"/>
  <c r="I119" i="176" s="1"/>
  <c r="F210" i="177" a="1"/>
  <c r="F210" i="177" s="1"/>
  <c r="H210" i="177" a="1"/>
  <c r="H210" i="177" s="1"/>
  <c r="I146" i="177" a="1"/>
  <c r="I146" i="177" s="1"/>
  <c r="I55" i="176" s="1"/>
  <c r="G55" i="176"/>
  <c r="G146" i="177" a="1"/>
  <c r="G146" i="177" s="1"/>
  <c r="H55" i="176" s="1"/>
  <c r="F146" i="177" a="1"/>
  <c r="F146" i="177" s="1"/>
  <c r="H146" i="177" a="1"/>
  <c r="H146" i="177" s="1"/>
  <c r="E146" i="177" a="1"/>
  <c r="E146" i="177" s="1"/>
  <c r="G473" i="176"/>
  <c r="E564" i="177" a="1"/>
  <c r="E564" i="177" s="1"/>
  <c r="I564" i="177" a="1"/>
  <c r="I564" i="177" s="1"/>
  <c r="I473" i="176" s="1"/>
  <c r="H564" i="177" a="1"/>
  <c r="H564" i="177" s="1"/>
  <c r="F564" i="177" a="1"/>
  <c r="F564" i="177" s="1"/>
  <c r="G564" i="177" a="1"/>
  <c r="G564" i="177" s="1"/>
  <c r="H473" i="176" s="1"/>
  <c r="G256" i="176"/>
  <c r="G347" i="177" a="1"/>
  <c r="G347" i="177" s="1"/>
  <c r="H256" i="176" s="1"/>
  <c r="E347" i="177" a="1"/>
  <c r="E347" i="177" s="1"/>
  <c r="H347" i="177" a="1"/>
  <c r="H347" i="177" s="1"/>
  <c r="I347" i="177" a="1"/>
  <c r="I347" i="177" s="1"/>
  <c r="I256" i="176" s="1"/>
  <c r="F347" i="177" a="1"/>
  <c r="F347" i="177" s="1"/>
  <c r="G164" i="176"/>
  <c r="H255" i="177" a="1"/>
  <c r="H255" i="177" s="1"/>
  <c r="I255" i="177" a="1"/>
  <c r="I255" i="177" s="1"/>
  <c r="I164" i="176" s="1"/>
  <c r="E255" i="177" a="1"/>
  <c r="E255" i="177" s="1"/>
  <c r="G255" i="177" a="1"/>
  <c r="G255" i="177" s="1"/>
  <c r="H164" i="176" s="1"/>
  <c r="F255" i="177" a="1"/>
  <c r="F255" i="177" s="1"/>
  <c r="G144" i="177" a="1"/>
  <c r="G144" i="177" s="1"/>
  <c r="H53" i="176" s="1"/>
  <c r="G53" i="176"/>
  <c r="I144" i="177" a="1"/>
  <c r="I144" i="177" s="1"/>
  <c r="I53" i="176" s="1"/>
  <c r="H144" i="177" a="1"/>
  <c r="H144" i="177" s="1"/>
  <c r="E144" i="177" a="1"/>
  <c r="E144" i="177" s="1"/>
  <c r="F144" i="177" a="1"/>
  <c r="F144" i="177" s="1"/>
  <c r="E174" i="177" a="1"/>
  <c r="E174" i="177" s="1"/>
  <c r="G83" i="176"/>
  <c r="I174" i="177" a="1"/>
  <c r="I174" i="177" s="1"/>
  <c r="I83" i="176" s="1"/>
  <c r="H174" i="177" a="1"/>
  <c r="H174" i="177" s="1"/>
  <c r="G174" i="177" a="1"/>
  <c r="G174" i="177" s="1"/>
  <c r="H83" i="176" s="1"/>
  <c r="F174" i="177" a="1"/>
  <c r="F174" i="177" s="1"/>
  <c r="F115" i="177" a="1"/>
  <c r="F115" i="177" s="1"/>
  <c r="G24" i="176"/>
  <c r="G115" i="177" a="1"/>
  <c r="G115" i="177" s="1"/>
  <c r="H24" i="176" s="1"/>
  <c r="I115" i="177" a="1"/>
  <c r="I115" i="177" s="1"/>
  <c r="I24" i="176" s="1"/>
  <c r="H115" i="177" a="1"/>
  <c r="H115" i="177" s="1"/>
  <c r="E115" i="177" a="1"/>
  <c r="E115" i="177" s="1"/>
  <c r="I148" i="177" a="1"/>
  <c r="I148" i="177" s="1"/>
  <c r="I57" i="176" s="1"/>
  <c r="G57" i="176"/>
  <c r="F148" i="177" a="1"/>
  <c r="F148" i="177" s="1"/>
  <c r="H148" i="177" a="1"/>
  <c r="H148" i="177" s="1"/>
  <c r="G148" i="177" a="1"/>
  <c r="G148" i="177" s="1"/>
  <c r="H57" i="176" s="1"/>
  <c r="E148" i="177" a="1"/>
  <c r="E148" i="177" s="1"/>
  <c r="I134" i="177" a="1"/>
  <c r="I134" i="177" s="1"/>
  <c r="I43" i="176" s="1"/>
  <c r="G43" i="176"/>
  <c r="G134" i="177" a="1"/>
  <c r="G134" i="177" s="1"/>
  <c r="H43" i="176" s="1"/>
  <c r="F134" i="177" a="1"/>
  <c r="F134" i="177" s="1"/>
  <c r="E134" i="177" a="1"/>
  <c r="E134" i="177" s="1"/>
  <c r="H134" i="177" a="1"/>
  <c r="H134" i="177" s="1"/>
  <c r="I142" i="177" a="1"/>
  <c r="I142" i="177" s="1"/>
  <c r="I51" i="176" s="1"/>
  <c r="G51" i="176"/>
  <c r="E142" i="177" a="1"/>
  <c r="E142" i="177" s="1"/>
  <c r="H142" i="177" a="1"/>
  <c r="H142" i="177" s="1"/>
  <c r="G142" i="177" a="1"/>
  <c r="G142" i="177" s="1"/>
  <c r="H51" i="176" s="1"/>
  <c r="F142" i="177" a="1"/>
  <c r="F142" i="177" s="1"/>
  <c r="G74" i="176"/>
  <c r="E165" i="177" a="1"/>
  <c r="E165" i="177" s="1"/>
  <c r="H165" i="177" a="1"/>
  <c r="H165" i="177" s="1"/>
  <c r="F165" i="177" a="1"/>
  <c r="F165" i="177" s="1"/>
  <c r="I165" i="177" a="1"/>
  <c r="I165" i="177" s="1"/>
  <c r="I74" i="176" s="1"/>
  <c r="G165" i="177" a="1"/>
  <c r="G165" i="177" s="1"/>
  <c r="H74" i="176" s="1"/>
  <c r="F109" i="177" a="1"/>
  <c r="F109" i="177" s="1"/>
  <c r="G18" i="176"/>
  <c r="I109" i="177" a="1"/>
  <c r="I109" i="177" s="1"/>
  <c r="I18" i="176" s="1"/>
  <c r="G109" i="177" a="1"/>
  <c r="G109" i="177" s="1"/>
  <c r="H18" i="176" s="1"/>
  <c r="E109" i="177" a="1"/>
  <c r="E109" i="177" s="1"/>
  <c r="H109" i="177" a="1"/>
  <c r="H109" i="177" s="1"/>
  <c r="G407" i="176"/>
  <c r="I498" i="177" a="1"/>
  <c r="I498" i="177" s="1"/>
  <c r="I407" i="176" s="1"/>
  <c r="E498" i="177" a="1"/>
  <c r="E498" i="177" s="1"/>
  <c r="H498" i="177" a="1"/>
  <c r="H498" i="177" s="1"/>
  <c r="G498" i="177" a="1"/>
  <c r="G498" i="177" s="1"/>
  <c r="H407" i="176" s="1"/>
  <c r="F498" i="177" a="1"/>
  <c r="F498" i="177" s="1"/>
  <c r="G418" i="176"/>
  <c r="G509" i="177" a="1"/>
  <c r="G509" i="177" s="1"/>
  <c r="H418" i="176" s="1"/>
  <c r="F509" i="177" a="1"/>
  <c r="F509" i="177" s="1"/>
  <c r="E509" i="177" a="1"/>
  <c r="E509" i="177" s="1"/>
  <c r="I509" i="177" a="1"/>
  <c r="I509" i="177" s="1"/>
  <c r="I418" i="176" s="1"/>
  <c r="H509" i="177" a="1"/>
  <c r="H509" i="177" s="1"/>
  <c r="G242" i="176"/>
  <c r="E333" i="177" a="1"/>
  <c r="E333" i="177" s="1"/>
  <c r="I333" i="177" a="1"/>
  <c r="I333" i="177" s="1"/>
  <c r="I242" i="176" s="1"/>
  <c r="H333" i="177" a="1"/>
  <c r="H333" i="177" s="1"/>
  <c r="G333" i="177" a="1"/>
  <c r="G333" i="177" s="1"/>
  <c r="H242" i="176" s="1"/>
  <c r="F333" i="177" a="1"/>
  <c r="F333" i="177" s="1"/>
  <c r="G374" i="176"/>
  <c r="H465" i="177" a="1"/>
  <c r="H465" i="177" s="1"/>
  <c r="G465" i="177" a="1"/>
  <c r="G465" i="177" s="1"/>
  <c r="H374" i="176" s="1"/>
  <c r="F465" i="177" a="1"/>
  <c r="F465" i="177" s="1"/>
  <c r="I465" i="177" a="1"/>
  <c r="I465" i="177" s="1"/>
  <c r="I374" i="176" s="1"/>
  <c r="E465" i="177" a="1"/>
  <c r="E465" i="177" s="1"/>
  <c r="G314" i="176"/>
  <c r="H405" i="177" a="1"/>
  <c r="H405" i="177" s="1"/>
  <c r="G405" i="177" a="1"/>
  <c r="G405" i="177" s="1"/>
  <c r="H314" i="176" s="1"/>
  <c r="I405" i="177" a="1"/>
  <c r="I405" i="177" s="1"/>
  <c r="I314" i="176" s="1"/>
  <c r="F405" i="177" a="1"/>
  <c r="F405" i="177" s="1"/>
  <c r="E405" i="177" a="1"/>
  <c r="E405" i="177" s="1"/>
  <c r="G98" i="176"/>
  <c r="I189" i="177" a="1"/>
  <c r="I189" i="177" s="1"/>
  <c r="I98" i="176" s="1"/>
  <c r="G189" i="177" a="1"/>
  <c r="G189" i="177" s="1"/>
  <c r="H98" i="176" s="1"/>
  <c r="F189" i="177" a="1"/>
  <c r="F189" i="177" s="1"/>
  <c r="E189" i="177" a="1"/>
  <c r="E189" i="177" s="1"/>
  <c r="H189" i="177" a="1"/>
  <c r="H189" i="177" s="1"/>
  <c r="E280" i="177" a="1"/>
  <c r="E280" i="177" s="1"/>
  <c r="G189" i="176"/>
  <c r="F280" i="177" a="1"/>
  <c r="F280" i="177" s="1"/>
  <c r="H280" i="177" a="1"/>
  <c r="H280" i="177" s="1"/>
  <c r="I280" i="177" a="1"/>
  <c r="I280" i="177" s="1"/>
  <c r="I189" i="176" s="1"/>
  <c r="G280" i="177" a="1"/>
  <c r="G280" i="177" s="1"/>
  <c r="H189" i="176" s="1"/>
  <c r="G325" i="176"/>
  <c r="G416" i="177" a="1"/>
  <c r="G416" i="177" s="1"/>
  <c r="H325" i="176" s="1"/>
  <c r="I416" i="177" a="1"/>
  <c r="I416" i="177" s="1"/>
  <c r="I325" i="176" s="1"/>
  <c r="F416" i="177" a="1"/>
  <c r="F416" i="177" s="1"/>
  <c r="E416" i="177" a="1"/>
  <c r="E416" i="177" s="1"/>
  <c r="H416" i="177" a="1"/>
  <c r="H416" i="177" s="1"/>
  <c r="G172" i="176"/>
  <c r="I263" i="177" a="1"/>
  <c r="I263" i="177" s="1"/>
  <c r="I172" i="176" s="1"/>
  <c r="G263" i="177" a="1"/>
  <c r="G263" i="177" s="1"/>
  <c r="H172" i="176" s="1"/>
  <c r="E263" i="177" a="1"/>
  <c r="E263" i="177" s="1"/>
  <c r="H263" i="177" a="1"/>
  <c r="H263" i="177" s="1"/>
  <c r="F263" i="177" a="1"/>
  <c r="F263" i="177" s="1"/>
  <c r="G188" i="177" a="1"/>
  <c r="G188" i="177" s="1"/>
  <c r="H97" i="176" s="1"/>
  <c r="G97" i="176"/>
  <c r="H188" i="177" a="1"/>
  <c r="H188" i="177" s="1"/>
  <c r="F188" i="177" a="1"/>
  <c r="F188" i="177" s="1"/>
  <c r="E188" i="177" a="1"/>
  <c r="E188" i="177" s="1"/>
  <c r="I188" i="177" a="1"/>
  <c r="I188" i="177" s="1"/>
  <c r="I97" i="176" s="1"/>
  <c r="G408" i="176"/>
  <c r="G499" i="177" a="1"/>
  <c r="G499" i="177" s="1"/>
  <c r="H408" i="176" s="1"/>
  <c r="F499" i="177" a="1"/>
  <c r="F499" i="177" s="1"/>
  <c r="I499" i="177" a="1"/>
  <c r="I499" i="177" s="1"/>
  <c r="I408" i="176" s="1"/>
  <c r="E499" i="177" a="1"/>
  <c r="E499" i="177" s="1"/>
  <c r="H499" i="177" a="1"/>
  <c r="H499" i="177" s="1"/>
  <c r="G194" i="176"/>
  <c r="F285" i="177" a="1"/>
  <c r="F285" i="177" s="1"/>
  <c r="E285" i="177" a="1"/>
  <c r="E285" i="177" s="1"/>
  <c r="H285" i="177" a="1"/>
  <c r="H285" i="177" s="1"/>
  <c r="G285" i="177" a="1"/>
  <c r="G285" i="177" s="1"/>
  <c r="H194" i="176" s="1"/>
  <c r="I285" i="177" a="1"/>
  <c r="I285" i="177" s="1"/>
  <c r="I194" i="176" s="1"/>
  <c r="G501" i="176"/>
  <c r="E592" i="177" a="1"/>
  <c r="E592" i="177" s="1"/>
  <c r="I592" i="177" a="1"/>
  <c r="I592" i="177" s="1"/>
  <c r="I501" i="176" s="1"/>
  <c r="H592" i="177" a="1"/>
  <c r="H592" i="177" s="1"/>
  <c r="F592" i="177" a="1"/>
  <c r="F592" i="177" s="1"/>
  <c r="G592" i="177" a="1"/>
  <c r="G592" i="177" s="1"/>
  <c r="H501" i="176" s="1"/>
  <c r="G342" i="176"/>
  <c r="F433" i="177" a="1"/>
  <c r="F433" i="177" s="1"/>
  <c r="H433" i="177" a="1"/>
  <c r="H433" i="177" s="1"/>
  <c r="I433" i="177" a="1"/>
  <c r="I433" i="177" s="1"/>
  <c r="I342" i="176" s="1"/>
  <c r="G433" i="177" a="1"/>
  <c r="G433" i="177" s="1"/>
  <c r="H342" i="176" s="1"/>
  <c r="E433" i="177" a="1"/>
  <c r="E433" i="177" s="1"/>
  <c r="G439" i="176"/>
  <c r="I530" i="177" a="1"/>
  <c r="I530" i="177" s="1"/>
  <c r="I439" i="176" s="1"/>
  <c r="H530" i="177" a="1"/>
  <c r="H530" i="177" s="1"/>
  <c r="F530" i="177" a="1"/>
  <c r="F530" i="177" s="1"/>
  <c r="G530" i="177" a="1"/>
  <c r="G530" i="177" s="1"/>
  <c r="H439" i="176" s="1"/>
  <c r="E530" i="177" a="1"/>
  <c r="E530" i="177" s="1"/>
  <c r="G357" i="176"/>
  <c r="G448" i="177" a="1"/>
  <c r="G448" i="177" s="1"/>
  <c r="H357" i="176" s="1"/>
  <c r="E448" i="177" a="1"/>
  <c r="E448" i="177" s="1"/>
  <c r="I448" i="177" a="1"/>
  <c r="I448" i="177" s="1"/>
  <c r="I357" i="176" s="1"/>
  <c r="H448" i="177" a="1"/>
  <c r="H448" i="177" s="1"/>
  <c r="F448" i="177" a="1"/>
  <c r="F448" i="177" s="1"/>
  <c r="G446" i="176"/>
  <c r="I537" i="177" a="1"/>
  <c r="I537" i="177" s="1"/>
  <c r="I446" i="176" s="1"/>
  <c r="G537" i="177" a="1"/>
  <c r="G537" i="177" s="1"/>
  <c r="H446" i="176" s="1"/>
  <c r="E537" i="177" a="1"/>
  <c r="E537" i="177" s="1"/>
  <c r="H537" i="177" a="1"/>
  <c r="H537" i="177" s="1"/>
  <c r="F537" i="177" a="1"/>
  <c r="F537" i="177" s="1"/>
  <c r="G118" i="176"/>
  <c r="H209" i="177" a="1"/>
  <c r="H209" i="177" s="1"/>
  <c r="G209" i="177" a="1"/>
  <c r="G209" i="177" s="1"/>
  <c r="H118" i="176" s="1"/>
  <c r="F209" i="177" a="1"/>
  <c r="F209" i="177" s="1"/>
  <c r="E209" i="177" a="1"/>
  <c r="E209" i="177" s="1"/>
  <c r="I209" i="177" a="1"/>
  <c r="I209" i="177" s="1"/>
  <c r="I118" i="176" s="1"/>
  <c r="G332" i="176"/>
  <c r="F423" i="177" a="1"/>
  <c r="F423" i="177" s="1"/>
  <c r="G423" i="177" a="1"/>
  <c r="G423" i="177" s="1"/>
  <c r="H332" i="176" s="1"/>
  <c r="I423" i="177" a="1"/>
  <c r="I423" i="177" s="1"/>
  <c r="I332" i="176" s="1"/>
  <c r="E423" i="177" a="1"/>
  <c r="E423" i="177" s="1"/>
  <c r="H423" i="177" a="1"/>
  <c r="H423" i="177" s="1"/>
  <c r="G483" i="176"/>
  <c r="E574" i="177" a="1"/>
  <c r="E574" i="177" s="1"/>
  <c r="I574" i="177" a="1"/>
  <c r="I574" i="177" s="1"/>
  <c r="I483" i="176" s="1"/>
  <c r="H574" i="177" a="1"/>
  <c r="H574" i="177" s="1"/>
  <c r="G574" i="177" a="1"/>
  <c r="G574" i="177" s="1"/>
  <c r="H483" i="176" s="1"/>
  <c r="F574" i="177" a="1"/>
  <c r="F574" i="177" s="1"/>
  <c r="G272" i="176"/>
  <c r="F363" i="177" a="1"/>
  <c r="F363" i="177" s="1"/>
  <c r="I363" i="177" a="1"/>
  <c r="I363" i="177" s="1"/>
  <c r="I272" i="176" s="1"/>
  <c r="G363" i="177" a="1"/>
  <c r="G363" i="177" s="1"/>
  <c r="H272" i="176" s="1"/>
  <c r="H363" i="177" a="1"/>
  <c r="H363" i="177" s="1"/>
  <c r="E363" i="177" a="1"/>
  <c r="E363" i="177" s="1"/>
  <c r="G477" i="176"/>
  <c r="G568" i="177" a="1"/>
  <c r="G568" i="177" s="1"/>
  <c r="H477" i="176" s="1"/>
  <c r="F568" i="177" a="1"/>
  <c r="F568" i="177" s="1"/>
  <c r="H568" i="177" a="1"/>
  <c r="H568" i="177" s="1"/>
  <c r="E568" i="177" a="1"/>
  <c r="E568" i="177" s="1"/>
  <c r="I568" i="177" a="1"/>
  <c r="I568" i="177" s="1"/>
  <c r="I477" i="176" s="1"/>
  <c r="E316" i="177" a="1"/>
  <c r="E316" i="177" s="1"/>
  <c r="G225" i="176"/>
  <c r="H316" i="177" a="1"/>
  <c r="H316" i="177" s="1"/>
  <c r="G316" i="177" a="1"/>
  <c r="G316" i="177" s="1"/>
  <c r="H225" i="176" s="1"/>
  <c r="I316" i="177" a="1"/>
  <c r="I316" i="177" s="1"/>
  <c r="I225" i="176" s="1"/>
  <c r="F316" i="177" a="1"/>
  <c r="F316" i="177" s="1"/>
  <c r="G276" i="176"/>
  <c r="H367" i="177" a="1"/>
  <c r="H367" i="177" s="1"/>
  <c r="I367" i="177" a="1"/>
  <c r="I367" i="177" s="1"/>
  <c r="I276" i="176" s="1"/>
  <c r="G367" i="177" a="1"/>
  <c r="G367" i="177" s="1"/>
  <c r="H276" i="176" s="1"/>
  <c r="F367" i="177" a="1"/>
  <c r="F367" i="177" s="1"/>
  <c r="E367" i="177" a="1"/>
  <c r="E367" i="177" s="1"/>
  <c r="G412" i="176"/>
  <c r="F503" i="177" a="1"/>
  <c r="F503" i="177" s="1"/>
  <c r="I503" i="177" a="1"/>
  <c r="I503" i="177" s="1"/>
  <c r="I412" i="176" s="1"/>
  <c r="H503" i="177" a="1"/>
  <c r="H503" i="177" s="1"/>
  <c r="G503" i="177" a="1"/>
  <c r="G503" i="177" s="1"/>
  <c r="H412" i="176" s="1"/>
  <c r="E503" i="177" a="1"/>
  <c r="E503" i="177" s="1"/>
  <c r="G515" i="176"/>
  <c r="H606" i="177" a="1"/>
  <c r="H606" i="177" s="1"/>
  <c r="E606" i="177" a="1"/>
  <c r="E606" i="177" s="1"/>
  <c r="I606" i="177" a="1"/>
  <c r="I606" i="177" s="1"/>
  <c r="I515" i="176" s="1"/>
  <c r="G606" i="177" a="1"/>
  <c r="G606" i="177" s="1"/>
  <c r="H515" i="176" s="1"/>
  <c r="F606" i="177" a="1"/>
  <c r="F606" i="177" s="1"/>
  <c r="G602" i="177" a="1"/>
  <c r="G602" i="177" s="1"/>
  <c r="H511" i="176" s="1"/>
  <c r="G511" i="176"/>
  <c r="H602" i="177" a="1"/>
  <c r="H602" i="177" s="1"/>
  <c r="I602" i="177" a="1"/>
  <c r="I602" i="177" s="1"/>
  <c r="I511" i="176" s="1"/>
  <c r="F602" i="177" a="1"/>
  <c r="F602" i="177" s="1"/>
  <c r="E602" i="177" a="1"/>
  <c r="E602" i="177" s="1"/>
  <c r="G498" i="176"/>
  <c r="I589" i="177" a="1"/>
  <c r="I589" i="177" s="1"/>
  <c r="I498" i="176" s="1"/>
  <c r="H589" i="177" a="1"/>
  <c r="H589" i="177" s="1"/>
  <c r="G589" i="177" a="1"/>
  <c r="G589" i="177" s="1"/>
  <c r="H498" i="176" s="1"/>
  <c r="F589" i="177" a="1"/>
  <c r="F589" i="177" s="1"/>
  <c r="E589" i="177" a="1"/>
  <c r="E589" i="177" s="1"/>
  <c r="G175" i="176"/>
  <c r="E266" i="177" a="1"/>
  <c r="E266" i="177" s="1"/>
  <c r="F266" i="177" a="1"/>
  <c r="F266" i="177" s="1"/>
  <c r="I266" i="177" a="1"/>
  <c r="I266" i="177" s="1"/>
  <c r="I175" i="176" s="1"/>
  <c r="H266" i="177" a="1"/>
  <c r="H266" i="177" s="1"/>
  <c r="G266" i="177" a="1"/>
  <c r="G266" i="177" s="1"/>
  <c r="H175" i="176" s="1"/>
  <c r="G347" i="176"/>
  <c r="E438" i="177" a="1"/>
  <c r="E438" i="177" s="1"/>
  <c r="I438" i="177" a="1"/>
  <c r="I438" i="177" s="1"/>
  <c r="I347" i="176" s="1"/>
  <c r="F438" i="177" a="1"/>
  <c r="F438" i="177" s="1"/>
  <c r="H438" i="177" a="1"/>
  <c r="H438" i="177" s="1"/>
  <c r="G438" i="177" a="1"/>
  <c r="G438" i="177" s="1"/>
  <c r="H347" i="176" s="1"/>
  <c r="G377" i="176"/>
  <c r="F468" i="177" a="1"/>
  <c r="F468" i="177" s="1"/>
  <c r="I468" i="177" a="1"/>
  <c r="I468" i="177" s="1"/>
  <c r="I377" i="176" s="1"/>
  <c r="E468" i="177" a="1"/>
  <c r="E468" i="177" s="1"/>
  <c r="G468" i="177" a="1"/>
  <c r="G468" i="177" s="1"/>
  <c r="H377" i="176" s="1"/>
  <c r="H468" i="177" a="1"/>
  <c r="H468" i="177" s="1"/>
  <c r="G101" i="176"/>
  <c r="G192" i="177" a="1"/>
  <c r="G192" i="177" s="1"/>
  <c r="H101" i="176" s="1"/>
  <c r="E192" i="177" a="1"/>
  <c r="E192" i="177" s="1"/>
  <c r="I192" i="177" a="1"/>
  <c r="I192" i="177" s="1"/>
  <c r="I101" i="176" s="1"/>
  <c r="F192" i="177" a="1"/>
  <c r="F192" i="177" s="1"/>
  <c r="H192" i="177" a="1"/>
  <c r="H192" i="177" s="1"/>
  <c r="G191" i="176"/>
  <c r="E282" i="177" a="1"/>
  <c r="E282" i="177" s="1"/>
  <c r="H282" i="177" a="1"/>
  <c r="H282" i="177" s="1"/>
  <c r="G282" i="177" a="1"/>
  <c r="G282" i="177" s="1"/>
  <c r="H191" i="176" s="1"/>
  <c r="I282" i="177" a="1"/>
  <c r="I282" i="177" s="1"/>
  <c r="I191" i="176" s="1"/>
  <c r="F282" i="177" a="1"/>
  <c r="F282" i="177" s="1"/>
  <c r="G263" i="176"/>
  <c r="G354" i="177" a="1"/>
  <c r="G354" i="177" s="1"/>
  <c r="H263" i="176" s="1"/>
  <c r="F354" i="177" a="1"/>
  <c r="F354" i="177" s="1"/>
  <c r="E354" i="177" a="1"/>
  <c r="E354" i="177" s="1"/>
  <c r="I354" i="177" a="1"/>
  <c r="I354" i="177" s="1"/>
  <c r="I263" i="176" s="1"/>
  <c r="H354" i="177" a="1"/>
  <c r="H354" i="177" s="1"/>
  <c r="I222" i="177" a="1"/>
  <c r="I222" i="177" s="1"/>
  <c r="I131" i="176" s="1"/>
  <c r="G131" i="176"/>
  <c r="H222" i="177" a="1"/>
  <c r="H222" i="177" s="1"/>
  <c r="G222" i="177" a="1"/>
  <c r="G222" i="177" s="1"/>
  <c r="H131" i="176" s="1"/>
  <c r="E222" i="177" a="1"/>
  <c r="E222" i="177" s="1"/>
  <c r="F222" i="177" a="1"/>
  <c r="F222" i="177" s="1"/>
  <c r="F105" i="177" a="1"/>
  <c r="F105" i="177" s="1"/>
  <c r="G14" i="176"/>
  <c r="E105" i="177" a="1"/>
  <c r="E105" i="177" s="1"/>
  <c r="G105" i="177" a="1"/>
  <c r="G105" i="177" s="1"/>
  <c r="H14" i="176" s="1"/>
  <c r="I105" i="177" a="1"/>
  <c r="I105" i="177" s="1"/>
  <c r="I14" i="176" s="1"/>
  <c r="H105" i="177" a="1"/>
  <c r="H105" i="177" s="1"/>
  <c r="G152" i="177" a="1"/>
  <c r="G152" i="177" s="1"/>
  <c r="H61" i="176" s="1"/>
  <c r="I152" i="177" a="1"/>
  <c r="I152" i="177" s="1"/>
  <c r="I61" i="176" s="1"/>
  <c r="H152" i="177" a="1"/>
  <c r="H152" i="177" s="1"/>
  <c r="E152" i="177" a="1"/>
  <c r="E152" i="177" s="1"/>
  <c r="G61" i="176"/>
  <c r="F152" i="177" a="1"/>
  <c r="F152" i="177" s="1"/>
  <c r="G160" i="176"/>
  <c r="G251" i="177" a="1"/>
  <c r="G251" i="177" s="1"/>
  <c r="H160" i="176" s="1"/>
  <c r="F251" i="177" a="1"/>
  <c r="F251" i="177" s="1"/>
  <c r="E251" i="177" a="1"/>
  <c r="E251" i="177" s="1"/>
  <c r="I251" i="177" a="1"/>
  <c r="I251" i="177" s="1"/>
  <c r="I160" i="176" s="1"/>
  <c r="H251" i="177" a="1"/>
  <c r="H251" i="177" s="1"/>
  <c r="G181" i="176"/>
  <c r="E272" i="177" a="1"/>
  <c r="E272" i="177" s="1"/>
  <c r="I272" i="177" a="1"/>
  <c r="I272" i="177" s="1"/>
  <c r="I181" i="176" s="1"/>
  <c r="H272" i="177" a="1"/>
  <c r="H272" i="177" s="1"/>
  <c r="G272" i="177" a="1"/>
  <c r="G272" i="177" s="1"/>
  <c r="H181" i="176" s="1"/>
  <c r="F272" i="177" a="1"/>
  <c r="F272" i="177" s="1"/>
  <c r="G10" i="176"/>
  <c r="E101" i="177" a="1"/>
  <c r="E101" i="177" s="1"/>
  <c r="F101" i="177" a="1"/>
  <c r="F101" i="177" s="1"/>
  <c r="H101" i="177" a="1"/>
  <c r="H101" i="177" s="1"/>
  <c r="I101" i="177" a="1"/>
  <c r="I101" i="177" s="1"/>
  <c r="I10" i="176" s="1"/>
  <c r="G101" i="177" a="1"/>
  <c r="G101" i="177" s="1"/>
  <c r="H10" i="176" s="1"/>
  <c r="G79" i="176"/>
  <c r="I170" i="177" a="1"/>
  <c r="I170" i="177" s="1"/>
  <c r="I79" i="176" s="1"/>
  <c r="H170" i="177" a="1"/>
  <c r="H170" i="177" s="1"/>
  <c r="G170" i="177" a="1"/>
  <c r="G170" i="177" s="1"/>
  <c r="H79" i="176" s="1"/>
  <c r="F170" i="177" a="1"/>
  <c r="F170" i="177" s="1"/>
  <c r="E170" i="177" a="1"/>
  <c r="E170" i="177" s="1"/>
  <c r="G56" i="176"/>
  <c r="G147" i="177" a="1"/>
  <c r="G147" i="177" s="1"/>
  <c r="H56" i="176" s="1"/>
  <c r="F147" i="177" a="1"/>
  <c r="F147" i="177" s="1"/>
  <c r="E147" i="177" a="1"/>
  <c r="E147" i="177" s="1"/>
  <c r="I147" i="177" a="1"/>
  <c r="I147" i="177" s="1"/>
  <c r="I56" i="176" s="1"/>
  <c r="H147" i="177" a="1"/>
  <c r="H147" i="177" s="1"/>
  <c r="G86" i="176"/>
  <c r="H177" i="177" a="1"/>
  <c r="H177" i="177" s="1"/>
  <c r="G177" i="177" a="1"/>
  <c r="G177" i="177" s="1"/>
  <c r="H86" i="176" s="1"/>
  <c r="F177" i="177" a="1"/>
  <c r="F177" i="177" s="1"/>
  <c r="E177" i="177" a="1"/>
  <c r="E177" i="177" s="1"/>
  <c r="I177" i="177" a="1"/>
  <c r="I177" i="177" s="1"/>
  <c r="I86" i="176" s="1"/>
  <c r="F155" i="177" a="1"/>
  <c r="F155" i="177" s="1"/>
  <c r="G64" i="176"/>
  <c r="E155" i="177" a="1"/>
  <c r="E155" i="177" s="1"/>
  <c r="I155" i="177" a="1"/>
  <c r="I155" i="177" s="1"/>
  <c r="I64" i="176" s="1"/>
  <c r="H155" i="177" a="1"/>
  <c r="H155" i="177" s="1"/>
  <c r="G155" i="177" a="1"/>
  <c r="G155" i="177" s="1"/>
  <c r="H64" i="176" s="1"/>
  <c r="F111" i="177" a="1"/>
  <c r="F111" i="177" s="1"/>
  <c r="G20" i="176"/>
  <c r="E111" i="177" a="1"/>
  <c r="E111" i="177" s="1"/>
  <c r="G111" i="177" a="1"/>
  <c r="G111" i="177" s="1"/>
  <c r="H20" i="176" s="1"/>
  <c r="I111" i="177" a="1"/>
  <c r="I111" i="177" s="1"/>
  <c r="I20" i="176" s="1"/>
  <c r="H111" i="177" a="1"/>
  <c r="H111" i="177" s="1"/>
  <c r="I120" i="177" a="1"/>
  <c r="I120" i="177" s="1"/>
  <c r="I29" i="176" s="1"/>
  <c r="G29" i="176"/>
  <c r="F120" i="177" a="1"/>
  <c r="F120" i="177" s="1"/>
  <c r="G120" i="177" a="1"/>
  <c r="G120" i="177" s="1"/>
  <c r="H29" i="176" s="1"/>
  <c r="H120" i="177" a="1"/>
  <c r="H120" i="177" s="1"/>
  <c r="E120" i="177" a="1"/>
  <c r="E120" i="177" s="1"/>
  <c r="E162" i="177" a="1"/>
  <c r="E162" i="177" s="1"/>
  <c r="I162" i="177" a="1"/>
  <c r="I162" i="177" s="1"/>
  <c r="I71" i="176" s="1"/>
  <c r="G162" i="177" a="1"/>
  <c r="G162" i="177" s="1"/>
  <c r="H71" i="176" s="1"/>
  <c r="F162" i="177" a="1"/>
  <c r="F162" i="177" s="1"/>
  <c r="G71" i="176"/>
  <c r="H162" i="177" a="1"/>
  <c r="H162" i="177" s="1"/>
  <c r="E158" i="177" a="1"/>
  <c r="E158" i="177" s="1"/>
  <c r="G67" i="176"/>
  <c r="I158" i="177" a="1"/>
  <c r="I158" i="177" s="1"/>
  <c r="I67" i="176" s="1"/>
  <c r="H158" i="177" a="1"/>
  <c r="H158" i="177" s="1"/>
  <c r="F158" i="177" a="1"/>
  <c r="F158" i="177" s="1"/>
  <c r="G158" i="177" a="1"/>
  <c r="G158" i="177" s="1"/>
  <c r="H67" i="176" s="1"/>
  <c r="I524" i="177" a="1"/>
  <c r="I524" i="177" s="1"/>
  <c r="I433" i="176" s="1"/>
  <c r="G433" i="176"/>
  <c r="H524" i="177" a="1"/>
  <c r="H524" i="177" s="1"/>
  <c r="E524" i="177" a="1"/>
  <c r="E524" i="177" s="1"/>
  <c r="F524" i="177" a="1"/>
  <c r="F524" i="177" s="1"/>
  <c r="G524" i="177" a="1"/>
  <c r="G524" i="177" s="1"/>
  <c r="H433" i="176" s="1"/>
  <c r="G471" i="176"/>
  <c r="I562" i="177" a="1"/>
  <c r="I562" i="177" s="1"/>
  <c r="I471" i="176" s="1"/>
  <c r="H562" i="177" a="1"/>
  <c r="H562" i="177" s="1"/>
  <c r="G562" i="177" a="1"/>
  <c r="G562" i="177" s="1"/>
  <c r="H471" i="176" s="1"/>
  <c r="F562" i="177" a="1"/>
  <c r="F562" i="177" s="1"/>
  <c r="E562" i="177" a="1"/>
  <c r="E562" i="177" s="1"/>
  <c r="G503" i="176"/>
  <c r="H594" i="177" a="1"/>
  <c r="H594" i="177" s="1"/>
  <c r="I594" i="177" a="1"/>
  <c r="I594" i="177" s="1"/>
  <c r="I503" i="176" s="1"/>
  <c r="G594" i="177" a="1"/>
  <c r="G594" i="177" s="1"/>
  <c r="H503" i="176" s="1"/>
  <c r="F594" i="177" a="1"/>
  <c r="F594" i="177" s="1"/>
  <c r="E594" i="177" a="1"/>
  <c r="E594" i="177" s="1"/>
  <c r="G499" i="176"/>
  <c r="H590" i="177" a="1"/>
  <c r="H590" i="177" s="1"/>
  <c r="G590" i="177" a="1"/>
  <c r="G590" i="177" s="1"/>
  <c r="H499" i="176" s="1"/>
  <c r="F590" i="177" a="1"/>
  <c r="F590" i="177" s="1"/>
  <c r="E590" i="177" a="1"/>
  <c r="E590" i="177" s="1"/>
  <c r="I590" i="177" a="1"/>
  <c r="I590" i="177" s="1"/>
  <c r="I499" i="176" s="1"/>
  <c r="G230" i="176"/>
  <c r="E321" i="177" a="1"/>
  <c r="E321" i="177" s="1"/>
  <c r="I321" i="177" a="1"/>
  <c r="I321" i="177" s="1"/>
  <c r="I230" i="176" s="1"/>
  <c r="H321" i="177" a="1"/>
  <c r="H321" i="177" s="1"/>
  <c r="G321" i="177" a="1"/>
  <c r="G321" i="177" s="1"/>
  <c r="H230" i="176" s="1"/>
  <c r="F321" i="177" a="1"/>
  <c r="F321" i="177" s="1"/>
  <c r="G500" i="176"/>
  <c r="G591" i="177" a="1"/>
  <c r="G591" i="177" s="1"/>
  <c r="H500" i="176" s="1"/>
  <c r="F591" i="177" a="1"/>
  <c r="F591" i="177" s="1"/>
  <c r="E591" i="177" a="1"/>
  <c r="E591" i="177" s="1"/>
  <c r="I591" i="177" a="1"/>
  <c r="I591" i="177" s="1"/>
  <c r="I500" i="176" s="1"/>
  <c r="H591" i="177" a="1"/>
  <c r="H591" i="177" s="1"/>
  <c r="G399" i="176"/>
  <c r="F490" i="177" a="1"/>
  <c r="F490" i="177" s="1"/>
  <c r="I490" i="177" a="1"/>
  <c r="I490" i="177" s="1"/>
  <c r="I399" i="176" s="1"/>
  <c r="G490" i="177" a="1"/>
  <c r="G490" i="177" s="1"/>
  <c r="H399" i="176" s="1"/>
  <c r="H490" i="177" a="1"/>
  <c r="H490" i="177" s="1"/>
  <c r="E490" i="177" a="1"/>
  <c r="E490" i="177" s="1"/>
  <c r="G246" i="176"/>
  <c r="I337" i="177" a="1"/>
  <c r="I337" i="177" s="1"/>
  <c r="I246" i="176" s="1"/>
  <c r="E337" i="177" a="1"/>
  <c r="E337" i="177" s="1"/>
  <c r="H337" i="177" a="1"/>
  <c r="H337" i="177" s="1"/>
  <c r="G337" i="177" a="1"/>
  <c r="G337" i="177" s="1"/>
  <c r="H246" i="176" s="1"/>
  <c r="F337" i="177" a="1"/>
  <c r="F337" i="177" s="1"/>
  <c r="G492" i="176"/>
  <c r="I583" i="177" a="1"/>
  <c r="I583" i="177" s="1"/>
  <c r="I492" i="176" s="1"/>
  <c r="G583" i="177" a="1"/>
  <c r="G583" i="177" s="1"/>
  <c r="H492" i="176" s="1"/>
  <c r="F583" i="177" a="1"/>
  <c r="F583" i="177" s="1"/>
  <c r="E583" i="177" a="1"/>
  <c r="E583" i="177" s="1"/>
  <c r="H583" i="177" a="1"/>
  <c r="H583" i="177" s="1"/>
  <c r="G132" i="176"/>
  <c r="I223" i="177" a="1"/>
  <c r="I223" i="177" s="1"/>
  <c r="I132" i="176" s="1"/>
  <c r="F223" i="177" a="1"/>
  <c r="F223" i="177" s="1"/>
  <c r="G223" i="177" a="1"/>
  <c r="G223" i="177" s="1"/>
  <c r="H132" i="176" s="1"/>
  <c r="H223" i="177" a="1"/>
  <c r="H223" i="177" s="1"/>
  <c r="E223" i="177" a="1"/>
  <c r="E223" i="177" s="1"/>
  <c r="G280" i="176"/>
  <c r="H371" i="177" a="1"/>
  <c r="H371" i="177" s="1"/>
  <c r="F371" i="177" a="1"/>
  <c r="F371" i="177" s="1"/>
  <c r="I371" i="177" a="1"/>
  <c r="I371" i="177" s="1"/>
  <c r="I280" i="176" s="1"/>
  <c r="E371" i="177" a="1"/>
  <c r="E371" i="177" s="1"/>
  <c r="G371" i="177" a="1"/>
  <c r="G371" i="177" s="1"/>
  <c r="H280" i="176" s="1"/>
  <c r="G390" i="176"/>
  <c r="I481" i="177" a="1"/>
  <c r="I481" i="177" s="1"/>
  <c r="I390" i="176" s="1"/>
  <c r="F481" i="177" a="1"/>
  <c r="F481" i="177" s="1"/>
  <c r="G481" i="177" a="1"/>
  <c r="G481" i="177" s="1"/>
  <c r="H390" i="176" s="1"/>
  <c r="H481" i="177" a="1"/>
  <c r="H481" i="177" s="1"/>
  <c r="E481" i="177" a="1"/>
  <c r="E481" i="177" s="1"/>
  <c r="G470" i="176"/>
  <c r="H561" i="177" a="1"/>
  <c r="H561" i="177" s="1"/>
  <c r="I561" i="177" a="1"/>
  <c r="I561" i="177" s="1"/>
  <c r="I470" i="176" s="1"/>
  <c r="G561" i="177" a="1"/>
  <c r="G561" i="177" s="1"/>
  <c r="H470" i="176" s="1"/>
  <c r="F561" i="177" a="1"/>
  <c r="F561" i="177" s="1"/>
  <c r="E561" i="177" a="1"/>
  <c r="E561" i="177" s="1"/>
  <c r="I340" i="177" a="1"/>
  <c r="I340" i="177" s="1"/>
  <c r="I249" i="176" s="1"/>
  <c r="H340" i="177" a="1"/>
  <c r="H340" i="177" s="1"/>
  <c r="G249" i="176"/>
  <c r="E340" i="177" a="1"/>
  <c r="E340" i="177" s="1"/>
  <c r="F340" i="177" a="1"/>
  <c r="F340" i="177" s="1"/>
  <c r="G340" i="177" a="1"/>
  <c r="G340" i="177" s="1"/>
  <c r="H249" i="176" s="1"/>
  <c r="G300" i="176"/>
  <c r="I391" i="177" a="1"/>
  <c r="I391" i="177" s="1"/>
  <c r="I300" i="176" s="1"/>
  <c r="F391" i="177" a="1"/>
  <c r="F391" i="177" s="1"/>
  <c r="G391" i="177" a="1"/>
  <c r="G391" i="177" s="1"/>
  <c r="H300" i="176" s="1"/>
  <c r="H391" i="177" a="1"/>
  <c r="H391" i="177" s="1"/>
  <c r="E391" i="177" a="1"/>
  <c r="E391" i="177" s="1"/>
  <c r="G508" i="176"/>
  <c r="E599" i="177" a="1"/>
  <c r="E599" i="177" s="1"/>
  <c r="H599" i="177" a="1"/>
  <c r="H599" i="177" s="1"/>
  <c r="I599" i="177" a="1"/>
  <c r="I599" i="177" s="1"/>
  <c r="I508" i="176" s="1"/>
  <c r="F599" i="177" a="1"/>
  <c r="F599" i="177" s="1"/>
  <c r="G599" i="177" a="1"/>
  <c r="G599" i="177" s="1"/>
  <c r="H508" i="176" s="1"/>
  <c r="F185" i="177" a="1"/>
  <c r="F185" i="177" s="1"/>
  <c r="E185" i="177" a="1"/>
  <c r="E185" i="177" s="1"/>
  <c r="G94" i="176"/>
  <c r="H185" i="177" a="1"/>
  <c r="H185" i="177" s="1"/>
  <c r="I185" i="177" a="1"/>
  <c r="I185" i="177" s="1"/>
  <c r="I94" i="176" s="1"/>
  <c r="G185" i="177" a="1"/>
  <c r="G185" i="177" s="1"/>
  <c r="H94" i="176" s="1"/>
  <c r="G329" i="176"/>
  <c r="I420" i="177" a="1"/>
  <c r="I420" i="177" s="1"/>
  <c r="I329" i="176" s="1"/>
  <c r="G420" i="177" a="1"/>
  <c r="G420" i="177" s="1"/>
  <c r="H329" i="176" s="1"/>
  <c r="E420" i="177" a="1"/>
  <c r="E420" i="177" s="1"/>
  <c r="H420" i="177" a="1"/>
  <c r="H420" i="177" s="1"/>
  <c r="F420" i="177" a="1"/>
  <c r="F420" i="177" s="1"/>
  <c r="G502" i="176"/>
  <c r="F593" i="177" a="1"/>
  <c r="F593" i="177" s="1"/>
  <c r="I593" i="177" a="1"/>
  <c r="I593" i="177" s="1"/>
  <c r="I502" i="176" s="1"/>
  <c r="H593" i="177" a="1"/>
  <c r="H593" i="177" s="1"/>
  <c r="G593" i="177" a="1"/>
  <c r="G593" i="177" s="1"/>
  <c r="H502" i="176" s="1"/>
  <c r="E593" i="177" a="1"/>
  <c r="E593" i="177" s="1"/>
  <c r="G365" i="176"/>
  <c r="H456" i="177" a="1"/>
  <c r="H456" i="177" s="1"/>
  <c r="G456" i="177" a="1"/>
  <c r="G456" i="177" s="1"/>
  <c r="H365" i="176" s="1"/>
  <c r="F456" i="177" a="1"/>
  <c r="F456" i="177" s="1"/>
  <c r="I456" i="177" a="1"/>
  <c r="I456" i="177" s="1"/>
  <c r="I365" i="176" s="1"/>
  <c r="E456" i="177" a="1"/>
  <c r="E456" i="177" s="1"/>
  <c r="G326" i="176"/>
  <c r="E417" i="177" a="1"/>
  <c r="E417" i="177" s="1"/>
  <c r="G417" i="177" a="1"/>
  <c r="G417" i="177" s="1"/>
  <c r="H326" i="176" s="1"/>
  <c r="I417" i="177" a="1"/>
  <c r="I417" i="177" s="1"/>
  <c r="I326" i="176" s="1"/>
  <c r="F417" i="177" a="1"/>
  <c r="F417" i="177" s="1"/>
  <c r="H417" i="177" a="1"/>
  <c r="H417" i="177" s="1"/>
  <c r="G386" i="176"/>
  <c r="G477" i="177" a="1"/>
  <c r="G477" i="177" s="1"/>
  <c r="H386" i="176" s="1"/>
  <c r="F477" i="177" a="1"/>
  <c r="F477" i="177" s="1"/>
  <c r="H477" i="177" a="1"/>
  <c r="H477" i="177" s="1"/>
  <c r="I477" i="177" a="1"/>
  <c r="I477" i="177" s="1"/>
  <c r="I386" i="176" s="1"/>
  <c r="E477" i="177" a="1"/>
  <c r="E477" i="177" s="1"/>
  <c r="G111" i="176"/>
  <c r="F202" i="177" a="1"/>
  <c r="F202" i="177" s="1"/>
  <c r="E202" i="177" a="1"/>
  <c r="E202" i="177" s="1"/>
  <c r="I202" i="177" a="1"/>
  <c r="I202" i="177" s="1"/>
  <c r="I111" i="176" s="1"/>
  <c r="H202" i="177" a="1"/>
  <c r="H202" i="177" s="1"/>
  <c r="G202" i="177" a="1"/>
  <c r="G202" i="177" s="1"/>
  <c r="H111" i="176" s="1"/>
  <c r="G198" i="176"/>
  <c r="I289" i="177" a="1"/>
  <c r="I289" i="177" s="1"/>
  <c r="I198" i="176" s="1"/>
  <c r="H289" i="177" a="1"/>
  <c r="H289" i="177" s="1"/>
  <c r="E289" i="177" a="1"/>
  <c r="E289" i="177" s="1"/>
  <c r="F289" i="177" a="1"/>
  <c r="F289" i="177" s="1"/>
  <c r="G289" i="177" a="1"/>
  <c r="G289" i="177" s="1"/>
  <c r="H198" i="176" s="1"/>
  <c r="G328" i="176"/>
  <c r="H419" i="177" a="1"/>
  <c r="H419" i="177" s="1"/>
  <c r="I419" i="177" a="1"/>
  <c r="I419" i="177" s="1"/>
  <c r="I328" i="176" s="1"/>
  <c r="E419" i="177" a="1"/>
  <c r="E419" i="177" s="1"/>
  <c r="F419" i="177" a="1"/>
  <c r="F419" i="177" s="1"/>
  <c r="G419" i="177" a="1"/>
  <c r="G419" i="177" s="1"/>
  <c r="H328" i="176" s="1"/>
  <c r="G192" i="176"/>
  <c r="I283" i="177" a="1"/>
  <c r="I283" i="177" s="1"/>
  <c r="I192" i="176" s="1"/>
  <c r="E283" i="177" a="1"/>
  <c r="E283" i="177" s="1"/>
  <c r="F283" i="177" a="1"/>
  <c r="F283" i="177" s="1"/>
  <c r="G283" i="177" a="1"/>
  <c r="G283" i="177" s="1"/>
  <c r="H192" i="176" s="1"/>
  <c r="H283" i="177" a="1"/>
  <c r="H283" i="177" s="1"/>
  <c r="G462" i="176"/>
  <c r="F553" i="177" a="1"/>
  <c r="F553" i="177" s="1"/>
  <c r="G553" i="177" a="1"/>
  <c r="G553" i="177" s="1"/>
  <c r="H462" i="176" s="1"/>
  <c r="E553" i="177" a="1"/>
  <c r="E553" i="177" s="1"/>
  <c r="I553" i="177" a="1"/>
  <c r="I553" i="177" s="1"/>
  <c r="I462" i="176" s="1"/>
  <c r="H553" i="177" a="1"/>
  <c r="H553" i="177" s="1"/>
  <c r="G289" i="176"/>
  <c r="F380" i="177" a="1"/>
  <c r="F380" i="177" s="1"/>
  <c r="G380" i="177" a="1"/>
  <c r="G380" i="177" s="1"/>
  <c r="H289" i="176" s="1"/>
  <c r="H380" i="177" a="1"/>
  <c r="H380" i="177" s="1"/>
  <c r="E380" i="177" a="1"/>
  <c r="E380" i="177" s="1"/>
  <c r="I380" i="177" a="1"/>
  <c r="I380" i="177" s="1"/>
  <c r="I289" i="176" s="1"/>
  <c r="G187" i="176"/>
  <c r="H278" i="177" a="1"/>
  <c r="H278" i="177" s="1"/>
  <c r="E278" i="177" a="1"/>
  <c r="E278" i="177" s="1"/>
  <c r="I278" i="177" a="1"/>
  <c r="I278" i="177" s="1"/>
  <c r="I187" i="176" s="1"/>
  <c r="F278" i="177" a="1"/>
  <c r="F278" i="177" s="1"/>
  <c r="G278" i="177" a="1"/>
  <c r="G278" i="177" s="1"/>
  <c r="H187" i="176" s="1"/>
  <c r="G128" i="176"/>
  <c r="F219" i="177" a="1"/>
  <c r="F219" i="177" s="1"/>
  <c r="I219" i="177" a="1"/>
  <c r="I219" i="177" s="1"/>
  <c r="I128" i="176" s="1"/>
  <c r="H219" i="177" a="1"/>
  <c r="H219" i="177" s="1"/>
  <c r="G219" i="177" a="1"/>
  <c r="G219" i="177" s="1"/>
  <c r="H128" i="176" s="1"/>
  <c r="E219" i="177" a="1"/>
  <c r="E219" i="177" s="1"/>
  <c r="G391" i="176"/>
  <c r="F482" i="177" a="1"/>
  <c r="F482" i="177" s="1"/>
  <c r="I482" i="177" a="1"/>
  <c r="I482" i="177" s="1"/>
  <c r="I391" i="176" s="1"/>
  <c r="G482" i="177" a="1"/>
  <c r="G482" i="177" s="1"/>
  <c r="H391" i="176" s="1"/>
  <c r="E482" i="177" a="1"/>
  <c r="E482" i="177" s="1"/>
  <c r="H482" i="177" a="1"/>
  <c r="H482" i="177" s="1"/>
  <c r="G113" i="176"/>
  <c r="E204" i="177" a="1"/>
  <c r="E204" i="177" s="1"/>
  <c r="G204" i="177" a="1"/>
  <c r="G204" i="177" s="1"/>
  <c r="H113" i="176" s="1"/>
  <c r="F204" i="177" a="1"/>
  <c r="F204" i="177" s="1"/>
  <c r="I204" i="177" a="1"/>
  <c r="I204" i="177" s="1"/>
  <c r="I113" i="176" s="1"/>
  <c r="H204" i="177" a="1"/>
  <c r="H204" i="177" s="1"/>
  <c r="G197" i="176"/>
  <c r="I288" i="177" a="1"/>
  <c r="I288" i="177" s="1"/>
  <c r="I197" i="176" s="1"/>
  <c r="F288" i="177" a="1"/>
  <c r="F288" i="177" s="1"/>
  <c r="E288" i="177" a="1"/>
  <c r="E288" i="177" s="1"/>
  <c r="H288" i="177" a="1"/>
  <c r="H288" i="177" s="1"/>
  <c r="G288" i="177" a="1"/>
  <c r="G288" i="177" s="1"/>
  <c r="H197" i="176" s="1"/>
  <c r="G269" i="176"/>
  <c r="H360" i="177" a="1"/>
  <c r="H360" i="177" s="1"/>
  <c r="F360" i="177" a="1"/>
  <c r="F360" i="177" s="1"/>
  <c r="G360" i="177" a="1"/>
  <c r="G360" i="177" s="1"/>
  <c r="H269" i="176" s="1"/>
  <c r="E360" i="177" a="1"/>
  <c r="E360" i="177" s="1"/>
  <c r="I360" i="177" a="1"/>
  <c r="I360" i="177" s="1"/>
  <c r="I269" i="176" s="1"/>
  <c r="G331" i="176"/>
  <c r="H422" i="177" a="1"/>
  <c r="H422" i="177" s="1"/>
  <c r="F422" i="177" a="1"/>
  <c r="F422" i="177" s="1"/>
  <c r="G422" i="177" a="1"/>
  <c r="G422" i="177" s="1"/>
  <c r="H331" i="176" s="1"/>
  <c r="E422" i="177" a="1"/>
  <c r="E422" i="177" s="1"/>
  <c r="I422" i="177" a="1"/>
  <c r="I422" i="177" s="1"/>
  <c r="I331" i="176" s="1"/>
  <c r="H100" i="177" a="1"/>
  <c r="H100" i="177" s="1"/>
  <c r="G100" i="177" a="1"/>
  <c r="G100" i="177" s="1"/>
  <c r="H9" i="176" s="1"/>
  <c r="F100" i="177" a="1"/>
  <c r="F100" i="177" s="1"/>
  <c r="E100" i="177" a="1"/>
  <c r="E100" i="177" s="1"/>
  <c r="I100" i="177" a="1"/>
  <c r="I100" i="177" s="1"/>
  <c r="I9" i="176" s="1"/>
  <c r="J14" i="166" l="1"/>
  <c r="I14" i="166"/>
  <c r="L14" i="166"/>
  <c r="K14" i="166"/>
  <c r="M14" i="166"/>
  <c r="P14" i="166"/>
  <c r="K27" i="166"/>
  <c r="J27" i="166"/>
  <c r="I27" i="166"/>
  <c r="M27" i="166"/>
  <c r="L27" i="166"/>
  <c r="I29" i="166"/>
  <c r="M29" i="166"/>
  <c r="L29" i="166"/>
  <c r="J29" i="166"/>
  <c r="K29" i="166"/>
  <c r="J12" i="166"/>
  <c r="I12" i="166"/>
  <c r="M12" i="166"/>
  <c r="K12" i="166"/>
  <c r="L12" i="166"/>
  <c r="M16" i="166"/>
  <c r="L16" i="166"/>
  <c r="K16" i="166"/>
  <c r="J16" i="166"/>
  <c r="I16" i="166"/>
  <c r="I36" i="166"/>
  <c r="M36" i="166"/>
  <c r="L36" i="166"/>
  <c r="J36" i="166"/>
  <c r="K36" i="166"/>
  <c r="I32" i="166"/>
  <c r="M32" i="166"/>
  <c r="L32" i="166"/>
  <c r="K32" i="166"/>
  <c r="J32" i="166"/>
  <c r="K31" i="166"/>
  <c r="J31" i="166"/>
  <c r="I31" i="166"/>
  <c r="L31" i="166"/>
  <c r="M31" i="166"/>
  <c r="J9" i="166"/>
  <c r="I9" i="166"/>
  <c r="M9" i="166"/>
  <c r="L9" i="166"/>
  <c r="K9" i="166"/>
  <c r="K13" i="166"/>
  <c r="J13" i="166"/>
  <c r="I13" i="166"/>
  <c r="P13" i="166"/>
  <c r="M13" i="166"/>
  <c r="L13" i="166"/>
  <c r="K37" i="166"/>
  <c r="J37" i="166"/>
  <c r="I37" i="166"/>
  <c r="L37" i="166"/>
  <c r="M37" i="166"/>
  <c r="L34" i="166"/>
  <c r="K34" i="166"/>
  <c r="J34" i="166"/>
  <c r="I34" i="166"/>
  <c r="M34" i="166"/>
  <c r="L26" i="166"/>
  <c r="K26" i="166"/>
  <c r="J26" i="166"/>
  <c r="I26" i="166"/>
  <c r="M26" i="166"/>
  <c r="J30" i="166"/>
  <c r="I30" i="166"/>
  <c r="K30" i="166"/>
  <c r="M30" i="166"/>
  <c r="L30" i="166"/>
  <c r="J35" i="166"/>
  <c r="I35" i="166"/>
  <c r="M35" i="166"/>
  <c r="L35" i="166"/>
  <c r="K35" i="166"/>
  <c r="M15" i="166"/>
  <c r="L15" i="166"/>
  <c r="K15" i="166"/>
  <c r="J15" i="166"/>
  <c r="I15" i="166"/>
  <c r="K33" i="166"/>
  <c r="M33" i="166"/>
  <c r="J33" i="166"/>
  <c r="L33" i="166"/>
  <c r="I33" i="166"/>
  <c r="K22" i="166"/>
  <c r="M22" i="166"/>
  <c r="I22" i="166"/>
  <c r="J22" i="166"/>
  <c r="L22" i="166"/>
  <c r="L19" i="166"/>
  <c r="K19" i="166"/>
  <c r="J19" i="166"/>
  <c r="I19" i="166"/>
  <c r="M19" i="166"/>
  <c r="P19" i="166"/>
  <c r="P35" i="166"/>
  <c r="P27" i="166"/>
  <c r="P15" i="166"/>
  <c r="M10" i="166"/>
  <c r="L10" i="166"/>
  <c r="K10" i="166"/>
  <c r="J10" i="166"/>
  <c r="I10" i="166"/>
  <c r="P37" i="166"/>
  <c r="P26" i="166"/>
  <c r="P30" i="166"/>
  <c r="P29" i="166"/>
  <c r="P33" i="166"/>
  <c r="P36" i="166"/>
  <c r="P32" i="166"/>
  <c r="P34" i="166"/>
  <c r="P22" i="166"/>
  <c r="P16" i="166"/>
  <c r="P12" i="166"/>
  <c r="P31" i="166"/>
  <c r="W99" i="177"/>
  <c r="T8" i="176" s="1"/>
  <c r="V99" i="177"/>
  <c r="S8" i="176" s="1"/>
  <c r="U99" i="177"/>
  <c r="R8" i="176" s="1"/>
  <c r="T99" i="177"/>
  <c r="Q8" i="176" s="1"/>
  <c r="I11" i="166" l="1"/>
  <c r="I23" i="166" s="1"/>
  <c r="I61" i="166" s="1"/>
  <c r="I39" i="166"/>
  <c r="I62" i="166" s="1"/>
  <c r="P39" i="166"/>
  <c r="AA3" i="173" l="1"/>
  <c r="AF3" i="174"/>
  <c r="D109" i="166"/>
  <c r="D101" i="166"/>
  <c r="D102" i="166"/>
  <c r="D103" i="166"/>
  <c r="D104" i="166"/>
  <c r="D105" i="166"/>
  <c r="D106" i="166"/>
  <c r="D115" i="166" l="1"/>
  <c r="D116" i="166"/>
  <c r="D118" i="166"/>
  <c r="D119" i="166"/>
  <c r="D120" i="166"/>
  <c r="D121" i="166"/>
  <c r="D122" i="166"/>
  <c r="D123" i="166"/>
  <c r="D124" i="166"/>
  <c r="D125" i="166"/>
  <c r="D126" i="166"/>
  <c r="F39" i="166"/>
  <c r="E39" i="166"/>
  <c r="O99" i="177" l="1"/>
  <c r="T516" i="176" l="1"/>
  <c r="H3" i="197" l="1"/>
  <c r="D100" i="166" l="1"/>
  <c r="D114" i="166"/>
  <c r="X12" i="166" l="1"/>
  <c r="L12" i="221" s="1"/>
  <c r="M11" i="166"/>
  <c r="M23" i="166" s="1"/>
  <c r="M61" i="166" s="1"/>
  <c r="L11" i="166"/>
  <c r="L23" i="166" s="1"/>
  <c r="L61" i="166" s="1"/>
  <c r="J11" i="166"/>
  <c r="J23" i="166" s="1"/>
  <c r="J61" i="166" s="1"/>
  <c r="K11" i="166"/>
  <c r="K23" i="166" s="1"/>
  <c r="K61" i="166" s="1"/>
  <c r="M39" i="166"/>
  <c r="M62" i="166" s="1"/>
  <c r="L39" i="166"/>
  <c r="L62" i="166" s="1"/>
  <c r="J39" i="166"/>
  <c r="J62" i="166" s="1"/>
  <c r="K39" i="166"/>
  <c r="K62" i="166" s="1"/>
  <c r="X3" i="176"/>
  <c r="Y3" i="173"/>
  <c r="C100" i="177" l="1"/>
  <c r="L9" i="176" s="1"/>
  <c r="N9" i="176" s="1"/>
  <c r="B100" i="177"/>
  <c r="B101" i="177" s="1"/>
  <c r="B102" i="177" s="1"/>
  <c r="B103" i="177" s="1"/>
  <c r="B104" i="177" s="1"/>
  <c r="B105" i="177" s="1"/>
  <c r="B106" i="177" s="1"/>
  <c r="B107" i="177" s="1"/>
  <c r="B108" i="177" s="1"/>
  <c r="B109" i="177" s="1"/>
  <c r="B110" i="177" s="1"/>
  <c r="B111" i="177" s="1"/>
  <c r="B112" i="177" s="1"/>
  <c r="B113" i="177" s="1"/>
  <c r="B114" i="177" s="1"/>
  <c r="B115" i="177" s="1"/>
  <c r="B116" i="177" s="1"/>
  <c r="B117" i="177" s="1"/>
  <c r="B118" i="177" s="1"/>
  <c r="B119" i="177" s="1"/>
  <c r="B120" i="177" s="1"/>
  <c r="B121" i="177" s="1"/>
  <c r="B122" i="177" s="1"/>
  <c r="B123" i="177" s="1"/>
  <c r="B124" i="177" s="1"/>
  <c r="B125" i="177" s="1"/>
  <c r="B126" i="177" s="1"/>
  <c r="B127" i="177" s="1"/>
  <c r="B128" i="177" s="1"/>
  <c r="B129" i="177" s="1"/>
  <c r="B130" i="177" s="1"/>
  <c r="B131" i="177" s="1"/>
  <c r="B132" i="177" s="1"/>
  <c r="B133" i="177" s="1"/>
  <c r="B134" i="177" s="1"/>
  <c r="B135" i="177" s="1"/>
  <c r="B136" i="177" s="1"/>
  <c r="B137" i="177" s="1"/>
  <c r="B138" i="177" s="1"/>
  <c r="B139" i="177" s="1"/>
  <c r="B140" i="177" s="1"/>
  <c r="B141" i="177" s="1"/>
  <c r="B142" i="177" s="1"/>
  <c r="B143" i="177" s="1"/>
  <c r="B144" i="177" s="1"/>
  <c r="B145" i="177" s="1"/>
  <c r="B146" i="177" s="1"/>
  <c r="B147" i="177" s="1"/>
  <c r="B148" i="177" s="1"/>
  <c r="B149" i="177" s="1"/>
  <c r="B150" i="177" s="1"/>
  <c r="B151" i="177" s="1"/>
  <c r="B152" i="177" s="1"/>
  <c r="B153" i="177" s="1"/>
  <c r="B154" i="177" s="1"/>
  <c r="B155" i="177" s="1"/>
  <c r="B156" i="177" s="1"/>
  <c r="B157" i="177" s="1"/>
  <c r="B158" i="177" s="1"/>
  <c r="B159" i="177" s="1"/>
  <c r="B160" i="177" s="1"/>
  <c r="B161" i="177" s="1"/>
  <c r="B162" i="177" s="1"/>
  <c r="B163" i="177" s="1"/>
  <c r="B164" i="177" s="1"/>
  <c r="B165" i="177" s="1"/>
  <c r="B166" i="177" s="1"/>
  <c r="B167" i="177" s="1"/>
  <c r="B168" i="177" s="1"/>
  <c r="B169" i="177" s="1"/>
  <c r="B170" i="177" s="1"/>
  <c r="B171" i="177" s="1"/>
  <c r="B172" i="177" s="1"/>
  <c r="B173" i="177" s="1"/>
  <c r="B174" i="177" s="1"/>
  <c r="B175" i="177" s="1"/>
  <c r="B176" i="177" s="1"/>
  <c r="B177" i="177" s="1"/>
  <c r="B178" i="177" s="1"/>
  <c r="B179" i="177" s="1"/>
  <c r="B180" i="177" s="1"/>
  <c r="B181" i="177" s="1"/>
  <c r="B182" i="177" s="1"/>
  <c r="B183" i="177" s="1"/>
  <c r="B184" i="177" s="1"/>
  <c r="B185" i="177" s="1"/>
  <c r="B186" i="177" s="1"/>
  <c r="B187" i="177" s="1"/>
  <c r="B188" i="177" s="1"/>
  <c r="B189" i="177" s="1"/>
  <c r="B190" i="177" s="1"/>
  <c r="B191" i="177" s="1"/>
  <c r="B192" i="177" s="1"/>
  <c r="B193" i="177" s="1"/>
  <c r="B194" i="177" s="1"/>
  <c r="B195" i="177" s="1"/>
  <c r="B196" i="177" s="1"/>
  <c r="B197" i="177" s="1"/>
  <c r="B198" i="177" s="1"/>
  <c r="B199" i="177" s="1"/>
  <c r="B200" i="177" s="1"/>
  <c r="B201" i="177" s="1"/>
  <c r="B202" i="177" s="1"/>
  <c r="B203" i="177" s="1"/>
  <c r="B204" i="177" s="1"/>
  <c r="B205" i="177" s="1"/>
  <c r="B206" i="177" s="1"/>
  <c r="B207" i="177" s="1"/>
  <c r="B208" i="177" s="1"/>
  <c r="B209" i="177" s="1"/>
  <c r="B210" i="177" s="1"/>
  <c r="B211" i="177" s="1"/>
  <c r="B212" i="177" s="1"/>
  <c r="B213" i="177" s="1"/>
  <c r="B214" i="177" s="1"/>
  <c r="B215" i="177" s="1"/>
  <c r="B216" i="177" s="1"/>
  <c r="B217" i="177" s="1"/>
  <c r="B218" i="177" s="1"/>
  <c r="B219" i="177" s="1"/>
  <c r="B220" i="177" s="1"/>
  <c r="B221" i="177" s="1"/>
  <c r="B222" i="177" s="1"/>
  <c r="B223" i="177" s="1"/>
  <c r="B224" i="177" s="1"/>
  <c r="B225" i="177" s="1"/>
  <c r="B226" i="177" s="1"/>
  <c r="B227" i="177" s="1"/>
  <c r="B228" i="177" s="1"/>
  <c r="B229" i="177" s="1"/>
  <c r="B230" i="177" s="1"/>
  <c r="B231" i="177" s="1"/>
  <c r="B232" i="177" s="1"/>
  <c r="B233" i="177" s="1"/>
  <c r="B234" i="177" s="1"/>
  <c r="B235" i="177" s="1"/>
  <c r="B236" i="177" s="1"/>
  <c r="B237" i="177" s="1"/>
  <c r="B238" i="177" s="1"/>
  <c r="B239" i="177" s="1"/>
  <c r="B240" i="177" s="1"/>
  <c r="B241" i="177" s="1"/>
  <c r="B242" i="177" s="1"/>
  <c r="B243" i="177" s="1"/>
  <c r="B244" i="177" s="1"/>
  <c r="B245" i="177" s="1"/>
  <c r="B246" i="177" s="1"/>
  <c r="B247" i="177" s="1"/>
  <c r="B248" i="177" s="1"/>
  <c r="B249" i="177" s="1"/>
  <c r="B250" i="177" s="1"/>
  <c r="B251" i="177" s="1"/>
  <c r="B252" i="177" s="1"/>
  <c r="B253" i="177" s="1"/>
  <c r="B254" i="177" s="1"/>
  <c r="B255" i="177" s="1"/>
  <c r="B256" i="177" s="1"/>
  <c r="B257" i="177" s="1"/>
  <c r="B258" i="177" s="1"/>
  <c r="B259" i="177" s="1"/>
  <c r="B260" i="177" s="1"/>
  <c r="B261" i="177" s="1"/>
  <c r="B262" i="177" s="1"/>
  <c r="B263" i="177" s="1"/>
  <c r="B264" i="177" s="1"/>
  <c r="B265" i="177" s="1"/>
  <c r="B266" i="177" s="1"/>
  <c r="B267" i="177" s="1"/>
  <c r="B268" i="177" s="1"/>
  <c r="B269" i="177" s="1"/>
  <c r="B270" i="177" s="1"/>
  <c r="B271" i="177" s="1"/>
  <c r="B272" i="177" s="1"/>
  <c r="B273" i="177" s="1"/>
  <c r="B274" i="177" s="1"/>
  <c r="B275" i="177" s="1"/>
  <c r="B276" i="177" s="1"/>
  <c r="B277" i="177" s="1"/>
  <c r="B278" i="177" s="1"/>
  <c r="B279" i="177" s="1"/>
  <c r="B280" i="177" s="1"/>
  <c r="B281" i="177" s="1"/>
  <c r="B282" i="177" s="1"/>
  <c r="B283" i="177" s="1"/>
  <c r="B284" i="177" s="1"/>
  <c r="B285" i="177" s="1"/>
  <c r="B286" i="177" s="1"/>
  <c r="B287" i="177" s="1"/>
  <c r="B288" i="177" s="1"/>
  <c r="B289" i="177" s="1"/>
  <c r="B290" i="177" s="1"/>
  <c r="B291" i="177" s="1"/>
  <c r="B292" i="177" s="1"/>
  <c r="B293" i="177" s="1"/>
  <c r="B294" i="177" s="1"/>
  <c r="B295" i="177" s="1"/>
  <c r="B296" i="177" s="1"/>
  <c r="B297" i="177" s="1"/>
  <c r="B298" i="177" s="1"/>
  <c r="B299" i="177" s="1"/>
  <c r="B300" i="177" s="1"/>
  <c r="B301" i="177" s="1"/>
  <c r="B302" i="177" s="1"/>
  <c r="B303" i="177" s="1"/>
  <c r="B304" i="177" s="1"/>
  <c r="B305" i="177" s="1"/>
  <c r="B306" i="177" s="1"/>
  <c r="B307" i="177" s="1"/>
  <c r="B308" i="177" s="1"/>
  <c r="B309" i="177" s="1"/>
  <c r="B310" i="177" s="1"/>
  <c r="B311" i="177" s="1"/>
  <c r="B312" i="177" s="1"/>
  <c r="B313" i="177" s="1"/>
  <c r="B314" i="177" s="1"/>
  <c r="B315" i="177" s="1"/>
  <c r="B316" i="177" s="1"/>
  <c r="B317" i="177" s="1"/>
  <c r="B318" i="177" s="1"/>
  <c r="B319" i="177" s="1"/>
  <c r="B320" i="177" s="1"/>
  <c r="B321" i="177" s="1"/>
  <c r="B322" i="177" s="1"/>
  <c r="B323" i="177" s="1"/>
  <c r="B324" i="177" s="1"/>
  <c r="B325" i="177" s="1"/>
  <c r="B326" i="177" s="1"/>
  <c r="B327" i="177" s="1"/>
  <c r="B328" i="177" s="1"/>
  <c r="B329" i="177" s="1"/>
  <c r="B330" i="177" s="1"/>
  <c r="B331" i="177" s="1"/>
  <c r="B332" i="177" s="1"/>
  <c r="B333" i="177" s="1"/>
  <c r="B334" i="177" s="1"/>
  <c r="B335" i="177" s="1"/>
  <c r="B336" i="177" s="1"/>
  <c r="B337" i="177" s="1"/>
  <c r="B338" i="177" s="1"/>
  <c r="B339" i="177" s="1"/>
  <c r="B340" i="177" s="1"/>
  <c r="B341" i="177" s="1"/>
  <c r="B342" i="177" s="1"/>
  <c r="B343" i="177" s="1"/>
  <c r="B344" i="177" s="1"/>
  <c r="B345" i="177" s="1"/>
  <c r="B346" i="177" s="1"/>
  <c r="B347" i="177" s="1"/>
  <c r="B348" i="177" s="1"/>
  <c r="B349" i="177" s="1"/>
  <c r="B350" i="177" s="1"/>
  <c r="B351" i="177" s="1"/>
  <c r="B352" i="177" s="1"/>
  <c r="B353" i="177" s="1"/>
  <c r="B354" i="177" s="1"/>
  <c r="B355" i="177" s="1"/>
  <c r="B356" i="177" s="1"/>
  <c r="B357" i="177" s="1"/>
  <c r="B358" i="177" s="1"/>
  <c r="B359" i="177" s="1"/>
  <c r="B360" i="177" s="1"/>
  <c r="B361" i="177" s="1"/>
  <c r="B362" i="177" s="1"/>
  <c r="B363" i="177" s="1"/>
  <c r="B364" i="177" s="1"/>
  <c r="B365" i="177" s="1"/>
  <c r="B366" i="177" s="1"/>
  <c r="B367" i="177" s="1"/>
  <c r="B368" i="177" s="1"/>
  <c r="B369" i="177" s="1"/>
  <c r="B370" i="177" s="1"/>
  <c r="B371" i="177" s="1"/>
  <c r="B372" i="177" s="1"/>
  <c r="B373" i="177" s="1"/>
  <c r="B374" i="177" s="1"/>
  <c r="B375" i="177" s="1"/>
  <c r="B376" i="177" s="1"/>
  <c r="B377" i="177" s="1"/>
  <c r="B378" i="177" s="1"/>
  <c r="B379" i="177" s="1"/>
  <c r="B380" i="177" s="1"/>
  <c r="B381" i="177" s="1"/>
  <c r="B382" i="177" s="1"/>
  <c r="B383" i="177" s="1"/>
  <c r="B384" i="177" s="1"/>
  <c r="B385" i="177" s="1"/>
  <c r="B386" i="177" s="1"/>
  <c r="B387" i="177" s="1"/>
  <c r="B388" i="177" s="1"/>
  <c r="B389" i="177" s="1"/>
  <c r="B390" i="177" s="1"/>
  <c r="B391" i="177" s="1"/>
  <c r="B392" i="177" s="1"/>
  <c r="B393" i="177" s="1"/>
  <c r="B394" i="177" s="1"/>
  <c r="B395" i="177" s="1"/>
  <c r="B396" i="177" s="1"/>
  <c r="B397" i="177" s="1"/>
  <c r="B398" i="177" s="1"/>
  <c r="B399" i="177" s="1"/>
  <c r="B400" i="177" s="1"/>
  <c r="B401" i="177" s="1"/>
  <c r="B402" i="177" s="1"/>
  <c r="B403" i="177" s="1"/>
  <c r="B404" i="177" s="1"/>
  <c r="B405" i="177" s="1"/>
  <c r="B406" i="177" s="1"/>
  <c r="B407" i="177" s="1"/>
  <c r="B408" i="177" s="1"/>
  <c r="B409" i="177" s="1"/>
  <c r="B410" i="177" s="1"/>
  <c r="B411" i="177" s="1"/>
  <c r="B412" i="177" s="1"/>
  <c r="B413" i="177" s="1"/>
  <c r="B414" i="177" s="1"/>
  <c r="B415" i="177" s="1"/>
  <c r="B416" i="177" s="1"/>
  <c r="B417" i="177" s="1"/>
  <c r="B418" i="177" s="1"/>
  <c r="B419" i="177" s="1"/>
  <c r="B420" i="177" s="1"/>
  <c r="B421" i="177" s="1"/>
  <c r="B422" i="177" s="1"/>
  <c r="B423" i="177" s="1"/>
  <c r="B424" i="177" s="1"/>
  <c r="B425" i="177" s="1"/>
  <c r="B426" i="177" s="1"/>
  <c r="B427" i="177" s="1"/>
  <c r="B428" i="177" s="1"/>
  <c r="B429" i="177" s="1"/>
  <c r="B430" i="177" s="1"/>
  <c r="B431" i="177" s="1"/>
  <c r="B432" i="177" s="1"/>
  <c r="B433" i="177" s="1"/>
  <c r="B434" i="177" s="1"/>
  <c r="B435" i="177" s="1"/>
  <c r="B436" i="177" s="1"/>
  <c r="B437" i="177" s="1"/>
  <c r="B438" i="177" s="1"/>
  <c r="B439" i="177" s="1"/>
  <c r="B440" i="177" s="1"/>
  <c r="B441" i="177" s="1"/>
  <c r="B442" i="177" s="1"/>
  <c r="B443" i="177" s="1"/>
  <c r="B444" i="177" s="1"/>
  <c r="B445" i="177" s="1"/>
  <c r="B446" i="177" s="1"/>
  <c r="B447" i="177" s="1"/>
  <c r="B448" i="177" s="1"/>
  <c r="B449" i="177" s="1"/>
  <c r="B450" i="177" s="1"/>
  <c r="B451" i="177" s="1"/>
  <c r="B452" i="177" s="1"/>
  <c r="B453" i="177" s="1"/>
  <c r="B454" i="177" s="1"/>
  <c r="B455" i="177" s="1"/>
  <c r="B456" i="177" s="1"/>
  <c r="B457" i="177" s="1"/>
  <c r="B458" i="177" s="1"/>
  <c r="B459" i="177" s="1"/>
  <c r="B460" i="177" s="1"/>
  <c r="B461" i="177" s="1"/>
  <c r="B462" i="177" s="1"/>
  <c r="B463" i="177" s="1"/>
  <c r="B464" i="177" s="1"/>
  <c r="B465" i="177" s="1"/>
  <c r="B466" i="177" s="1"/>
  <c r="B467" i="177" s="1"/>
  <c r="B468" i="177" s="1"/>
  <c r="B469" i="177" s="1"/>
  <c r="B470" i="177" s="1"/>
  <c r="B471" i="177" s="1"/>
  <c r="B472" i="177" s="1"/>
  <c r="B473" i="177" s="1"/>
  <c r="B474" i="177" s="1"/>
  <c r="B475" i="177" s="1"/>
  <c r="B476" i="177" s="1"/>
  <c r="B477" i="177" s="1"/>
  <c r="B478" i="177" s="1"/>
  <c r="B479" i="177" s="1"/>
  <c r="B480" i="177" s="1"/>
  <c r="B481" i="177" s="1"/>
  <c r="B482" i="177" s="1"/>
  <c r="B483" i="177" s="1"/>
  <c r="B484" i="177" s="1"/>
  <c r="B485" i="177" s="1"/>
  <c r="B486" i="177" s="1"/>
  <c r="B487" i="177" s="1"/>
  <c r="B488" i="177" s="1"/>
  <c r="B489" i="177" s="1"/>
  <c r="B490" i="177" s="1"/>
  <c r="B491" i="177" s="1"/>
  <c r="B492" i="177" s="1"/>
  <c r="B493" i="177" s="1"/>
  <c r="B494" i="177" s="1"/>
  <c r="B495" i="177" s="1"/>
  <c r="B496" i="177" s="1"/>
  <c r="B497" i="177" s="1"/>
  <c r="B498" i="177" s="1"/>
  <c r="B499" i="177" s="1"/>
  <c r="B500" i="177" s="1"/>
  <c r="B501" i="177" s="1"/>
  <c r="B502" i="177" s="1"/>
  <c r="B503" i="177" s="1"/>
  <c r="B504" i="177" s="1"/>
  <c r="B505" i="177" s="1"/>
  <c r="B506" i="177" s="1"/>
  <c r="B507" i="177" s="1"/>
  <c r="B508" i="177" s="1"/>
  <c r="B509" i="177" s="1"/>
  <c r="B510" i="177" s="1"/>
  <c r="B511" i="177" s="1"/>
  <c r="B512" i="177" s="1"/>
  <c r="B513" i="177" s="1"/>
  <c r="B514" i="177" s="1"/>
  <c r="B515" i="177" s="1"/>
  <c r="B516" i="177" s="1"/>
  <c r="B517" i="177" s="1"/>
  <c r="B518" i="177" s="1"/>
  <c r="B519" i="177" s="1"/>
  <c r="B520" i="177" s="1"/>
  <c r="B521" i="177" s="1"/>
  <c r="B522" i="177" s="1"/>
  <c r="B523" i="177" s="1"/>
  <c r="B524" i="177" s="1"/>
  <c r="B525" i="177" s="1"/>
  <c r="B526" i="177" s="1"/>
  <c r="B527" i="177" s="1"/>
  <c r="B528" i="177" s="1"/>
  <c r="B529" i="177" s="1"/>
  <c r="B530" i="177" s="1"/>
  <c r="B531" i="177" s="1"/>
  <c r="B532" i="177" s="1"/>
  <c r="B533" i="177" s="1"/>
  <c r="B534" i="177" s="1"/>
  <c r="B535" i="177" s="1"/>
  <c r="B536" i="177" s="1"/>
  <c r="B537" i="177" s="1"/>
  <c r="B538" i="177" s="1"/>
  <c r="B539" i="177" s="1"/>
  <c r="B540" i="177" s="1"/>
  <c r="B541" i="177" s="1"/>
  <c r="B542" i="177" s="1"/>
  <c r="B543" i="177" s="1"/>
  <c r="B544" i="177" s="1"/>
  <c r="B545" i="177" s="1"/>
  <c r="B546" i="177" s="1"/>
  <c r="B547" i="177" s="1"/>
  <c r="B548" i="177" s="1"/>
  <c r="B549" i="177" s="1"/>
  <c r="B550" i="177" s="1"/>
  <c r="B551" i="177" s="1"/>
  <c r="B552" i="177" s="1"/>
  <c r="B553" i="177" s="1"/>
  <c r="B554" i="177" s="1"/>
  <c r="B555" i="177" s="1"/>
  <c r="B556" i="177" s="1"/>
  <c r="B557" i="177" s="1"/>
  <c r="B558" i="177" s="1"/>
  <c r="B559" i="177" s="1"/>
  <c r="B560" i="177" s="1"/>
  <c r="B561" i="177" s="1"/>
  <c r="B562" i="177" s="1"/>
  <c r="B563" i="177" s="1"/>
  <c r="B564" i="177" s="1"/>
  <c r="B565" i="177" s="1"/>
  <c r="B566" i="177" s="1"/>
  <c r="B567" i="177" s="1"/>
  <c r="B568" i="177" s="1"/>
  <c r="B569" i="177" s="1"/>
  <c r="B570" i="177" s="1"/>
  <c r="B571" i="177" s="1"/>
  <c r="B572" i="177" s="1"/>
  <c r="B573" i="177" s="1"/>
  <c r="B574" i="177" s="1"/>
  <c r="B575" i="177" s="1"/>
  <c r="B576" i="177" s="1"/>
  <c r="B577" i="177" s="1"/>
  <c r="B578" i="177" s="1"/>
  <c r="B579" i="177" s="1"/>
  <c r="B580" i="177" s="1"/>
  <c r="B581" i="177" s="1"/>
  <c r="B582" i="177" s="1"/>
  <c r="B583" i="177" s="1"/>
  <c r="B584" i="177" s="1"/>
  <c r="B585" i="177" s="1"/>
  <c r="B586" i="177" s="1"/>
  <c r="B587" i="177" s="1"/>
  <c r="B588" i="177" s="1"/>
  <c r="B589" i="177" s="1"/>
  <c r="B590" i="177" s="1"/>
  <c r="B591" i="177" s="1"/>
  <c r="B592" i="177" s="1"/>
  <c r="B593" i="177" s="1"/>
  <c r="B594" i="177" s="1"/>
  <c r="B595" i="177" s="1"/>
  <c r="B596" i="177" s="1"/>
  <c r="B597" i="177" s="1"/>
  <c r="B598" i="177" s="1"/>
  <c r="B599" i="177" s="1"/>
  <c r="B600" i="177" s="1"/>
  <c r="B601" i="177" s="1"/>
  <c r="B602" i="177" s="1"/>
  <c r="B603" i="177" s="1"/>
  <c r="B604" i="177" s="1"/>
  <c r="B605" i="177" s="1"/>
  <c r="B606" i="177" s="1"/>
  <c r="C99" i="177"/>
  <c r="L8" i="176" s="1"/>
  <c r="N8" i="176" s="1"/>
  <c r="D6" i="173"/>
  <c r="Q516" i="176"/>
  <c r="M8" i="176"/>
  <c r="O8" i="176"/>
  <c r="K8" i="176"/>
  <c r="J8" i="176"/>
  <c r="F8" i="176"/>
  <c r="E6" i="173"/>
  <c r="AI6" i="173" l="1"/>
  <c r="AH6" i="173"/>
  <c r="I67" i="173"/>
  <c r="AB67" i="173"/>
  <c r="G66" i="173"/>
  <c r="F66" i="173"/>
  <c r="I68" i="173"/>
  <c r="F68" i="173"/>
  <c r="I66" i="173"/>
  <c r="AA66" i="173"/>
  <c r="AB66" i="173"/>
  <c r="AA68" i="173"/>
  <c r="AB68" i="173"/>
  <c r="G67" i="173"/>
  <c r="F67" i="173"/>
  <c r="G68" i="173"/>
  <c r="AA67" i="173"/>
  <c r="E7" i="174"/>
  <c r="D7" i="174"/>
  <c r="R516" i="176"/>
  <c r="S516" i="176"/>
  <c r="O516" i="176"/>
  <c r="K516" i="176"/>
  <c r="M516" i="176"/>
  <c r="G516" i="176"/>
  <c r="G16" i="174" l="1"/>
  <c r="F17" i="174"/>
  <c r="F16" i="174"/>
  <c r="W17" i="174"/>
  <c r="Q16" i="174"/>
  <c r="W16" i="174"/>
  <c r="Q17" i="174"/>
  <c r="U16" i="174"/>
  <c r="O17" i="174"/>
  <c r="S16" i="174"/>
  <c r="O16" i="174"/>
  <c r="H16" i="174"/>
  <c r="U17" i="174"/>
  <c r="S17" i="174"/>
  <c r="H17" i="174"/>
  <c r="G17" i="174"/>
  <c r="G15" i="174"/>
  <c r="F15" i="174"/>
  <c r="W15" i="174"/>
  <c r="U15" i="174"/>
  <c r="O15" i="174"/>
  <c r="S15" i="174"/>
  <c r="Q15" i="174"/>
  <c r="H15" i="174"/>
  <c r="AG537" i="176" l="1"/>
  <c r="T518" i="176" s="1"/>
  <c r="F23" i="166" l="1"/>
  <c r="K40" i="166"/>
  <c r="K63" i="166" s="1"/>
  <c r="L40" i="166"/>
  <c r="L63" i="166" s="1"/>
  <c r="E23" i="166"/>
  <c r="J40" i="166"/>
  <c r="J63" i="166" s="1"/>
  <c r="M40" i="166"/>
  <c r="M63" i="166" s="1"/>
  <c r="E40" i="166" l="1"/>
  <c r="F40" i="166"/>
  <c r="D8" i="176" l="1"/>
  <c r="D99" i="177" a="1"/>
  <c r="D99" i="177" s="1"/>
  <c r="J53" i="177" l="1"/>
  <c r="J41" i="177"/>
  <c r="J29" i="177"/>
  <c r="J17" i="177"/>
  <c r="J5" i="177"/>
  <c r="J44" i="177"/>
  <c r="J52" i="177"/>
  <c r="J40" i="177"/>
  <c r="J28" i="177"/>
  <c r="J16" i="177"/>
  <c r="J25" i="177"/>
  <c r="J22" i="177"/>
  <c r="J9" i="177"/>
  <c r="J6" i="177"/>
  <c r="J51" i="177"/>
  <c r="J39" i="177"/>
  <c r="J27" i="177"/>
  <c r="J15" i="177"/>
  <c r="J24" i="177"/>
  <c r="J34" i="177"/>
  <c r="J21" i="177"/>
  <c r="J8" i="177"/>
  <c r="J50" i="177"/>
  <c r="J38" i="177"/>
  <c r="J26" i="177"/>
  <c r="J14" i="177"/>
  <c r="J11" i="177"/>
  <c r="J33" i="177"/>
  <c r="J30" i="177"/>
  <c r="J61" i="177"/>
  <c r="J49" i="177"/>
  <c r="J37" i="177"/>
  <c r="J13" i="177"/>
  <c r="J10" i="177"/>
  <c r="J56" i="177"/>
  <c r="J18" i="177"/>
  <c r="J60" i="177"/>
  <c r="J48" i="177"/>
  <c r="J36" i="177"/>
  <c r="J12" i="177"/>
  <c r="J57" i="177"/>
  <c r="J20" i="177"/>
  <c r="J59" i="177"/>
  <c r="J47" i="177"/>
  <c r="J35" i="177"/>
  <c r="J23" i="177"/>
  <c r="J45" i="177"/>
  <c r="J32" i="177"/>
  <c r="J58" i="177"/>
  <c r="J46" i="177"/>
  <c r="J55" i="177"/>
  <c r="J43" i="177"/>
  <c r="J31" i="177"/>
  <c r="J19" i="177"/>
  <c r="J7" i="177"/>
  <c r="J54" i="177"/>
  <c r="J42" i="177"/>
  <c r="R11" i="174"/>
  <c r="Q46" i="177"/>
  <c r="M15" i="177"/>
  <c r="M54" i="177"/>
  <c r="Q26" i="177"/>
  <c r="M51" i="177"/>
  <c r="M39" i="177"/>
  <c r="M18" i="177"/>
  <c r="Q24" i="177"/>
  <c r="M31" i="177"/>
  <c r="Q29" i="177"/>
  <c r="Q58" i="177"/>
  <c r="M19" i="177"/>
  <c r="M34" i="177"/>
  <c r="Q49" i="177"/>
  <c r="M32" i="177"/>
  <c r="M35" i="177"/>
  <c r="Q32" i="177"/>
  <c r="M45" i="177"/>
  <c r="Q30" i="177"/>
  <c r="M25" i="177"/>
  <c r="Q52" i="177"/>
  <c r="Q33" i="177"/>
  <c r="M28" i="177"/>
  <c r="Q43" i="177"/>
  <c r="M26" i="177"/>
  <c r="Q23" i="177"/>
  <c r="M48" i="177"/>
  <c r="M29" i="177"/>
  <c r="Q27" i="177"/>
  <c r="M22" i="177"/>
  <c r="Q37" i="177"/>
  <c r="M20" i="177"/>
  <c r="Q17" i="177"/>
  <c r="M42" i="177"/>
  <c r="M23" i="177"/>
  <c r="Q20" i="177"/>
  <c r="M33" i="177"/>
  <c r="Q18" i="177"/>
  <c r="M13" i="177"/>
  <c r="Q40" i="177"/>
  <c r="Q21" i="177"/>
  <c r="M16" i="177"/>
  <c r="Q31" i="177"/>
  <c r="M14" i="177"/>
  <c r="Q11" i="177"/>
  <c r="M36" i="177"/>
  <c r="M17" i="177"/>
  <c r="Q14" i="177"/>
  <c r="M27" i="177"/>
  <c r="Q12" i="177"/>
  <c r="Q22" i="177"/>
  <c r="Q34" i="177"/>
  <c r="Q15" i="177"/>
  <c r="Q13" i="177"/>
  <c r="Q25" i="177"/>
  <c r="Q16" i="177"/>
  <c r="M24" i="177"/>
  <c r="M30" i="177"/>
  <c r="M11" i="177"/>
  <c r="M57" i="177"/>
  <c r="M21" i="177"/>
  <c r="M12" i="177"/>
  <c r="Q19" i="177"/>
  <c r="Q55" i="177"/>
  <c r="Q28" i="177"/>
  <c r="Q35" i="177"/>
  <c r="M60" i="177"/>
  <c r="U61" i="177"/>
  <c r="W60" i="177"/>
  <c r="K60" i="177"/>
  <c r="M59" i="177"/>
  <c r="O58" i="177"/>
  <c r="Q57" i="177"/>
  <c r="S56" i="177"/>
  <c r="U55" i="177"/>
  <c r="W54" i="177"/>
  <c r="K54" i="177"/>
  <c r="M53" i="177"/>
  <c r="O52" i="177"/>
  <c r="Q51" i="177"/>
  <c r="S50" i="177"/>
  <c r="U49" i="177"/>
  <c r="W48" i="177"/>
  <c r="K48" i="177"/>
  <c r="M47" i="177"/>
  <c r="O46" i="177"/>
  <c r="Q45" i="177"/>
  <c r="S44" i="177"/>
  <c r="U43" i="177"/>
  <c r="W42" i="177"/>
  <c r="K42" i="177"/>
  <c r="M41" i="177"/>
  <c r="O40" i="177"/>
  <c r="Q39" i="177"/>
  <c r="S38" i="177"/>
  <c r="U37" i="177"/>
  <c r="W36" i="177"/>
  <c r="K36" i="177"/>
  <c r="O34" i="177"/>
  <c r="S32" i="177"/>
  <c r="U31" i="177"/>
  <c r="W30" i="177"/>
  <c r="K30" i="177"/>
  <c r="O28" i="177"/>
  <c r="S26" i="177"/>
  <c r="U25" i="177"/>
  <c r="W24" i="177"/>
  <c r="K24" i="177"/>
  <c r="O22" i="177"/>
  <c r="S20" i="177"/>
  <c r="U19" i="177"/>
  <c r="W18" i="177"/>
  <c r="K18" i="177"/>
  <c r="O16" i="177"/>
  <c r="S14" i="177"/>
  <c r="U13" i="177"/>
  <c r="W12" i="177"/>
  <c r="K12" i="177"/>
  <c r="P21" i="177"/>
  <c r="V18" i="177"/>
  <c r="N16" i="177"/>
  <c r="P15" i="177"/>
  <c r="T13" i="177"/>
  <c r="T36" i="177"/>
  <c r="P32" i="177"/>
  <c r="L28" i="177"/>
  <c r="V23" i="177"/>
  <c r="N21" i="177"/>
  <c r="R19" i="177"/>
  <c r="V17" i="177"/>
  <c r="P14" i="177"/>
  <c r="W16" i="177"/>
  <c r="S12" i="177"/>
  <c r="N23" i="177"/>
  <c r="T61" i="177"/>
  <c r="V60" i="177"/>
  <c r="L59" i="177"/>
  <c r="N58" i="177"/>
  <c r="P57" i="177"/>
  <c r="R56" i="177"/>
  <c r="T55" i="177"/>
  <c r="V54" i="177"/>
  <c r="L53" i="177"/>
  <c r="N52" i="177"/>
  <c r="P51" i="177"/>
  <c r="R50" i="177"/>
  <c r="T49" i="177"/>
  <c r="V48" i="177"/>
  <c r="L47" i="177"/>
  <c r="N46" i="177"/>
  <c r="P45" i="177"/>
  <c r="R44" i="177"/>
  <c r="T43" i="177"/>
  <c r="V42" i="177"/>
  <c r="L41" i="177"/>
  <c r="N40" i="177"/>
  <c r="P39" i="177"/>
  <c r="R38" i="177"/>
  <c r="T37" i="177"/>
  <c r="V36" i="177"/>
  <c r="L35" i="177"/>
  <c r="N34" i="177"/>
  <c r="P33" i="177"/>
  <c r="R32" i="177"/>
  <c r="T31" i="177"/>
  <c r="V30" i="177"/>
  <c r="L29" i="177"/>
  <c r="N28" i="177"/>
  <c r="P27" i="177"/>
  <c r="R26" i="177"/>
  <c r="T25" i="177"/>
  <c r="V24" i="177"/>
  <c r="L23" i="177"/>
  <c r="N22" i="177"/>
  <c r="R20" i="177"/>
  <c r="T19" i="177"/>
  <c r="L17" i="177"/>
  <c r="R14" i="177"/>
  <c r="V12" i="177"/>
  <c r="L11" i="177"/>
  <c r="N33" i="177"/>
  <c r="T30" i="177"/>
  <c r="N27" i="177"/>
  <c r="T24" i="177"/>
  <c r="T18" i="177"/>
  <c r="R13" i="177"/>
  <c r="V11" i="177"/>
  <c r="L24" i="177"/>
  <c r="S61" i="177"/>
  <c r="U60" i="177"/>
  <c r="W59" i="177"/>
  <c r="K59" i="177"/>
  <c r="M58" i="177"/>
  <c r="O57" i="177"/>
  <c r="Q56" i="177"/>
  <c r="S55" i="177"/>
  <c r="U54" i="177"/>
  <c r="W53" i="177"/>
  <c r="K53" i="177"/>
  <c r="M52" i="177"/>
  <c r="O51" i="177"/>
  <c r="Q50" i="177"/>
  <c r="S49" i="177"/>
  <c r="U48" i="177"/>
  <c r="W47" i="177"/>
  <c r="K47" i="177"/>
  <c r="M46" i="177"/>
  <c r="O45" i="177"/>
  <c r="Q44" i="177"/>
  <c r="S43" i="177"/>
  <c r="U42" i="177"/>
  <c r="W41" i="177"/>
  <c r="K41" i="177"/>
  <c r="M40" i="177"/>
  <c r="O39" i="177"/>
  <c r="Q38" i="177"/>
  <c r="S37" i="177"/>
  <c r="U36" i="177"/>
  <c r="W35" i="177"/>
  <c r="K35" i="177"/>
  <c r="O33" i="177"/>
  <c r="S31" i="177"/>
  <c r="U30" i="177"/>
  <c r="W29" i="177"/>
  <c r="K29" i="177"/>
  <c r="O27" i="177"/>
  <c r="S25" i="177"/>
  <c r="U24" i="177"/>
  <c r="W23" i="177"/>
  <c r="K23" i="177"/>
  <c r="O21" i="177"/>
  <c r="S19" i="177"/>
  <c r="U18" i="177"/>
  <c r="W17" i="177"/>
  <c r="K17" i="177"/>
  <c r="O15" i="177"/>
  <c r="S13" i="177"/>
  <c r="U12" i="177"/>
  <c r="W11" i="177"/>
  <c r="K11" i="177"/>
  <c r="T48" i="177"/>
  <c r="L46" i="177"/>
  <c r="P44" i="177"/>
  <c r="T42" i="177"/>
  <c r="N39" i="177"/>
  <c r="P38" i="177"/>
  <c r="V35" i="177"/>
  <c r="L34" i="177"/>
  <c r="V29" i="177"/>
  <c r="P26" i="177"/>
  <c r="L22" i="177"/>
  <c r="N15" i="177"/>
  <c r="T12" i="177"/>
  <c r="O20" i="177"/>
  <c r="O14" i="177"/>
  <c r="R61" i="177"/>
  <c r="T60" i="177"/>
  <c r="V59" i="177"/>
  <c r="L58" i="177"/>
  <c r="N57" i="177"/>
  <c r="P56" i="177"/>
  <c r="R55" i="177"/>
  <c r="T54" i="177"/>
  <c r="V53" i="177"/>
  <c r="L52" i="177"/>
  <c r="N51" i="177"/>
  <c r="P50" i="177"/>
  <c r="R49" i="177"/>
  <c r="V47" i="177"/>
  <c r="N45" i="177"/>
  <c r="R43" i="177"/>
  <c r="V41" i="177"/>
  <c r="L40" i="177"/>
  <c r="R37" i="177"/>
  <c r="R31" i="177"/>
  <c r="R25" i="177"/>
  <c r="P20" i="177"/>
  <c r="L16" i="177"/>
  <c r="S18" i="177"/>
  <c r="Q61" i="177"/>
  <c r="S60" i="177"/>
  <c r="U59" i="177"/>
  <c r="W58" i="177"/>
  <c r="K58" i="177"/>
  <c r="O56" i="177"/>
  <c r="S54" i="177"/>
  <c r="U53" i="177"/>
  <c r="W52" i="177"/>
  <c r="K52" i="177"/>
  <c r="O50" i="177"/>
  <c r="S48" i="177"/>
  <c r="U47" i="177"/>
  <c r="W46" i="177"/>
  <c r="K46" i="177"/>
  <c r="O44" i="177"/>
  <c r="S42" i="177"/>
  <c r="U41" i="177"/>
  <c r="W40" i="177"/>
  <c r="K40" i="177"/>
  <c r="O38" i="177"/>
  <c r="S36" i="177"/>
  <c r="U35" i="177"/>
  <c r="W34" i="177"/>
  <c r="K34" i="177"/>
  <c r="O32" i="177"/>
  <c r="S30" i="177"/>
  <c r="U29" i="177"/>
  <c r="W28" i="177"/>
  <c r="K28" i="177"/>
  <c r="O26" i="177"/>
  <c r="S24" i="177"/>
  <c r="U23" i="177"/>
  <c r="W22" i="177"/>
  <c r="K22" i="177"/>
  <c r="U17" i="177"/>
  <c r="K16" i="177"/>
  <c r="U11" i="177"/>
  <c r="P61" i="177"/>
  <c r="R60" i="177"/>
  <c r="T59" i="177"/>
  <c r="V58" i="177"/>
  <c r="L57" i="177"/>
  <c r="N56" i="177"/>
  <c r="P55" i="177"/>
  <c r="R54" i="177"/>
  <c r="T53" i="177"/>
  <c r="V52" i="177"/>
  <c r="L51" i="177"/>
  <c r="N50" i="177"/>
  <c r="P49" i="177"/>
  <c r="R48" i="177"/>
  <c r="T47" i="177"/>
  <c r="V46" i="177"/>
  <c r="L45" i="177"/>
  <c r="N44" i="177"/>
  <c r="P43" i="177"/>
  <c r="R42" i="177"/>
  <c r="T41" i="177"/>
  <c r="V40" i="177"/>
  <c r="L39" i="177"/>
  <c r="N38" i="177"/>
  <c r="P37" i="177"/>
  <c r="R36" i="177"/>
  <c r="T35" i="177"/>
  <c r="V34" i="177"/>
  <c r="L33" i="177"/>
  <c r="N32" i="177"/>
  <c r="P31" i="177"/>
  <c r="R30" i="177"/>
  <c r="T29" i="177"/>
  <c r="V28" i="177"/>
  <c r="L27" i="177"/>
  <c r="N26" i="177"/>
  <c r="P25" i="177"/>
  <c r="R24" i="177"/>
  <c r="T23" i="177"/>
  <c r="V22" i="177"/>
  <c r="L21" i="177"/>
  <c r="N20" i="177"/>
  <c r="P19" i="177"/>
  <c r="R18" i="177"/>
  <c r="T17" i="177"/>
  <c r="V16" i="177"/>
  <c r="L15" i="177"/>
  <c r="N14" i="177"/>
  <c r="P13" i="177"/>
  <c r="R12" i="177"/>
  <c r="T11" i="177"/>
  <c r="N19" i="177"/>
  <c r="T16" i="177"/>
  <c r="L14" i="177"/>
  <c r="P11" i="177"/>
  <c r="U20" i="177"/>
  <c r="O11" i="177"/>
  <c r="V61" i="177"/>
  <c r="T56" i="177"/>
  <c r="N53" i="177"/>
  <c r="L48" i="177"/>
  <c r="P40" i="177"/>
  <c r="T32" i="177"/>
  <c r="L30" i="177"/>
  <c r="O61" i="177"/>
  <c r="Q60" i="177"/>
  <c r="S59" i="177"/>
  <c r="U58" i="177"/>
  <c r="W57" i="177"/>
  <c r="K57" i="177"/>
  <c r="M56" i="177"/>
  <c r="O55" i="177"/>
  <c r="Q54" i="177"/>
  <c r="S53" i="177"/>
  <c r="U52" i="177"/>
  <c r="W51" i="177"/>
  <c r="K51" i="177"/>
  <c r="M50" i="177"/>
  <c r="O49" i="177"/>
  <c r="Q48" i="177"/>
  <c r="S47" i="177"/>
  <c r="U46" i="177"/>
  <c r="W45" i="177"/>
  <c r="K45" i="177"/>
  <c r="M44" i="177"/>
  <c r="O43" i="177"/>
  <c r="Q42" i="177"/>
  <c r="S41" i="177"/>
  <c r="U40" i="177"/>
  <c r="W39" i="177"/>
  <c r="K39" i="177"/>
  <c r="M38" i="177"/>
  <c r="O37" i="177"/>
  <c r="Q36" i="177"/>
  <c r="S35" i="177"/>
  <c r="U34" i="177"/>
  <c r="W33" i="177"/>
  <c r="K33" i="177"/>
  <c r="O31" i="177"/>
  <c r="S29" i="177"/>
  <c r="U28" i="177"/>
  <c r="W27" i="177"/>
  <c r="K27" i="177"/>
  <c r="O25" i="177"/>
  <c r="S23" i="177"/>
  <c r="U22" i="177"/>
  <c r="W21" i="177"/>
  <c r="K21" i="177"/>
  <c r="O19" i="177"/>
  <c r="S17" i="177"/>
  <c r="U16" i="177"/>
  <c r="W15" i="177"/>
  <c r="K15" i="177"/>
  <c r="O13" i="177"/>
  <c r="S11" i="177"/>
  <c r="R23" i="177"/>
  <c r="V21" i="177"/>
  <c r="L20" i="177"/>
  <c r="R17" i="177"/>
  <c r="V15" i="177"/>
  <c r="N13" i="177"/>
  <c r="R11" i="177"/>
  <c r="K31" i="177"/>
  <c r="S27" i="177"/>
  <c r="S21" i="177"/>
  <c r="N59" i="177"/>
  <c r="V55" i="177"/>
  <c r="P52" i="177"/>
  <c r="T44" i="177"/>
  <c r="L42" i="177"/>
  <c r="N35" i="177"/>
  <c r="R27" i="177"/>
  <c r="N61" i="177"/>
  <c r="P60" i="177"/>
  <c r="R59" i="177"/>
  <c r="T58" i="177"/>
  <c r="V57" i="177"/>
  <c r="L56" i="177"/>
  <c r="N55" i="177"/>
  <c r="P54" i="177"/>
  <c r="R53" i="177"/>
  <c r="T52" i="177"/>
  <c r="V51" i="177"/>
  <c r="L50" i="177"/>
  <c r="N49" i="177"/>
  <c r="P48" i="177"/>
  <c r="R47" i="177"/>
  <c r="T46" i="177"/>
  <c r="V45" i="177"/>
  <c r="L44" i="177"/>
  <c r="N43" i="177"/>
  <c r="P42" i="177"/>
  <c r="R41" i="177"/>
  <c r="T40" i="177"/>
  <c r="V39" i="177"/>
  <c r="L38" i="177"/>
  <c r="N37" i="177"/>
  <c r="P36" i="177"/>
  <c r="R35" i="177"/>
  <c r="T34" i="177"/>
  <c r="V33" i="177"/>
  <c r="L32" i="177"/>
  <c r="N31" i="177"/>
  <c r="P30" i="177"/>
  <c r="R29" i="177"/>
  <c r="T28" i="177"/>
  <c r="V27" i="177"/>
  <c r="L26" i="177"/>
  <c r="N25" i="177"/>
  <c r="P24" i="177"/>
  <c r="T22" i="177"/>
  <c r="P18" i="177"/>
  <c r="P12" i="177"/>
  <c r="W31" i="177"/>
  <c r="U26" i="177"/>
  <c r="O23" i="177"/>
  <c r="K19" i="177"/>
  <c r="R57" i="177"/>
  <c r="R51" i="177"/>
  <c r="V43" i="177"/>
  <c r="R39" i="177"/>
  <c r="L36" i="177"/>
  <c r="P28" i="177"/>
  <c r="M61" i="177"/>
  <c r="O60" i="177"/>
  <c r="Q59" i="177"/>
  <c r="S58" i="177"/>
  <c r="U57" i="177"/>
  <c r="W56" i="177"/>
  <c r="K56" i="177"/>
  <c r="M55" i="177"/>
  <c r="O54" i="177"/>
  <c r="Q53" i="177"/>
  <c r="S52" i="177"/>
  <c r="U51" i="177"/>
  <c r="W50" i="177"/>
  <c r="K50" i="177"/>
  <c r="M49" i="177"/>
  <c r="O48" i="177"/>
  <c r="Q47" i="177"/>
  <c r="S46" i="177"/>
  <c r="U45" i="177"/>
  <c r="W44" i="177"/>
  <c r="K44" i="177"/>
  <c r="M43" i="177"/>
  <c r="O42" i="177"/>
  <c r="Q41" i="177"/>
  <c r="S40" i="177"/>
  <c r="U39" i="177"/>
  <c r="W38" i="177"/>
  <c r="K38" i="177"/>
  <c r="M37" i="177"/>
  <c r="O36" i="177"/>
  <c r="S34" i="177"/>
  <c r="U33" i="177"/>
  <c r="W32" i="177"/>
  <c r="K32" i="177"/>
  <c r="O30" i="177"/>
  <c r="S28" i="177"/>
  <c r="U27" i="177"/>
  <c r="W26" i="177"/>
  <c r="K26" i="177"/>
  <c r="O24" i="177"/>
  <c r="S22" i="177"/>
  <c r="U21" i="177"/>
  <c r="W20" i="177"/>
  <c r="K20" i="177"/>
  <c r="O18" i="177"/>
  <c r="S16" i="177"/>
  <c r="U15" i="177"/>
  <c r="W14" i="177"/>
  <c r="K14" i="177"/>
  <c r="O12" i="177"/>
  <c r="L19" i="177"/>
  <c r="R16" i="177"/>
  <c r="T15" i="177"/>
  <c r="N12" i="177"/>
  <c r="U32" i="177"/>
  <c r="W25" i="177"/>
  <c r="S15" i="177"/>
  <c r="W13" i="177"/>
  <c r="P58" i="177"/>
  <c r="L54" i="177"/>
  <c r="R45" i="177"/>
  <c r="N41" i="177"/>
  <c r="P34" i="177"/>
  <c r="V25" i="177"/>
  <c r="L61" i="177"/>
  <c r="N60" i="177"/>
  <c r="P59" i="177"/>
  <c r="R58" i="177"/>
  <c r="T57" i="177"/>
  <c r="V56" i="177"/>
  <c r="L55" i="177"/>
  <c r="N54" i="177"/>
  <c r="P53" i="177"/>
  <c r="R52" i="177"/>
  <c r="T51" i="177"/>
  <c r="V50" i="177"/>
  <c r="L49" i="177"/>
  <c r="N48" i="177"/>
  <c r="P47" i="177"/>
  <c r="R46" i="177"/>
  <c r="T45" i="177"/>
  <c r="V44" i="177"/>
  <c r="L43" i="177"/>
  <c r="N42" i="177"/>
  <c r="P41" i="177"/>
  <c r="R40" i="177"/>
  <c r="T39" i="177"/>
  <c r="V38" i="177"/>
  <c r="L37" i="177"/>
  <c r="N36" i="177"/>
  <c r="P35" i="177"/>
  <c r="R34" i="177"/>
  <c r="T33" i="177"/>
  <c r="V32" i="177"/>
  <c r="L31" i="177"/>
  <c r="N30" i="177"/>
  <c r="P29" i="177"/>
  <c r="R28" i="177"/>
  <c r="T27" i="177"/>
  <c r="V26" i="177"/>
  <c r="L25" i="177"/>
  <c r="N24" i="177"/>
  <c r="P23" i="177"/>
  <c r="R22" i="177"/>
  <c r="T21" i="177"/>
  <c r="V20" i="177"/>
  <c r="N18" i="177"/>
  <c r="P17" i="177"/>
  <c r="V14" i="177"/>
  <c r="L13" i="177"/>
  <c r="O29" i="177"/>
  <c r="U14" i="177"/>
  <c r="T50" i="177"/>
  <c r="P46" i="177"/>
  <c r="T38" i="177"/>
  <c r="V31" i="177"/>
  <c r="T26" i="177"/>
  <c r="W61" i="177"/>
  <c r="K61" i="177"/>
  <c r="O59" i="177"/>
  <c r="S57" i="177"/>
  <c r="U56" i="177"/>
  <c r="W55" i="177"/>
  <c r="K55" i="177"/>
  <c r="O53" i="177"/>
  <c r="S51" i="177"/>
  <c r="U50" i="177"/>
  <c r="W49" i="177"/>
  <c r="K49" i="177"/>
  <c r="O47" i="177"/>
  <c r="S45" i="177"/>
  <c r="U44" i="177"/>
  <c r="W43" i="177"/>
  <c r="K43" i="177"/>
  <c r="O41" i="177"/>
  <c r="S39" i="177"/>
  <c r="U38" i="177"/>
  <c r="W37" i="177"/>
  <c r="K37" i="177"/>
  <c r="O35" i="177"/>
  <c r="S33" i="177"/>
  <c r="K25" i="177"/>
  <c r="W19" i="177"/>
  <c r="O17" i="177"/>
  <c r="K13" i="177"/>
  <c r="L60" i="177"/>
  <c r="V49" i="177"/>
  <c r="N47" i="177"/>
  <c r="V37" i="177"/>
  <c r="R33" i="177"/>
  <c r="N29" i="177"/>
  <c r="R21" i="177"/>
  <c r="P22" i="177"/>
  <c r="N11" i="177"/>
  <c r="T14" i="177"/>
  <c r="T20" i="177"/>
  <c r="V19" i="177"/>
  <c r="V13" i="177"/>
  <c r="L18" i="177"/>
  <c r="L12" i="177"/>
  <c r="N17" i="177"/>
  <c r="P16" i="177"/>
  <c r="R15" i="177"/>
  <c r="L10" i="177"/>
  <c r="R10" i="177"/>
  <c r="W10" i="177"/>
  <c r="M10" i="177"/>
  <c r="S10" i="177"/>
  <c r="P10" i="177"/>
  <c r="N10" i="177"/>
  <c r="V10" i="177"/>
  <c r="T10" i="177"/>
  <c r="K10" i="177"/>
  <c r="O10" i="177"/>
  <c r="Q10" i="177"/>
  <c r="U10" i="177"/>
  <c r="T9" i="177"/>
  <c r="V9" i="177"/>
  <c r="M9" i="177"/>
  <c r="O9" i="177"/>
  <c r="U9" i="177"/>
  <c r="Q9" i="177"/>
  <c r="K9" i="177"/>
  <c r="P9" i="177"/>
  <c r="W9" i="177"/>
  <c r="N9" i="177"/>
  <c r="S9" i="177"/>
  <c r="L9" i="177"/>
  <c r="R9" i="177"/>
  <c r="E99" i="177" a="1"/>
  <c r="E99" i="177" s="1"/>
  <c r="R8" i="177"/>
  <c r="L8" i="177"/>
  <c r="M8" i="177"/>
  <c r="S8" i="177"/>
  <c r="T7" i="177"/>
  <c r="T8" i="177"/>
  <c r="W8" i="177"/>
  <c r="O7" i="177"/>
  <c r="P7" i="177"/>
  <c r="K7" i="177"/>
  <c r="U7" i="177"/>
  <c r="M7" i="177"/>
  <c r="V7" i="177"/>
  <c r="U8" i="177"/>
  <c r="Q7" i="177"/>
  <c r="L7" i="177"/>
  <c r="S7" i="177"/>
  <c r="N7" i="177"/>
  <c r="P8" i="177"/>
  <c r="V8" i="177"/>
  <c r="W7" i="177"/>
  <c r="R7" i="177"/>
  <c r="K8" i="177"/>
  <c r="Q8" i="177"/>
  <c r="N8" i="177"/>
  <c r="O8" i="177"/>
  <c r="M5" i="177"/>
  <c r="Q5" i="177"/>
  <c r="U5" i="177"/>
  <c r="K6" i="177"/>
  <c r="O6" i="177"/>
  <c r="S6" i="177"/>
  <c r="W6" i="177"/>
  <c r="K5" i="177"/>
  <c r="O5" i="177"/>
  <c r="S5" i="177"/>
  <c r="W5" i="177"/>
  <c r="M6" i="177"/>
  <c r="Q6" i="177"/>
  <c r="U6" i="177"/>
  <c r="R5" i="177"/>
  <c r="L6" i="177"/>
  <c r="T6" i="177"/>
  <c r="L5" i="177"/>
  <c r="T5" i="177"/>
  <c r="N6" i="177"/>
  <c r="V6" i="177"/>
  <c r="N5" i="177"/>
  <c r="V5" i="177"/>
  <c r="P6" i="177"/>
  <c r="P5" i="177"/>
  <c r="R6" i="177"/>
  <c r="G99" i="177" a="1"/>
  <c r="G99" i="177" s="1"/>
  <c r="H8" i="176" s="1"/>
  <c r="I99" i="177" a="1"/>
  <c r="I99" i="177" s="1"/>
  <c r="I8" i="176" s="1"/>
  <c r="F99" i="177" a="1"/>
  <c r="F99" i="177" s="1"/>
  <c r="H99" i="177" a="1"/>
  <c r="H99" i="177" s="1"/>
  <c r="G8" i="176"/>
  <c r="U9" i="174" s="1"/>
  <c r="W11" i="174" l="1"/>
  <c r="I61" i="173"/>
  <c r="I49" i="173"/>
  <c r="I37" i="173"/>
  <c r="I25" i="173"/>
  <c r="I13" i="173"/>
  <c r="I8" i="173"/>
  <c r="I60" i="173"/>
  <c r="J60" i="173" s="1"/>
  <c r="I48" i="173"/>
  <c r="I36" i="173"/>
  <c r="I24" i="173"/>
  <c r="I12" i="173"/>
  <c r="I28" i="173"/>
  <c r="I59" i="173"/>
  <c r="I47" i="173"/>
  <c r="I35" i="173"/>
  <c r="I23" i="173"/>
  <c r="I11" i="173"/>
  <c r="I58" i="173"/>
  <c r="I46" i="173"/>
  <c r="J46" i="173" s="1"/>
  <c r="I34" i="173"/>
  <c r="I22" i="173"/>
  <c r="I10" i="173"/>
  <c r="I16" i="173"/>
  <c r="I57" i="173"/>
  <c r="I45" i="173"/>
  <c r="I33" i="173"/>
  <c r="I21" i="173"/>
  <c r="I9" i="173"/>
  <c r="I38" i="173"/>
  <c r="I56" i="173"/>
  <c r="I44" i="173"/>
  <c r="J44" i="173" s="1"/>
  <c r="I32" i="173"/>
  <c r="I20" i="173"/>
  <c r="I55" i="173"/>
  <c r="I43" i="173"/>
  <c r="I31" i="173"/>
  <c r="I19" i="173"/>
  <c r="I7" i="173"/>
  <c r="I14" i="173"/>
  <c r="I54" i="173"/>
  <c r="I42" i="173"/>
  <c r="I30" i="173"/>
  <c r="I18" i="173"/>
  <c r="J18" i="173" s="1"/>
  <c r="I53" i="173"/>
  <c r="I41" i="173"/>
  <c r="I29" i="173"/>
  <c r="I17" i="173"/>
  <c r="I26" i="173"/>
  <c r="I52" i="173"/>
  <c r="I40" i="173"/>
  <c r="I51" i="173"/>
  <c r="I39" i="173"/>
  <c r="I27" i="173"/>
  <c r="I15" i="173"/>
  <c r="I62" i="173"/>
  <c r="J62" i="173" s="1"/>
  <c r="I50" i="173"/>
  <c r="I6" i="173"/>
  <c r="N10" i="174"/>
  <c r="O9" i="174"/>
  <c r="V9" i="174"/>
  <c r="N9" i="174"/>
  <c r="T10" i="174"/>
  <c r="U10" i="174"/>
  <c r="Z11" i="174" a="1"/>
  <c r="Z11" i="174" s="1"/>
  <c r="Z9" i="174" a="1"/>
  <c r="Z9" i="174" s="1"/>
  <c r="Z10" i="174" a="1"/>
  <c r="Z10" i="174" s="1"/>
  <c r="Z8" i="174" a="1"/>
  <c r="Z8" i="174" s="1"/>
  <c r="AA11" i="174" a="1"/>
  <c r="AA11" i="174" s="1"/>
  <c r="AA8" i="174" a="1"/>
  <c r="AA8" i="174" s="1"/>
  <c r="AA9" i="174" a="1"/>
  <c r="AA9" i="174" s="1"/>
  <c r="AA10" i="174" a="1"/>
  <c r="AA10" i="174" s="1"/>
  <c r="AB11" i="174" a="1"/>
  <c r="AB11" i="174" s="1"/>
  <c r="AB10" i="174" a="1"/>
  <c r="AB10" i="174" s="1"/>
  <c r="AB9" i="174" a="1"/>
  <c r="AB9" i="174" s="1"/>
  <c r="AB8" i="174" a="1"/>
  <c r="AB8" i="174" s="1"/>
  <c r="AC10" i="174" a="1"/>
  <c r="AC10" i="174" s="1"/>
  <c r="AC8" i="174" a="1"/>
  <c r="AC8" i="174" s="1"/>
  <c r="AC9" i="174" a="1"/>
  <c r="AC9" i="174" s="1"/>
  <c r="AC11" i="174" a="1"/>
  <c r="AC11" i="174" s="1"/>
  <c r="AD9" i="174" a="1"/>
  <c r="AD9" i="174" s="1"/>
  <c r="AD8" i="174" a="1"/>
  <c r="AD8" i="174" s="1"/>
  <c r="AD10" i="174" a="1"/>
  <c r="AD10" i="174" s="1"/>
  <c r="AD11" i="174" a="1"/>
  <c r="AD11" i="174" s="1"/>
  <c r="S9" i="174"/>
  <c r="W9" i="174"/>
  <c r="U8" i="174"/>
  <c r="S11" i="174"/>
  <c r="N11" i="174"/>
  <c r="S8" i="174"/>
  <c r="V10" i="174"/>
  <c r="U11" i="174"/>
  <c r="V8" i="174"/>
  <c r="T8" i="174"/>
  <c r="O8" i="174"/>
  <c r="V59" i="173"/>
  <c r="V55" i="173"/>
  <c r="V51" i="173"/>
  <c r="V47" i="173"/>
  <c r="V43" i="173"/>
  <c r="V39" i="173"/>
  <c r="V35" i="173"/>
  <c r="V31" i="173"/>
  <c r="V27" i="173"/>
  <c r="V23" i="173"/>
  <c r="V19" i="173"/>
  <c r="V15" i="173"/>
  <c r="V11" i="173"/>
  <c r="V7" i="173"/>
  <c r="V12" i="173"/>
  <c r="V62" i="173"/>
  <c r="V58" i="173"/>
  <c r="V54" i="173"/>
  <c r="V50" i="173"/>
  <c r="V46" i="173"/>
  <c r="V42" i="173"/>
  <c r="V38" i="173"/>
  <c r="V34" i="173"/>
  <c r="V30" i="173"/>
  <c r="V26" i="173"/>
  <c r="V22" i="173"/>
  <c r="V18" i="173"/>
  <c r="V14" i="173"/>
  <c r="V10" i="173"/>
  <c r="V6" i="173"/>
  <c r="V60" i="173"/>
  <c r="V48" i="173"/>
  <c r="V44" i="173"/>
  <c r="V32" i="173"/>
  <c r="V24" i="173"/>
  <c r="V20" i="173"/>
  <c r="V61" i="173"/>
  <c r="V57" i="173"/>
  <c r="V53" i="173"/>
  <c r="V49" i="173"/>
  <c r="V45" i="173"/>
  <c r="V41" i="173"/>
  <c r="V37" i="173"/>
  <c r="V33" i="173"/>
  <c r="V29" i="173"/>
  <c r="V25" i="173"/>
  <c r="V21" i="173"/>
  <c r="V17" i="173"/>
  <c r="V13" i="173"/>
  <c r="V9" i="173"/>
  <c r="V56" i="173"/>
  <c r="V52" i="173"/>
  <c r="V40" i="173"/>
  <c r="V36" i="173"/>
  <c r="V28" i="173"/>
  <c r="V16" i="173"/>
  <c r="V8" i="173"/>
  <c r="R9" i="174"/>
  <c r="S10" i="174"/>
  <c r="O10" i="174"/>
  <c r="T9" i="174"/>
  <c r="T11" i="174"/>
  <c r="Q8" i="174"/>
  <c r="R8" i="174"/>
  <c r="O11" i="174"/>
  <c r="P8" i="174"/>
  <c r="Q9" i="174"/>
  <c r="P9" i="174"/>
  <c r="R10" i="174"/>
  <c r="Q10" i="174"/>
  <c r="W10" i="174"/>
  <c r="P11" i="174"/>
  <c r="Q11" i="174"/>
  <c r="N8" i="174"/>
  <c r="P10" i="174"/>
  <c r="V11" i="174"/>
  <c r="W8" i="174"/>
  <c r="G58" i="173"/>
  <c r="U54" i="173"/>
  <c r="U53" i="173"/>
  <c r="L52" i="173"/>
  <c r="U30" i="173"/>
  <c r="U29" i="173"/>
  <c r="W28" i="173"/>
  <c r="U27" i="173"/>
  <c r="AB23" i="173"/>
  <c r="AA18" i="173"/>
  <c r="G12" i="173"/>
  <c r="L8" i="173"/>
  <c r="F7" i="173"/>
  <c r="G8" i="174" s="1"/>
  <c r="AA62" i="173"/>
  <c r="AA60" i="173"/>
  <c r="F58" i="173"/>
  <c r="W55" i="173"/>
  <c r="L54" i="173"/>
  <c r="L53" i="173"/>
  <c r="W43" i="173"/>
  <c r="G42" i="173"/>
  <c r="L30" i="173"/>
  <c r="L27" i="173"/>
  <c r="AA23" i="173"/>
  <c r="U22" i="173"/>
  <c r="W18" i="173"/>
  <c r="L17" i="173"/>
  <c r="F12" i="173"/>
  <c r="W9" i="173"/>
  <c r="W62" i="173"/>
  <c r="L60" i="173"/>
  <c r="U43" i="173"/>
  <c r="F60" i="173"/>
  <c r="G54" i="173"/>
  <c r="G53" i="173"/>
  <c r="F43" i="173"/>
  <c r="AB36" i="173"/>
  <c r="G30" i="173"/>
  <c r="L28" i="173"/>
  <c r="L23" i="173"/>
  <c r="G22" i="173"/>
  <c r="AA19" i="173"/>
  <c r="G18" i="173"/>
  <c r="U9" i="173"/>
  <c r="L62" i="173"/>
  <c r="G55" i="173"/>
  <c r="F54" i="173"/>
  <c r="F30" i="173"/>
  <c r="W19" i="173"/>
  <c r="AB10" i="173"/>
  <c r="F55" i="173"/>
  <c r="AB51" i="173"/>
  <c r="AB47" i="173"/>
  <c r="AB39" i="173"/>
  <c r="L38" i="173"/>
  <c r="AB24" i="173"/>
  <c r="G23" i="173"/>
  <c r="AA51" i="173"/>
  <c r="G47" i="173"/>
  <c r="AB41" i="173"/>
  <c r="AB40" i="173"/>
  <c r="AA39" i="173"/>
  <c r="G29" i="173"/>
  <c r="AA24" i="173"/>
  <c r="F23" i="173"/>
  <c r="U20" i="173"/>
  <c r="L19" i="173"/>
  <c r="U10" i="173"/>
  <c r="AB52" i="173"/>
  <c r="W51" i="173"/>
  <c r="AA42" i="173"/>
  <c r="AA41" i="173"/>
  <c r="AA40" i="173"/>
  <c r="W39" i="173"/>
  <c r="G24" i="173"/>
  <c r="L20" i="173"/>
  <c r="F19" i="173"/>
  <c r="AB53" i="173"/>
  <c r="AA52" i="173"/>
  <c r="G44" i="173"/>
  <c r="W42" i="173"/>
  <c r="W41" i="173"/>
  <c r="W40" i="173"/>
  <c r="G35" i="173"/>
  <c r="W54" i="173"/>
  <c r="W53" i="173"/>
  <c r="L51" i="173"/>
  <c r="AA49" i="173"/>
  <c r="U42" i="173"/>
  <c r="U41" i="173"/>
  <c r="U40" i="173"/>
  <c r="L39" i="173"/>
  <c r="W37" i="173"/>
  <c r="W30" i="173"/>
  <c r="W29" i="173"/>
  <c r="AB28" i="173"/>
  <c r="W27" i="173"/>
  <c r="AA54" i="173"/>
  <c r="L18" i="173"/>
  <c r="F35" i="173"/>
  <c r="AB29" i="173"/>
  <c r="AB27" i="173"/>
  <c r="AB22" i="173"/>
  <c r="U51" i="173"/>
  <c r="L42" i="173"/>
  <c r="L40" i="173"/>
  <c r="AA29" i="173"/>
  <c r="AA27" i="173"/>
  <c r="AA7" i="173"/>
  <c r="F8" i="174" s="1"/>
  <c r="F42" i="173"/>
  <c r="AA37" i="173"/>
  <c r="AA17" i="173"/>
  <c r="L11" i="173"/>
  <c r="W7" i="173"/>
  <c r="AA53" i="173"/>
  <c r="L37" i="173"/>
  <c r="L29" i="173"/>
  <c r="F24" i="173"/>
  <c r="W17" i="173"/>
  <c r="L7" i="173"/>
  <c r="U17" i="173"/>
  <c r="F11" i="173"/>
  <c r="F44" i="173"/>
  <c r="U39" i="173"/>
  <c r="W21" i="173"/>
  <c r="AB19" i="173"/>
  <c r="L41" i="173"/>
  <c r="G33" i="173"/>
  <c r="AA28" i="173"/>
  <c r="W26" i="173"/>
  <c r="U23" i="173"/>
  <c r="W8" i="173"/>
  <c r="U52" i="173"/>
  <c r="F46" i="173"/>
  <c r="AB18" i="173"/>
  <c r="G10" i="173"/>
  <c r="H11" i="174" s="1"/>
  <c r="W52" i="173"/>
  <c r="U8" i="173"/>
  <c r="U28" i="173"/>
  <c r="G41" i="173"/>
  <c r="AA30" i="173"/>
  <c r="AA8" i="173"/>
  <c r="F9" i="174" s="1"/>
  <c r="F33" i="173"/>
  <c r="U44" i="173"/>
  <c r="G11" i="173"/>
  <c r="AB59" i="173"/>
  <c r="U62" i="173"/>
  <c r="F34" i="173"/>
  <c r="L49" i="173"/>
  <c r="G13" i="173"/>
  <c r="AA36" i="173"/>
  <c r="AA9" i="173"/>
  <c r="F10" i="174" s="1"/>
  <c r="L61" i="173"/>
  <c r="W23" i="173"/>
  <c r="AA55" i="173"/>
  <c r="G37" i="173"/>
  <c r="AA12" i="173"/>
  <c r="L43" i="173"/>
  <c r="AB12" i="173"/>
  <c r="L59" i="173"/>
  <c r="U34" i="173"/>
  <c r="L25" i="173"/>
  <c r="L50" i="173"/>
  <c r="W44" i="173"/>
  <c r="F26" i="173"/>
  <c r="G7" i="173"/>
  <c r="H8" i="174" s="1"/>
  <c r="AA11" i="173"/>
  <c r="G17" i="173"/>
  <c r="F41" i="173"/>
  <c r="AB13" i="173"/>
  <c r="W49" i="173"/>
  <c r="G61" i="173"/>
  <c r="W10" i="173"/>
  <c r="W25" i="173"/>
  <c r="AA25" i="173"/>
  <c r="L55" i="173"/>
  <c r="F37" i="173"/>
  <c r="W14" i="173"/>
  <c r="W59" i="173"/>
  <c r="U48" i="173"/>
  <c r="AB26" i="173"/>
  <c r="F56" i="173"/>
  <c r="AB30" i="173"/>
  <c r="G38" i="173"/>
  <c r="F28" i="173"/>
  <c r="U37" i="173"/>
  <c r="G56" i="173"/>
  <c r="G20" i="173"/>
  <c r="U55" i="173"/>
  <c r="L48" i="173"/>
  <c r="G32" i="173"/>
  <c r="AA13" i="173"/>
  <c r="AB16" i="173"/>
  <c r="U57" i="173"/>
  <c r="F61" i="173"/>
  <c r="AB33" i="173"/>
  <c r="W12" i="173"/>
  <c r="W38" i="173"/>
  <c r="AB31" i="173"/>
  <c r="U38" i="173"/>
  <c r="F31" i="173"/>
  <c r="G59" i="173"/>
  <c r="L16" i="173"/>
  <c r="F47" i="173"/>
  <c r="F38" i="173"/>
  <c r="F39" i="173"/>
  <c r="F40" i="173"/>
  <c r="U50" i="173"/>
  <c r="U31" i="173"/>
  <c r="U21" i="173"/>
  <c r="AB62" i="173"/>
  <c r="W20" i="173"/>
  <c r="G52" i="173"/>
  <c r="F32" i="173"/>
  <c r="L13" i="173"/>
  <c r="W24" i="173"/>
  <c r="F36" i="173"/>
  <c r="AB9" i="173"/>
  <c r="AA33" i="173"/>
  <c r="AB50" i="173"/>
  <c r="U15" i="173"/>
  <c r="AB46" i="173"/>
  <c r="U59" i="173"/>
  <c r="AA31" i="173"/>
  <c r="G48" i="173"/>
  <c r="W31" i="173"/>
  <c r="W61" i="173"/>
  <c r="AB42" i="173"/>
  <c r="F52" i="173"/>
  <c r="U19" i="173"/>
  <c r="AB15" i="173"/>
  <c r="U33" i="173"/>
  <c r="G9" i="173"/>
  <c r="H10" i="174" s="1"/>
  <c r="AA22" i="173"/>
  <c r="AB14" i="173"/>
  <c r="U32" i="173"/>
  <c r="W13" i="173"/>
  <c r="U12" i="173"/>
  <c r="L10" i="173"/>
  <c r="L33" i="173"/>
  <c r="AB58" i="173"/>
  <c r="U14" i="173"/>
  <c r="F18" i="173"/>
  <c r="AA46" i="173"/>
  <c r="U16" i="173"/>
  <c r="L31" i="173"/>
  <c r="G43" i="173"/>
  <c r="F14" i="173"/>
  <c r="AB35" i="173"/>
  <c r="AB48" i="173"/>
  <c r="G50" i="173"/>
  <c r="G40" i="173"/>
  <c r="AB61" i="173"/>
  <c r="AB11" i="173"/>
  <c r="U7" i="173"/>
  <c r="U24" i="173"/>
  <c r="AB57" i="173"/>
  <c r="G14" i="173"/>
  <c r="F45" i="173"/>
  <c r="W11" i="173"/>
  <c r="W33" i="173"/>
  <c r="AA58" i="173"/>
  <c r="G16" i="173"/>
  <c r="AB45" i="173"/>
  <c r="L46" i="173"/>
  <c r="G57" i="173"/>
  <c r="G46" i="173"/>
  <c r="F9" i="173"/>
  <c r="G10" i="174" s="1"/>
  <c r="AA47" i="173"/>
  <c r="W60" i="173"/>
  <c r="AB54" i="173"/>
  <c r="F62" i="173"/>
  <c r="F51" i="173"/>
  <c r="G26" i="173"/>
  <c r="W22" i="173"/>
  <c r="U26" i="173"/>
  <c r="AB25" i="173"/>
  <c r="AB7" i="173"/>
  <c r="F17" i="173"/>
  <c r="L36" i="173"/>
  <c r="G39" i="173"/>
  <c r="U13" i="173"/>
  <c r="AA35" i="173"/>
  <c r="U45" i="173"/>
  <c r="AA57" i="173"/>
  <c r="F15" i="173"/>
  <c r="L58" i="173"/>
  <c r="AA45" i="173"/>
  <c r="L24" i="173"/>
  <c r="W46" i="173"/>
  <c r="U25" i="173"/>
  <c r="F8" i="173"/>
  <c r="G9" i="174" s="1"/>
  <c r="AB56" i="173"/>
  <c r="L15" i="173"/>
  <c r="L47" i="173"/>
  <c r="G31" i="173"/>
  <c r="AA20" i="173"/>
  <c r="F49" i="173"/>
  <c r="W34" i="173"/>
  <c r="U11" i="173"/>
  <c r="F53" i="173"/>
  <c r="G51" i="173"/>
  <c r="L35" i="173"/>
  <c r="F48" i="173"/>
  <c r="L57" i="173"/>
  <c r="AB20" i="173"/>
  <c r="U49" i="173"/>
  <c r="G15" i="173"/>
  <c r="W58" i="173"/>
  <c r="L45" i="173"/>
  <c r="L14" i="173"/>
  <c r="AB34" i="173"/>
  <c r="AA56" i="173"/>
  <c r="AA15" i="173"/>
  <c r="W47" i="173"/>
  <c r="W36" i="173"/>
  <c r="G34" i="173"/>
  <c r="U60" i="173"/>
  <c r="G62" i="173"/>
  <c r="AB38" i="173"/>
  <c r="L32" i="173"/>
  <c r="U35" i="173"/>
  <c r="AB43" i="173"/>
  <c r="U18" i="173"/>
  <c r="AA26" i="173"/>
  <c r="AA16" i="173"/>
  <c r="AB17" i="173"/>
  <c r="F22" i="173"/>
  <c r="AB60" i="173"/>
  <c r="AB32" i="173"/>
  <c r="W35" i="173"/>
  <c r="W57" i="173"/>
  <c r="L21" i="173"/>
  <c r="F16" i="173"/>
  <c r="G45" i="173"/>
  <c r="W45" i="173"/>
  <c r="AA38" i="173"/>
  <c r="U46" i="173"/>
  <c r="G25" i="173"/>
  <c r="AA14" i="173"/>
  <c r="AA34" i="173"/>
  <c r="L56" i="173"/>
  <c r="W16" i="173"/>
  <c r="AB21" i="173"/>
  <c r="AA44" i="173"/>
  <c r="L26" i="173"/>
  <c r="AA10" i="173"/>
  <c r="F11" i="174" s="1"/>
  <c r="F29" i="173"/>
  <c r="G28" i="173"/>
  <c r="G8" i="173"/>
  <c r="H9" i="174" s="1"/>
  <c r="G21" i="173"/>
  <c r="AA32" i="173"/>
  <c r="AB49" i="173"/>
  <c r="AA21" i="173"/>
  <c r="G49" i="173"/>
  <c r="AA50" i="173"/>
  <c r="U58" i="173"/>
  <c r="F25" i="173"/>
  <c r="W15" i="173"/>
  <c r="L34" i="173"/>
  <c r="W56" i="173"/>
  <c r="U47" i="173"/>
  <c r="U36" i="173"/>
  <c r="AB44" i="173"/>
  <c r="G60" i="173"/>
  <c r="AB8" i="173"/>
  <c r="U56" i="173"/>
  <c r="AA61" i="173"/>
  <c r="G19" i="173"/>
  <c r="H19" i="173" s="1"/>
  <c r="F10" i="173"/>
  <c r="G11" i="174" s="1"/>
  <c r="F50" i="173"/>
  <c r="F57" i="173"/>
  <c r="G27" i="173"/>
  <c r="AB37" i="173"/>
  <c r="W32" i="173"/>
  <c r="F13" i="173"/>
  <c r="U61" i="173"/>
  <c r="L9" i="173"/>
  <c r="W50" i="173"/>
  <c r="L22" i="173"/>
  <c r="AB55" i="173"/>
  <c r="L12" i="173"/>
  <c r="AA43" i="173"/>
  <c r="AA59" i="173"/>
  <c r="F20" i="173"/>
  <c r="F59" i="173"/>
  <c r="W48" i="173"/>
  <c r="F21" i="173"/>
  <c r="AA48" i="173"/>
  <c r="G36" i="173"/>
  <c r="L44" i="173"/>
  <c r="F27" i="173"/>
  <c r="N62" i="177"/>
  <c r="Q62" i="177"/>
  <c r="Q64" i="177" s="1"/>
  <c r="R62" i="177"/>
  <c r="R64" i="177" s="1"/>
  <c r="Z7" i="174" a="1"/>
  <c r="Z7" i="174" s="1"/>
  <c r="AC7" i="174" a="1"/>
  <c r="AC7" i="174" s="1"/>
  <c r="V7" i="174"/>
  <c r="V12" i="174" s="1"/>
  <c r="AA7" i="174" a="1"/>
  <c r="AA7" i="174" s="1"/>
  <c r="AB7" i="174" a="1"/>
  <c r="AB7" i="174" s="1"/>
  <c r="AD7" i="174" a="1"/>
  <c r="AD7" i="174" s="1"/>
  <c r="U7" i="174"/>
  <c r="W7" i="174"/>
  <c r="P7" i="174"/>
  <c r="P12" i="174" s="1"/>
  <c r="R7" i="174"/>
  <c r="S7" i="174"/>
  <c r="Q7" i="174"/>
  <c r="T7" i="174"/>
  <c r="O7" i="174"/>
  <c r="O12" i="174" s="1"/>
  <c r="P62" i="177"/>
  <c r="P64" i="177" s="1"/>
  <c r="W62" i="177"/>
  <c r="K62" i="177"/>
  <c r="K64" i="177" s="1"/>
  <c r="S62" i="177"/>
  <c r="S64" i="177" s="1"/>
  <c r="O62" i="177"/>
  <c r="O64" i="177" s="1"/>
  <c r="M62" i="177"/>
  <c r="M64" i="177" s="1"/>
  <c r="T62" i="177"/>
  <c r="T64" i="177" s="1"/>
  <c r="L62" i="177"/>
  <c r="L64" i="177" s="1"/>
  <c r="N7" i="174"/>
  <c r="V62" i="177"/>
  <c r="AG536" i="176" s="1"/>
  <c r="S518" i="176" s="1"/>
  <c r="U62" i="177"/>
  <c r="U64" i="177" s="1"/>
  <c r="T12" i="174" l="1"/>
  <c r="R12" i="174"/>
  <c r="J17" i="173"/>
  <c r="J43" i="173"/>
  <c r="J16" i="173"/>
  <c r="J12" i="173"/>
  <c r="J29" i="173"/>
  <c r="J55" i="173"/>
  <c r="J10" i="173"/>
  <c r="J24" i="173"/>
  <c r="J41" i="173"/>
  <c r="J20" i="173"/>
  <c r="J22" i="173"/>
  <c r="J36" i="173"/>
  <c r="U12" i="174"/>
  <c r="J50" i="173"/>
  <c r="J53" i="173"/>
  <c r="J32" i="173"/>
  <c r="J34" i="173"/>
  <c r="J48" i="173"/>
  <c r="M35" i="173"/>
  <c r="P35" i="173" s="1"/>
  <c r="J15" i="173"/>
  <c r="J30" i="173"/>
  <c r="J56" i="173"/>
  <c r="J58" i="173"/>
  <c r="J8" i="173"/>
  <c r="J27" i="173"/>
  <c r="J42" i="173"/>
  <c r="J38" i="173"/>
  <c r="J11" i="173"/>
  <c r="J13" i="173"/>
  <c r="J39" i="173"/>
  <c r="J54" i="173"/>
  <c r="J9" i="173"/>
  <c r="L10" i="174" s="1"/>
  <c r="J23" i="173"/>
  <c r="J25" i="173"/>
  <c r="J51" i="173"/>
  <c r="J14" i="173"/>
  <c r="J21" i="173"/>
  <c r="J35" i="173"/>
  <c r="J37" i="173"/>
  <c r="J40" i="173"/>
  <c r="J7" i="173"/>
  <c r="L8" i="174" s="1"/>
  <c r="J33" i="173"/>
  <c r="J47" i="173"/>
  <c r="J49" i="173"/>
  <c r="J52" i="173"/>
  <c r="J19" i="173"/>
  <c r="J45" i="173"/>
  <c r="J59" i="173"/>
  <c r="J61" i="173"/>
  <c r="J26" i="173"/>
  <c r="J31" i="173"/>
  <c r="J57" i="173"/>
  <c r="J28" i="173"/>
  <c r="C67" i="233"/>
  <c r="D67" i="233" s="1"/>
  <c r="C66" i="233"/>
  <c r="D66" i="233" s="1"/>
  <c r="E66" i="233"/>
  <c r="F66" i="233" s="1"/>
  <c r="E15" i="233"/>
  <c r="E63" i="233"/>
  <c r="E12" i="233"/>
  <c r="Q12" i="174"/>
  <c r="C64" i="233"/>
  <c r="D64" i="233" s="1"/>
  <c r="E65" i="233"/>
  <c r="F65" i="233" s="1"/>
  <c r="E14" i="233"/>
  <c r="E67" i="233"/>
  <c r="F67" i="233" s="1"/>
  <c r="E16" i="233"/>
  <c r="C23" i="234"/>
  <c r="W12" i="174"/>
  <c r="N12" i="174"/>
  <c r="S12" i="174"/>
  <c r="C65" i="233"/>
  <c r="D65" i="233" s="1"/>
  <c r="H46" i="173"/>
  <c r="E34" i="86"/>
  <c r="J34" i="86" s="1"/>
  <c r="E31" i="86"/>
  <c r="J31" i="86" s="1"/>
  <c r="H32" i="86"/>
  <c r="T9" i="221" s="1"/>
  <c r="I30" i="86"/>
  <c r="U7" i="221" s="1"/>
  <c r="H33" i="86"/>
  <c r="T10" i="221" s="1"/>
  <c r="H34" i="86"/>
  <c r="T11" i="221" s="1"/>
  <c r="E32" i="86"/>
  <c r="J32" i="86" s="1"/>
  <c r="C17" i="234" s="1"/>
  <c r="I34" i="86"/>
  <c r="U11" i="221" s="1"/>
  <c r="V15" i="174" a="1"/>
  <c r="V15" i="174" s="1"/>
  <c r="V16" i="174" a="1"/>
  <c r="V16" i="174" s="1"/>
  <c r="V17" i="174" a="1"/>
  <c r="V17" i="174" s="1"/>
  <c r="N15" i="174" a="1"/>
  <c r="N15" i="174" s="1"/>
  <c r="N16" i="174" a="1"/>
  <c r="N16" i="174" s="1"/>
  <c r="N17" i="174" a="1"/>
  <c r="N17" i="174" s="1"/>
  <c r="R15" i="174" a="1"/>
  <c r="R15" i="174" s="1"/>
  <c r="R17" i="174" a="1"/>
  <c r="R17" i="174" s="1"/>
  <c r="R16" i="174" a="1"/>
  <c r="R16" i="174" s="1"/>
  <c r="T15" i="174" a="1"/>
  <c r="T15" i="174" s="1"/>
  <c r="T17" i="174" a="1"/>
  <c r="T17" i="174" s="1"/>
  <c r="T16" i="174" a="1"/>
  <c r="T16" i="174" s="1"/>
  <c r="P17" i="174" a="1"/>
  <c r="P17" i="174" s="1"/>
  <c r="P16" i="174" a="1"/>
  <c r="P16" i="174" s="1"/>
  <c r="P15" i="174" a="1"/>
  <c r="P15" i="174" s="1"/>
  <c r="E33" i="86"/>
  <c r="J33" i="86" s="1"/>
  <c r="C20" i="234" s="1"/>
  <c r="H31" i="86"/>
  <c r="T8" i="221" s="1"/>
  <c r="I32" i="86"/>
  <c r="U9" i="221" s="1"/>
  <c r="I33" i="86"/>
  <c r="U10" i="221" s="1"/>
  <c r="I31" i="86"/>
  <c r="U8" i="221" s="1"/>
  <c r="Y9" i="174"/>
  <c r="X9" i="174"/>
  <c r="X8" i="174"/>
  <c r="Y8" i="174"/>
  <c r="X10" i="174"/>
  <c r="Y10" i="174"/>
  <c r="X11" i="174"/>
  <c r="Y11" i="174"/>
  <c r="H14" i="173"/>
  <c r="M58" i="173"/>
  <c r="P58" i="173" s="1"/>
  <c r="M12" i="173"/>
  <c r="P12" i="173" s="1"/>
  <c r="H60" i="173"/>
  <c r="M34" i="173"/>
  <c r="P34" i="173" s="1"/>
  <c r="M8" i="173"/>
  <c r="M44" i="173"/>
  <c r="P44" i="173" s="1"/>
  <c r="H43" i="173"/>
  <c r="M43" i="173"/>
  <c r="P43" i="173" s="1"/>
  <c r="H22" i="173"/>
  <c r="M62" i="173"/>
  <c r="P62" i="173" s="1"/>
  <c r="M52" i="173"/>
  <c r="P52" i="173" s="1"/>
  <c r="H20" i="173"/>
  <c r="G65" i="173"/>
  <c r="M24" i="173"/>
  <c r="P24" i="173" s="1"/>
  <c r="M18" i="173"/>
  <c r="P18" i="173" s="1"/>
  <c r="M49" i="173"/>
  <c r="P49" i="173" s="1"/>
  <c r="H34" i="173"/>
  <c r="M38" i="173"/>
  <c r="P38" i="173" s="1"/>
  <c r="H47" i="173"/>
  <c r="M47" i="173"/>
  <c r="P47" i="173" s="1"/>
  <c r="H11" i="173"/>
  <c r="H54" i="173"/>
  <c r="H28" i="173"/>
  <c r="M32" i="173"/>
  <c r="P32" i="173" s="1"/>
  <c r="M9" i="173"/>
  <c r="H36" i="173"/>
  <c r="M14" i="173"/>
  <c r="P14" i="173" s="1"/>
  <c r="M60" i="173"/>
  <c r="P60" i="173" s="1"/>
  <c r="M46" i="173"/>
  <c r="M11" i="173"/>
  <c r="P11" i="173" s="1"/>
  <c r="M55" i="173"/>
  <c r="P55" i="173" s="1"/>
  <c r="H8" i="173"/>
  <c r="I9" i="174" s="1"/>
  <c r="H9" i="173"/>
  <c r="I10" i="174" s="1"/>
  <c r="M26" i="173"/>
  <c r="P26" i="173" s="1"/>
  <c r="M22" i="173"/>
  <c r="P22" i="173" s="1"/>
  <c r="M57" i="173"/>
  <c r="P57" i="173" s="1"/>
  <c r="H32" i="173"/>
  <c r="H56" i="173"/>
  <c r="M50" i="173"/>
  <c r="P50" i="173" s="1"/>
  <c r="M23" i="173"/>
  <c r="P23" i="173" s="1"/>
  <c r="H31" i="173"/>
  <c r="M36" i="173"/>
  <c r="P36" i="173" s="1"/>
  <c r="M31" i="173"/>
  <c r="P31" i="173" s="1"/>
  <c r="H48" i="173"/>
  <c r="H23" i="173"/>
  <c r="M21" i="173"/>
  <c r="P21" i="173" s="1"/>
  <c r="H57" i="173"/>
  <c r="H62" i="173"/>
  <c r="H27" i="173"/>
  <c r="H29" i="173"/>
  <c r="H21" i="173"/>
  <c r="H45" i="173"/>
  <c r="H40" i="173"/>
  <c r="M48" i="173"/>
  <c r="P48" i="173" s="1"/>
  <c r="H61" i="173"/>
  <c r="M25" i="173"/>
  <c r="P25" i="173" s="1"/>
  <c r="M29" i="173"/>
  <c r="P29" i="173" s="1"/>
  <c r="H55" i="173"/>
  <c r="M28" i="173"/>
  <c r="P28" i="173" s="1"/>
  <c r="M39" i="173"/>
  <c r="P39" i="173" s="1"/>
  <c r="H35" i="173"/>
  <c r="N35" i="173" s="1"/>
  <c r="H30" i="173"/>
  <c r="M30" i="173"/>
  <c r="P30" i="173" s="1"/>
  <c r="M59" i="173"/>
  <c r="P59" i="173" s="1"/>
  <c r="H13" i="173"/>
  <c r="M15" i="173"/>
  <c r="P15" i="173" s="1"/>
  <c r="M56" i="173"/>
  <c r="P56" i="173" s="1"/>
  <c r="M13" i="173"/>
  <c r="P13" i="173" s="1"/>
  <c r="M16" i="173"/>
  <c r="P16" i="173" s="1"/>
  <c r="H17" i="173"/>
  <c r="H41" i="173"/>
  <c r="M40" i="173"/>
  <c r="P40" i="173" s="1"/>
  <c r="M51" i="173"/>
  <c r="P51" i="173" s="1"/>
  <c r="M20" i="173"/>
  <c r="P20" i="173" s="1"/>
  <c r="H53" i="173"/>
  <c r="H42" i="173"/>
  <c r="H12" i="173"/>
  <c r="H49" i="173"/>
  <c r="M45" i="173"/>
  <c r="P45" i="173" s="1"/>
  <c r="H59" i="173"/>
  <c r="M42" i="173"/>
  <c r="P42" i="173" s="1"/>
  <c r="H24" i="173"/>
  <c r="H52" i="173"/>
  <c r="H44" i="173"/>
  <c r="H58" i="173"/>
  <c r="H25" i="173"/>
  <c r="H39" i="173"/>
  <c r="H51" i="173"/>
  <c r="H16" i="173"/>
  <c r="H38" i="173"/>
  <c r="M37" i="173"/>
  <c r="P37" i="173" s="1"/>
  <c r="H7" i="173"/>
  <c r="I8" i="174" s="1"/>
  <c r="H37" i="173"/>
  <c r="M7" i="173"/>
  <c r="M19" i="173"/>
  <c r="P19" i="173" s="1"/>
  <c r="M17" i="173"/>
  <c r="P17" i="173" s="1"/>
  <c r="M53" i="173"/>
  <c r="P53" i="173" s="1"/>
  <c r="M27" i="173"/>
  <c r="P27" i="173" s="1"/>
  <c r="H15" i="173"/>
  <c r="H18" i="173"/>
  <c r="M54" i="173"/>
  <c r="P54" i="173" s="1"/>
  <c r="H50" i="173"/>
  <c r="M33" i="173"/>
  <c r="P33" i="173" s="1"/>
  <c r="H26" i="173"/>
  <c r="H33" i="173"/>
  <c r="H10" i="173"/>
  <c r="I11" i="174" s="1"/>
  <c r="M10" i="173"/>
  <c r="M61" i="173"/>
  <c r="P61" i="173" s="1"/>
  <c r="M41" i="173"/>
  <c r="P41" i="173" s="1"/>
  <c r="AG535" i="176"/>
  <c r="R518" i="176" s="1"/>
  <c r="AG534" i="176"/>
  <c r="Q518" i="176" s="1"/>
  <c r="W14" i="174"/>
  <c r="V14" i="174" s="1" a="1"/>
  <c r="V14" i="174" s="1"/>
  <c r="Q14" i="174"/>
  <c r="P14" i="174" s="1" a="1"/>
  <c r="P14" i="174" s="1"/>
  <c r="U14" i="174"/>
  <c r="T14" i="174" s="1" a="1"/>
  <c r="T14" i="174" s="1"/>
  <c r="S14" i="174"/>
  <c r="R14" i="174" s="1" a="1"/>
  <c r="R14" i="174" s="1"/>
  <c r="O14" i="174"/>
  <c r="N14" i="174" s="1" a="1"/>
  <c r="N14" i="174" s="1"/>
  <c r="S13" i="174"/>
  <c r="R13" i="174" s="1" a="1"/>
  <c r="R13" i="174" s="1"/>
  <c r="Q13" i="174"/>
  <c r="P13" i="174" s="1" a="1"/>
  <c r="P13" i="174" s="1"/>
  <c r="W13" i="174"/>
  <c r="V13" i="174" s="1" a="1"/>
  <c r="V13" i="174" s="1"/>
  <c r="U13" i="174"/>
  <c r="T13" i="174" s="1" a="1"/>
  <c r="T13" i="174" s="1"/>
  <c r="O13" i="174"/>
  <c r="N13" i="174" s="1" a="1"/>
  <c r="N13" i="174" s="1"/>
  <c r="AG532" i="176"/>
  <c r="O518" i="176" s="1"/>
  <c r="AG533" i="176"/>
  <c r="AI42" i="174" s="1"/>
  <c r="AG526" i="176"/>
  <c r="AI35" i="174" s="1"/>
  <c r="X7" i="174"/>
  <c r="Y7" i="174"/>
  <c r="AG529" i="176"/>
  <c r="K518" i="176" s="1"/>
  <c r="Q63" i="177"/>
  <c r="AG530" i="176"/>
  <c r="P63" i="177"/>
  <c r="M63" i="177"/>
  <c r="AG527" i="176"/>
  <c r="L63" i="177"/>
  <c r="L11" i="174" l="1"/>
  <c r="F16" i="233"/>
  <c r="V11" i="221"/>
  <c r="F14" i="233"/>
  <c r="V9" i="221"/>
  <c r="F15" i="233"/>
  <c r="V10" i="221"/>
  <c r="N46" i="173"/>
  <c r="P46" i="173"/>
  <c r="C14" i="233"/>
  <c r="Q9" i="221"/>
  <c r="G33" i="86"/>
  <c r="C21" i="234" s="1"/>
  <c r="C15" i="233"/>
  <c r="Q10" i="221"/>
  <c r="C16" i="233"/>
  <c r="Q11" i="221"/>
  <c r="G34" i="86"/>
  <c r="C24" i="234" s="1"/>
  <c r="G31" i="86"/>
  <c r="C15" i="234" s="1"/>
  <c r="C13" i="233"/>
  <c r="Q8" i="221"/>
  <c r="P9" i="173"/>
  <c r="P7" i="173"/>
  <c r="P8" i="173"/>
  <c r="P10" i="173"/>
  <c r="K60" i="173"/>
  <c r="N58" i="173"/>
  <c r="G32" i="86"/>
  <c r="C18" i="234" s="1"/>
  <c r="L9" i="174"/>
  <c r="K21" i="173"/>
  <c r="N34" i="173"/>
  <c r="N12" i="173"/>
  <c r="K44" i="173"/>
  <c r="K52" i="173"/>
  <c r="N8" i="173"/>
  <c r="K46" i="173"/>
  <c r="K62" i="173"/>
  <c r="N49" i="173"/>
  <c r="N43" i="173"/>
  <c r="N18" i="173"/>
  <c r="K56" i="173"/>
  <c r="K37" i="173"/>
  <c r="N22" i="173"/>
  <c r="K13" i="173"/>
  <c r="K24" i="173"/>
  <c r="K22" i="173"/>
  <c r="K19" i="173"/>
  <c r="K11" i="173"/>
  <c r="K7" i="173"/>
  <c r="K54" i="173"/>
  <c r="K23" i="173"/>
  <c r="N47" i="173"/>
  <c r="K34" i="173"/>
  <c r="K9" i="173"/>
  <c r="N32" i="173"/>
  <c r="K51" i="173"/>
  <c r="N55" i="173"/>
  <c r="K17" i="173"/>
  <c r="N14" i="173"/>
  <c r="N60" i="173"/>
  <c r="K27" i="173"/>
  <c r="K38" i="173"/>
  <c r="K25" i="173"/>
  <c r="N52" i="173"/>
  <c r="K26" i="173"/>
  <c r="K35" i="173"/>
  <c r="N24" i="173"/>
  <c r="N44" i="173"/>
  <c r="K30" i="173"/>
  <c r="N11" i="173"/>
  <c r="K55" i="173"/>
  <c r="N9" i="173"/>
  <c r="N62" i="173"/>
  <c r="AI43" i="174"/>
  <c r="N50" i="173"/>
  <c r="K12" i="173"/>
  <c r="N57" i="173"/>
  <c r="N26" i="173"/>
  <c r="N21" i="173"/>
  <c r="N31" i="173"/>
  <c r="N36" i="173"/>
  <c r="AI44" i="174"/>
  <c r="K58" i="173"/>
  <c r="K40" i="173"/>
  <c r="K10" i="173"/>
  <c r="N23" i="173"/>
  <c r="AD110" i="173"/>
  <c r="K59" i="173"/>
  <c r="K39" i="173"/>
  <c r="K31" i="173"/>
  <c r="AD109" i="173"/>
  <c r="N10" i="173"/>
  <c r="K48" i="173"/>
  <c r="K49" i="173"/>
  <c r="N13" i="173"/>
  <c r="K33" i="173"/>
  <c r="K53" i="173"/>
  <c r="K29" i="173"/>
  <c r="K47" i="173"/>
  <c r="N56" i="173"/>
  <c r="K28" i="173"/>
  <c r="N54" i="173"/>
  <c r="N53" i="173"/>
  <c r="K43" i="173"/>
  <c r="N37" i="173"/>
  <c r="N17" i="173"/>
  <c r="N38" i="173"/>
  <c r="N29" i="173"/>
  <c r="K8" i="173"/>
  <c r="K14" i="173"/>
  <c r="K36" i="173"/>
  <c r="K61" i="173"/>
  <c r="N19" i="173"/>
  <c r="N20" i="173"/>
  <c r="K20" i="173"/>
  <c r="K15" i="173"/>
  <c r="K57" i="173"/>
  <c r="N59" i="173"/>
  <c r="N41" i="173"/>
  <c r="K18" i="173"/>
  <c r="N51" i="173"/>
  <c r="N39" i="173"/>
  <c r="N25" i="173"/>
  <c r="N33" i="173"/>
  <c r="N7" i="173"/>
  <c r="N45" i="173"/>
  <c r="N40" i="173"/>
  <c r="K42" i="173"/>
  <c r="N42" i="173"/>
  <c r="N16" i="173"/>
  <c r="N61" i="173"/>
  <c r="N27" i="173"/>
  <c r="K50" i="173"/>
  <c r="N15" i="173"/>
  <c r="K41" i="173"/>
  <c r="N30" i="173"/>
  <c r="N28" i="173"/>
  <c r="N48" i="173"/>
  <c r="K32" i="173"/>
  <c r="K45" i="173"/>
  <c r="AI41" i="174"/>
  <c r="AD107" i="173"/>
  <c r="G518" i="176"/>
  <c r="AD101" i="173"/>
  <c r="M518" i="176"/>
  <c r="AD104" i="173"/>
  <c r="AI38" i="174"/>
  <c r="AI36" i="174"/>
  <c r="AG528" i="176"/>
  <c r="AD102" i="173"/>
  <c r="AD105" i="173"/>
  <c r="AG531" i="176"/>
  <c r="AI39" i="174"/>
  <c r="D15" i="233" l="1"/>
  <c r="S10" i="221"/>
  <c r="D16" i="233"/>
  <c r="S11" i="221"/>
  <c r="D14" i="233"/>
  <c r="S9" i="221"/>
  <c r="D13" i="233"/>
  <c r="S8" i="221"/>
  <c r="P486" i="176" a="1"/>
  <c r="P486" i="176" s="1"/>
  <c r="P188" i="176" a="1"/>
  <c r="P188" i="176" s="1"/>
  <c r="P505" i="176" a="1"/>
  <c r="P505" i="176" s="1"/>
  <c r="P504" i="176" a="1"/>
  <c r="P504" i="176" s="1"/>
  <c r="O14" i="173"/>
  <c r="P79" i="176" a="1"/>
  <c r="P79" i="176" s="1"/>
  <c r="P468" i="176" a="1"/>
  <c r="P468" i="176" s="1"/>
  <c r="P469" i="176" a="1"/>
  <c r="P469" i="176" s="1"/>
  <c r="P487" i="176" a="1"/>
  <c r="P487" i="176" s="1"/>
  <c r="P218" i="176" a="1"/>
  <c r="P218" i="176" s="1"/>
  <c r="P217" i="176" a="1"/>
  <c r="P217" i="176" s="1"/>
  <c r="P186" i="176" a="1"/>
  <c r="P186" i="176" s="1"/>
  <c r="P423" i="176" a="1"/>
  <c r="P423" i="176" s="1"/>
  <c r="P168" i="176" a="1"/>
  <c r="P168" i="176" s="1"/>
  <c r="P176" i="176" a="1"/>
  <c r="P176" i="176" s="1"/>
  <c r="P169" i="176" a="1"/>
  <c r="P169" i="176" s="1"/>
  <c r="P173" i="176" a="1"/>
  <c r="P173" i="176" s="1"/>
  <c r="P208" i="176" a="1"/>
  <c r="P208" i="176" s="1"/>
  <c r="P434" i="176" a="1"/>
  <c r="P434" i="176" s="1"/>
  <c r="P171" i="176" a="1"/>
  <c r="P171" i="176" s="1"/>
  <c r="P422" i="176" a="1"/>
  <c r="P422" i="176" s="1"/>
  <c r="P174" i="176" a="1"/>
  <c r="P174" i="176" s="1"/>
  <c r="P425" i="176" a="1"/>
  <c r="P425" i="176" s="1"/>
  <c r="N425" i="176" s="1"/>
  <c r="P175" i="176" a="1"/>
  <c r="P175" i="176" s="1"/>
  <c r="P182" i="176" a="1"/>
  <c r="P182" i="176" s="1"/>
  <c r="P431" i="176" a="1"/>
  <c r="P431" i="176" s="1"/>
  <c r="P170" i="176" a="1"/>
  <c r="P170" i="176" s="1"/>
  <c r="P436" i="176" a="1"/>
  <c r="P436" i="176" s="1"/>
  <c r="P205" i="176" a="1"/>
  <c r="P205" i="176" s="1"/>
  <c r="P207" i="176" a="1"/>
  <c r="P207" i="176" s="1"/>
  <c r="P432" i="176" a="1"/>
  <c r="P432" i="176" s="1"/>
  <c r="P167" i="176" a="1"/>
  <c r="P167" i="176" s="1"/>
  <c r="P421" i="176" a="1"/>
  <c r="P421" i="176" s="1"/>
  <c r="P166" i="176" a="1"/>
  <c r="P166" i="176" s="1"/>
  <c r="P433" i="176" a="1"/>
  <c r="P433" i="176" s="1"/>
  <c r="P183" i="176" a="1"/>
  <c r="P183" i="176" s="1"/>
  <c r="O16" i="173"/>
  <c r="P420" i="176" a="1"/>
  <c r="P420" i="176" s="1"/>
  <c r="P424" i="176" a="1"/>
  <c r="P424" i="176" s="1"/>
  <c r="P185" i="176" a="1"/>
  <c r="P185" i="176" s="1"/>
  <c r="P435" i="176" a="1"/>
  <c r="P435" i="176" s="1"/>
  <c r="P206" i="176" a="1"/>
  <c r="P206" i="176" s="1"/>
  <c r="P184" i="176" a="1"/>
  <c r="P184" i="176" s="1"/>
  <c r="P187" i="176" a="1"/>
  <c r="P187" i="176" s="1"/>
  <c r="P209" i="176" a="1"/>
  <c r="P209" i="176" s="1"/>
  <c r="O15" i="173"/>
  <c r="O17" i="173"/>
  <c r="Q14" i="173"/>
  <c r="S14" i="173"/>
  <c r="S17" i="173"/>
  <c r="Q17" i="173"/>
  <c r="Q15" i="173"/>
  <c r="S15" i="173"/>
  <c r="S16" i="173"/>
  <c r="Q16" i="173"/>
  <c r="U6" i="173"/>
  <c r="G6" i="173"/>
  <c r="L6" i="173"/>
  <c r="W6" i="173"/>
  <c r="W63" i="173" s="1"/>
  <c r="G81" i="173" s="1"/>
  <c r="F6" i="173"/>
  <c r="AA6" i="173"/>
  <c r="AB6" i="173"/>
  <c r="AI37" i="174"/>
  <c r="AD103" i="173"/>
  <c r="AD106" i="173"/>
  <c r="AI40" i="174"/>
  <c r="C63" i="233" l="1"/>
  <c r="D63" i="233" s="1"/>
  <c r="J6" i="173"/>
  <c r="K16" i="173"/>
  <c r="E64" i="233"/>
  <c r="E13" i="233"/>
  <c r="F63" i="233"/>
  <c r="E30" i="86"/>
  <c r="J30" i="86" s="1"/>
  <c r="V68" i="173" a="1"/>
  <c r="V68" i="173" s="1"/>
  <c r="V67" i="173" a="1"/>
  <c r="V67" i="173" s="1"/>
  <c r="V66" i="173" a="1"/>
  <c r="V66" i="173" s="1"/>
  <c r="H30" i="86"/>
  <c r="T7" i="221" s="1"/>
  <c r="U67" i="173" a="1"/>
  <c r="U67" i="173" s="1"/>
  <c r="U66" i="173" a="1"/>
  <c r="U66" i="173" s="1"/>
  <c r="U68" i="173" a="1"/>
  <c r="U68" i="173" s="1"/>
  <c r="R14" i="173"/>
  <c r="T14" i="173"/>
  <c r="T16" i="173"/>
  <c r="R16" i="173"/>
  <c r="T17" i="173"/>
  <c r="R17" i="173"/>
  <c r="T15" i="173"/>
  <c r="R15" i="173"/>
  <c r="AA63" i="173"/>
  <c r="AA64" i="173"/>
  <c r="AB65" i="173"/>
  <c r="I65" i="173"/>
  <c r="AA65" i="173"/>
  <c r="F65" i="173"/>
  <c r="F14" i="174"/>
  <c r="F63" i="173"/>
  <c r="V63" i="173" s="1"/>
  <c r="H14" i="174"/>
  <c r="G64" i="173"/>
  <c r="I63" i="173"/>
  <c r="I64" i="173"/>
  <c r="AB64" i="173"/>
  <c r="F64" i="173"/>
  <c r="AB63" i="173"/>
  <c r="AB83" i="173" s="1"/>
  <c r="H7" i="174"/>
  <c r="H12" i="174" s="1"/>
  <c r="H20" i="174" s="1"/>
  <c r="G63" i="173"/>
  <c r="G83" i="173" s="1"/>
  <c r="H6" i="173"/>
  <c r="G7" i="174"/>
  <c r="F7" i="174"/>
  <c r="C68" i="233" l="1"/>
  <c r="D68" i="233" s="1"/>
  <c r="J35" i="86"/>
  <c r="C11" i="234"/>
  <c r="J67" i="173" a="1"/>
  <c r="J67" i="173" s="1"/>
  <c r="F101" i="233" s="1"/>
  <c r="I101" i="233" s="1"/>
  <c r="J66" i="173" a="1"/>
  <c r="J66" i="173" s="1"/>
  <c r="J63" i="173"/>
  <c r="J65" i="173" a="1"/>
  <c r="J65" i="173" s="1"/>
  <c r="F79" i="233" s="1"/>
  <c r="I79" i="233" s="1"/>
  <c r="J64" i="173" a="1"/>
  <c r="J64" i="173" s="1"/>
  <c r="J68" i="173" a="1"/>
  <c r="J68" i="173" s="1"/>
  <c r="F112" i="233" s="1"/>
  <c r="I112" i="233" s="1"/>
  <c r="C14" i="234"/>
  <c r="F13" i="233"/>
  <c r="V8" i="221"/>
  <c r="H64" i="173" a="1"/>
  <c r="H64" i="173" s="1"/>
  <c r="F64" i="233"/>
  <c r="E68" i="233"/>
  <c r="F90" i="233"/>
  <c r="I90" i="233" s="1"/>
  <c r="F68" i="233"/>
  <c r="F12" i="233"/>
  <c r="V7" i="221"/>
  <c r="C12" i="233"/>
  <c r="Q7" i="221"/>
  <c r="G12" i="174"/>
  <c r="G20" i="174" s="1"/>
  <c r="X12" i="174"/>
  <c r="Y12" i="174"/>
  <c r="F12" i="174"/>
  <c r="F20" i="174" s="1"/>
  <c r="AH3" i="174" s="1"/>
  <c r="G30" i="86"/>
  <c r="C12" i="234" s="1"/>
  <c r="E35" i="86"/>
  <c r="J36" i="86" s="1"/>
  <c r="N36" i="86" s="1"/>
  <c r="H63" i="173"/>
  <c r="H68" i="173" a="1"/>
  <c r="H68" i="173" s="1"/>
  <c r="H67" i="173" a="1"/>
  <c r="H67" i="173" s="1"/>
  <c r="H66" i="173" a="1"/>
  <c r="H66" i="173" s="1"/>
  <c r="AD16" i="174" a="1"/>
  <c r="AD16" i="174" s="1"/>
  <c r="AB15" i="174" a="1"/>
  <c r="AB15" i="174" s="1"/>
  <c r="AA17" i="174" a="1"/>
  <c r="AA17" i="174" s="1"/>
  <c r="AC16" i="174" a="1"/>
  <c r="AC16" i="174" s="1"/>
  <c r="AB16" i="174" a="1"/>
  <c r="AB16" i="174" s="1"/>
  <c r="Z15" i="174" a="1"/>
  <c r="Z15" i="174" s="1"/>
  <c r="AD17" i="174" a="1"/>
  <c r="AD17" i="174" s="1"/>
  <c r="AC15" i="174" a="1"/>
  <c r="AC15" i="174" s="1"/>
  <c r="AB17" i="174" a="1"/>
  <c r="AB17" i="174" s="1"/>
  <c r="Z17" i="174" a="1"/>
  <c r="Z17" i="174" s="1"/>
  <c r="AA15" i="174" a="1"/>
  <c r="AA15" i="174" s="1"/>
  <c r="AD15" i="174" a="1"/>
  <c r="AD15" i="174" s="1"/>
  <c r="AC17" i="174" a="1"/>
  <c r="AC17" i="174" s="1"/>
  <c r="Z16" i="174" a="1"/>
  <c r="Z16" i="174" s="1"/>
  <c r="AA16" i="174" a="1"/>
  <c r="AA16" i="174" s="1"/>
  <c r="X16" i="174" a="1"/>
  <c r="X16" i="174" s="1"/>
  <c r="Y15" i="174" a="1"/>
  <c r="Y15" i="174" s="1"/>
  <c r="X17" i="174" a="1"/>
  <c r="X17" i="174" s="1"/>
  <c r="X15" i="174" a="1"/>
  <c r="X15" i="174" s="1"/>
  <c r="Y17" i="174" a="1"/>
  <c r="Y17" i="174" s="1"/>
  <c r="Y16" i="174" a="1"/>
  <c r="Y16" i="174" s="1"/>
  <c r="U65" i="173" a="1"/>
  <c r="U65" i="173" s="1"/>
  <c r="V65" i="173" a="1"/>
  <c r="V65" i="173" s="1"/>
  <c r="H65" i="173" a="1"/>
  <c r="H65" i="173" s="1"/>
  <c r="V64" i="173" a="1"/>
  <c r="V64" i="173" s="1"/>
  <c r="U64" i="173" a="1"/>
  <c r="U64" i="173" s="1"/>
  <c r="G14" i="174"/>
  <c r="W83" i="173"/>
  <c r="G80" i="173"/>
  <c r="L13" i="233" s="1"/>
  <c r="U63" i="173"/>
  <c r="G13" i="174"/>
  <c r="F13" i="174"/>
  <c r="H13" i="174"/>
  <c r="I84" i="173"/>
  <c r="F83" i="173"/>
  <c r="G74" i="173"/>
  <c r="F9" i="86" s="1"/>
  <c r="G70" i="173"/>
  <c r="G85" i="173"/>
  <c r="AA12" i="174"/>
  <c r="AC12" i="174"/>
  <c r="I7" i="174"/>
  <c r="AD12" i="174"/>
  <c r="AB12" i="174"/>
  <c r="G84" i="173"/>
  <c r="Z12" i="174"/>
  <c r="G72" i="173"/>
  <c r="L10" i="233" s="1"/>
  <c r="AA83" i="173"/>
  <c r="L7" i="174"/>
  <c r="L12" i="174" s="1"/>
  <c r="G71" i="173"/>
  <c r="AA84" i="173"/>
  <c r="K6" i="173"/>
  <c r="G76" i="173"/>
  <c r="F85" i="173" s="1"/>
  <c r="G75" i="173"/>
  <c r="AB84" i="173"/>
  <c r="V12" i="221" l="1"/>
  <c r="K65" i="173" a="1"/>
  <c r="K65" i="173" s="1"/>
  <c r="K68" i="173" a="1"/>
  <c r="K68" i="173" s="1"/>
  <c r="K67" i="173" a="1"/>
  <c r="K67" i="173" s="1"/>
  <c r="K66" i="173" a="1"/>
  <c r="K66" i="173" s="1"/>
  <c r="K64" i="173" a="1"/>
  <c r="K64" i="173" s="1"/>
  <c r="K63" i="173"/>
  <c r="L14" i="174"/>
  <c r="L13" i="174"/>
  <c r="F30" i="86"/>
  <c r="C8" i="234"/>
  <c r="L17" i="174"/>
  <c r="L15" i="174"/>
  <c r="L16" i="174"/>
  <c r="V13" i="221"/>
  <c r="G35" i="86"/>
  <c r="D12" i="233"/>
  <c r="S7" i="221"/>
  <c r="Q12" i="221"/>
  <c r="R7" i="221" s="1"/>
  <c r="C17" i="233"/>
  <c r="F17" i="233" s="1"/>
  <c r="F8" i="233" s="1"/>
  <c r="I12" i="174"/>
  <c r="I15" i="174" a="1"/>
  <c r="I15" i="174" s="1"/>
  <c r="I16" i="174" a="1"/>
  <c r="I16" i="174" s="1"/>
  <c r="I17" i="174" a="1"/>
  <c r="I17" i="174" s="1"/>
  <c r="F34" i="86"/>
  <c r="F32" i="86"/>
  <c r="F31" i="86"/>
  <c r="F33" i="86"/>
  <c r="G36" i="86"/>
  <c r="AB14" i="174" a="1"/>
  <c r="AB14" i="174" s="1"/>
  <c r="X14" i="174" a="1"/>
  <c r="X14" i="174" s="1"/>
  <c r="Y14" i="174" a="1"/>
  <c r="Y14" i="174" s="1"/>
  <c r="AA14" i="174" a="1"/>
  <c r="AA14" i="174" s="1"/>
  <c r="AC14" i="174" a="1"/>
  <c r="AC14" i="174" s="1"/>
  <c r="AD14" i="174" a="1"/>
  <c r="AD14" i="174" s="1"/>
  <c r="Z14" i="174" a="1"/>
  <c r="Z14" i="174" s="1"/>
  <c r="I14" i="174" a="1"/>
  <c r="I14" i="174" s="1"/>
  <c r="AA13" i="174" a="1"/>
  <c r="AA13" i="174" s="1"/>
  <c r="AD13" i="174" a="1"/>
  <c r="AD13" i="174" s="1"/>
  <c r="Z13" i="174" a="1"/>
  <c r="Z13" i="174" s="1"/>
  <c r="X13" i="174" a="1"/>
  <c r="X13" i="174" s="1"/>
  <c r="AC13" i="174" a="1"/>
  <c r="AC13" i="174" s="1"/>
  <c r="Y13" i="174" a="1"/>
  <c r="Y13" i="174" s="1"/>
  <c r="AB13" i="174" a="1"/>
  <c r="AB13" i="174" s="1"/>
  <c r="I13" i="174" a="1"/>
  <c r="I13" i="174" s="1"/>
  <c r="F11" i="86"/>
  <c r="P11" i="166"/>
  <c r="F10" i="86"/>
  <c r="AA3" i="166" s="1"/>
  <c r="F84" i="173"/>
  <c r="AB21" i="166" l="1"/>
  <c r="R21" i="166"/>
  <c r="AD3" i="206"/>
  <c r="J3" i="197"/>
  <c r="U21" i="166"/>
  <c r="O3" i="221"/>
  <c r="H18" i="166"/>
  <c r="O18" i="166"/>
  <c r="AA18" i="166" s="1"/>
  <c r="AD18" i="166" s="1"/>
  <c r="R18" i="166" s="1"/>
  <c r="S18" i="166" s="1"/>
  <c r="H28" i="166"/>
  <c r="O28" i="166"/>
  <c r="AA28" i="166" s="1"/>
  <c r="AD28" i="166" s="1"/>
  <c r="R28" i="166" s="1"/>
  <c r="S28" i="166" s="1"/>
  <c r="E27" i="236" s="1"/>
  <c r="F27" i="236" s="1"/>
  <c r="G27" i="236" s="1"/>
  <c r="H27" i="236" s="1"/>
  <c r="I27" i="236" s="1"/>
  <c r="J27" i="236" s="1"/>
  <c r="K27" i="236" s="1"/>
  <c r="L27" i="236" s="1"/>
  <c r="M27" i="236" s="1"/>
  <c r="N27" i="236" s="1"/>
  <c r="J107" i="233"/>
  <c r="J88" i="233"/>
  <c r="J111" i="233"/>
  <c r="J108" i="233"/>
  <c r="J89" i="233"/>
  <c r="J87" i="233"/>
  <c r="J78" i="233"/>
  <c r="J76" i="233"/>
  <c r="J109" i="233"/>
  <c r="J100" i="233"/>
  <c r="J99" i="233"/>
  <c r="J85" i="233"/>
  <c r="J97" i="233"/>
  <c r="J110" i="233"/>
  <c r="J86" i="233"/>
  <c r="J77" i="233"/>
  <c r="J75" i="233"/>
  <c r="J98" i="233"/>
  <c r="J74" i="233"/>
  <c r="J96" i="233"/>
  <c r="J12" i="233"/>
  <c r="J66" i="233"/>
  <c r="J67" i="233"/>
  <c r="J63" i="233"/>
  <c r="J65" i="233"/>
  <c r="J64" i="233"/>
  <c r="C8" i="233"/>
  <c r="J14" i="233"/>
  <c r="J16" i="233"/>
  <c r="J13" i="233"/>
  <c r="J15" i="233"/>
  <c r="S13" i="221"/>
  <c r="S12" i="221"/>
  <c r="D17" i="233"/>
  <c r="D8" i="233" s="1"/>
  <c r="R8" i="221"/>
  <c r="R9" i="221"/>
  <c r="R11" i="221"/>
  <c r="R10" i="221"/>
  <c r="F35" i="86"/>
  <c r="F14" i="86"/>
  <c r="J23" i="86" s="1"/>
  <c r="P23" i="166"/>
  <c r="P40" i="166" s="1"/>
  <c r="AB26" i="166"/>
  <c r="Z3" i="176"/>
  <c r="V18" i="166" l="1"/>
  <c r="U18" i="166" s="1"/>
  <c r="E17" i="236"/>
  <c r="F17" i="236" s="1"/>
  <c r="G17" i="236" s="1"/>
  <c r="H17" i="236" s="1"/>
  <c r="I17" i="236" s="1"/>
  <c r="J17" i="236" s="1"/>
  <c r="K17" i="236" s="1"/>
  <c r="L17" i="236" s="1"/>
  <c r="M17" i="236" s="1"/>
  <c r="N17" i="236" s="1"/>
  <c r="V28" i="166"/>
  <c r="F27" i="221"/>
  <c r="E27" i="221" s="1"/>
  <c r="J68" i="233"/>
  <c r="J112" i="233"/>
  <c r="J101" i="233"/>
  <c r="J90" i="233"/>
  <c r="J17" i="233"/>
  <c r="J79" i="233"/>
  <c r="O9" i="173"/>
  <c r="J10" i="174" s="1"/>
  <c r="Q9" i="173"/>
  <c r="S9" i="173"/>
  <c r="P124" i="176" a="1"/>
  <c r="P124" i="176" s="1"/>
  <c r="K10" i="174" s="1"/>
  <c r="M10" i="174" s="1"/>
  <c r="P197" i="176" a="1"/>
  <c r="P197" i="176" s="1"/>
  <c r="Q8" i="173"/>
  <c r="O8" i="173"/>
  <c r="J9" i="174" s="1"/>
  <c r="P159" i="176" a="1"/>
  <c r="P159" i="176" s="1"/>
  <c r="P97" i="176" a="1"/>
  <c r="P97" i="176" s="1"/>
  <c r="S8" i="173"/>
  <c r="P342" i="176" a="1"/>
  <c r="P342" i="176" s="1"/>
  <c r="P427" i="176" a="1"/>
  <c r="P427" i="176" s="1"/>
  <c r="K11" i="174" s="1"/>
  <c r="M11" i="174" s="1"/>
  <c r="Q10" i="173"/>
  <c r="O10" i="173"/>
  <c r="J11" i="174" s="1"/>
  <c r="S10" i="173"/>
  <c r="P408" i="176" a="1"/>
  <c r="P408" i="176" s="1"/>
  <c r="P355" i="176" a="1"/>
  <c r="P355" i="176" s="1"/>
  <c r="O11" i="173"/>
  <c r="P138" i="176" a="1"/>
  <c r="P138" i="176" s="1"/>
  <c r="S11" i="173"/>
  <c r="P354" i="176" a="1"/>
  <c r="P354" i="176" s="1"/>
  <c r="P73" i="176" a="1"/>
  <c r="P73" i="176" s="1"/>
  <c r="P391" i="176" a="1"/>
  <c r="P391" i="176" s="1"/>
  <c r="P139" i="176" a="1"/>
  <c r="P139" i="176" s="1"/>
  <c r="P409" i="176" a="1"/>
  <c r="P409" i="176" s="1"/>
  <c r="Q11" i="173"/>
  <c r="P390" i="176" a="1"/>
  <c r="P390" i="176" s="1"/>
  <c r="S12" i="173"/>
  <c r="O12" i="173"/>
  <c r="P274" i="176" a="1"/>
  <c r="P274" i="176" s="1"/>
  <c r="Q12" i="173"/>
  <c r="P330" i="176" a="1"/>
  <c r="P330" i="176" s="1"/>
  <c r="P331" i="176" a="1"/>
  <c r="P331" i="176" s="1"/>
  <c r="S13" i="173"/>
  <c r="O13" i="173"/>
  <c r="Q13" i="173"/>
  <c r="P74" i="176" a="1"/>
  <c r="P74" i="176" s="1"/>
  <c r="S7" i="173"/>
  <c r="Q7" i="173"/>
  <c r="P198" i="176" a="1"/>
  <c r="P198" i="176" s="1"/>
  <c r="P430" i="176" a="1"/>
  <c r="P430" i="176" s="1"/>
  <c r="O7" i="173"/>
  <c r="J8" i="174" s="1"/>
  <c r="P426" i="176" a="1"/>
  <c r="P426" i="176" s="1"/>
  <c r="O20" i="166"/>
  <c r="AA20" i="166" s="1"/>
  <c r="AD20" i="166" s="1"/>
  <c r="H20" i="166"/>
  <c r="H21" i="166"/>
  <c r="O21" i="166"/>
  <c r="O17" i="166"/>
  <c r="AA17" i="166" s="1"/>
  <c r="AD17" i="166" s="1"/>
  <c r="H17" i="166"/>
  <c r="R65" i="173"/>
  <c r="O14" i="166"/>
  <c r="AA14" i="166" s="1"/>
  <c r="H14" i="166"/>
  <c r="H19" i="166"/>
  <c r="O38" i="166"/>
  <c r="AA38" i="166" s="1"/>
  <c r="AD38" i="166" s="1"/>
  <c r="R38" i="166" s="1"/>
  <c r="S38" i="166" s="1"/>
  <c r="E37" i="236" s="1"/>
  <c r="F37" i="236" s="1"/>
  <c r="G37" i="236" s="1"/>
  <c r="H37" i="236" s="1"/>
  <c r="I37" i="236" s="1"/>
  <c r="J37" i="236" s="1"/>
  <c r="K37" i="236" s="1"/>
  <c r="L37" i="236" s="1"/>
  <c r="M37" i="236" s="1"/>
  <c r="N37" i="236" s="1"/>
  <c r="O27" i="166"/>
  <c r="AA27" i="166" s="1"/>
  <c r="AD27" i="166" s="1"/>
  <c r="R27" i="166" s="1"/>
  <c r="S27" i="166" s="1"/>
  <c r="E26" i="236" s="1"/>
  <c r="F26" i="236" s="1"/>
  <c r="G26" i="236" s="1"/>
  <c r="H26" i="236" s="1"/>
  <c r="I26" i="236" s="1"/>
  <c r="J26" i="236" s="1"/>
  <c r="K26" i="236" s="1"/>
  <c r="L26" i="236" s="1"/>
  <c r="M26" i="236" s="1"/>
  <c r="N26" i="236" s="1"/>
  <c r="H29" i="166"/>
  <c r="H30" i="166"/>
  <c r="O40" i="166"/>
  <c r="O19" i="166"/>
  <c r="H31" i="166"/>
  <c r="H11" i="166"/>
  <c r="O39" i="166"/>
  <c r="H16" i="166"/>
  <c r="O22" i="166"/>
  <c r="AA22" i="166" s="1"/>
  <c r="O13" i="166"/>
  <c r="AA13" i="166" s="1"/>
  <c r="H10" i="166"/>
  <c r="H33" i="166"/>
  <c r="H39" i="166"/>
  <c r="O34" i="166"/>
  <c r="AA34" i="166" s="1"/>
  <c r="AD34" i="166" s="1"/>
  <c r="R34" i="166" s="1"/>
  <c r="S34" i="166" s="1"/>
  <c r="E33" i="236" s="1"/>
  <c r="F33" i="236" s="1"/>
  <c r="G33" i="236" s="1"/>
  <c r="H33" i="236" s="1"/>
  <c r="I33" i="236" s="1"/>
  <c r="J33" i="236" s="1"/>
  <c r="K33" i="236" s="1"/>
  <c r="L33" i="236" s="1"/>
  <c r="M33" i="236" s="1"/>
  <c r="N33" i="236" s="1"/>
  <c r="O36" i="166"/>
  <c r="AA36" i="166" s="1"/>
  <c r="AD36" i="166" s="1"/>
  <c r="R36" i="166" s="1"/>
  <c r="S36" i="166" s="1"/>
  <c r="E35" i="236" s="1"/>
  <c r="F35" i="236" s="1"/>
  <c r="G35" i="236" s="1"/>
  <c r="H35" i="236" s="1"/>
  <c r="I35" i="236" s="1"/>
  <c r="J35" i="236" s="1"/>
  <c r="K35" i="236" s="1"/>
  <c r="L35" i="236" s="1"/>
  <c r="M35" i="236" s="1"/>
  <c r="N35" i="236" s="1"/>
  <c r="O12" i="166"/>
  <c r="AA12" i="166" s="1"/>
  <c r="H32" i="166"/>
  <c r="O23" i="166"/>
  <c r="H27" i="166"/>
  <c r="H12" i="166"/>
  <c r="H23" i="166"/>
  <c r="O35" i="166"/>
  <c r="O32" i="166"/>
  <c r="AA32" i="166" s="1"/>
  <c r="AD32" i="166" s="1"/>
  <c r="R32" i="166" s="1"/>
  <c r="S32" i="166" s="1"/>
  <c r="E31" i="236" s="1"/>
  <c r="F31" i="236" s="1"/>
  <c r="G31" i="236" s="1"/>
  <c r="H31" i="236" s="1"/>
  <c r="I31" i="236" s="1"/>
  <c r="J31" i="236" s="1"/>
  <c r="K31" i="236" s="1"/>
  <c r="L31" i="236" s="1"/>
  <c r="M31" i="236" s="1"/>
  <c r="N31" i="236" s="1"/>
  <c r="H26" i="166"/>
  <c r="H34" i="166"/>
  <c r="H22" i="166"/>
  <c r="H15" i="166"/>
  <c r="O31" i="166"/>
  <c r="AA31" i="166" s="1"/>
  <c r="AD31" i="166" s="1"/>
  <c r="R31" i="166" s="1"/>
  <c r="S31" i="166" s="1"/>
  <c r="E30" i="236" s="1"/>
  <c r="F30" i="236" s="1"/>
  <c r="G30" i="236" s="1"/>
  <c r="H30" i="236" s="1"/>
  <c r="I30" i="236" s="1"/>
  <c r="J30" i="236" s="1"/>
  <c r="K30" i="236" s="1"/>
  <c r="L30" i="236" s="1"/>
  <c r="M30" i="236" s="1"/>
  <c r="N30" i="236" s="1"/>
  <c r="O11" i="166"/>
  <c r="H13" i="166"/>
  <c r="H36" i="166"/>
  <c r="H9" i="166"/>
  <c r="O37" i="166"/>
  <c r="AA37" i="166" s="1"/>
  <c r="H35" i="166"/>
  <c r="H38" i="166"/>
  <c r="H37" i="166"/>
  <c r="O29" i="166"/>
  <c r="AA29" i="166" s="1"/>
  <c r="AD29" i="166" s="1"/>
  <c r="R29" i="166" s="1"/>
  <c r="S29" i="166" s="1"/>
  <c r="E28" i="236" s="1"/>
  <c r="F28" i="236" s="1"/>
  <c r="G28" i="236" s="1"/>
  <c r="H28" i="236" s="1"/>
  <c r="I28" i="236" s="1"/>
  <c r="J28" i="236" s="1"/>
  <c r="K28" i="236" s="1"/>
  <c r="L28" i="236" s="1"/>
  <c r="M28" i="236" s="1"/>
  <c r="N28" i="236" s="1"/>
  <c r="O16" i="166"/>
  <c r="O15" i="166"/>
  <c r="O26" i="166"/>
  <c r="AA26" i="166" s="1"/>
  <c r="AD26" i="166" s="1"/>
  <c r="R26" i="166" s="1"/>
  <c r="S26" i="166" s="1"/>
  <c r="E25" i="236" s="1"/>
  <c r="O30" i="166"/>
  <c r="AA30" i="166" s="1"/>
  <c r="AD30" i="166" s="1"/>
  <c r="R30" i="166" s="1"/>
  <c r="S30" i="166" s="1"/>
  <c r="E29" i="236" s="1"/>
  <c r="F29" i="236" s="1"/>
  <c r="G29" i="236" s="1"/>
  <c r="H29" i="236" s="1"/>
  <c r="I29" i="236" s="1"/>
  <c r="J29" i="236" s="1"/>
  <c r="K29" i="236" s="1"/>
  <c r="L29" i="236" s="1"/>
  <c r="M29" i="236" s="1"/>
  <c r="N29" i="236" s="1"/>
  <c r="O33" i="166"/>
  <c r="AA33" i="166" s="1"/>
  <c r="AD33" i="166" s="1"/>
  <c r="R33" i="166" s="1"/>
  <c r="S33" i="166" s="1"/>
  <c r="E32" i="236" s="1"/>
  <c r="F32" i="236" s="1"/>
  <c r="G32" i="236" s="1"/>
  <c r="H32" i="236" s="1"/>
  <c r="I32" i="236" s="1"/>
  <c r="J32" i="236" s="1"/>
  <c r="K32" i="236" s="1"/>
  <c r="L32" i="236" s="1"/>
  <c r="M32" i="236" s="1"/>
  <c r="N32" i="236" s="1"/>
  <c r="I40" i="166"/>
  <c r="E24" i="86" s="1"/>
  <c r="F25" i="236" l="1"/>
  <c r="G25" i="236" s="1"/>
  <c r="H25" i="236" s="1"/>
  <c r="I25" i="236" s="1"/>
  <c r="J25" i="236" s="1"/>
  <c r="K25" i="236" s="1"/>
  <c r="L25" i="236" s="1"/>
  <c r="M25" i="236" s="1"/>
  <c r="N25" i="236" s="1"/>
  <c r="I27" i="221"/>
  <c r="H27" i="221" s="1"/>
  <c r="U28" i="166"/>
  <c r="K8" i="174"/>
  <c r="M8" i="174" s="1"/>
  <c r="K9" i="174"/>
  <c r="M9" i="174" s="1"/>
  <c r="V33" i="166"/>
  <c r="U33" i="166" s="1"/>
  <c r="F32" i="221"/>
  <c r="E32" i="221" s="1"/>
  <c r="V34" i="166"/>
  <c r="I33" i="221" s="1"/>
  <c r="F33" i="221"/>
  <c r="E33" i="221" s="1"/>
  <c r="V30" i="166"/>
  <c r="F29" i="221"/>
  <c r="E29" i="221" s="1"/>
  <c r="V29" i="166"/>
  <c r="I28" i="221" s="1"/>
  <c r="F28" i="221"/>
  <c r="E28" i="221" s="1"/>
  <c r="V32" i="166"/>
  <c r="U32" i="166" s="1"/>
  <c r="F31" i="221"/>
  <c r="E31" i="221" s="1"/>
  <c r="V36" i="166"/>
  <c r="I35" i="221" s="1"/>
  <c r="F35" i="221"/>
  <c r="E35" i="221" s="1"/>
  <c r="V38" i="166"/>
  <c r="U38" i="166" s="1"/>
  <c r="F37" i="221"/>
  <c r="E37" i="221" s="1"/>
  <c r="V26" i="166"/>
  <c r="U26" i="166" s="1"/>
  <c r="F25" i="221"/>
  <c r="E25" i="221" s="1"/>
  <c r="V31" i="166"/>
  <c r="F30" i="221"/>
  <c r="E30" i="221" s="1"/>
  <c r="V27" i="166"/>
  <c r="U27" i="166" s="1"/>
  <c r="F26" i="221"/>
  <c r="E26" i="221" s="1"/>
  <c r="R10" i="173"/>
  <c r="T10" i="173"/>
  <c r="R7" i="173"/>
  <c r="T7" i="173"/>
  <c r="R11" i="173"/>
  <c r="T11" i="173"/>
  <c r="T12" i="173"/>
  <c r="R12" i="173"/>
  <c r="T9" i="173"/>
  <c r="R9" i="173"/>
  <c r="R13" i="173"/>
  <c r="T13" i="173"/>
  <c r="T8" i="173"/>
  <c r="R8" i="173"/>
  <c r="I63" i="166"/>
  <c r="R17" i="166"/>
  <c r="S17" i="166" s="1"/>
  <c r="E16" i="236" s="1"/>
  <c r="F16" i="236" s="1"/>
  <c r="G16" i="236" s="1"/>
  <c r="H16" i="236" s="1"/>
  <c r="I16" i="236" s="1"/>
  <c r="J16" i="236" s="1"/>
  <c r="K16" i="236" s="1"/>
  <c r="L16" i="236" s="1"/>
  <c r="M16" i="236" s="1"/>
  <c r="N16" i="236" s="1"/>
  <c r="R20" i="166"/>
  <c r="S20" i="166" s="1"/>
  <c r="E19" i="236" s="1"/>
  <c r="F19" i="236" s="1"/>
  <c r="G19" i="236" s="1"/>
  <c r="H19" i="236" s="1"/>
  <c r="I19" i="236" s="1"/>
  <c r="J19" i="236" s="1"/>
  <c r="K19" i="236" s="1"/>
  <c r="L19" i="236" s="1"/>
  <c r="M19" i="236" s="1"/>
  <c r="N19" i="236" s="1"/>
  <c r="AA21" i="166"/>
  <c r="AA15" i="166"/>
  <c r="AA35" i="166"/>
  <c r="AD35" i="166" s="1"/>
  <c r="R35" i="166" s="1"/>
  <c r="S35" i="166" s="1"/>
  <c r="E34" i="236" s="1"/>
  <c r="F34" i="236" s="1"/>
  <c r="G34" i="236" s="1"/>
  <c r="H34" i="236" s="1"/>
  <c r="I34" i="236" s="1"/>
  <c r="J34" i="236" s="1"/>
  <c r="K34" i="236" s="1"/>
  <c r="L34" i="236" s="1"/>
  <c r="M34" i="236" s="1"/>
  <c r="N34" i="236" s="1"/>
  <c r="AA16" i="166"/>
  <c r="AA19" i="166"/>
  <c r="H40" i="166"/>
  <c r="F17" i="221" l="1"/>
  <c r="E17" i="221" s="1"/>
  <c r="V17" i="166"/>
  <c r="F19" i="221"/>
  <c r="E19" i="221" s="1"/>
  <c r="V20" i="166"/>
  <c r="U30" i="166"/>
  <c r="I29" i="221"/>
  <c r="U31" i="166"/>
  <c r="I30" i="221"/>
  <c r="U34" i="166"/>
  <c r="I32" i="221"/>
  <c r="I37" i="221"/>
  <c r="U29" i="166"/>
  <c r="U36" i="166"/>
  <c r="I26" i="221"/>
  <c r="I25" i="221"/>
  <c r="V35" i="166"/>
  <c r="U35" i="166" s="1"/>
  <c r="F34" i="221"/>
  <c r="E34" i="221" s="1"/>
  <c r="I31" i="221"/>
  <c r="AD16" i="166"/>
  <c r="AD19" i="166"/>
  <c r="AD15" i="166"/>
  <c r="E20" i="236" l="1"/>
  <c r="F20" i="236" s="1"/>
  <c r="I34" i="221"/>
  <c r="S22" i="166"/>
  <c r="E21" i="236" s="1"/>
  <c r="F20" i="221"/>
  <c r="E20" i="221" s="1"/>
  <c r="R16" i="166"/>
  <c r="S16" i="166" s="1"/>
  <c r="E15" i="236" s="1"/>
  <c r="F15" i="236" s="1"/>
  <c r="G15" i="236" s="1"/>
  <c r="H15" i="236" s="1"/>
  <c r="I15" i="236" s="1"/>
  <c r="J15" i="236" s="1"/>
  <c r="K15" i="236" s="1"/>
  <c r="L15" i="236" s="1"/>
  <c r="M15" i="236" s="1"/>
  <c r="N15" i="236" s="1"/>
  <c r="R15" i="166"/>
  <c r="S15" i="166" s="1"/>
  <c r="E14" i="236" s="1"/>
  <c r="F14" i="236" s="1"/>
  <c r="G14" i="236" s="1"/>
  <c r="H14" i="236" s="1"/>
  <c r="I14" i="236" s="1"/>
  <c r="J14" i="236" s="1"/>
  <c r="K14" i="236" s="1"/>
  <c r="L14" i="236" s="1"/>
  <c r="M14" i="236" s="1"/>
  <c r="N14" i="236" s="1"/>
  <c r="R19" i="166"/>
  <c r="S19" i="166" s="1"/>
  <c r="E18" i="236" s="1"/>
  <c r="F18" i="236" s="1"/>
  <c r="G18" i="236" s="1"/>
  <c r="H18" i="236" s="1"/>
  <c r="I18" i="236" s="1"/>
  <c r="J18" i="236" s="1"/>
  <c r="K18" i="236" s="1"/>
  <c r="L18" i="236" s="1"/>
  <c r="M18" i="236" s="1"/>
  <c r="N18" i="236" s="1"/>
  <c r="G20" i="236" l="1"/>
  <c r="F21" i="236"/>
  <c r="F15" i="221"/>
  <c r="E15" i="221" s="1"/>
  <c r="V15" i="166"/>
  <c r="F16" i="221"/>
  <c r="E16" i="221" s="1"/>
  <c r="V16" i="166"/>
  <c r="F18" i="221"/>
  <c r="E18" i="221" s="1"/>
  <c r="V19" i="166"/>
  <c r="R22" i="166"/>
  <c r="F21" i="221"/>
  <c r="E21" i="221" s="1"/>
  <c r="P12" i="203"/>
  <c r="H20" i="236" l="1"/>
  <c r="G21" i="236"/>
  <c r="P13" i="203"/>
  <c r="P14" i="203"/>
  <c r="I20" i="236" l="1"/>
  <c r="H21" i="236"/>
  <c r="L64" i="173"/>
  <c r="L63" i="173"/>
  <c r="M6" i="173"/>
  <c r="J20" i="236" l="1"/>
  <c r="I21" i="236"/>
  <c r="M67" i="173" a="1"/>
  <c r="M67" i="173" s="1"/>
  <c r="J16" i="174" s="1"/>
  <c r="M68" i="173" a="1"/>
  <c r="M68" i="173" s="1"/>
  <c r="J17" i="174" s="1"/>
  <c r="M66" i="173" a="1"/>
  <c r="M66" i="173" s="1"/>
  <c r="J15" i="174" s="1"/>
  <c r="M65" i="173" a="1"/>
  <c r="M65" i="173" s="1"/>
  <c r="J14" i="174" s="1"/>
  <c r="P6" i="173"/>
  <c r="P428" i="176" a="1"/>
  <c r="P428" i="176" s="1"/>
  <c r="P429" i="176" a="1"/>
  <c r="P429" i="176" s="1"/>
  <c r="P194" i="176" a="1"/>
  <c r="P194" i="176" s="1"/>
  <c r="K7" i="174" s="1"/>
  <c r="P195" i="176" a="1"/>
  <c r="P195" i="176" s="1"/>
  <c r="N6" i="173"/>
  <c r="N64" i="173" s="1" a="1"/>
  <c r="N64" i="173" s="1"/>
  <c r="G78" i="173"/>
  <c r="L83" i="173"/>
  <c r="L84" i="173"/>
  <c r="M63" i="173"/>
  <c r="M64" i="173" a="1"/>
  <c r="M64" i="173" s="1"/>
  <c r="J13" i="174" s="1"/>
  <c r="J21" i="236" l="1"/>
  <c r="K20" i="236"/>
  <c r="K12" i="174"/>
  <c r="M12" i="174" s="1"/>
  <c r="K17" i="174" a="1"/>
  <c r="K17" i="174" s="1"/>
  <c r="M17" i="174" s="1"/>
  <c r="K16" i="174" a="1"/>
  <c r="K16" i="174" s="1"/>
  <c r="M16" i="174" s="1"/>
  <c r="K15" i="174" a="1"/>
  <c r="K15" i="174" s="1"/>
  <c r="M15" i="174" s="1"/>
  <c r="K14" i="174" a="1"/>
  <c r="K14" i="174" s="1"/>
  <c r="M14" i="174" s="1"/>
  <c r="K13" i="174" a="1"/>
  <c r="K13" i="174" s="1"/>
  <c r="M13" i="174" s="1"/>
  <c r="M7" i="174"/>
  <c r="N65" i="173" a="1"/>
  <c r="N65" i="173" s="1"/>
  <c r="N68" i="173" a="1"/>
  <c r="N68" i="173" s="1"/>
  <c r="N67" i="173" a="1"/>
  <c r="N67" i="173" s="1"/>
  <c r="N66" i="173" a="1"/>
  <c r="N66" i="173" s="1"/>
  <c r="S6" i="173"/>
  <c r="Q6" i="173"/>
  <c r="O6" i="173"/>
  <c r="N63" i="173"/>
  <c r="L20" i="236" l="1"/>
  <c r="K21" i="236"/>
  <c r="G63" i="233"/>
  <c r="J7" i="174"/>
  <c r="J12" i="174" s="1"/>
  <c r="K30" i="86"/>
  <c r="T6" i="173"/>
  <c r="R6" i="173"/>
  <c r="M20" i="236" l="1"/>
  <c r="L21" i="236"/>
  <c r="H12" i="233"/>
  <c r="W7" i="221"/>
  <c r="H63" i="233"/>
  <c r="I15" i="221"/>
  <c r="I20" i="221"/>
  <c r="N20" i="236" l="1"/>
  <c r="N21" i="236" s="1"/>
  <c r="M21" i="236"/>
  <c r="I63" i="233"/>
  <c r="U16" i="166"/>
  <c r="I16" i="221"/>
  <c r="H16" i="221" s="1"/>
  <c r="U19" i="166"/>
  <c r="I18" i="221"/>
  <c r="H18" i="221" s="1"/>
  <c r="U20" i="166"/>
  <c r="I19" i="221"/>
  <c r="H19" i="221" s="1"/>
  <c r="U17" i="166"/>
  <c r="I17" i="221"/>
  <c r="H17" i="221" s="1"/>
  <c r="V22" i="166"/>
  <c r="U15" i="166"/>
  <c r="H20" i="221"/>
  <c r="AB22" i="166"/>
  <c r="H34" i="221"/>
  <c r="H15" i="221"/>
  <c r="H30" i="221"/>
  <c r="H26" i="221"/>
  <c r="H33" i="221"/>
  <c r="H28" i="221"/>
  <c r="H35" i="221"/>
  <c r="H31" i="221"/>
  <c r="H37" i="221"/>
  <c r="H32" i="221"/>
  <c r="H29" i="221"/>
  <c r="U22" i="166" l="1"/>
  <c r="I21" i="221"/>
  <c r="H21" i="221" s="1"/>
  <c r="H25" i="221"/>
  <c r="U34" i="203" l="1"/>
  <c r="N8" i="203" l="1"/>
  <c r="O15" i="203" l="1"/>
  <c r="N27" i="203" l="1"/>
  <c r="Z34" i="203"/>
  <c r="O34" i="203" l="1"/>
  <c r="P8" i="176" l="1" a="1"/>
  <c r="P8" i="176" s="1"/>
  <c r="P266" i="176" a="1"/>
  <c r="P266" i="176" s="1"/>
  <c r="N266" i="176" s="1"/>
  <c r="P81" i="176" a="1"/>
  <c r="P81" i="176" s="1"/>
  <c r="N81" i="176" s="1"/>
  <c r="P25" i="176" a="1"/>
  <c r="P25" i="176" s="1"/>
  <c r="N25" i="176" s="1"/>
  <c r="P211" i="176" a="1"/>
  <c r="P211" i="176" s="1"/>
  <c r="N211" i="176" s="1"/>
  <c r="P210" i="176" a="1"/>
  <c r="P210" i="176" s="1"/>
  <c r="N210" i="176" s="1"/>
  <c r="P461" i="176" a="1"/>
  <c r="P461" i="176" s="1"/>
  <c r="N461" i="176" s="1"/>
  <c r="P113" i="176" a="1"/>
  <c r="P113" i="176" s="1"/>
  <c r="P239" i="176" a="1"/>
  <c r="P239" i="176" s="1"/>
  <c r="Q42" i="173"/>
  <c r="P114" i="176" a="1"/>
  <c r="P114" i="176" s="1"/>
  <c r="P247" i="176" a="1"/>
  <c r="P247" i="176" s="1"/>
  <c r="P246" i="176" a="1"/>
  <c r="P246" i="176" s="1"/>
  <c r="P377" i="176" a="1"/>
  <c r="P377" i="176" s="1"/>
  <c r="P241" i="176" a="1"/>
  <c r="P241" i="176" s="1"/>
  <c r="P259" i="176" a="1"/>
  <c r="P259" i="176" s="1"/>
  <c r="P69" i="176" a="1"/>
  <c r="P69" i="176" s="1"/>
  <c r="P245" i="176" a="1"/>
  <c r="P245" i="176" s="1"/>
  <c r="O42" i="173"/>
  <c r="P180" i="176" a="1"/>
  <c r="P180" i="176" s="1"/>
  <c r="Q55" i="173"/>
  <c r="O55" i="173"/>
  <c r="P500" i="176" a="1"/>
  <c r="P500" i="176" s="1"/>
  <c r="P178" i="176" a="1"/>
  <c r="P178" i="176" s="1"/>
  <c r="P498" i="176" a="1"/>
  <c r="P498" i="176" s="1"/>
  <c r="P502" i="176" a="1"/>
  <c r="P502" i="176" s="1"/>
  <c r="P151" i="176" a="1"/>
  <c r="P151" i="176" s="1"/>
  <c r="P32" i="176" a="1"/>
  <c r="P32" i="176" s="1"/>
  <c r="O60" i="173"/>
  <c r="Q60" i="173"/>
  <c r="P80" i="176" a="1"/>
  <c r="P80" i="176" s="1"/>
  <c r="P236" i="176" a="1"/>
  <c r="P236" i="176" s="1"/>
  <c r="P237" i="176" a="1"/>
  <c r="P237" i="176" s="1"/>
  <c r="Q19" i="173"/>
  <c r="P273" i="176" a="1"/>
  <c r="P273" i="176" s="1"/>
  <c r="P255" i="176" a="1"/>
  <c r="P255" i="176" s="1"/>
  <c r="O19" i="173"/>
  <c r="Q24" i="173"/>
  <c r="P46" i="176" a="1"/>
  <c r="P46" i="176" s="1"/>
  <c r="P57" i="176" a="1"/>
  <c r="P57" i="176" s="1"/>
  <c r="P49" i="176" a="1"/>
  <c r="P49" i="176" s="1"/>
  <c r="O24" i="173"/>
  <c r="P509" i="176" a="1"/>
  <c r="P509" i="176" s="1"/>
  <c r="Q46" i="173"/>
  <c r="P478" i="176" a="1"/>
  <c r="P478" i="176" s="1"/>
  <c r="P189" i="176" a="1"/>
  <c r="P189" i="176" s="1"/>
  <c r="P491" i="176" a="1"/>
  <c r="P491" i="176" s="1"/>
  <c r="O46" i="173"/>
  <c r="O32" i="173"/>
  <c r="P287" i="176" a="1"/>
  <c r="P287" i="176" s="1"/>
  <c r="Q32" i="173"/>
  <c r="S21" i="173"/>
  <c r="P45" i="176" a="1"/>
  <c r="P45" i="176" s="1"/>
  <c r="P28" i="176" a="1"/>
  <c r="P28" i="176" s="1"/>
  <c r="P52" i="176" a="1"/>
  <c r="P52" i="176" s="1"/>
  <c r="P55" i="176" a="1"/>
  <c r="P55" i="176" s="1"/>
  <c r="P42" i="176" a="1"/>
  <c r="P42" i="176" s="1"/>
  <c r="P31" i="176" a="1"/>
  <c r="P31" i="176" s="1"/>
  <c r="P51" i="176" a="1"/>
  <c r="P51" i="176" s="1"/>
  <c r="Q23" i="173"/>
  <c r="O23" i="173"/>
  <c r="P131" i="176" a="1"/>
  <c r="P131" i="176" s="1"/>
  <c r="P260" i="176" a="1"/>
  <c r="P260" i="176" s="1"/>
  <c r="P146" i="176" a="1"/>
  <c r="P146" i="176" s="1"/>
  <c r="P120" i="176" a="1"/>
  <c r="P120" i="176" s="1"/>
  <c r="P329" i="176" a="1"/>
  <c r="P329" i="176" s="1"/>
  <c r="P92" i="176" a="1"/>
  <c r="P92" i="176" s="1"/>
  <c r="P261" i="176" a="1"/>
  <c r="P261" i="176" s="1"/>
  <c r="P121" i="176" a="1"/>
  <c r="P121" i="176" s="1"/>
  <c r="P262" i="176" a="1"/>
  <c r="P262" i="176" s="1"/>
  <c r="P65" i="176" a="1"/>
  <c r="P65" i="176" s="1"/>
  <c r="P119" i="176" a="1"/>
  <c r="P119" i="176" s="1"/>
  <c r="P148" i="176" a="1"/>
  <c r="P148" i="176" s="1"/>
  <c r="P400" i="176" a="1"/>
  <c r="P400" i="176" s="1"/>
  <c r="P362" i="176" a="1"/>
  <c r="P362" i="176" s="1"/>
  <c r="P88" i="176" a="1"/>
  <c r="P88" i="176" s="1"/>
  <c r="P118" i="176" a="1"/>
  <c r="P118" i="176" s="1"/>
  <c r="P252" i="176" a="1"/>
  <c r="P252" i="176" s="1"/>
  <c r="P341" i="176" a="1"/>
  <c r="P341" i="176" s="1"/>
  <c r="O27" i="173"/>
  <c r="P91" i="176" a="1"/>
  <c r="P91" i="176" s="1"/>
  <c r="Q27" i="173"/>
  <c r="P290" i="176" a="1"/>
  <c r="P290" i="176" s="1"/>
  <c r="Q31" i="173"/>
  <c r="O31" i="173"/>
  <c r="Q35" i="173"/>
  <c r="P153" i="176" a="1"/>
  <c r="P153" i="176" s="1"/>
  <c r="P438" i="176" a="1"/>
  <c r="P438" i="176" s="1"/>
  <c r="P443" i="176" a="1"/>
  <c r="P443" i="176" s="1"/>
  <c r="P157" i="176" a="1"/>
  <c r="P157" i="176" s="1"/>
  <c r="O35" i="173"/>
  <c r="P456" i="176" a="1"/>
  <c r="P456" i="176" s="1"/>
  <c r="P156" i="176" a="1"/>
  <c r="P156" i="176" s="1"/>
  <c r="P453" i="176" a="1"/>
  <c r="P453" i="176" s="1"/>
  <c r="P446" i="176" a="1"/>
  <c r="P446" i="176" s="1"/>
  <c r="P334" i="176" a="1"/>
  <c r="P334" i="176" s="1"/>
  <c r="P72" i="176" a="1"/>
  <c r="P72" i="176" s="1"/>
  <c r="P142" i="176" a="1"/>
  <c r="P142" i="176" s="1"/>
  <c r="P240" i="176" a="1"/>
  <c r="P240" i="176" s="1"/>
  <c r="P143" i="176" a="1"/>
  <c r="P143" i="176" s="1"/>
  <c r="P112" i="176" a="1"/>
  <c r="P112" i="176" s="1"/>
  <c r="P394" i="176" a="1"/>
  <c r="P394" i="176" s="1"/>
  <c r="P395" i="176" a="1"/>
  <c r="P395" i="176" s="1"/>
  <c r="P77" i="176" a="1"/>
  <c r="P77" i="176" s="1"/>
  <c r="P242" i="176" a="1"/>
  <c r="P242" i="176" s="1"/>
  <c r="P333" i="176" a="1"/>
  <c r="P333" i="176" s="1"/>
  <c r="P68" i="176" a="1"/>
  <c r="P68" i="176" s="1"/>
  <c r="P230" i="176" a="1"/>
  <c r="P230" i="176" s="1"/>
  <c r="Q41" i="173"/>
  <c r="P78" i="176" a="1"/>
  <c r="P78" i="176" s="1"/>
  <c r="P71" i="176" a="1"/>
  <c r="P71" i="176" s="1"/>
  <c r="P115" i="176" a="1"/>
  <c r="P115" i="176" s="1"/>
  <c r="P278" i="176" a="1"/>
  <c r="P278" i="176" s="1"/>
  <c r="P374" i="176" a="1"/>
  <c r="P374" i="176" s="1"/>
  <c r="P231" i="176" a="1"/>
  <c r="P231" i="176" s="1"/>
  <c r="P277" i="176" a="1"/>
  <c r="P277" i="176" s="1"/>
  <c r="P359" i="176" a="1"/>
  <c r="P359" i="176" s="1"/>
  <c r="P275" i="176" a="1"/>
  <c r="P275" i="176" s="1"/>
  <c r="P413" i="176" a="1"/>
  <c r="P413" i="176" s="1"/>
  <c r="P235" i="176" a="1"/>
  <c r="P235" i="176" s="1"/>
  <c r="P243" i="176" a="1"/>
  <c r="P243" i="176" s="1"/>
  <c r="P335" i="176" a="1"/>
  <c r="P335" i="176" s="1"/>
  <c r="P356" i="176" a="1"/>
  <c r="P356" i="176" s="1"/>
  <c r="P70" i="176" a="1"/>
  <c r="P70" i="176" s="1"/>
  <c r="P76" i="176" a="1"/>
  <c r="P76" i="176" s="1"/>
  <c r="P83" i="176" a="1"/>
  <c r="P83" i="176" s="1"/>
  <c r="P67" i="176" a="1"/>
  <c r="P67" i="176" s="1"/>
  <c r="P75" i="176" a="1"/>
  <c r="P75" i="176" s="1"/>
  <c r="P84" i="176" a="1"/>
  <c r="P84" i="176" s="1"/>
  <c r="P141" i="176" a="1"/>
  <c r="P141" i="176" s="1"/>
  <c r="P276" i="176" a="1"/>
  <c r="P276" i="176" s="1"/>
  <c r="P140" i="176" a="1"/>
  <c r="P140" i="176" s="1"/>
  <c r="P233" i="176" a="1"/>
  <c r="P233" i="176" s="1"/>
  <c r="P376" i="176" a="1"/>
  <c r="P376" i="176" s="1"/>
  <c r="P410" i="176" a="1"/>
  <c r="P410" i="176" s="1"/>
  <c r="P234" i="176" a="1"/>
  <c r="P234" i="176" s="1"/>
  <c r="P258" i="176" a="1"/>
  <c r="P258" i="176" s="1"/>
  <c r="P332" i="176" a="1"/>
  <c r="P332" i="176" s="1"/>
  <c r="P357" i="176" a="1"/>
  <c r="P357" i="176" s="1"/>
  <c r="P232" i="176" a="1"/>
  <c r="P232" i="176" s="1"/>
  <c r="P256" i="176" a="1"/>
  <c r="P256" i="176" s="1"/>
  <c r="P375" i="176" a="1"/>
  <c r="P375" i="176" s="1"/>
  <c r="P411" i="176" a="1"/>
  <c r="P411" i="176" s="1"/>
  <c r="P238" i="176" a="1"/>
  <c r="P238" i="176" s="1"/>
  <c r="O41" i="173"/>
  <c r="P358" i="176" a="1"/>
  <c r="P358" i="176" s="1"/>
  <c r="P172" i="176" a="1"/>
  <c r="P172" i="176" s="1"/>
  <c r="P11" i="176" a="1"/>
  <c r="P11" i="176" s="1"/>
  <c r="O54" i="173"/>
  <c r="P9" i="176" a="1"/>
  <c r="P9" i="176" s="1"/>
  <c r="P13" i="176" a="1"/>
  <c r="P13" i="176" s="1"/>
  <c r="Q54" i="173"/>
  <c r="P15" i="176" a="1"/>
  <c r="P15" i="176" s="1"/>
  <c r="P144" i="176" a="1"/>
  <c r="P144" i="176" s="1"/>
  <c r="P29" i="176" a="1"/>
  <c r="P29" i="176" s="1"/>
  <c r="P17" i="176" a="1"/>
  <c r="P17" i="176" s="1"/>
  <c r="P14" i="176" a="1"/>
  <c r="P14" i="176" s="1"/>
  <c r="Q59" i="173"/>
  <c r="P489" i="176" a="1"/>
  <c r="P489" i="176" s="1"/>
  <c r="N489" i="176" s="1"/>
  <c r="P292" i="176" a="1"/>
  <c r="P292" i="176" s="1"/>
  <c r="Q50" i="173"/>
  <c r="P306" i="176" a="1"/>
  <c r="P306" i="176" s="1"/>
  <c r="O50" i="173"/>
  <c r="Q51" i="173"/>
  <c r="P130" i="176" a="1"/>
  <c r="P130" i="176" s="1"/>
  <c r="O51" i="173"/>
  <c r="S20" i="173"/>
  <c r="T20" i="173" s="1"/>
  <c r="P54" i="176" a="1"/>
  <c r="P54" i="176" s="1"/>
  <c r="O22" i="173"/>
  <c r="P30" i="176" a="1"/>
  <c r="P30" i="176" s="1"/>
  <c r="P36" i="176" a="1"/>
  <c r="P36" i="176" s="1"/>
  <c r="P47" i="176" a="1"/>
  <c r="P47" i="176" s="1"/>
  <c r="P40" i="176" a="1"/>
  <c r="P40" i="176" s="1"/>
  <c r="P27" i="176" a="1"/>
  <c r="P27" i="176" s="1"/>
  <c r="P59" i="176" a="1"/>
  <c r="P59" i="176" s="1"/>
  <c r="P34" i="176" a="1"/>
  <c r="P34" i="176" s="1"/>
  <c r="P38" i="176" a="1"/>
  <c r="P38" i="176" s="1"/>
  <c r="P50" i="176" a="1"/>
  <c r="P50" i="176" s="1"/>
  <c r="P21" i="176" a="1"/>
  <c r="P21" i="176" s="1"/>
  <c r="P33" i="176" a="1"/>
  <c r="P33" i="176" s="1"/>
  <c r="P53" i="176" a="1"/>
  <c r="P53" i="176" s="1"/>
  <c r="P24" i="176" a="1"/>
  <c r="P24" i="176" s="1"/>
  <c r="Q22" i="173"/>
  <c r="S23" i="173"/>
  <c r="R23" i="173" s="1"/>
  <c r="S25" i="173"/>
  <c r="R25" i="173" s="1"/>
  <c r="S27" i="173"/>
  <c r="R27" i="173" s="1"/>
  <c r="S29" i="173"/>
  <c r="P482" i="176" a="1"/>
  <c r="P482" i="176" s="1"/>
  <c r="O30" i="173"/>
  <c r="P496" i="176" a="1"/>
  <c r="P496" i="176" s="1"/>
  <c r="Q30" i="173"/>
  <c r="P215" i="176" a="1"/>
  <c r="P215" i="176" s="1"/>
  <c r="P466" i="176" a="1"/>
  <c r="P466" i="176" s="1"/>
  <c r="P483" i="176" a="1"/>
  <c r="P483" i="176" s="1"/>
  <c r="P227" i="176" a="1"/>
  <c r="P227" i="176" s="1"/>
  <c r="S31" i="173"/>
  <c r="T31" i="173" s="1"/>
  <c r="S33" i="173"/>
  <c r="T33" i="173" s="1"/>
  <c r="P460" i="176" a="1"/>
  <c r="P460" i="176" s="1"/>
  <c r="P459" i="176" a="1"/>
  <c r="P459" i="176" s="1"/>
  <c r="P155" i="176" a="1"/>
  <c r="P155" i="176" s="1"/>
  <c r="P439" i="176" a="1"/>
  <c r="P439" i="176" s="1"/>
  <c r="P458" i="176" a="1"/>
  <c r="P458" i="176" s="1"/>
  <c r="P455" i="176" a="1"/>
  <c r="P455" i="176" s="1"/>
  <c r="P442" i="176" a="1"/>
  <c r="P442" i="176" s="1"/>
  <c r="O34" i="173"/>
  <c r="Q34" i="173"/>
  <c r="S35" i="173"/>
  <c r="R35" i="173" s="1"/>
  <c r="S37" i="173"/>
  <c r="R37" i="173" s="1"/>
  <c r="S38" i="173"/>
  <c r="R38" i="173" s="1"/>
  <c r="P311" i="176" a="1"/>
  <c r="P311" i="176" s="1"/>
  <c r="P315" i="176" a="1"/>
  <c r="P315" i="176" s="1"/>
  <c r="O39" i="173"/>
  <c r="P116" i="176" a="1"/>
  <c r="P116" i="176" s="1"/>
  <c r="P309" i="176" a="1"/>
  <c r="P309" i="176" s="1"/>
  <c r="P123" i="176" a="1"/>
  <c r="P123" i="176" s="1"/>
  <c r="P313" i="176" a="1"/>
  <c r="P313" i="176" s="1"/>
  <c r="P307" i="176" a="1"/>
  <c r="P307" i="176" s="1"/>
  <c r="Q39" i="173"/>
  <c r="P109" i="176" a="1"/>
  <c r="P109" i="176" s="1"/>
  <c r="S41" i="173"/>
  <c r="T41" i="173" s="1"/>
  <c r="S43" i="173"/>
  <c r="R43" i="173" s="1"/>
  <c r="P415" i="176" a="1"/>
  <c r="P415" i="176" s="1"/>
  <c r="P133" i="176" a="1"/>
  <c r="P133" i="176" s="1"/>
  <c r="P105" i="176" a="1"/>
  <c r="P105" i="176" s="1"/>
  <c r="P381" i="176" a="1"/>
  <c r="P381" i="176" s="1"/>
  <c r="P366" i="176" a="1"/>
  <c r="P366" i="176" s="1"/>
  <c r="P349" i="176" a="1"/>
  <c r="P349" i="176" s="1"/>
  <c r="O26" i="173"/>
  <c r="P86" i="176" a="1"/>
  <c r="P86" i="176" s="1"/>
  <c r="P382" i="176" a="1"/>
  <c r="P382" i="176" s="1"/>
  <c r="P281" i="176" a="1"/>
  <c r="P281" i="176" s="1"/>
  <c r="Q26" i="173"/>
  <c r="P117" i="176" a="1"/>
  <c r="P117" i="176" s="1"/>
  <c r="P280" i="176" a="1"/>
  <c r="P280" i="176" s="1"/>
  <c r="P347" i="176" a="1"/>
  <c r="P347" i="176" s="1"/>
  <c r="P379" i="176" a="1"/>
  <c r="P379" i="176" s="1"/>
  <c r="P397" i="176" a="1"/>
  <c r="P397" i="176" s="1"/>
  <c r="P419" i="176" a="1"/>
  <c r="P419" i="176" s="1"/>
  <c r="P344" i="176" a="1"/>
  <c r="P344" i="176" s="1"/>
  <c r="P348" i="176" a="1"/>
  <c r="P348" i="176" s="1"/>
  <c r="P510" i="176" a="1"/>
  <c r="P510" i="176" s="1"/>
  <c r="P464" i="176" a="1"/>
  <c r="P464" i="176" s="1"/>
  <c r="P201" i="176" a="1"/>
  <c r="P201" i="176" s="1"/>
  <c r="P200" i="176" a="1"/>
  <c r="P200" i="176" s="1"/>
  <c r="P514" i="176" a="1"/>
  <c r="P514" i="176" s="1"/>
  <c r="P493" i="176" a="1"/>
  <c r="P493" i="176" s="1"/>
  <c r="P225" i="176" a="1"/>
  <c r="P225" i="176" s="1"/>
  <c r="P463" i="176" a="1"/>
  <c r="P463" i="176" s="1"/>
  <c r="P484" i="176" a="1"/>
  <c r="P484" i="176" s="1"/>
  <c r="P492" i="176" a="1"/>
  <c r="P492" i="176" s="1"/>
  <c r="P467" i="176" a="1"/>
  <c r="P467" i="176" s="1"/>
  <c r="O28" i="173"/>
  <c r="P199" i="176" a="1"/>
  <c r="P199" i="176" s="1"/>
  <c r="P480" i="176" a="1"/>
  <c r="P480" i="176" s="1"/>
  <c r="P513" i="176" a="1"/>
  <c r="P513" i="176" s="1"/>
  <c r="P213" i="176" a="1"/>
  <c r="P213" i="176" s="1"/>
  <c r="P202" i="176" a="1"/>
  <c r="P202" i="176" s="1"/>
  <c r="P228" i="176" a="1"/>
  <c r="P228" i="176" s="1"/>
  <c r="P494" i="176" a="1"/>
  <c r="P494" i="176" s="1"/>
  <c r="P512" i="176" a="1"/>
  <c r="P512" i="176" s="1"/>
  <c r="P226" i="176" a="1"/>
  <c r="P226" i="176" s="1"/>
  <c r="P465" i="176" a="1"/>
  <c r="P465" i="176" s="1"/>
  <c r="P229" i="176" a="1"/>
  <c r="P229" i="176" s="1"/>
  <c r="P481" i="176" a="1"/>
  <c r="P481" i="176" s="1"/>
  <c r="P511" i="176" a="1"/>
  <c r="P511" i="176" s="1"/>
  <c r="P462" i="176" a="1"/>
  <c r="P462" i="176" s="1"/>
  <c r="P495" i="176" a="1"/>
  <c r="P495" i="176" s="1"/>
  <c r="Q28" i="173"/>
  <c r="S45" i="173"/>
  <c r="T45" i="173" s="1"/>
  <c r="S47" i="173"/>
  <c r="T47" i="173" s="1"/>
  <c r="S48" i="173"/>
  <c r="R48" i="173" s="1"/>
  <c r="S50" i="173"/>
  <c r="T50" i="173" s="1"/>
  <c r="S52" i="173"/>
  <c r="T52" i="173" s="1"/>
  <c r="P137" i="176" a="1"/>
  <c r="P137" i="176" s="1"/>
  <c r="P16" i="176" a="1"/>
  <c r="P16" i="176" s="1"/>
  <c r="P318" i="176" a="1"/>
  <c r="P318" i="176" s="1"/>
  <c r="P323" i="176" a="1"/>
  <c r="P323" i="176" s="1"/>
  <c r="P19" i="176" a="1"/>
  <c r="P19" i="176" s="1"/>
  <c r="P158" i="176" a="1"/>
  <c r="P158" i="176" s="1"/>
  <c r="P10" i="176" a="1"/>
  <c r="P10" i="176" s="1"/>
  <c r="P20" i="176" a="1"/>
  <c r="P20" i="176" s="1"/>
  <c r="P165" i="176" a="1"/>
  <c r="P165" i="176" s="1"/>
  <c r="Q53" i="173"/>
  <c r="P44" i="176" a="1"/>
  <c r="P44" i="176" s="1"/>
  <c r="P35" i="176" a="1"/>
  <c r="P35" i="176" s="1"/>
  <c r="P320" i="176" a="1"/>
  <c r="P320" i="176" s="1"/>
  <c r="P322" i="176" a="1"/>
  <c r="P322" i="176" s="1"/>
  <c r="P321" i="176" a="1"/>
  <c r="P321" i="176" s="1"/>
  <c r="P26" i="176" a="1"/>
  <c r="P26" i="176" s="1"/>
  <c r="O53" i="173"/>
  <c r="S54" i="173"/>
  <c r="T54" i="173" s="1"/>
  <c r="S56" i="173"/>
  <c r="R56" i="173" s="1"/>
  <c r="S59" i="173"/>
  <c r="R59" i="173" s="1"/>
  <c r="S61" i="173"/>
  <c r="R61" i="173" s="1"/>
  <c r="P288" i="176" a="1"/>
  <c r="P288" i="176" s="1"/>
  <c r="Q62" i="173"/>
  <c r="O62" i="173"/>
  <c r="Q36" i="173"/>
  <c r="P302" i="176" a="1"/>
  <c r="P302" i="176" s="1"/>
  <c r="P294" i="176" a="1"/>
  <c r="P294" i="176" s="1"/>
  <c r="P298" i="176" a="1"/>
  <c r="P298" i="176" s="1"/>
  <c r="P304" i="176" a="1"/>
  <c r="P304" i="176" s="1"/>
  <c r="P300" i="176" a="1"/>
  <c r="P300" i="176" s="1"/>
  <c r="P296" i="176" a="1"/>
  <c r="P296" i="176" s="1"/>
  <c r="P308" i="176" a="1"/>
  <c r="P308" i="176" s="1"/>
  <c r="P312" i="176" a="1"/>
  <c r="P312" i="176" s="1"/>
  <c r="P216" i="176" a="1"/>
  <c r="P216" i="176" s="1"/>
  <c r="P303" i="176" a="1"/>
  <c r="P303" i="176" s="1"/>
  <c r="P299" i="176" a="1"/>
  <c r="P299" i="176" s="1"/>
  <c r="P310" i="176" a="1"/>
  <c r="P310" i="176" s="1"/>
  <c r="P314" i="176" a="1"/>
  <c r="P314" i="176" s="1"/>
  <c r="P295" i="176" a="1"/>
  <c r="P295" i="176" s="1"/>
  <c r="P301" i="176" a="1"/>
  <c r="P301" i="176" s="1"/>
  <c r="O36" i="173"/>
  <c r="P64" i="173" a="1"/>
  <c r="P64" i="173" s="1"/>
  <c r="P66" i="173" a="1"/>
  <c r="P66" i="173" s="1"/>
  <c r="P63" i="173"/>
  <c r="P67" i="173" a="1"/>
  <c r="P67" i="173" s="1"/>
  <c r="P65" i="173" a="1"/>
  <c r="P65" i="173" s="1"/>
  <c r="P68" i="173" a="1"/>
  <c r="P68" i="173" s="1"/>
  <c r="P177" i="176" a="1"/>
  <c r="P177" i="176" s="1"/>
  <c r="S19" i="173"/>
  <c r="R19" i="173" s="1"/>
  <c r="Q20" i="173"/>
  <c r="P110" i="176" a="1"/>
  <c r="P110" i="176" s="1"/>
  <c r="P254" i="176" a="1"/>
  <c r="P254" i="176" s="1"/>
  <c r="P111" i="176" a="1"/>
  <c r="P111" i="176" s="1"/>
  <c r="O20" i="173"/>
  <c r="S22" i="173"/>
  <c r="R22" i="173" s="1"/>
  <c r="S24" i="173"/>
  <c r="T24" i="173" s="1"/>
  <c r="P108" i="176" a="1"/>
  <c r="P108" i="176" s="1"/>
  <c r="P147" i="176" a="1"/>
  <c r="P147" i="176" s="1"/>
  <c r="P378" i="176" a="1"/>
  <c r="P378" i="176" s="1"/>
  <c r="Q25" i="173"/>
  <c r="P66" i="176" a="1"/>
  <c r="P66" i="176" s="1"/>
  <c r="P103" i="176" a="1"/>
  <c r="P103" i="176" s="1"/>
  <c r="P128" i="176" a="1"/>
  <c r="P128" i="176" s="1"/>
  <c r="P85" i="176" a="1"/>
  <c r="P85" i="176" s="1"/>
  <c r="P100" i="176" a="1"/>
  <c r="P100" i="176" s="1"/>
  <c r="P94" i="176" a="1"/>
  <c r="P94" i="176" s="1"/>
  <c r="P127" i="176" a="1"/>
  <c r="P127" i="176" s="1"/>
  <c r="P271" i="176" a="1"/>
  <c r="P271" i="176" s="1"/>
  <c r="P150" i="176" a="1"/>
  <c r="P150" i="176" s="1"/>
  <c r="P388" i="176" a="1"/>
  <c r="P388" i="176" s="1"/>
  <c r="P251" i="176" a="1"/>
  <c r="P251" i="176" s="1"/>
  <c r="P62" i="176" a="1"/>
  <c r="P62" i="176" s="1"/>
  <c r="P89" i="176" a="1"/>
  <c r="P89" i="176" s="1"/>
  <c r="P327" i="176" a="1"/>
  <c r="P327" i="176" s="1"/>
  <c r="P371" i="176" a="1"/>
  <c r="P371" i="176" s="1"/>
  <c r="P283" i="176" a="1"/>
  <c r="P283" i="176" s="1"/>
  <c r="P389" i="176" a="1"/>
  <c r="P389" i="176" s="1"/>
  <c r="P405" i="176" a="1"/>
  <c r="P405" i="176" s="1"/>
  <c r="P360" i="176" a="1"/>
  <c r="P360" i="176" s="1"/>
  <c r="P404" i="176" a="1"/>
  <c r="P404" i="176" s="1"/>
  <c r="P418" i="176" a="1"/>
  <c r="P418" i="176" s="1"/>
  <c r="P285" i="176" a="1"/>
  <c r="P285" i="176" s="1"/>
  <c r="P336" i="176" a="1"/>
  <c r="P336" i="176" s="1"/>
  <c r="P345" i="176" a="1"/>
  <c r="P345" i="176" s="1"/>
  <c r="P363" i="176" a="1"/>
  <c r="P363" i="176" s="1"/>
  <c r="P64" i="176" a="1"/>
  <c r="P64" i="176" s="1"/>
  <c r="P93" i="176" a="1"/>
  <c r="P93" i="176" s="1"/>
  <c r="P352" i="176" a="1"/>
  <c r="P352" i="176" s="1"/>
  <c r="P346" i="176" a="1"/>
  <c r="P346" i="176" s="1"/>
  <c r="P87" i="176" a="1"/>
  <c r="P87" i="176" s="1"/>
  <c r="P95" i="176" a="1"/>
  <c r="P95" i="176" s="1"/>
  <c r="P104" i="176" a="1"/>
  <c r="P104" i="176" s="1"/>
  <c r="P63" i="176" a="1"/>
  <c r="P63" i="176" s="1"/>
  <c r="P99" i="176" a="1"/>
  <c r="P99" i="176" s="1"/>
  <c r="P122" i="176" a="1"/>
  <c r="P122" i="176" s="1"/>
  <c r="P135" i="176" a="1"/>
  <c r="P135" i="176" s="1"/>
  <c r="P267" i="176" a="1"/>
  <c r="P267" i="176" s="1"/>
  <c r="P284" i="176" a="1"/>
  <c r="P284" i="176" s="1"/>
  <c r="P134" i="176" a="1"/>
  <c r="P134" i="176" s="1"/>
  <c r="P265" i="176" a="1"/>
  <c r="P265" i="176" s="1"/>
  <c r="P384" i="176" a="1"/>
  <c r="P384" i="176" s="1"/>
  <c r="P398" i="176" a="1"/>
  <c r="P398" i="176" s="1"/>
  <c r="P414" i="176" a="1"/>
  <c r="P414" i="176" s="1"/>
  <c r="P263" i="176" a="1"/>
  <c r="P263" i="176" s="1"/>
  <c r="P326" i="176" a="1"/>
  <c r="P326" i="176" s="1"/>
  <c r="P340" i="176" a="1"/>
  <c r="P340" i="176" s="1"/>
  <c r="P353" i="176" a="1"/>
  <c r="P353" i="176" s="1"/>
  <c r="P367" i="176" a="1"/>
  <c r="P367" i="176" s="1"/>
  <c r="P253" i="176" a="1"/>
  <c r="P253" i="176" s="1"/>
  <c r="P385" i="176" a="1"/>
  <c r="P385" i="176" s="1"/>
  <c r="P401" i="176" a="1"/>
  <c r="P401" i="176" s="1"/>
  <c r="P417" i="176" a="1"/>
  <c r="P417" i="176" s="1"/>
  <c r="O25" i="173"/>
  <c r="P98" i="176" a="1"/>
  <c r="P98" i="176" s="1"/>
  <c r="P102" i="176" a="1"/>
  <c r="P102" i="176" s="1"/>
  <c r="P106" i="176" a="1"/>
  <c r="P106" i="176" s="1"/>
  <c r="P61" i="176" a="1"/>
  <c r="P61" i="176" s="1"/>
  <c r="P90" i="176" a="1"/>
  <c r="P90" i="176" s="1"/>
  <c r="P96" i="176" a="1"/>
  <c r="P96" i="176" s="1"/>
  <c r="P101" i="176" a="1"/>
  <c r="P101" i="176" s="1"/>
  <c r="P107" i="176" a="1"/>
  <c r="P107" i="176" s="1"/>
  <c r="P125" i="176" a="1"/>
  <c r="P125" i="176" s="1"/>
  <c r="P129" i="176" a="1"/>
  <c r="P129" i="176" s="1"/>
  <c r="P145" i="176" a="1"/>
  <c r="P145" i="176" s="1"/>
  <c r="P149" i="176" a="1"/>
  <c r="P149" i="176" s="1"/>
  <c r="P269" i="176" a="1"/>
  <c r="P269" i="176" s="1"/>
  <c r="P282" i="176" a="1"/>
  <c r="P282" i="176" s="1"/>
  <c r="P126" i="176" a="1"/>
  <c r="P126" i="176" s="1"/>
  <c r="P132" i="176" a="1"/>
  <c r="P132" i="176" s="1"/>
  <c r="P136" i="176" a="1"/>
  <c r="P136" i="176" s="1"/>
  <c r="P249" i="176" a="1"/>
  <c r="P249" i="176" s="1"/>
  <c r="P270" i="176" a="1"/>
  <c r="P270" i="176" s="1"/>
  <c r="P380" i="176" a="1"/>
  <c r="P380" i="176" s="1"/>
  <c r="P386" i="176" a="1"/>
  <c r="P386" i="176" s="1"/>
  <c r="P396" i="176" a="1"/>
  <c r="P396" i="176" s="1"/>
  <c r="P402" i="176" a="1"/>
  <c r="P402" i="176" s="1"/>
  <c r="P406" i="176" a="1"/>
  <c r="P406" i="176" s="1"/>
  <c r="P416" i="176" a="1"/>
  <c r="P416" i="176" s="1"/>
  <c r="P250" i="176" a="1"/>
  <c r="P250" i="176" s="1"/>
  <c r="P268" i="176" a="1"/>
  <c r="P268" i="176" s="1"/>
  <c r="P324" i="176"/>
  <c r="P324" i="176" a="1"/>
  <c r="P328" i="176" a="1"/>
  <c r="P328" i="176" s="1"/>
  <c r="P338" i="176" a="1"/>
  <c r="P338" i="176" s="1"/>
  <c r="P343" i="176" a="1"/>
  <c r="P343" i="176" s="1"/>
  <c r="P351" i="176" a="1"/>
  <c r="P351" i="176" s="1"/>
  <c r="P361" i="176" a="1"/>
  <c r="P361" i="176" s="1"/>
  <c r="P365" i="176" a="1"/>
  <c r="P365" i="176" s="1"/>
  <c r="P369" i="176" a="1"/>
  <c r="P369" i="176" s="1"/>
  <c r="P248" i="176" a="1"/>
  <c r="P248" i="176" s="1"/>
  <c r="P264" i="176" a="1"/>
  <c r="P264" i="176" s="1"/>
  <c r="P383" i="176" a="1"/>
  <c r="P383" i="176" s="1"/>
  <c r="P387" i="176" a="1"/>
  <c r="P387" i="176" s="1"/>
  <c r="P399" i="176" a="1"/>
  <c r="P399" i="176" s="1"/>
  <c r="P403" i="176" a="1"/>
  <c r="P403" i="176" s="1"/>
  <c r="P407" i="176" a="1"/>
  <c r="P407" i="176" s="1"/>
  <c r="P350" i="176" a="1"/>
  <c r="P350" i="176" s="1"/>
  <c r="P368" i="176" a="1"/>
  <c r="P368" i="176" s="1"/>
  <c r="P339" i="176" a="1"/>
  <c r="P339" i="176" s="1"/>
  <c r="P325" i="176" a="1"/>
  <c r="P325" i="176" s="1"/>
  <c r="P370" i="176" a="1"/>
  <c r="P370" i="176" s="1"/>
  <c r="P337" i="176" a="1"/>
  <c r="P337" i="176" s="1"/>
  <c r="P364" i="176" a="1"/>
  <c r="P364" i="176" s="1"/>
  <c r="S26" i="173"/>
  <c r="R26" i="173" s="1"/>
  <c r="S28" i="173"/>
  <c r="R28" i="173" s="1"/>
  <c r="P515" i="176" a="1"/>
  <c r="P515" i="176" s="1"/>
  <c r="P203" i="176" a="1"/>
  <c r="P203" i="176" s="1"/>
  <c r="P485" i="176" a="1"/>
  <c r="P485" i="176" s="1"/>
  <c r="P224" i="176" a="1"/>
  <c r="P224" i="176" s="1"/>
  <c r="P497" i="176" a="1"/>
  <c r="P497" i="176" s="1"/>
  <c r="O29" i="173"/>
  <c r="P204" i="176" a="1"/>
  <c r="P204" i="176" s="1"/>
  <c r="Q29" i="173"/>
  <c r="S30" i="173"/>
  <c r="R30" i="173" s="1"/>
  <c r="S32" i="173"/>
  <c r="T32" i="173" s="1"/>
  <c r="P440" i="176" a="1"/>
  <c r="P440" i="176" s="1"/>
  <c r="P152" i="176" a="1"/>
  <c r="P152" i="176" s="1"/>
  <c r="Q33" i="173"/>
  <c r="P196" i="176" a="1"/>
  <c r="P196" i="176" s="1"/>
  <c r="P447" i="176" a="1"/>
  <c r="P447" i="176" s="1"/>
  <c r="P448" i="176" a="1"/>
  <c r="P448" i="176" s="1"/>
  <c r="P162" i="176" a="1"/>
  <c r="P162" i="176" s="1"/>
  <c r="P161" i="176" a="1"/>
  <c r="P161" i="176" s="1"/>
  <c r="P441" i="176" a="1"/>
  <c r="P441" i="176" s="1"/>
  <c r="P451" i="176" a="1"/>
  <c r="P451" i="176" s="1"/>
  <c r="P450" i="176" a="1"/>
  <c r="P450" i="176" s="1"/>
  <c r="P160" i="176" a="1"/>
  <c r="P160" i="176" s="1"/>
  <c r="P164" i="176" a="1"/>
  <c r="P164" i="176" s="1"/>
  <c r="P154" i="176" a="1"/>
  <c r="P154" i="176" s="1"/>
  <c r="P163" i="176" a="1"/>
  <c r="P163" i="176" s="1"/>
  <c r="P437" i="176" a="1"/>
  <c r="P437" i="176" s="1"/>
  <c r="P445" i="176" a="1"/>
  <c r="P445" i="176" s="1"/>
  <c r="P449" i="176" a="1"/>
  <c r="P449" i="176" s="1"/>
  <c r="P457" i="176" a="1"/>
  <c r="P457" i="176" s="1"/>
  <c r="P444" i="176" a="1"/>
  <c r="P444" i="176" s="1"/>
  <c r="P454" i="176" a="1"/>
  <c r="P454" i="176" s="1"/>
  <c r="P452" i="176" a="1"/>
  <c r="P452" i="176" s="1"/>
  <c r="S34" i="173"/>
  <c r="R34" i="173" s="1"/>
  <c r="S36" i="173"/>
  <c r="T36" i="173" s="1"/>
  <c r="P58" i="176" a="1"/>
  <c r="P58" i="176" s="1"/>
  <c r="P22" i="176" a="1"/>
  <c r="P22" i="176" s="1"/>
  <c r="P48" i="176" a="1"/>
  <c r="P48" i="176" s="1"/>
  <c r="P41" i="176" a="1"/>
  <c r="P41" i="176" s="1"/>
  <c r="P37" i="176" a="1"/>
  <c r="P37" i="176" s="1"/>
  <c r="O38" i="173"/>
  <c r="P56" i="176" a="1"/>
  <c r="P56" i="176" s="1"/>
  <c r="P60" i="176" a="1"/>
  <c r="P60" i="176" s="1"/>
  <c r="P39" i="176" a="1"/>
  <c r="P39" i="176" s="1"/>
  <c r="P43" i="176" a="1"/>
  <c r="P43" i="176" s="1"/>
  <c r="Q38" i="173"/>
  <c r="S39" i="173"/>
  <c r="R39" i="173" s="1"/>
  <c r="S40" i="173"/>
  <c r="T40" i="173" s="1"/>
  <c r="S42" i="173"/>
  <c r="R42" i="173" s="1"/>
  <c r="P393" i="176" a="1"/>
  <c r="P393" i="176" s="1"/>
  <c r="P257" i="176" a="1"/>
  <c r="P257" i="176" s="1"/>
  <c r="P392" i="176" a="1"/>
  <c r="P392" i="176" s="1"/>
  <c r="O43" i="173"/>
  <c r="P244" i="176" a="1"/>
  <c r="P244" i="176" s="1"/>
  <c r="P412" i="176" a="1"/>
  <c r="P412" i="176" s="1"/>
  <c r="Q43" i="173"/>
  <c r="P82" i="176" a="1"/>
  <c r="P82" i="176" s="1"/>
  <c r="P297" i="176" a="1"/>
  <c r="P297" i="176" s="1"/>
  <c r="P223" i="176" a="1"/>
  <c r="P223" i="176" s="1"/>
  <c r="Q49" i="173"/>
  <c r="P305" i="176" a="1"/>
  <c r="P305" i="176" s="1"/>
  <c r="P293" i="176" a="1"/>
  <c r="P293" i="176" s="1"/>
  <c r="O37" i="173"/>
  <c r="Q37" i="173"/>
  <c r="O40" i="173"/>
  <c r="Q40" i="173"/>
  <c r="P317" i="176" a="1"/>
  <c r="P317" i="176" s="1"/>
  <c r="P373" i="176" a="1"/>
  <c r="P373" i="176" s="1"/>
  <c r="N373" i="176" s="1"/>
  <c r="P473" i="176" a="1"/>
  <c r="P473" i="176" s="1"/>
  <c r="P471" i="176" a="1"/>
  <c r="P471" i="176" s="1"/>
  <c r="Q45" i="173"/>
  <c r="O45" i="173"/>
  <c r="P291" i="176" a="1"/>
  <c r="P291" i="176" s="1"/>
  <c r="O57" i="173"/>
  <c r="Q57" i="173"/>
  <c r="O21" i="173"/>
  <c r="Q21" i="173"/>
  <c r="P372" i="176" a="1"/>
  <c r="P372" i="176" s="1"/>
  <c r="S18" i="173"/>
  <c r="R18" i="173" s="1"/>
  <c r="S44" i="173"/>
  <c r="R44" i="173" s="1"/>
  <c r="S46" i="173"/>
  <c r="R46" i="173" s="1"/>
  <c r="P279" i="176" a="1"/>
  <c r="P279" i="176" s="1"/>
  <c r="Q48" i="173"/>
  <c r="O48" i="173"/>
  <c r="S49" i="173"/>
  <c r="T49" i="173" s="1"/>
  <c r="S51" i="173"/>
  <c r="R51" i="173" s="1"/>
  <c r="O52" i="173"/>
  <c r="P316" i="176" a="1"/>
  <c r="P316" i="176" s="1"/>
  <c r="Q52" i="173"/>
  <c r="S53" i="173"/>
  <c r="R53" i="173" s="1"/>
  <c r="S55" i="173"/>
  <c r="T55" i="173" s="1"/>
  <c r="P319" i="176" a="1"/>
  <c r="P319" i="176" s="1"/>
  <c r="P23" i="176" a="1"/>
  <c r="P23" i="176" s="1"/>
  <c r="Q56" i="173"/>
  <c r="P18" i="176" a="1"/>
  <c r="P18" i="176" s="1"/>
  <c r="O56" i="173"/>
  <c r="S57" i="173"/>
  <c r="T57" i="173" s="1"/>
  <c r="S58" i="173"/>
  <c r="R58" i="173" s="1"/>
  <c r="S60" i="173"/>
  <c r="T60" i="173" s="1"/>
  <c r="R60" i="173"/>
  <c r="Q61" i="173"/>
  <c r="P286" i="176" a="1"/>
  <c r="P286" i="176" s="1"/>
  <c r="O61" i="173"/>
  <c r="S62" i="173"/>
  <c r="T62" i="173" s="1"/>
  <c r="Q18" i="173"/>
  <c r="O18" i="173"/>
  <c r="O58" i="173"/>
  <c r="Q58" i="173"/>
  <c r="O49" i="173"/>
  <c r="P272" i="176" a="1"/>
  <c r="P272" i="176" s="1"/>
  <c r="P477" i="176" a="1"/>
  <c r="P477" i="176" s="1"/>
  <c r="P193" i="176" a="1"/>
  <c r="P193" i="176" s="1"/>
  <c r="P488" i="176" a="1"/>
  <c r="P488" i="176" s="1"/>
  <c r="P192" i="176" a="1"/>
  <c r="P192" i="176" s="1"/>
  <c r="P490" i="176" a="1"/>
  <c r="P490" i="176" s="1"/>
  <c r="P181" i="176" a="1"/>
  <c r="P181" i="176" s="1"/>
  <c r="P214" i="176" a="1"/>
  <c r="P214" i="176" s="1"/>
  <c r="P508" i="176" a="1"/>
  <c r="P508" i="176" s="1"/>
  <c r="P470" i="176" a="1"/>
  <c r="P470" i="176" s="1"/>
  <c r="P219" i="176" a="1"/>
  <c r="P219" i="176" s="1"/>
  <c r="P191" i="176" a="1"/>
  <c r="P191" i="176" s="1"/>
  <c r="Q44" i="173"/>
  <c r="P179" i="176" a="1"/>
  <c r="P179" i="176" s="1"/>
  <c r="P190" i="176" a="1"/>
  <c r="P190" i="176" s="1"/>
  <c r="P212" i="176" a="1"/>
  <c r="P212" i="176" s="1"/>
  <c r="P220" i="176" a="1"/>
  <c r="P220" i="176" s="1"/>
  <c r="P506" i="176" a="1"/>
  <c r="P506" i="176" s="1"/>
  <c r="P475" i="176" a="1"/>
  <c r="P475" i="176" s="1"/>
  <c r="P221" i="176" a="1"/>
  <c r="P221" i="176" s="1"/>
  <c r="P474" i="176" a="1"/>
  <c r="P474" i="176" s="1"/>
  <c r="P501" i="176" a="1"/>
  <c r="P501" i="176" s="1"/>
  <c r="P479" i="176" a="1"/>
  <c r="P479" i="176" s="1"/>
  <c r="P222" i="176" a="1"/>
  <c r="P222" i="176" s="1"/>
  <c r="P476" i="176" a="1"/>
  <c r="P476" i="176" s="1"/>
  <c r="O44" i="173"/>
  <c r="P503" i="176" a="1"/>
  <c r="P503" i="176" s="1"/>
  <c r="P499" i="176" a="1"/>
  <c r="P499" i="176" s="1"/>
  <c r="P472" i="176" a="1"/>
  <c r="P472" i="176" s="1"/>
  <c r="P507" i="176" a="1"/>
  <c r="P507" i="176" s="1"/>
  <c r="O47" i="173"/>
  <c r="Q47" i="173"/>
  <c r="O33" i="173"/>
  <c r="P289" i="176" a="1"/>
  <c r="P289" i="176" s="1"/>
  <c r="O59" i="173"/>
  <c r="K34" i="86" s="1"/>
  <c r="P12" i="176" a="1"/>
  <c r="P12" i="176" s="1"/>
  <c r="N12" i="176" s="1"/>
  <c r="R31" i="173" l="1"/>
  <c r="T37" i="173"/>
  <c r="T23" i="173"/>
  <c r="T44" i="173"/>
  <c r="T61" i="173"/>
  <c r="R40" i="173"/>
  <c r="T34" i="173"/>
  <c r="G67" i="233"/>
  <c r="H67" i="233" s="1"/>
  <c r="I67" i="233" s="1"/>
  <c r="T58" i="173"/>
  <c r="T28" i="173"/>
  <c r="R33" i="173"/>
  <c r="N516" i="176"/>
  <c r="N35" i="86" s="1"/>
  <c r="K33" i="86"/>
  <c r="W10" i="221" s="1"/>
  <c r="T51" i="173"/>
  <c r="T42" i="173"/>
  <c r="T35" i="173"/>
  <c r="R54" i="173"/>
  <c r="T27" i="173"/>
  <c r="R57" i="173"/>
  <c r="T19" i="173"/>
  <c r="T39" i="173"/>
  <c r="K31" i="86"/>
  <c r="H13" i="233" s="1"/>
  <c r="K32" i="86"/>
  <c r="W9" i="221" s="1"/>
  <c r="R32" i="173"/>
  <c r="T26" i="173"/>
  <c r="T56" i="173"/>
  <c r="R47" i="173"/>
  <c r="G66" i="233"/>
  <c r="H66" i="233" s="1"/>
  <c r="I66" i="233" s="1"/>
  <c r="T53" i="173"/>
  <c r="S64" i="173" a="1"/>
  <c r="S64" i="173" s="1"/>
  <c r="S68" i="173" a="1"/>
  <c r="S68" i="173" s="1"/>
  <c r="S66" i="173" a="1"/>
  <c r="S66" i="173" s="1"/>
  <c r="S67" i="173" a="1"/>
  <c r="S67" i="173" s="1"/>
  <c r="O63" i="173"/>
  <c r="G79" i="173" s="1"/>
  <c r="L16" i="233" s="1"/>
  <c r="G64" i="233"/>
  <c r="T22" i="173"/>
  <c r="R52" i="173"/>
  <c r="T48" i="173"/>
  <c r="R41" i="173"/>
  <c r="R20" i="173"/>
  <c r="G65" i="233"/>
  <c r="H65" i="233" s="1"/>
  <c r="I65" i="233" s="1"/>
  <c r="Q64" i="173" a="1"/>
  <c r="Q64" i="173" s="1"/>
  <c r="R49" i="173"/>
  <c r="H16" i="233"/>
  <c r="W11" i="221"/>
  <c r="T29" i="173"/>
  <c r="R29" i="173"/>
  <c r="T21" i="173"/>
  <c r="R21" i="173"/>
  <c r="Q65" i="173" a="1"/>
  <c r="Q65" i="173" s="1"/>
  <c r="R55" i="173"/>
  <c r="T46" i="173"/>
  <c r="R36" i="173"/>
  <c r="T30" i="173"/>
  <c r="R24" i="173"/>
  <c r="T18" i="173"/>
  <c r="T59" i="173"/>
  <c r="R45" i="173"/>
  <c r="T43" i="173"/>
  <c r="T25" i="173"/>
  <c r="S63" i="173"/>
  <c r="Q67" i="173" a="1"/>
  <c r="Q67" i="173" s="1"/>
  <c r="Q66" i="173" a="1"/>
  <c r="Q66" i="173" s="1"/>
  <c r="R62" i="173"/>
  <c r="O64" i="173"/>
  <c r="Q63" i="173"/>
  <c r="Q68" i="173" a="1"/>
  <c r="Q68" i="173" s="1"/>
  <c r="S65" i="173" a="1"/>
  <c r="S65" i="173" s="1"/>
  <c r="R50" i="173"/>
  <c r="T38" i="173"/>
  <c r="P516" i="176"/>
  <c r="W8" i="221" l="1"/>
  <c r="H14" i="233"/>
  <c r="P518" i="176"/>
  <c r="AA3" i="176" s="1"/>
  <c r="S11" i="166"/>
  <c r="AD108" i="173"/>
  <c r="I83" i="173" s="1"/>
  <c r="H15" i="233"/>
  <c r="I15" i="233" s="1"/>
  <c r="K36" i="86"/>
  <c r="R64" i="173"/>
  <c r="K35" i="86"/>
  <c r="O35" i="86" s="1"/>
  <c r="R63" i="173"/>
  <c r="T64" i="173" a="1"/>
  <c r="T64" i="173" s="1"/>
  <c r="H64" i="233"/>
  <c r="G68" i="233"/>
  <c r="I14" i="233"/>
  <c r="G14" i="233"/>
  <c r="W13" i="221"/>
  <c r="W12" i="221"/>
  <c r="T63" i="173"/>
  <c r="T66" i="173" a="1"/>
  <c r="T66" i="173" s="1"/>
  <c r="T65" i="173" a="1"/>
  <c r="T65" i="173" s="1"/>
  <c r="T68" i="173" a="1"/>
  <c r="T68" i="173" s="1"/>
  <c r="T67" i="173" a="1"/>
  <c r="T67" i="173" s="1"/>
  <c r="G15" i="233" l="1"/>
  <c r="S9" i="166"/>
  <c r="F9" i="221" s="1"/>
  <c r="E9" i="221" s="1"/>
  <c r="O36" i="86"/>
  <c r="R9" i="166"/>
  <c r="E8" i="236"/>
  <c r="V9" i="166"/>
  <c r="U9" i="166" s="1"/>
  <c r="S14" i="166"/>
  <c r="E13" i="236" s="1"/>
  <c r="S12" i="166"/>
  <c r="E11" i="236" s="1"/>
  <c r="R11" i="166"/>
  <c r="S13" i="166"/>
  <c r="E12" i="236" s="1"/>
  <c r="R84" i="173"/>
  <c r="AC3" i="173" s="1"/>
  <c r="I64" i="233"/>
  <c r="H68" i="233"/>
  <c r="I68" i="233" s="1"/>
  <c r="S10" i="166" l="1"/>
  <c r="E10" i="236"/>
  <c r="E22" i="236" s="1"/>
  <c r="F8" i="236"/>
  <c r="I9" i="221"/>
  <c r="H9" i="221" s="1"/>
  <c r="V10" i="166"/>
  <c r="V11" i="166" s="1"/>
  <c r="V12" i="166" s="1"/>
  <c r="F13" i="221"/>
  <c r="E13" i="221" s="1"/>
  <c r="AB13" i="166"/>
  <c r="R13" i="166"/>
  <c r="R12" i="166"/>
  <c r="AB12" i="166"/>
  <c r="S23" i="166"/>
  <c r="F12" i="221"/>
  <c r="E12" i="221" s="1"/>
  <c r="F14" i="221"/>
  <c r="E14" i="221" s="1"/>
  <c r="AB14" i="166"/>
  <c r="R14" i="166"/>
  <c r="F11" i="221"/>
  <c r="E11" i="221" s="1"/>
  <c r="E9" i="236" l="1"/>
  <c r="F10" i="221"/>
  <c r="E10" i="221" s="1"/>
  <c r="AB10" i="166"/>
  <c r="R10" i="166"/>
  <c r="G8" i="236"/>
  <c r="F43" i="236"/>
  <c r="I10" i="221"/>
  <c r="H10" i="221" s="1"/>
  <c r="U11" i="166"/>
  <c r="S37" i="166"/>
  <c r="E36" i="236" s="1"/>
  <c r="E38" i="236" s="1"/>
  <c r="E39" i="236" s="1"/>
  <c r="R23" i="166"/>
  <c r="U10" i="166"/>
  <c r="V14" i="166"/>
  <c r="U14" i="166" s="1"/>
  <c r="V13" i="166"/>
  <c r="I13" i="221" s="1"/>
  <c r="H13" i="221" s="1"/>
  <c r="F22" i="221"/>
  <c r="E22" i="221" s="1"/>
  <c r="I12" i="221"/>
  <c r="H12" i="221" s="1"/>
  <c r="U12" i="166"/>
  <c r="H9" i="236" l="1"/>
  <c r="H44" i="236" s="1"/>
  <c r="G9" i="236"/>
  <c r="G44" i="236" s="1"/>
  <c r="F9" i="236"/>
  <c r="F44" i="236" s="1"/>
  <c r="E44" i="236"/>
  <c r="U13" i="166"/>
  <c r="H8" i="236"/>
  <c r="G43" i="236"/>
  <c r="I11" i="221"/>
  <c r="H11" i="221" s="1"/>
  <c r="S61" i="166"/>
  <c r="V23" i="166"/>
  <c r="I14" i="221"/>
  <c r="H14" i="221" s="1"/>
  <c r="R37" i="166"/>
  <c r="F36" i="221"/>
  <c r="AB37" i="166"/>
  <c r="AD37" i="166" s="1"/>
  <c r="S39" i="166"/>
  <c r="R12" i="221"/>
  <c r="U23" i="166" l="1"/>
  <c r="I22" i="221"/>
  <c r="V61" i="166" s="1"/>
  <c r="I8" i="236"/>
  <c r="H43" i="236"/>
  <c r="V37" i="166"/>
  <c r="U37" i="166" s="1"/>
  <c r="S40" i="166"/>
  <c r="R39" i="166"/>
  <c r="F38" i="221"/>
  <c r="S62" i="166" s="1"/>
  <c r="E36" i="221"/>
  <c r="H22" i="221" l="1"/>
  <c r="I36" i="221"/>
  <c r="H36" i="221" s="1"/>
  <c r="V39" i="166"/>
  <c r="U39" i="166" s="1"/>
  <c r="I9" i="236"/>
  <c r="I44" i="236" s="1"/>
  <c r="J8" i="236"/>
  <c r="I43" i="236"/>
  <c r="E38" i="221"/>
  <c r="F39" i="221"/>
  <c r="E39" i="221" s="1"/>
  <c r="E25" i="86"/>
  <c r="R40" i="166"/>
  <c r="V40" i="166" l="1"/>
  <c r="U40" i="166" s="1"/>
  <c r="I38" i="221"/>
  <c r="V62" i="166" s="1"/>
  <c r="J9" i="236"/>
  <c r="J44" i="236" s="1"/>
  <c r="J43" i="236"/>
  <c r="K8" i="236"/>
  <c r="S63" i="166"/>
  <c r="F19" i="86"/>
  <c r="F20" i="86" s="1"/>
  <c r="H19" i="86"/>
  <c r="H20" i="86" s="1"/>
  <c r="G19" i="86"/>
  <c r="G20" i="86" s="1"/>
  <c r="E26" i="86" l="1"/>
  <c r="H38" i="221"/>
  <c r="I39" i="221"/>
  <c r="H39" i="221" s="1"/>
  <c r="K9" i="236"/>
  <c r="K43" i="236"/>
  <c r="L8" i="236"/>
  <c r="V63" i="166"/>
  <c r="AB3" i="166" s="1"/>
  <c r="F21" i="86"/>
  <c r="E6" i="197"/>
  <c r="E7" i="197" s="1"/>
  <c r="F24" i="86"/>
  <c r="E10" i="197" s="1"/>
  <c r="F11" i="203"/>
  <c r="F12" i="203" s="1"/>
  <c r="F6" i="197"/>
  <c r="F7" i="197" s="1"/>
  <c r="G21" i="86"/>
  <c r="H11" i="86"/>
  <c r="G24" i="86"/>
  <c r="F10" i="197" s="1"/>
  <c r="H24" i="86"/>
  <c r="G10" i="197" s="1"/>
  <c r="H21" i="86"/>
  <c r="G6" i="197"/>
  <c r="G7" i="197" s="1"/>
  <c r="G26" i="86"/>
  <c r="F12" i="197" s="1"/>
  <c r="F26" i="86"/>
  <c r="E12" i="197" s="1"/>
  <c r="H26" i="86"/>
  <c r="G12" i="197" s="1"/>
  <c r="M6" i="203"/>
  <c r="K6" i="203"/>
  <c r="K7" i="203"/>
  <c r="M7" i="203" s="1"/>
  <c r="O7" i="203" s="1"/>
  <c r="M26" i="203"/>
  <c r="O26" i="203" s="1"/>
  <c r="M25" i="203"/>
  <c r="S34" i="203" s="1"/>
  <c r="V34" i="203" s="1"/>
  <c r="K27" i="203"/>
  <c r="L9" i="236" l="1"/>
  <c r="M8" i="236"/>
  <c r="L43" i="236"/>
  <c r="K19" i="86"/>
  <c r="H14" i="86"/>
  <c r="H12" i="86"/>
  <c r="M8" i="203"/>
  <c r="N15" i="203" s="1"/>
  <c r="P15" i="203" s="1"/>
  <c r="F14" i="203" s="1"/>
  <c r="X34" i="203"/>
  <c r="AA34" i="203" s="1"/>
  <c r="K8" i="203"/>
  <c r="O25" i="203"/>
  <c r="O6" i="203"/>
  <c r="M27" i="203"/>
  <c r="M9" i="236" l="1"/>
  <c r="N8" i="236"/>
  <c r="M43" i="236"/>
  <c r="K21" i="86"/>
  <c r="H13" i="86"/>
  <c r="K20" i="86"/>
  <c r="O8" i="203"/>
  <c r="O27" i="203"/>
  <c r="N34" i="203"/>
  <c r="P34" i="203" s="1"/>
  <c r="G13" i="233"/>
  <c r="N43" i="236" l="1"/>
  <c r="N9" i="236"/>
  <c r="I16" i="233"/>
  <c r="G16" i="233"/>
  <c r="I12" i="233"/>
  <c r="G12" i="233"/>
  <c r="G17" i="233" s="1"/>
  <c r="G8" i="233" s="1"/>
  <c r="H17" i="233"/>
  <c r="H8" i="233" s="1"/>
  <c r="E17" i="233"/>
  <c r="E8" i="233" s="1"/>
  <c r="I13" i="233"/>
  <c r="I17" i="233" l="1"/>
  <c r="F10" i="236"/>
  <c r="F45" i="236" s="1"/>
  <c r="G10" i="236"/>
  <c r="H10" i="236"/>
  <c r="I10" i="236"/>
  <c r="J10" i="236"/>
  <c r="K10" i="236"/>
  <c r="L10" i="236"/>
  <c r="M10" i="236"/>
  <c r="N10" i="236"/>
  <c r="J45" i="236" l="1"/>
  <c r="H45" i="236"/>
  <c r="N45" i="236"/>
  <c r="K45" i="236"/>
  <c r="I45" i="236"/>
  <c r="G45" i="236"/>
  <c r="L45" i="236"/>
  <c r="M45" i="236"/>
  <c r="J11" i="236"/>
  <c r="J13" i="236"/>
  <c r="J12" i="236"/>
  <c r="L11" i="236"/>
  <c r="L13" i="236"/>
  <c r="L12" i="236"/>
  <c r="I12" i="236"/>
  <c r="I11" i="236"/>
  <c r="I13" i="236"/>
  <c r="H13" i="236"/>
  <c r="H12" i="236"/>
  <c r="H11" i="236"/>
  <c r="G13" i="236"/>
  <c r="G12" i="236"/>
  <c r="G11" i="236"/>
  <c r="G22" i="236" s="1"/>
  <c r="N13" i="236"/>
  <c r="N12" i="236"/>
  <c r="N11" i="236"/>
  <c r="F13" i="236"/>
  <c r="F12" i="236"/>
  <c r="F11" i="236"/>
  <c r="K13" i="236"/>
  <c r="K12" i="236"/>
  <c r="K11" i="236"/>
  <c r="M13" i="236"/>
  <c r="M12" i="236"/>
  <c r="M11" i="236"/>
  <c r="H22" i="236" l="1"/>
  <c r="H36" i="236" s="1"/>
  <c r="H38" i="236" s="1"/>
  <c r="M22" i="236"/>
  <c r="M36" i="236" s="1"/>
  <c r="M38" i="236" s="1"/>
  <c r="G36" i="236"/>
  <c r="G38" i="236" s="1"/>
  <c r="F22" i="236"/>
  <c r="F46" i="236" s="1"/>
  <c r="L22" i="236"/>
  <c r="N22" i="236"/>
  <c r="J22" i="236"/>
  <c r="K22" i="236"/>
  <c r="I22" i="236"/>
  <c r="G39" i="236" l="1"/>
  <c r="M39" i="236"/>
  <c r="H39" i="236"/>
  <c r="H47" i="236"/>
  <c r="H46" i="236"/>
  <c r="F36" i="236"/>
  <c r="F38" i="236" s="1"/>
  <c r="G46" i="236"/>
  <c r="H48" i="236"/>
  <c r="N36" i="236"/>
  <c r="N38" i="236" s="1"/>
  <c r="N46" i="236"/>
  <c r="I36" i="236"/>
  <c r="I38" i="236" s="1"/>
  <c r="I46" i="236"/>
  <c r="L36" i="236"/>
  <c r="L38" i="236" s="1"/>
  <c r="M47" i="236" s="1"/>
  <c r="L46" i="236"/>
  <c r="M46" i="236"/>
  <c r="J36" i="236"/>
  <c r="J38" i="236" s="1"/>
  <c r="J46" i="236"/>
  <c r="K36" i="236"/>
  <c r="K38" i="236" s="1"/>
  <c r="K46" i="236"/>
  <c r="I39" i="236" l="1"/>
  <c r="I48" i="236" s="1"/>
  <c r="I47" i="236"/>
  <c r="N39" i="236"/>
  <c r="N48" i="236" s="1"/>
  <c r="N47" i="236"/>
  <c r="F39" i="236"/>
  <c r="F48" i="236" s="1"/>
  <c r="F47" i="236"/>
  <c r="K39" i="236"/>
  <c r="K47" i="236"/>
  <c r="J39" i="236"/>
  <c r="J47" i="236"/>
  <c r="G47" i="236"/>
  <c r="L39" i="236"/>
  <c r="L47" i="236"/>
  <c r="J48" i="236" l="1"/>
  <c r="K48" i="236"/>
  <c r="L48" i="236"/>
  <c r="M48" i="236"/>
  <c r="G48" i="23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<sst xmlns="http://schemas.openxmlformats.org/spreadsheetml/2006/main" count="4990" uniqueCount="1887">
  <si>
    <t>#</t>
  </si>
  <si>
    <t>Status</t>
  </si>
  <si>
    <t>Lease</t>
  </si>
  <si>
    <t>Property</t>
  </si>
  <si>
    <t>Other Income</t>
  </si>
  <si>
    <t>Total Operating Expenses</t>
  </si>
  <si>
    <t>Net Operating Income</t>
  </si>
  <si>
    <t>General &amp; Administrative</t>
  </si>
  <si>
    <t>Management Fee</t>
  </si>
  <si>
    <t>Contract Services</t>
  </si>
  <si>
    <t>Insurance</t>
  </si>
  <si>
    <t>Low</t>
  </si>
  <si>
    <t>Target</t>
  </si>
  <si>
    <t>Purchase Price</t>
  </si>
  <si>
    <t>Per Unit</t>
  </si>
  <si>
    <t>Cap Rates</t>
  </si>
  <si>
    <t>Rentable SF</t>
  </si>
  <si>
    <t>Total Units</t>
  </si>
  <si>
    <t>In-Place Occupancy</t>
  </si>
  <si>
    <t>Financing:</t>
  </si>
  <si>
    <t>EXECUTIVE SUMMARY</t>
  </si>
  <si>
    <t>Total</t>
  </si>
  <si>
    <t>Property Name</t>
  </si>
  <si>
    <t>Street Address</t>
  </si>
  <si>
    <t>City, State Zip</t>
  </si>
  <si>
    <t>Occupancy</t>
  </si>
  <si>
    <t>In-Place</t>
  </si>
  <si>
    <t>Market</t>
  </si>
  <si>
    <t>Renovated</t>
  </si>
  <si>
    <t>Effective Gross Income</t>
  </si>
  <si>
    <t>Total Expenses</t>
  </si>
  <si>
    <t>Options for Assumptions</t>
  </si>
  <si>
    <t>Client</t>
  </si>
  <si>
    <t>Choose</t>
  </si>
  <si>
    <t>UW Assumption</t>
  </si>
  <si>
    <t>Numbers Are Per Unit</t>
  </si>
  <si>
    <t>Pet Income</t>
  </si>
  <si>
    <t>Personnel</t>
  </si>
  <si>
    <t>Utilities - Sewer &amp; Water</t>
  </si>
  <si>
    <t>Utilities - Gas</t>
  </si>
  <si>
    <t>Utilities - Electric</t>
  </si>
  <si>
    <t>Repairs &amp; Maintenance</t>
  </si>
  <si>
    <t>Replacement Reserves</t>
  </si>
  <si>
    <t>Data Validation</t>
  </si>
  <si>
    <t>VALUATION SUMMARY</t>
  </si>
  <si>
    <t>Tenant</t>
  </si>
  <si>
    <t>County</t>
  </si>
  <si>
    <t>Year Built</t>
  </si>
  <si>
    <t>Market Rent</t>
  </si>
  <si>
    <t>Totals</t>
  </si>
  <si>
    <t>Income</t>
  </si>
  <si>
    <t>Expenses</t>
  </si>
  <si>
    <t>Property Taxes</t>
  </si>
  <si>
    <t>Unit</t>
  </si>
  <si>
    <t>Unit Type</t>
  </si>
  <si>
    <t>SF</t>
  </si>
  <si>
    <t>Total/Wtd Average</t>
  </si>
  <si>
    <t># Units</t>
  </si>
  <si>
    <t>STUDIO</t>
  </si>
  <si>
    <t>n/a</t>
  </si>
  <si>
    <t>Units</t>
  </si>
  <si>
    <t>Rent</t>
  </si>
  <si>
    <t>Type</t>
  </si>
  <si>
    <t/>
  </si>
  <si>
    <t>DETAILED INCOME STATEMENT</t>
  </si>
  <si>
    <t>Seller's CoA</t>
  </si>
  <si>
    <t>Total Expense</t>
  </si>
  <si>
    <t>NOI</t>
  </si>
  <si>
    <t>Link from source:</t>
  </si>
  <si>
    <t>Difference vs Source:</t>
  </si>
  <si>
    <t>Year Available</t>
  </si>
  <si>
    <t>Owner</t>
  </si>
  <si>
    <t>City</t>
  </si>
  <si>
    <t>Parcel ID</t>
  </si>
  <si>
    <t>Site Size</t>
  </si>
  <si>
    <t>Improved Value</t>
  </si>
  <si>
    <t>Land Value</t>
  </si>
  <si>
    <t>Market Value</t>
  </si>
  <si>
    <t>Eff. Tax Rate</t>
  </si>
  <si>
    <t>Link to Source Info</t>
  </si>
  <si>
    <t xml:space="preserve"> </t>
  </si>
  <si>
    <t>Property Total</t>
  </si>
  <si>
    <t>Estimated Taxes Based on Purchase Price</t>
  </si>
  <si>
    <t>Transfer/Sales History</t>
  </si>
  <si>
    <t>Historical Tax Summary</t>
  </si>
  <si>
    <t>Most Recent Transfer Date</t>
  </si>
  <si>
    <t>Tax Year</t>
  </si>
  <si>
    <t>Annual Tax</t>
  </si>
  <si>
    <t>Assessed Value</t>
  </si>
  <si>
    <t>Tax</t>
  </si>
  <si>
    <t>Assessment %</t>
  </si>
  <si>
    <t>Grantor/Seller</t>
  </si>
  <si>
    <t>Special Assessments</t>
  </si>
  <si>
    <t>Grantee/Buyer</t>
  </si>
  <si>
    <t>Potential Tax Liability</t>
  </si>
  <si>
    <t>Amount of Sale</t>
  </si>
  <si>
    <t>Previous Transfer Date</t>
  </si>
  <si>
    <t>UNIT MIX &amp; RENT ROLL SUMMARY</t>
  </si>
  <si>
    <t>Floor Plan</t>
  </si>
  <si>
    <t>Occ Units</t>
  </si>
  <si>
    <t>Tot Units</t>
  </si>
  <si>
    <t>Sq. Ft</t>
  </si>
  <si>
    <t>Avg SF</t>
  </si>
  <si>
    <t>Mkt Rent</t>
  </si>
  <si>
    <t>Cont Rent</t>
  </si>
  <si>
    <t>Reno Rent</t>
  </si>
  <si>
    <t>Other Inc.</t>
  </si>
  <si>
    <t>Sq. Ft. (Occ)</t>
  </si>
  <si>
    <t>Occupied Units</t>
  </si>
  <si>
    <t>Unit Occupancy</t>
  </si>
  <si>
    <t>Total Square Feet</t>
  </si>
  <si>
    <t>Occupied Square Feet</t>
  </si>
  <si>
    <t>Square Feet Occupancy</t>
  </si>
  <si>
    <t>In-Place Rent Annualized</t>
  </si>
  <si>
    <t>Other Income Annualized</t>
  </si>
  <si>
    <t>Links from source data:</t>
  </si>
  <si>
    <t>Total # units</t>
  </si>
  <si>
    <t>Unit %Occ</t>
  </si>
  <si>
    <t>Net Sq Ft</t>
  </si>
  <si>
    <t>SF Occ</t>
  </si>
  <si>
    <t>% SF Occ</t>
  </si>
  <si>
    <t>Conc</t>
  </si>
  <si>
    <t>Other Inc</t>
  </si>
  <si>
    <t>RECENT LEASE SUMMARY</t>
  </si>
  <si>
    <t>All Units</t>
  </si>
  <si>
    <t>Recent Leases</t>
  </si>
  <si>
    <t>In-Place Rent</t>
  </si>
  <si>
    <t>% of Market</t>
  </si>
  <si>
    <t>180 Days</t>
  </si>
  <si>
    <t># Leases</t>
  </si>
  <si>
    <t>120 Days</t>
  </si>
  <si>
    <t>90 Days</t>
  </si>
  <si>
    <t>60 Days</t>
  </si>
  <si>
    <t>30 Days</t>
  </si>
  <si>
    <t>Total SF</t>
  </si>
  <si>
    <t>Start Date</t>
  </si>
  <si>
    <t>PRESENTATION RENT ROLL</t>
  </si>
  <si>
    <t>UNIT INFORMATION</t>
  </si>
  <si>
    <t>CURRENT LEASE</t>
  </si>
  <si>
    <t>Floor</t>
  </si>
  <si>
    <t>Reno</t>
  </si>
  <si>
    <t>Occ</t>
  </si>
  <si>
    <t>Conc/</t>
  </si>
  <si>
    <t>Emp</t>
  </si>
  <si>
    <t>Other</t>
  </si>
  <si>
    <t>Name</t>
  </si>
  <si>
    <t>Plan</t>
  </si>
  <si>
    <t>Stat*</t>
  </si>
  <si>
    <t>Specl</t>
  </si>
  <si>
    <t>Disc</t>
  </si>
  <si>
    <t>End Date</t>
  </si>
  <si>
    <t>BD</t>
  </si>
  <si>
    <t>BA</t>
  </si>
  <si>
    <t># Occ</t>
  </si>
  <si>
    <t>#Vac</t>
  </si>
  <si>
    <t>Occ SF</t>
  </si>
  <si>
    <t>Vac SF</t>
  </si>
  <si>
    <t xml:space="preserve">Market Rent </t>
  </si>
  <si>
    <t>Concessions</t>
  </si>
  <si>
    <t>%</t>
  </si>
  <si>
    <t>Notes:</t>
  </si>
  <si>
    <t>Rent Roll Date</t>
  </si>
  <si>
    <t>Employee Discounts</t>
  </si>
  <si>
    <t>Floorplan</t>
  </si>
  <si>
    <t>Bd</t>
  </si>
  <si>
    <t>Ba</t>
  </si>
  <si>
    <t>Unit #</t>
  </si>
  <si>
    <t>Unit Sq Ft</t>
  </si>
  <si>
    <t>Resident/Tenant Name</t>
  </si>
  <si>
    <t>Move in</t>
  </si>
  <si>
    <t>Lease Start</t>
  </si>
  <si>
    <t>Lease End</t>
  </si>
  <si>
    <t>Move Out</t>
  </si>
  <si>
    <t xml:space="preserve">    Income</t>
  </si>
  <si>
    <t xml:space="preserve">    Expense</t>
  </si>
  <si>
    <t>Laundry Income</t>
  </si>
  <si>
    <t>G</t>
  </si>
  <si>
    <t>DSCR</t>
  </si>
  <si>
    <t>Cap Rates:</t>
  </si>
  <si>
    <t>Subsidy</t>
  </si>
  <si>
    <t>Affordable</t>
  </si>
  <si>
    <t>No</t>
  </si>
  <si>
    <t>Reno Type</t>
  </si>
  <si>
    <t>Classic</t>
  </si>
  <si>
    <t>Max</t>
  </si>
  <si>
    <t>input link or N/A</t>
  </si>
  <si>
    <t>Contract Rent</t>
  </si>
  <si>
    <t>Affordability</t>
  </si>
  <si>
    <t>Non</t>
  </si>
  <si>
    <t>Revenue</t>
  </si>
  <si>
    <t>Emp Disc</t>
  </si>
  <si>
    <t>Non Rev</t>
  </si>
  <si>
    <t>Conc/Specl</t>
  </si>
  <si>
    <t>Less: Bad Debt/Collection</t>
  </si>
  <si>
    <t>Utility Reimbursement</t>
  </si>
  <si>
    <t>Less: Concessions</t>
  </si>
  <si>
    <t>&lt;---- RR Date</t>
  </si>
  <si>
    <t>Non-revenue Units</t>
  </si>
  <si>
    <t>Non-Rev Units</t>
  </si>
  <si>
    <t>General CoA</t>
  </si>
  <si>
    <t>SUMMARY</t>
  </si>
  <si>
    <t>Avg Comps Rent</t>
  </si>
  <si>
    <t>Advertising &amp; Marketing</t>
  </si>
  <si>
    <t>Website</t>
  </si>
  <si>
    <t>Apt.com</t>
  </si>
  <si>
    <t>Recent 5 Avg</t>
  </si>
  <si>
    <t>Recent 2 Avg</t>
  </si>
  <si>
    <t>Recent Leases Unique Criteria</t>
  </si>
  <si>
    <t>Property:</t>
  </si>
  <si>
    <t>Tax Link Info:</t>
  </si>
  <si>
    <t>TOTAL INCOME</t>
  </si>
  <si>
    <t>[Property 3 Name]</t>
  </si>
  <si>
    <t>YE 2022</t>
  </si>
  <si>
    <t>[Property 4 Name]</t>
  </si>
  <si>
    <t>[Property 5 Name]</t>
  </si>
  <si>
    <t>Expense</t>
  </si>
  <si>
    <t>▼ PROPERTY-LEVEL TAX INFORMATION ▼</t>
  </si>
  <si>
    <t>Less Vacancy</t>
  </si>
  <si>
    <t>LTV</t>
  </si>
  <si>
    <t>Avg</t>
  </si>
  <si>
    <t>INCOME STATEMENT SUMMARY</t>
  </si>
  <si>
    <t>PROFORMA NOTES</t>
  </si>
  <si>
    <t>TOTAL</t>
  </si>
  <si>
    <t>PER UNIT</t>
  </si>
  <si>
    <t>Loss to Lease</t>
  </si>
  <si>
    <t>Gross Rental Income</t>
  </si>
  <si>
    <t>NET OPERATING INCOME</t>
  </si>
  <si>
    <t>Vacant</t>
  </si>
  <si>
    <t>See Unit Mix</t>
  </si>
  <si>
    <t>RR Mkt Rent</t>
  </si>
  <si>
    <t>RR Market Rent Annualized</t>
  </si>
  <si>
    <t>Rate</t>
  </si>
  <si>
    <t>Amount</t>
  </si>
  <si>
    <t>Amort.</t>
  </si>
  <si>
    <t>Market Rent Annualized</t>
  </si>
  <si>
    <t>RR Market</t>
  </si>
  <si>
    <t>UNIT TYPE</t>
  </si>
  <si>
    <t>Studio</t>
  </si>
  <si>
    <t>N/A</t>
  </si>
  <si>
    <t>IN-PLACE</t>
  </si>
  <si>
    <t>Exc. In IP NOI?</t>
  </si>
  <si>
    <t>In-Place/Unit</t>
  </si>
  <si>
    <t>In-Place/SF</t>
  </si>
  <si>
    <t>Mkt/Unit</t>
  </si>
  <si>
    <t>Mkt/SF</t>
  </si>
  <si>
    <t>Reno/Unit</t>
  </si>
  <si>
    <t>Reno/SF</t>
  </si>
  <si>
    <t>RR Mkt/Unit</t>
  </si>
  <si>
    <t>RR Mkt/SF</t>
  </si>
  <si>
    <t>Current</t>
  </si>
  <si>
    <t>Report Builder - 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</si>
  <si>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10/03/2025 11:58 AM</t>
    </r>
  </si>
  <si>
    <r>
      <rPr>
        <b/>
        <sz val="11"/>
        <rFont val="Arial"/>
        <family val="2"/>
      </rPr>
      <t xml:space="preserve">Base Report: </t>
    </r>
    <r>
      <rPr>
        <b/>
        <sz val="11"/>
        <rFont val="Arial"/>
        <family val="2"/>
      </rPr>
      <t>Rent Roll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</si>
  <si>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</si>
  <si>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</si>
  <si>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10/01/2025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</si>
  <si>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</si>
  <si>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>Fixed Assets</t>
    </r>
  </si>
  <si>
    <r>
      <rPr>
        <b/>
        <sz val="11"/>
        <rFont val="Arial"/>
        <family val="2"/>
      </rPr>
      <t xml:space="preserve">Include Property Level Fixed Assets: </t>
    </r>
    <r>
      <rPr>
        <sz val="11"/>
        <rFont val="Arial"/>
        <family val="2"/>
      </rPr>
      <t>Yes</t>
    </r>
  </si>
  <si>
    <r>
      <rPr>
        <b/>
        <sz val="11"/>
        <rFont val="Arial"/>
        <family val="2"/>
      </rPr>
      <t xml:space="preserve">Asset Types: </t>
    </r>
    <r>
      <rPr>
        <sz val="11"/>
        <rFont val="Arial"/>
        <family val="2"/>
      </rPr>
      <t>Apartment Full Renovation</t>
    </r>
  </si>
  <si>
    <r>
      <rPr>
        <b/>
        <sz val="11"/>
        <rFont val="Arial"/>
        <family val="2"/>
      </rPr>
      <t xml:space="preserve">Status: </t>
    </r>
    <r>
      <rPr>
        <sz val="11"/>
        <rFont val="Arial"/>
        <family val="2"/>
      </rPr>
      <t>All</t>
    </r>
  </si>
  <si>
    <t>Tags</t>
  </si>
  <si>
    <t>Placed In Service</t>
  </si>
  <si>
    <t>Amenities</t>
  </si>
  <si>
    <t>BD/BA</t>
  </si>
  <si>
    <t>Sqft</t>
  </si>
  <si>
    <t>Computed Market Rent</t>
  </si>
  <si>
    <t>Monthly Charges</t>
  </si>
  <si>
    <t>Lease From</t>
  </si>
  <si>
    <t>Lease To</t>
  </si>
  <si>
    <t>Hudson View Park - 29 Hudson View Drive Suite C Beacon, NY 12508</t>
  </si>
  <si>
    <t>CPC01</t>
  </si>
  <si>
    <t>HOLLY</t>
  </si>
  <si>
    <t>TH 3 Large - Silver</t>
  </si>
  <si>
    <t>3/1.50</t>
  </si>
  <si>
    <t>Kari Willis</t>
  </si>
  <si>
    <t>CPC02</t>
  </si>
  <si>
    <t>SNOWDROP</t>
  </si>
  <si>
    <t>Patricia Stevenson</t>
  </si>
  <si>
    <t>CPC03</t>
  </si>
  <si>
    <t>TH 3 Large - Gold</t>
  </si>
  <si>
    <t>LVF (3bed)</t>
  </si>
  <si>
    <t>Benaiah K. Omira</t>
  </si>
  <si>
    <t>CPC04</t>
  </si>
  <si>
    <t>Joel Lagunda</t>
  </si>
  <si>
    <t>CPC05</t>
  </si>
  <si>
    <t>TH 4 - Gold</t>
  </si>
  <si>
    <t>HVP G+ 4 Bed</t>
  </si>
  <si>
    <t>4/1.50</t>
  </si>
  <si>
    <t>Vacant-Unrented</t>
  </si>
  <si>
    <t>CPC06</t>
  </si>
  <si>
    <t>Kim Cook</t>
  </si>
  <si>
    <t>CPC07</t>
  </si>
  <si>
    <t>LVF (4bed)</t>
  </si>
  <si>
    <t>Shamel Green</t>
  </si>
  <si>
    <t>CPC08</t>
  </si>
  <si>
    <t>LED Lighting (4bed), LVF (4bed), Stainless Appliances</t>
  </si>
  <si>
    <t>Yessenia M. Morales</t>
  </si>
  <si>
    <t>CPC09</t>
  </si>
  <si>
    <t>Chris Tupciauskas</t>
  </si>
  <si>
    <t>CPC10</t>
  </si>
  <si>
    <t>Wanda Petty</t>
  </si>
  <si>
    <t>CPC11</t>
  </si>
  <si>
    <t>TH 3 Large - Platinum</t>
  </si>
  <si>
    <t>3/2.50</t>
  </si>
  <si>
    <t>Patricia A. Morgan</t>
  </si>
  <si>
    <t>CPC12</t>
  </si>
  <si>
    <t>James Fuller</t>
  </si>
  <si>
    <t>CPC14</t>
  </si>
  <si>
    <t>ALMOND</t>
  </si>
  <si>
    <t>LVF (Partial Charge - yr 2)</t>
  </si>
  <si>
    <t>Michael I. Kush</t>
  </si>
  <si>
    <t>CPC15</t>
  </si>
  <si>
    <t>CROCUS</t>
  </si>
  <si>
    <t>1 Bed Split - Gold</t>
  </si>
  <si>
    <t>HVP G+ 1 Bed</t>
  </si>
  <si>
    <t>1/1.00</t>
  </si>
  <si>
    <t>Joseph  D. Peter</t>
  </si>
  <si>
    <t>CPC15.5</t>
  </si>
  <si>
    <t>2 Bed Split - Gold</t>
  </si>
  <si>
    <t>Stainless Appliances, LVF (2bed), LED Lighting (2bed)</t>
  </si>
  <si>
    <t>2/1.00</t>
  </si>
  <si>
    <t>Eros  Luna</t>
  </si>
  <si>
    <t>CPC16</t>
  </si>
  <si>
    <t>Christopher E. Daly</t>
  </si>
  <si>
    <t>CPC17</t>
  </si>
  <si>
    <t>LVF (1bed), LED Lighting (1bed), Stainless Appliances</t>
  </si>
  <si>
    <t>Elizabeth  M. Dillon</t>
  </si>
  <si>
    <t>CPC17.5</t>
  </si>
  <si>
    <t>Vacant-Rented</t>
  </si>
  <si>
    <t>CPC18</t>
  </si>
  <si>
    <t>Nancy Cancel</t>
  </si>
  <si>
    <t>CPC19</t>
  </si>
  <si>
    <t>LVF (1bed), Stainless Appliances, LED Lighting (1bed)</t>
  </si>
  <si>
    <t>Nikita W. West</t>
  </si>
  <si>
    <t>CPC19.5</t>
  </si>
  <si>
    <t>1 Bed Split - Platinum</t>
  </si>
  <si>
    <t>Alex G. Kunz</t>
  </si>
  <si>
    <t>CPC20</t>
  </si>
  <si>
    <t>Christopher Crawford</t>
  </si>
  <si>
    <t>CPC21</t>
  </si>
  <si>
    <t>LED Lighting (1bed), LVF (1bed), Stainless Appliances</t>
  </si>
  <si>
    <t>David J. Teetsel</t>
  </si>
  <si>
    <t>CPC21.5</t>
  </si>
  <si>
    <t>Samuel J. Caccamise</t>
  </si>
  <si>
    <t>CPC22</t>
  </si>
  <si>
    <t>TH 4 - Silver</t>
  </si>
  <si>
    <t>Jeff Osterhoudt</t>
  </si>
  <si>
    <t>CPC23</t>
  </si>
  <si>
    <t>LVF (1bed)</t>
  </si>
  <si>
    <t>Allison G. Bhadai</t>
  </si>
  <si>
    <t>Notice-Unrented</t>
  </si>
  <si>
    <t>CPC23.5</t>
  </si>
  <si>
    <t>Rachel Cortijo</t>
  </si>
  <si>
    <t>CPC24</t>
  </si>
  <si>
    <t>Leonel A. Brito</t>
  </si>
  <si>
    <t>CPC25</t>
  </si>
  <si>
    <t>Christine R. Marra</t>
  </si>
  <si>
    <t>CPC25.5</t>
  </si>
  <si>
    <t>LVF (2bed)</t>
  </si>
  <si>
    <t>Nana A. Osei</t>
  </si>
  <si>
    <t>CPC26</t>
  </si>
  <si>
    <t>WALNUT</t>
  </si>
  <si>
    <t>Paula Ryan</t>
  </si>
  <si>
    <t>CPC26.5</t>
  </si>
  <si>
    <t>LVF (2bed), Stainless Appliances, LED Lighting (2bed)</t>
  </si>
  <si>
    <t>Cataleen  OBrien</t>
  </si>
  <si>
    <t>CPC27</t>
  </si>
  <si>
    <t>DAFFODIL</t>
  </si>
  <si>
    <t>Gail A. Price</t>
  </si>
  <si>
    <t>CPC27.5</t>
  </si>
  <si>
    <t>Edward Rodriguez</t>
  </si>
  <si>
    <t>CPC28</t>
  </si>
  <si>
    <t>Julie L. Waldkoetter</t>
  </si>
  <si>
    <t>CPC28.5</t>
  </si>
  <si>
    <t>Tara C. Losi</t>
  </si>
  <si>
    <t>CPC29</t>
  </si>
  <si>
    <t>John Marallo</t>
  </si>
  <si>
    <t>CPC30</t>
  </si>
  <si>
    <t>Stephen D. Kuhn</t>
  </si>
  <si>
    <t>CPC30.5</t>
  </si>
  <si>
    <t>1 Bed Split - Silver</t>
  </si>
  <si>
    <t>Heleen P. Marino</t>
  </si>
  <si>
    <t>CPC31</t>
  </si>
  <si>
    <t>Katelyn M. Griffith</t>
  </si>
  <si>
    <t>CPC31.5</t>
  </si>
  <si>
    <t>Hamilton Stern Construction</t>
  </si>
  <si>
    <t>CPC32</t>
  </si>
  <si>
    <t>Gloria Chase</t>
  </si>
  <si>
    <t>CPC32.5</t>
  </si>
  <si>
    <t>Michael J. Jannicelli</t>
  </si>
  <si>
    <t>CPC33</t>
  </si>
  <si>
    <t>John C. Copen</t>
  </si>
  <si>
    <t>CPC33.5</t>
  </si>
  <si>
    <t>George Fitzgerald</t>
  </si>
  <si>
    <t>CPC34</t>
  </si>
  <si>
    <t>Evelyn Fasanaro</t>
  </si>
  <si>
    <t>CPC34.5</t>
  </si>
  <si>
    <t>Sheri L. Curtis</t>
  </si>
  <si>
    <t>CPC35</t>
  </si>
  <si>
    <t>Adrian A. Urbaez</t>
  </si>
  <si>
    <t>CPC35.5</t>
  </si>
  <si>
    <t>HVP G+ 2 Bed</t>
  </si>
  <si>
    <t>Anthony P. Brangaitis</t>
  </si>
  <si>
    <t>CPC36</t>
  </si>
  <si>
    <t>Darren McCall</t>
  </si>
  <si>
    <t>CPC36.5</t>
  </si>
  <si>
    <t>Christian D. Baez</t>
  </si>
  <si>
    <t>CPC37</t>
  </si>
  <si>
    <t>Nicholas A. Paty</t>
  </si>
  <si>
    <t>CPC37.5</t>
  </si>
  <si>
    <t>LVF (2bed), LED Lighting (2bed), Stainless Appliances</t>
  </si>
  <si>
    <t>Derek J. Michaels</t>
  </si>
  <si>
    <t>CPH01A</t>
  </si>
  <si>
    <t>CANTERBURY</t>
  </si>
  <si>
    <t>1 Bed Medium - Gold</t>
  </si>
  <si>
    <t>Kelsey L. Butkiewicz</t>
  </si>
  <si>
    <t>CPH01B</t>
  </si>
  <si>
    <t>Matthew A. Mullings</t>
  </si>
  <si>
    <t>CPH01C</t>
  </si>
  <si>
    <t>Jewel G. Stanley</t>
  </si>
  <si>
    <t>CPH01D</t>
  </si>
  <si>
    <t>Christopher R. Ranalli</t>
  </si>
  <si>
    <t>CPH01E</t>
  </si>
  <si>
    <t>1 Bed Medium - Silver</t>
  </si>
  <si>
    <t>Russell Brandes</t>
  </si>
  <si>
    <t>CPH01F</t>
  </si>
  <si>
    <t>Omer Adeeb</t>
  </si>
  <si>
    <t>CPH02A</t>
  </si>
  <si>
    <t>THALIA</t>
  </si>
  <si>
    <t>2 Bed Medium - Gold</t>
  </si>
  <si>
    <t>William Barker</t>
  </si>
  <si>
    <t>CPH02B</t>
  </si>
  <si>
    <t>Celin  M. Mora</t>
  </si>
  <si>
    <t>CPH02C</t>
  </si>
  <si>
    <t>2 Bed Medium - Platinum</t>
  </si>
  <si>
    <t>Christine A. Eckes</t>
  </si>
  <si>
    <t>CPH02D</t>
  </si>
  <si>
    <t>Mark D. Anderson</t>
  </si>
  <si>
    <t>CPH02E</t>
  </si>
  <si>
    <t>James Scism</t>
  </si>
  <si>
    <t>CPH02F</t>
  </si>
  <si>
    <t>Matthew J. Schifani</t>
  </si>
  <si>
    <t>CPH03A</t>
  </si>
  <si>
    <t>Studio Large - Gold</t>
  </si>
  <si>
    <t>0/1.00</t>
  </si>
  <si>
    <t>Christopher Dominguez</t>
  </si>
  <si>
    <t>CPH03B</t>
  </si>
  <si>
    <t>Studio Large - Silver</t>
  </si>
  <si>
    <t>Sherma Harrison</t>
  </si>
  <si>
    <t>CPH03C</t>
  </si>
  <si>
    <t>Eric M. Bredthauer</t>
  </si>
  <si>
    <t>CPH03D</t>
  </si>
  <si>
    <t>Brittany  G. Weiner</t>
  </si>
  <si>
    <t>CPH03E</t>
  </si>
  <si>
    <t>Conner Woodring</t>
  </si>
  <si>
    <t>CPH03F</t>
  </si>
  <si>
    <t>Michelle V. Hayes</t>
  </si>
  <si>
    <t>CPH04A</t>
  </si>
  <si>
    <t>1 Bed Small I - Gold</t>
  </si>
  <si>
    <t>Andrea Cabello</t>
  </si>
  <si>
    <t>CPH04B</t>
  </si>
  <si>
    <t>1 Bed Small III - Gold</t>
  </si>
  <si>
    <t>Eric Wetzel</t>
  </si>
  <si>
    <t>CPH04C</t>
  </si>
  <si>
    <t>CPH04D</t>
  </si>
  <si>
    <t>2 Bed Medium - Silver</t>
  </si>
  <si>
    <t>Valerie F. Gallo</t>
  </si>
  <si>
    <t>CPH04E</t>
  </si>
  <si>
    <t>Valerie Finley</t>
  </si>
  <si>
    <t>CPH04F</t>
  </si>
  <si>
    <t>Shemeka L. Littlejohn</t>
  </si>
  <si>
    <t>CPH05A</t>
  </si>
  <si>
    <t>Matthew E. McDonough</t>
  </si>
  <si>
    <t>CPH05B</t>
  </si>
  <si>
    <t>1 Bed Medium - Platinum</t>
  </si>
  <si>
    <t>Manuel F. Boccini</t>
  </si>
  <si>
    <t>CPH05C</t>
  </si>
  <si>
    <t>Jillian s. Rotsky</t>
  </si>
  <si>
    <t>CPH05D</t>
  </si>
  <si>
    <t>James R. Anabel</t>
  </si>
  <si>
    <t>CPH05E</t>
  </si>
  <si>
    <t>Hillary M. Guarini</t>
  </si>
  <si>
    <t>CPH05F</t>
  </si>
  <si>
    <t>Bridget J. Hartig</t>
  </si>
  <si>
    <t>CPH06A</t>
  </si>
  <si>
    <t>Christopher Thomas</t>
  </si>
  <si>
    <t>CPH06B</t>
  </si>
  <si>
    <t>Donald Sordi</t>
  </si>
  <si>
    <t>CPH06C</t>
  </si>
  <si>
    <t>Marie F. Cothren</t>
  </si>
  <si>
    <t>CPH06D</t>
  </si>
  <si>
    <t>Christopher L. Rodriguez</t>
  </si>
  <si>
    <t>CPH06E</t>
  </si>
  <si>
    <t>Katherine E. Krahulik</t>
  </si>
  <si>
    <t>CPH06F</t>
  </si>
  <si>
    <t>Jonathan Escanio</t>
  </si>
  <si>
    <t>CPH07A</t>
  </si>
  <si>
    <t>Studio Medium - Gold</t>
  </si>
  <si>
    <t>Robert Voelker</t>
  </si>
  <si>
    <t>CPH07B</t>
  </si>
  <si>
    <t>Luis A. Cruz</t>
  </si>
  <si>
    <t>CPH07C</t>
  </si>
  <si>
    <t>Anthony A. Torres</t>
  </si>
  <si>
    <t>CPH07D</t>
  </si>
  <si>
    <t>Christopher R. Rizo</t>
  </si>
  <si>
    <t>CPH07E</t>
  </si>
  <si>
    <t>Kelly E. Crowley</t>
  </si>
  <si>
    <t>CPH07F</t>
  </si>
  <si>
    <t>Stainless Appliances, LED Lighting (1bed), LVF (1bed)</t>
  </si>
  <si>
    <t>Erika Wasonoredjo</t>
  </si>
  <si>
    <t>CPH08A</t>
  </si>
  <si>
    <t>WISTERIA</t>
  </si>
  <si>
    <t>Sean Pecoroni</t>
  </si>
  <si>
    <t>CPH08B</t>
  </si>
  <si>
    <t>Angel  A. Corchado</t>
  </si>
  <si>
    <t>CPH08C</t>
  </si>
  <si>
    <t>Ernest J. Perez</t>
  </si>
  <si>
    <t>CPH08D</t>
  </si>
  <si>
    <t>Mark Anthony</t>
  </si>
  <si>
    <t>CPH08E</t>
  </si>
  <si>
    <t>Kevin Waterman</t>
  </si>
  <si>
    <t>CPH08F</t>
  </si>
  <si>
    <t>Ayanna D. Carrington</t>
  </si>
  <si>
    <t>CPH09</t>
  </si>
  <si>
    <t>JUNIPER</t>
  </si>
  <si>
    <t>TH 2 Large - Gold</t>
  </si>
  <si>
    <t>LED Lighting (2bed TH), Stainless Appliances, LVF (2bed TH)</t>
  </si>
  <si>
    <t>Joseph A. DeAngelo</t>
  </si>
  <si>
    <t>CPH10A</t>
  </si>
  <si>
    <t>1 Bed Small III - Platinum</t>
  </si>
  <si>
    <t>Caitlin R. Polo</t>
  </si>
  <si>
    <t>CPH10B</t>
  </si>
  <si>
    <t>Alexander  C. Loli</t>
  </si>
  <si>
    <t>CPH10C</t>
  </si>
  <si>
    <t>Georgia L. Mottola</t>
  </si>
  <si>
    <t>CPH10D</t>
  </si>
  <si>
    <t>Christina M. Scagnelli</t>
  </si>
  <si>
    <t>CPH10E</t>
  </si>
  <si>
    <t>Ryan J. Connell</t>
  </si>
  <si>
    <t>CPH10F</t>
  </si>
  <si>
    <t>Gerald O'Connor</t>
  </si>
  <si>
    <t>CPH11</t>
  </si>
  <si>
    <t>Amanda Carchietta</t>
  </si>
  <si>
    <t>CPH12A</t>
  </si>
  <si>
    <t>Lisa M. Farrand</t>
  </si>
  <si>
    <t>CPH12B</t>
  </si>
  <si>
    <t>Angela Rivera</t>
  </si>
  <si>
    <t>CPH12C</t>
  </si>
  <si>
    <t>Katelyn G. Haig</t>
  </si>
  <si>
    <t>CPH12D</t>
  </si>
  <si>
    <t>Warren C. Ahneman</t>
  </si>
  <si>
    <t>CPH12E</t>
  </si>
  <si>
    <t>Joseph Williams</t>
  </si>
  <si>
    <t>CPH12F</t>
  </si>
  <si>
    <t>Kimberly R. Frattura</t>
  </si>
  <si>
    <t>CPH13</t>
  </si>
  <si>
    <t>Douglas R. Vinson</t>
  </si>
  <si>
    <t>CPH14A</t>
  </si>
  <si>
    <t>Studio Medium - Platinum</t>
  </si>
  <si>
    <t>Kara A. Crodelle</t>
  </si>
  <si>
    <t>CPH14B</t>
  </si>
  <si>
    <t>Domonic Licciardello</t>
  </si>
  <si>
    <t>CPH14C</t>
  </si>
  <si>
    <t>Francine Catalanotto</t>
  </si>
  <si>
    <t>CPH14D</t>
  </si>
  <si>
    <t>Janelle  S. Baguio</t>
  </si>
  <si>
    <t>CPH14E</t>
  </si>
  <si>
    <t>David Jennett</t>
  </si>
  <si>
    <t>CPH14F</t>
  </si>
  <si>
    <t>Miranda K. Latorre</t>
  </si>
  <si>
    <t>CPH15</t>
  </si>
  <si>
    <t>TH 3 Small - Silver</t>
  </si>
  <si>
    <t>Joyce A. Crawford</t>
  </si>
  <si>
    <t>CPH16A</t>
  </si>
  <si>
    <t>HEMLOCK</t>
  </si>
  <si>
    <t>Amy Montegari</t>
  </si>
  <si>
    <t>CPH16B</t>
  </si>
  <si>
    <t>Kelly A. Pando</t>
  </si>
  <si>
    <t>CPH16C</t>
  </si>
  <si>
    <t>Heather H. Wang</t>
  </si>
  <si>
    <t>CPH16D</t>
  </si>
  <si>
    <t>Shalise J. Townes</t>
  </si>
  <si>
    <t>Notice-Rented</t>
  </si>
  <si>
    <t>CPH16E</t>
  </si>
  <si>
    <t>Meghan  R. Erikson</t>
  </si>
  <si>
    <t>CPH16F</t>
  </si>
  <si>
    <t>Edward Erbacher</t>
  </si>
  <si>
    <t>CPH17</t>
  </si>
  <si>
    <t>ROSE</t>
  </si>
  <si>
    <t>Steven Mickler</t>
  </si>
  <si>
    <t>CPH18A</t>
  </si>
  <si>
    <t>LVF (Studio)</t>
  </si>
  <si>
    <t>Kenneth M. Footman</t>
  </si>
  <si>
    <t>CPH18B</t>
  </si>
  <si>
    <t>LED Lighting (Studio), Stainless Appliances, LVF (Studio)</t>
  </si>
  <si>
    <t>Brian J. Itro</t>
  </si>
  <si>
    <t>CPH18C</t>
  </si>
  <si>
    <t>Aaliyah M. Christiansen</t>
  </si>
  <si>
    <t>CPH18D</t>
  </si>
  <si>
    <t>Alexander M. Sturm</t>
  </si>
  <si>
    <t>CPH18E</t>
  </si>
  <si>
    <t>Aimee  L. Ryan</t>
  </si>
  <si>
    <t>CPH18F</t>
  </si>
  <si>
    <t>Amanda J. Dawson</t>
  </si>
  <si>
    <t>CPH19</t>
  </si>
  <si>
    <t>Jenna E. Godfrey</t>
  </si>
  <si>
    <t>CPH20A</t>
  </si>
  <si>
    <t>John H. Haber</t>
  </si>
  <si>
    <t>CPH20B</t>
  </si>
  <si>
    <t>Leigh L. Evans</t>
  </si>
  <si>
    <t>CPH20C</t>
  </si>
  <si>
    <t>Patricia Piedro</t>
  </si>
  <si>
    <t>CPH20D</t>
  </si>
  <si>
    <t>Louis Dimarzo</t>
  </si>
  <si>
    <t>CPH20E</t>
  </si>
  <si>
    <t>William  N. Galloway</t>
  </si>
  <si>
    <t>CPH20F</t>
  </si>
  <si>
    <t>Michael Coluccio</t>
  </si>
  <si>
    <t>CPH21</t>
  </si>
  <si>
    <t>Christopher Sklenar</t>
  </si>
  <si>
    <t>CPH22A</t>
  </si>
  <si>
    <t>LINDEN</t>
  </si>
  <si>
    <t>2 Bed Small - Gold</t>
  </si>
  <si>
    <t>Elyse M. Abbruscato</t>
  </si>
  <si>
    <t>CPH22B</t>
  </si>
  <si>
    <t>2 Bed Small - Silver</t>
  </si>
  <si>
    <t>Jeffrey Beckett</t>
  </si>
  <si>
    <t>CPH22C</t>
  </si>
  <si>
    <t>Jamie L. Wilson</t>
  </si>
  <si>
    <t>CPH22D</t>
  </si>
  <si>
    <t>2 Bed Small - Platinum</t>
  </si>
  <si>
    <t>Chitra M. Panicker</t>
  </si>
  <si>
    <t>CPH22E</t>
  </si>
  <si>
    <t>Kathleen Cioppa</t>
  </si>
  <si>
    <t>CPH22F</t>
  </si>
  <si>
    <t>Melvin Davis</t>
  </si>
  <si>
    <t>CPH23</t>
  </si>
  <si>
    <t>HVP G+ 3 Bed</t>
  </si>
  <si>
    <t>Ahmed T. Dwidar</t>
  </si>
  <si>
    <t>CPH24A</t>
  </si>
  <si>
    <t>HVP G+ Studio</t>
  </si>
  <si>
    <t>Jacob J. Gonzalez</t>
  </si>
  <si>
    <t>CPH24B</t>
  </si>
  <si>
    <t>LED Lighting (2bed), LVF (2bed), Stainless Appliances</t>
  </si>
  <si>
    <t>Morgan  A. Dandreano</t>
  </si>
  <si>
    <t>CPH24C</t>
  </si>
  <si>
    <t>Primrose Christie</t>
  </si>
  <si>
    <t>CPH24D</t>
  </si>
  <si>
    <t>Priscila Urgiles</t>
  </si>
  <si>
    <t>CPH24E</t>
  </si>
  <si>
    <t>Scott J. Moore</t>
  </si>
  <si>
    <t>CPH24F</t>
  </si>
  <si>
    <t>Grace A. Fabrizio</t>
  </si>
  <si>
    <t>CPH25</t>
  </si>
  <si>
    <t>Edwin Melo</t>
  </si>
  <si>
    <t>CPH26A</t>
  </si>
  <si>
    <t>AZALEA</t>
  </si>
  <si>
    <t>1 Bed Small II - Gold</t>
  </si>
  <si>
    <t>Lloyd C. Williams</t>
  </si>
  <si>
    <t>CPH26B</t>
  </si>
  <si>
    <t>Mikaela H. Del Grosso</t>
  </si>
  <si>
    <t>CPH26C</t>
  </si>
  <si>
    <t>Tyler Ayala</t>
  </si>
  <si>
    <t>CPH26D</t>
  </si>
  <si>
    <t>Kyle G. Hover</t>
  </si>
  <si>
    <t>CPH26E</t>
  </si>
  <si>
    <t>Michael Bologna</t>
  </si>
  <si>
    <t>CPH26F</t>
  </si>
  <si>
    <t>Lauren VanDyken</t>
  </si>
  <si>
    <t>CPH27</t>
  </si>
  <si>
    <t>Jessica Scully</t>
  </si>
  <si>
    <t>CPH28A</t>
  </si>
  <si>
    <t>Fabien J. Modoux</t>
  </si>
  <si>
    <t>CPH28C</t>
  </si>
  <si>
    <t>Megan R. Lisa</t>
  </si>
  <si>
    <t>CPH28D</t>
  </si>
  <si>
    <t>Savannah M. Torres</t>
  </si>
  <si>
    <t>CPH28E</t>
  </si>
  <si>
    <t>Jeremy Greene</t>
  </si>
  <si>
    <t>CPH28F</t>
  </si>
  <si>
    <t>1 Bed Small II - Silver</t>
  </si>
  <si>
    <t>Kevin J. Ryan</t>
  </si>
  <si>
    <t>CPH29A</t>
  </si>
  <si>
    <t>CRANDBERRY</t>
  </si>
  <si>
    <t>3 Bed - Gold</t>
  </si>
  <si>
    <t>3/2.00</t>
  </si>
  <si>
    <t>Ashley Beaupre</t>
  </si>
  <si>
    <t>CPH29B</t>
  </si>
  <si>
    <t>2 Bed Large - Gold</t>
  </si>
  <si>
    <t>Matthew J. Greenlees</t>
  </si>
  <si>
    <t>CPH29E</t>
  </si>
  <si>
    <t>Christopher Valle</t>
  </si>
  <si>
    <t>CPH29F</t>
  </si>
  <si>
    <t>Hudson Highlands Properties LLC</t>
  </si>
  <si>
    <t>CPH30A</t>
  </si>
  <si>
    <t>Lauren A. Trebach</t>
  </si>
  <si>
    <t>CPH30B</t>
  </si>
  <si>
    <t>Gary Greenia</t>
  </si>
  <si>
    <t>CPH30C</t>
  </si>
  <si>
    <t>1 Bed Small II - Platinum</t>
  </si>
  <si>
    <t>Abigail R. Bailey</t>
  </si>
  <si>
    <t>CPH30D</t>
  </si>
  <si>
    <t>Jocelyn B. Grant</t>
  </si>
  <si>
    <t>CPH30E</t>
  </si>
  <si>
    <t>Dana M. Dalton</t>
  </si>
  <si>
    <t>CPH30F</t>
  </si>
  <si>
    <t>Abishek G. Allapanda</t>
  </si>
  <si>
    <t>CPH31A</t>
  </si>
  <si>
    <t>Adrienna N. Sanders</t>
  </si>
  <si>
    <t>CPH31B</t>
  </si>
  <si>
    <t>2 Bed Large - Silver</t>
  </si>
  <si>
    <t>Matthew Erenzo</t>
  </si>
  <si>
    <t>CPH31C</t>
  </si>
  <si>
    <t>Taylor R. Brown</t>
  </si>
  <si>
    <t>CPH31D</t>
  </si>
  <si>
    <t>Cqurtney H. Jemison</t>
  </si>
  <si>
    <t>CPH31E</t>
  </si>
  <si>
    <t>Shraddha Poudel</t>
  </si>
  <si>
    <t>CPH31F</t>
  </si>
  <si>
    <t>Akaash M. Trivedi</t>
  </si>
  <si>
    <t>CPH32A</t>
  </si>
  <si>
    <t>BIRCH</t>
  </si>
  <si>
    <t>Studio Small - Gold</t>
  </si>
  <si>
    <t>Sandra Jones</t>
  </si>
  <si>
    <t>CPH32B</t>
  </si>
  <si>
    <t>Allen K. Wong</t>
  </si>
  <si>
    <t>CPH32C</t>
  </si>
  <si>
    <t>Josh Kimberg</t>
  </si>
  <si>
    <t>CPH32E</t>
  </si>
  <si>
    <t>Sam Huh</t>
  </si>
  <si>
    <t>CPH32F</t>
  </si>
  <si>
    <t>Studio Small - Platinum</t>
  </si>
  <si>
    <t>Jessie  S. Gaetano</t>
  </si>
  <si>
    <t>CPH33A</t>
  </si>
  <si>
    <t>1 Bed Large - Gold</t>
  </si>
  <si>
    <t>Evan C. Rosenfield</t>
  </si>
  <si>
    <t>CPH33B</t>
  </si>
  <si>
    <t>Jackuline R. Wilson</t>
  </si>
  <si>
    <t>CPH33C</t>
  </si>
  <si>
    <t>Matthew Linder</t>
  </si>
  <si>
    <t>CPH33D</t>
  </si>
  <si>
    <t>Sharon P. Seglem</t>
  </si>
  <si>
    <t>CPH33E</t>
  </si>
  <si>
    <t>1 Bed Large - Platinum</t>
  </si>
  <si>
    <t>Kyle  P. Osterhoudt</t>
  </si>
  <si>
    <t>CPH33F</t>
  </si>
  <si>
    <t>Morgan R. Brown</t>
  </si>
  <si>
    <t>CPH34B</t>
  </si>
  <si>
    <t>Monica McKnight</t>
  </si>
  <si>
    <t>CPH34C</t>
  </si>
  <si>
    <t>Tawuanna M. Williams</t>
  </si>
  <si>
    <t>CPH34D</t>
  </si>
  <si>
    <t>Vincent Lombardo</t>
  </si>
  <si>
    <t>CPH34E</t>
  </si>
  <si>
    <t>William F. Mills</t>
  </si>
  <si>
    <t>CPH34F</t>
  </si>
  <si>
    <t>Carly J. Studt</t>
  </si>
  <si>
    <t>CPH35A</t>
  </si>
  <si>
    <t>CPH35B</t>
  </si>
  <si>
    <t>CPH35C</t>
  </si>
  <si>
    <t>Migdalia Garcia</t>
  </si>
  <si>
    <t>CPH35D</t>
  </si>
  <si>
    <t>Jessica L. Buono</t>
  </si>
  <si>
    <t>CPH35E</t>
  </si>
  <si>
    <t>Wendy A. Viggiano</t>
  </si>
  <si>
    <t>CPH35F</t>
  </si>
  <si>
    <t>1 Bed Large - Silver</t>
  </si>
  <si>
    <t>Laura M. Turner</t>
  </si>
  <si>
    <t>CPH36</t>
  </si>
  <si>
    <t>TH 2 Small - Gold</t>
  </si>
  <si>
    <t>Antonise Haye</t>
  </si>
  <si>
    <t>CPH37A</t>
  </si>
  <si>
    <t>Brian S. Tompkins</t>
  </si>
  <si>
    <t>CPH37B</t>
  </si>
  <si>
    <t>Courtney M. Jones</t>
  </si>
  <si>
    <t>CPH37C</t>
  </si>
  <si>
    <t>Patricia L. Porcaro</t>
  </si>
  <si>
    <t>CPH37D</t>
  </si>
  <si>
    <t>Jon H. Young</t>
  </si>
  <si>
    <t>CPH37E</t>
  </si>
  <si>
    <t>Victoria Diaz</t>
  </si>
  <si>
    <t>CPH37F</t>
  </si>
  <si>
    <t>Alyssa E. Karcz</t>
  </si>
  <si>
    <t>CPH38</t>
  </si>
  <si>
    <t>TH 3 Small - Gold</t>
  </si>
  <si>
    <t>Johnathin Casanova</t>
  </si>
  <si>
    <t>CPH39A</t>
  </si>
  <si>
    <t>Kevin J. McAuley</t>
  </si>
  <si>
    <t>CPH39B</t>
  </si>
  <si>
    <t>Dakota A. Diaz</t>
  </si>
  <si>
    <t>CPH39C</t>
  </si>
  <si>
    <t>Kristyn A. Alfonso</t>
  </si>
  <si>
    <t>CPH39D</t>
  </si>
  <si>
    <t>Latoya Musse</t>
  </si>
  <si>
    <t>CPH39E</t>
  </si>
  <si>
    <t>Sama Ashouri</t>
  </si>
  <si>
    <t>CPH39F</t>
  </si>
  <si>
    <t>Michelle Iacuessa</t>
  </si>
  <si>
    <t>CPH40A</t>
  </si>
  <si>
    <t>SALVIA</t>
  </si>
  <si>
    <t>Lorraine Hexstall</t>
  </si>
  <si>
    <t>CPH40B</t>
  </si>
  <si>
    <t>Mamadou D. Barry</t>
  </si>
  <si>
    <t>CPH40C</t>
  </si>
  <si>
    <t>Cavin Vaughan</t>
  </si>
  <si>
    <t>CPH40D</t>
  </si>
  <si>
    <t>Theresa A. Holloway</t>
  </si>
  <si>
    <t>CPH40E</t>
  </si>
  <si>
    <t>Laura Lopez</t>
  </si>
  <si>
    <t>CPH40F</t>
  </si>
  <si>
    <t>Siobhan Dornan</t>
  </si>
  <si>
    <t>CPH42A</t>
  </si>
  <si>
    <t>Ryan T. Carroll</t>
  </si>
  <si>
    <t>CPH42B</t>
  </si>
  <si>
    <t>Timothy E. Atkins</t>
  </si>
  <si>
    <t>CPH42C</t>
  </si>
  <si>
    <t>Heather Campos</t>
  </si>
  <si>
    <t>CPH42D</t>
  </si>
  <si>
    <t>Joan L. Jacobus</t>
  </si>
  <si>
    <t>CPH42E</t>
  </si>
  <si>
    <t>Evanna K. Hernandez</t>
  </si>
  <si>
    <t>CPH42F</t>
  </si>
  <si>
    <t>Austin J. Campbell</t>
  </si>
  <si>
    <t>CPH44A</t>
  </si>
  <si>
    <t>Dana R. Aftyka</t>
  </si>
  <si>
    <t>CPH44B</t>
  </si>
  <si>
    <t>Sawyer J. Bryson</t>
  </si>
  <si>
    <t>CPH44C</t>
  </si>
  <si>
    <t>Jonathan A. Graham</t>
  </si>
  <si>
    <t>CPH44D</t>
  </si>
  <si>
    <t>Kayleen J. Campion</t>
  </si>
  <si>
    <t>CPH44E</t>
  </si>
  <si>
    <t>Therese C. Boccini</t>
  </si>
  <si>
    <t>CPH44F</t>
  </si>
  <si>
    <t>Michael A. DiLegge</t>
  </si>
  <si>
    <t>CPH46A</t>
  </si>
  <si>
    <t>BITTERSWEET</t>
  </si>
  <si>
    <t>Olivia L. Flemmig</t>
  </si>
  <si>
    <t>CPH46B</t>
  </si>
  <si>
    <t>Kyle J. Richichi</t>
  </si>
  <si>
    <t>CPH46C</t>
  </si>
  <si>
    <t>Loren E. Reese</t>
  </si>
  <si>
    <t>CPH46D</t>
  </si>
  <si>
    <t>Vanesa M. Claudio</t>
  </si>
  <si>
    <t>CPH46E</t>
  </si>
  <si>
    <t>Tony Smith</t>
  </si>
  <si>
    <t>CPH46F</t>
  </si>
  <si>
    <t>Barbara A. Weber</t>
  </si>
  <si>
    <t>CPH48A</t>
  </si>
  <si>
    <t>Julio  P. Montoya</t>
  </si>
  <si>
    <t>CPH48B</t>
  </si>
  <si>
    <t>Tania  N. Martinez Pineda</t>
  </si>
  <si>
    <t>CPH48C</t>
  </si>
  <si>
    <t>Nicholas W. DiGirolamo</t>
  </si>
  <si>
    <t>CPH48D</t>
  </si>
  <si>
    <t>Manuel Garcia</t>
  </si>
  <si>
    <t>CPH48E</t>
  </si>
  <si>
    <t>Medwin A. Ghabaee</t>
  </si>
  <si>
    <t>CPH48F</t>
  </si>
  <si>
    <t>Charles A. Tramantano</t>
  </si>
  <si>
    <t>CPH50A</t>
  </si>
  <si>
    <t>Charles Leonowicz</t>
  </si>
  <si>
    <t>CPH50B</t>
  </si>
  <si>
    <t>Herman Rios</t>
  </si>
  <si>
    <t>CPH50C</t>
  </si>
  <si>
    <t>Suzan E. Jackson</t>
  </si>
  <si>
    <t>CPH50D</t>
  </si>
  <si>
    <t>Nancy Soriano</t>
  </si>
  <si>
    <t>CPH50E</t>
  </si>
  <si>
    <t>Anthony S. Destefano</t>
  </si>
  <si>
    <t>CPH50F</t>
  </si>
  <si>
    <t>Margaret A. Kalba</t>
  </si>
  <si>
    <t>CPM01A</t>
  </si>
  <si>
    <t>CATALPA</t>
  </si>
  <si>
    <t>CPM01B</t>
  </si>
  <si>
    <t>Jennifer Lyons</t>
  </si>
  <si>
    <t>CPM01C</t>
  </si>
  <si>
    <t>Hilary N. Nolan</t>
  </si>
  <si>
    <t>CPM01D</t>
  </si>
  <si>
    <t>Catherine M. Fasone</t>
  </si>
  <si>
    <t>CPM01E</t>
  </si>
  <si>
    <t>Sonia Rodriguez</t>
  </si>
  <si>
    <t>CPM01F</t>
  </si>
  <si>
    <t>John J. Carroll</t>
  </si>
  <si>
    <t>CPM02</t>
  </si>
  <si>
    <t>CEDAR</t>
  </si>
  <si>
    <t>Half Moon 2 - Platinum</t>
  </si>
  <si>
    <t>George M. Hernandez</t>
  </si>
  <si>
    <t>CPM03A</t>
  </si>
  <si>
    <t>Danielle N. Ricciardi</t>
  </si>
  <si>
    <t>CPM03B</t>
  </si>
  <si>
    <t>Studio Large - Platinum</t>
  </si>
  <si>
    <t>Gary A. DiFrancia</t>
  </si>
  <si>
    <t>CPM03C</t>
  </si>
  <si>
    <t>Brandon M. Abrams</t>
  </si>
  <si>
    <t>CPM03D</t>
  </si>
  <si>
    <t>Taylor E. Knox</t>
  </si>
  <si>
    <t>CPM03E</t>
  </si>
  <si>
    <t>Tamekia N. Richards</t>
  </si>
  <si>
    <t>CPM03F</t>
  </si>
  <si>
    <t>Edward W. Minovich</t>
  </si>
  <si>
    <t>CPM04</t>
  </si>
  <si>
    <t>Half Moon 4 - Silver</t>
  </si>
  <si>
    <t>2/2.50</t>
  </si>
  <si>
    <t>Joseph E. Kulik</t>
  </si>
  <si>
    <t>CPM05A</t>
  </si>
  <si>
    <t>Betina A. Estela</t>
  </si>
  <si>
    <t>CPM05B</t>
  </si>
  <si>
    <t>Alexander B. DiTuro</t>
  </si>
  <si>
    <t>CPM05C</t>
  </si>
  <si>
    <t>Johnathan R. Eaton</t>
  </si>
  <si>
    <t>CPM05D</t>
  </si>
  <si>
    <t>Sonia M. David</t>
  </si>
  <si>
    <t>CPM05E</t>
  </si>
  <si>
    <t>Emma J. Stephens</t>
  </si>
  <si>
    <t>CPM05F</t>
  </si>
  <si>
    <t>Arindal Collymore</t>
  </si>
  <si>
    <t>CPM06</t>
  </si>
  <si>
    <t>Half Moon 6 - Gold</t>
  </si>
  <si>
    <t>4/2.00</t>
  </si>
  <si>
    <t>Waseem Ghazzawi</t>
  </si>
  <si>
    <t>CPM06.5</t>
  </si>
  <si>
    <t>Half Moon 6.5 - Platinum</t>
  </si>
  <si>
    <t>Fion O. Wong</t>
  </si>
  <si>
    <t>CPM08</t>
  </si>
  <si>
    <t>Half Moon 8 - Gold</t>
  </si>
  <si>
    <t>4/2.50</t>
  </si>
  <si>
    <t>Eric Johnson</t>
  </si>
  <si>
    <t>CPM10</t>
  </si>
  <si>
    <t>Half Moon 10 - Silver</t>
  </si>
  <si>
    <t>2/2.00</t>
  </si>
  <si>
    <t>Gail Frederic</t>
  </si>
  <si>
    <t>CPM10.5</t>
  </si>
  <si>
    <t>Half Moon 10.5 - Gold</t>
  </si>
  <si>
    <t>Gary M. Monk</t>
  </si>
  <si>
    <t>CPM12</t>
  </si>
  <si>
    <t>Half Moon 12 - Gold</t>
  </si>
  <si>
    <t>Magdalena Gombiner</t>
  </si>
  <si>
    <t>CPN02</t>
  </si>
  <si>
    <t>TULIP</t>
  </si>
  <si>
    <t>TH 3 Small - Platinum</t>
  </si>
  <si>
    <t>Grace Mei</t>
  </si>
  <si>
    <t>CPN04</t>
  </si>
  <si>
    <t>TH 2 Small - Platinum</t>
  </si>
  <si>
    <t>Michael A. Valdez</t>
  </si>
  <si>
    <t>CPN06</t>
  </si>
  <si>
    <t>Melissa Velazquez</t>
  </si>
  <si>
    <t>CPN08</t>
  </si>
  <si>
    <t>Rachel M. Geremino</t>
  </si>
  <si>
    <t>CPN10</t>
  </si>
  <si>
    <t>Symone A. Hinson</t>
  </si>
  <si>
    <t>CPN12</t>
  </si>
  <si>
    <t>Carretta Wilson</t>
  </si>
  <si>
    <t>CPN14</t>
  </si>
  <si>
    <t>MAGNOLIA</t>
  </si>
  <si>
    <t>Stainless Appliances, LVF (2bed TH), LED Lighting (2bed TH)</t>
  </si>
  <si>
    <t>Natalie M. Kyvik</t>
  </si>
  <si>
    <t>CPN16</t>
  </si>
  <si>
    <t>Melissa A. Akyiano</t>
  </si>
  <si>
    <t>CPN18</t>
  </si>
  <si>
    <t>Kellie Gentle</t>
  </si>
  <si>
    <t>CPN20</t>
  </si>
  <si>
    <t>Andriana Phillips</t>
  </si>
  <si>
    <t>CPN22</t>
  </si>
  <si>
    <t>LVF (2bed TH)</t>
  </si>
  <si>
    <t>John M. Demetriow</t>
  </si>
  <si>
    <t>CPN24</t>
  </si>
  <si>
    <t>Valentin Aviles</t>
  </si>
  <si>
    <t>CPN26</t>
  </si>
  <si>
    <t>Melissa A. Lax</t>
  </si>
  <si>
    <t>CPN28</t>
  </si>
  <si>
    <t>Ahib S. Alghazali</t>
  </si>
  <si>
    <t>CPN30</t>
  </si>
  <si>
    <t>SYCAMORE</t>
  </si>
  <si>
    <t>Lindsey Devoe</t>
  </si>
  <si>
    <t>CPN31</t>
  </si>
  <si>
    <t>SPRUCE</t>
  </si>
  <si>
    <t>Justin Keels</t>
  </si>
  <si>
    <t>CPN32</t>
  </si>
  <si>
    <t>HVP G+ 2 Bed TH</t>
  </si>
  <si>
    <t>Mollie M. Keller</t>
  </si>
  <si>
    <t>CPN33</t>
  </si>
  <si>
    <t>LED Lighting (2bed TH), LVF (2bed TH), Stainless Appliances</t>
  </si>
  <si>
    <t>James A. Ralph</t>
  </si>
  <si>
    <t>CPN34</t>
  </si>
  <si>
    <t>Shannon E. Kawajiri</t>
  </si>
  <si>
    <t>CPN35</t>
  </si>
  <si>
    <t>Sylvester Hill</t>
  </si>
  <si>
    <t>CPN36</t>
  </si>
  <si>
    <t>CPN37</t>
  </si>
  <si>
    <t>Marissa K. Fuerderer</t>
  </si>
  <si>
    <t>CPN38</t>
  </si>
  <si>
    <t>Abedin Qelaj</t>
  </si>
  <si>
    <t>CPN39</t>
  </si>
  <si>
    <t>Joseph  T. Griggs</t>
  </si>
  <si>
    <t>CPN40</t>
  </si>
  <si>
    <t>TH 3 Medium &amp; Den - Gold</t>
  </si>
  <si>
    <t>Jean Maignan</t>
  </si>
  <si>
    <t>CPN41</t>
  </si>
  <si>
    <t>TH 2 Large - Silver</t>
  </si>
  <si>
    <t>Darrin L. Erwin</t>
  </si>
  <si>
    <t>CPN42</t>
  </si>
  <si>
    <t>CLOVER</t>
  </si>
  <si>
    <t>Aida Camacho</t>
  </si>
  <si>
    <t>CPN44</t>
  </si>
  <si>
    <t>James G. Bouchard, Jr.</t>
  </si>
  <si>
    <t>CPN46</t>
  </si>
  <si>
    <t>LVF (3bed), Stainless Appliances, LED Lighting (3bed)</t>
  </si>
  <si>
    <t>Christian  W. Milcos</t>
  </si>
  <si>
    <t>CPN48</t>
  </si>
  <si>
    <t>Joyce Coleman</t>
  </si>
  <si>
    <t>CPN50</t>
  </si>
  <si>
    <t>Thomas C. DiPerno III</t>
  </si>
  <si>
    <t>CPN52</t>
  </si>
  <si>
    <t>Edward Nieves</t>
  </si>
  <si>
    <t>CPN54A</t>
  </si>
  <si>
    <t>CHERRY</t>
  </si>
  <si>
    <t>Cabey Galloway III</t>
  </si>
  <si>
    <t>CPN54B</t>
  </si>
  <si>
    <t>Christian Castro</t>
  </si>
  <si>
    <t>CPN54C</t>
  </si>
  <si>
    <t>Katherine M. Eurich</t>
  </si>
  <si>
    <t>CPN54D</t>
  </si>
  <si>
    <t>Scott Miozzi</t>
  </si>
  <si>
    <t>CPN54E</t>
  </si>
  <si>
    <t>Ann V. Walker</t>
  </si>
  <si>
    <t>CPN54F</t>
  </si>
  <si>
    <t>Ernestine Blount-Alston</t>
  </si>
  <si>
    <t>CPN56A</t>
  </si>
  <si>
    <t>Shreyak S. Karkera</t>
  </si>
  <si>
    <t>CPN56B</t>
  </si>
  <si>
    <t>Julia L. LeGath</t>
  </si>
  <si>
    <t>CPN56C</t>
  </si>
  <si>
    <t>Rebecca Carroll</t>
  </si>
  <si>
    <t>CPN56D</t>
  </si>
  <si>
    <t>Henry Hernandez</t>
  </si>
  <si>
    <t>CPN56E</t>
  </si>
  <si>
    <t>Irene Corvinus</t>
  </si>
  <si>
    <t>CPN56F</t>
  </si>
  <si>
    <t>Omar Tesen</t>
  </si>
  <si>
    <t>CPN58A</t>
  </si>
  <si>
    <t>Shelby R. Martins</t>
  </si>
  <si>
    <t>CPN58B</t>
  </si>
  <si>
    <t>Steven J. Geisinger</t>
  </si>
  <si>
    <t>CPN58C</t>
  </si>
  <si>
    <t>Nicole C. Valeri</t>
  </si>
  <si>
    <t>CPN58D</t>
  </si>
  <si>
    <t>Steven L. Dana</t>
  </si>
  <si>
    <t>CPN58E</t>
  </si>
  <si>
    <t>Amy E. Calabrese</t>
  </si>
  <si>
    <t>CPN58F</t>
  </si>
  <si>
    <t>Eric Jones</t>
  </si>
  <si>
    <t>CPN60A</t>
  </si>
  <si>
    <t>Robert G. Christman</t>
  </si>
  <si>
    <t>CPN60B</t>
  </si>
  <si>
    <t>David E. Lucas</t>
  </si>
  <si>
    <t>CPN60C</t>
  </si>
  <si>
    <t>Thelma C. Armstrong</t>
  </si>
  <si>
    <t>CPN60D</t>
  </si>
  <si>
    <t>Joshua Leben</t>
  </si>
  <si>
    <t>CPN60E</t>
  </si>
  <si>
    <t>Lizette Hernandez</t>
  </si>
  <si>
    <t>CPN60F</t>
  </si>
  <si>
    <t>Joseph B. Brunning</t>
  </si>
  <si>
    <t>CPR01A</t>
  </si>
  <si>
    <t>HUCKLEBERRY</t>
  </si>
  <si>
    <t>Ryan J. Kandeel</t>
  </si>
  <si>
    <t>CPR01B</t>
  </si>
  <si>
    <t>Ayah M. Abdelnaby</t>
  </si>
  <si>
    <t>CPR01C</t>
  </si>
  <si>
    <t>Stephanie T. Himes</t>
  </si>
  <si>
    <t>CPR01D</t>
  </si>
  <si>
    <t>Ashley Buck</t>
  </si>
  <si>
    <t>CPR01E</t>
  </si>
  <si>
    <t>Jessica M. Diliddo</t>
  </si>
  <si>
    <t>CPR01F</t>
  </si>
  <si>
    <t>Michael Hruscik</t>
  </si>
  <si>
    <t>CPR03A</t>
  </si>
  <si>
    <t>Merly V. Mesa</t>
  </si>
  <si>
    <t>CPR03B</t>
  </si>
  <si>
    <t>Stephen D. Stewart</t>
  </si>
  <si>
    <t>CPR03C</t>
  </si>
  <si>
    <t>Danielle A. Ronkos</t>
  </si>
  <si>
    <t>CPR03D</t>
  </si>
  <si>
    <t>Angela N. Santiago</t>
  </si>
  <si>
    <t>CPR03E</t>
  </si>
  <si>
    <t>Leroy Foster</t>
  </si>
  <si>
    <t>CPR03F</t>
  </si>
  <si>
    <t>Joseph M. Clarke</t>
  </si>
  <si>
    <t>CPR05A</t>
  </si>
  <si>
    <t>Joshua C. Sutherland</t>
  </si>
  <si>
    <t>CPR05B</t>
  </si>
  <si>
    <t>Eric Kneifel</t>
  </si>
  <si>
    <t>CPR05C</t>
  </si>
  <si>
    <t>Lauren McMenamin</t>
  </si>
  <si>
    <t>CPR05D</t>
  </si>
  <si>
    <t>William Vidal</t>
  </si>
  <si>
    <t>CPR05E</t>
  </si>
  <si>
    <t>Kiran J. Guiden</t>
  </si>
  <si>
    <t>CPR05F</t>
  </si>
  <si>
    <t>James M. Clemente</t>
  </si>
  <si>
    <t>CPR07A</t>
  </si>
  <si>
    <t>FORSYTHIA</t>
  </si>
  <si>
    <t>Kiara X. Allen</t>
  </si>
  <si>
    <t>CPR07B</t>
  </si>
  <si>
    <t>Michael J. Taylor</t>
  </si>
  <si>
    <t>CPR07C</t>
  </si>
  <si>
    <t>Collin E. Van Ort</t>
  </si>
  <si>
    <t>CPR07D</t>
  </si>
  <si>
    <t>Courtney J. Wong</t>
  </si>
  <si>
    <t>CPR07E</t>
  </si>
  <si>
    <t>Shane P. Carroll</t>
  </si>
  <si>
    <t>CPR07F</t>
  </si>
  <si>
    <t>Jennifer M. Losinno</t>
  </si>
  <si>
    <t>CPR09A</t>
  </si>
  <si>
    <t>1 Bed Small III - Silver</t>
  </si>
  <si>
    <t>Stephanie A. Adams</t>
  </si>
  <si>
    <t>CPR09B</t>
  </si>
  <si>
    <t>CPR09C</t>
  </si>
  <si>
    <t>Alida Caceras-Rodriguez</t>
  </si>
  <si>
    <t>CPR09D</t>
  </si>
  <si>
    <t>Christopher J. Hall</t>
  </si>
  <si>
    <t>CPR09E</t>
  </si>
  <si>
    <t>John Sullivan</t>
  </si>
  <si>
    <t>CPR09F</t>
  </si>
  <si>
    <t>Kyle M. Leaden</t>
  </si>
  <si>
    <t>CPR11A</t>
  </si>
  <si>
    <t>John R. Young</t>
  </si>
  <si>
    <t>CPR11B</t>
  </si>
  <si>
    <t>Thomas J. Monroe</t>
  </si>
  <si>
    <t>CPR11C</t>
  </si>
  <si>
    <t>Lorraine Duncan</t>
  </si>
  <si>
    <t>CPR11D</t>
  </si>
  <si>
    <t>Angela Y. Lian</t>
  </si>
  <si>
    <t>CPR11E</t>
  </si>
  <si>
    <t>Mackenzie M. Daniels</t>
  </si>
  <si>
    <t>CPR11F</t>
  </si>
  <si>
    <t>Emma M. Jehan</t>
  </si>
  <si>
    <t>CPR15A</t>
  </si>
  <si>
    <t>CHESTNUT</t>
  </si>
  <si>
    <t>Kenyatte Murray</t>
  </si>
  <si>
    <t>CPR15B</t>
  </si>
  <si>
    <t>Angelo A. Costalonga</t>
  </si>
  <si>
    <t>CPR15C</t>
  </si>
  <si>
    <t>Brianna N. Vita</t>
  </si>
  <si>
    <t>CPR15D</t>
  </si>
  <si>
    <t>Nadine Robinson</t>
  </si>
  <si>
    <t>CPR15E</t>
  </si>
  <si>
    <t>Nicolette  L. Conti</t>
  </si>
  <si>
    <t>CPR15F</t>
  </si>
  <si>
    <t>Julia A. Verdile</t>
  </si>
  <si>
    <t>CPR17A</t>
  </si>
  <si>
    <t>Elise C. Greenage</t>
  </si>
  <si>
    <t>CPR17B</t>
  </si>
  <si>
    <t>LVF (Studio), LED Lighting (Studio), Stainless Appliances</t>
  </si>
  <si>
    <t>Amanda I. Perez</t>
  </si>
  <si>
    <t>CPR17C</t>
  </si>
  <si>
    <t>Jean M. Mignault</t>
  </si>
  <si>
    <t>CPR17D</t>
  </si>
  <si>
    <t>Michael O. Elbe</t>
  </si>
  <si>
    <t>CPR17E</t>
  </si>
  <si>
    <t>Kayla E. Marschke</t>
  </si>
  <si>
    <t>CPR17F</t>
  </si>
  <si>
    <t>Antonio J. Simoni</t>
  </si>
  <si>
    <t>CPR19A</t>
  </si>
  <si>
    <t>Anthony Ortiz</t>
  </si>
  <si>
    <t>CPR19B</t>
  </si>
  <si>
    <t>Jenna  L. Kret</t>
  </si>
  <si>
    <t>CPR19C</t>
  </si>
  <si>
    <t>James E. Martine</t>
  </si>
  <si>
    <t>CPR19D</t>
  </si>
  <si>
    <t>Joseph Demelo</t>
  </si>
  <si>
    <t>CPR19E</t>
  </si>
  <si>
    <t>Trotskeye A. Brown</t>
  </si>
  <si>
    <t>CPR19F</t>
  </si>
  <si>
    <t>Thomas Corbia</t>
  </si>
  <si>
    <t>CPR21A</t>
  </si>
  <si>
    <t>SUNDROP</t>
  </si>
  <si>
    <t>Melissa Ciarcia</t>
  </si>
  <si>
    <t>CPR21B</t>
  </si>
  <si>
    <t>Marva Hall</t>
  </si>
  <si>
    <t>CPR21C</t>
  </si>
  <si>
    <t>Leila J. Daly</t>
  </si>
  <si>
    <t>CPR21D</t>
  </si>
  <si>
    <t>Mariah A. McDonald</t>
  </si>
  <si>
    <t>CPR21E</t>
  </si>
  <si>
    <t>Evan M. Howard</t>
  </si>
  <si>
    <t>CPR21F</t>
  </si>
  <si>
    <t>Irwin Panguripan</t>
  </si>
  <si>
    <t>CPR23A</t>
  </si>
  <si>
    <t>Symone Y. Griffin</t>
  </si>
  <si>
    <t>CPR23B</t>
  </si>
  <si>
    <t>Hilary J. Perez Azavache</t>
  </si>
  <si>
    <t>CPR23C</t>
  </si>
  <si>
    <t>Jack M. Felag</t>
  </si>
  <si>
    <t>CPR23D</t>
  </si>
  <si>
    <t>Orion B. Hayes</t>
  </si>
  <si>
    <t>CPR23E</t>
  </si>
  <si>
    <t>Dawn M. Titka</t>
  </si>
  <si>
    <t>CPR23F</t>
  </si>
  <si>
    <t>Daniel N. Pantano</t>
  </si>
  <si>
    <t>CPR25A</t>
  </si>
  <si>
    <t>Marion P. Williams</t>
  </si>
  <si>
    <t>CPR25B</t>
  </si>
  <si>
    <t>Sean Clode</t>
  </si>
  <si>
    <t>CPR25C</t>
  </si>
  <si>
    <t>Daniel  E. Grogan</t>
  </si>
  <si>
    <t>CPR25D</t>
  </si>
  <si>
    <t>Deborah E. Okamura</t>
  </si>
  <si>
    <t>CPR25E</t>
  </si>
  <si>
    <t>Patrick G. Maguire</t>
  </si>
  <si>
    <t>CPR25F</t>
  </si>
  <si>
    <t>Douglas C. Womacsko</t>
  </si>
  <si>
    <t>CPS02A</t>
  </si>
  <si>
    <t>ELM</t>
  </si>
  <si>
    <t>Donald P. McCoy</t>
  </si>
  <si>
    <t>CPS02B</t>
  </si>
  <si>
    <t>Xavier  N. King</t>
  </si>
  <si>
    <t>CPS02C</t>
  </si>
  <si>
    <t>Kathleen Losi</t>
  </si>
  <si>
    <t>CPS02D</t>
  </si>
  <si>
    <t>Olivia C. Rice</t>
  </si>
  <si>
    <t>CPS02E</t>
  </si>
  <si>
    <t>Christina S. Mannering</t>
  </si>
  <si>
    <t>CPS02F</t>
  </si>
  <si>
    <t>CPS04B</t>
  </si>
  <si>
    <t>Christopher R. Cleary</t>
  </si>
  <si>
    <t>CPS04C</t>
  </si>
  <si>
    <t>Studio Medium - Silver</t>
  </si>
  <si>
    <t>Ignatius A. Cavaluzzi III</t>
  </si>
  <si>
    <t>CPS04D</t>
  </si>
  <si>
    <t>Andrea E. Latimer</t>
  </si>
  <si>
    <t>CPS04E</t>
  </si>
  <si>
    <t>Ricardo J. Arteaga</t>
  </si>
  <si>
    <t>CPS04F</t>
  </si>
  <si>
    <t>Christopher L. Cedeno</t>
  </si>
  <si>
    <t>CPS06A</t>
  </si>
  <si>
    <t>Arthur T. DePolito</t>
  </si>
  <si>
    <t>CPS06B</t>
  </si>
  <si>
    <t>Brian M. Whalen</t>
  </si>
  <si>
    <t>CPS06C</t>
  </si>
  <si>
    <t>Tiffany R. Rodrigues</t>
  </si>
  <si>
    <t>CPS06D</t>
  </si>
  <si>
    <t>Jorge S. Rios</t>
  </si>
  <si>
    <t>CPS06E</t>
  </si>
  <si>
    <t>FaizaHumayun Khan</t>
  </si>
  <si>
    <t>CPS06F</t>
  </si>
  <si>
    <t>Joseph A. Tristano</t>
  </si>
  <si>
    <t>CPS08A</t>
  </si>
  <si>
    <t>IRIS</t>
  </si>
  <si>
    <t>Darren A. Dandreano</t>
  </si>
  <si>
    <t>CPS08B</t>
  </si>
  <si>
    <t>George Zornetsky</t>
  </si>
  <si>
    <t>CPS08C</t>
  </si>
  <si>
    <t>Nadia M. Azizi</t>
  </si>
  <si>
    <t>CPS08D</t>
  </si>
  <si>
    <t>Nicole Black</t>
  </si>
  <si>
    <t>CPS08E</t>
  </si>
  <si>
    <t>Meaghan R. McKay</t>
  </si>
  <si>
    <t>CPS08F</t>
  </si>
  <si>
    <t>Mengqi Gao</t>
  </si>
  <si>
    <t>CPS10A</t>
  </si>
  <si>
    <t>Robert E. Delaney</t>
  </si>
  <si>
    <t>CPS10C</t>
  </si>
  <si>
    <t>Jennifer K. Schweizer</t>
  </si>
  <si>
    <t>CPS10D</t>
  </si>
  <si>
    <t>Tatiana A. Taylor</t>
  </si>
  <si>
    <t>CPS10E</t>
  </si>
  <si>
    <t>Lysette Brock</t>
  </si>
  <si>
    <t>CPS10F</t>
  </si>
  <si>
    <t>Jaime R. Hermann</t>
  </si>
  <si>
    <t>CPS12A</t>
  </si>
  <si>
    <t>Raymond E. Kimball</t>
  </si>
  <si>
    <t>CPS12C</t>
  </si>
  <si>
    <t>Erik A. Ranftle</t>
  </si>
  <si>
    <t>CPS12E</t>
  </si>
  <si>
    <t>Madeline A. Weaver</t>
  </si>
  <si>
    <t>CPS14A</t>
  </si>
  <si>
    <t>LOCUST</t>
  </si>
  <si>
    <t>Michael R. Moran</t>
  </si>
  <si>
    <t>CPS14B</t>
  </si>
  <si>
    <t>Dakota S. Pulver</t>
  </si>
  <si>
    <t>CPS14C</t>
  </si>
  <si>
    <t>Arvind Kumar</t>
  </si>
  <si>
    <t>CPS14D</t>
  </si>
  <si>
    <t>Brittany C. Deokie</t>
  </si>
  <si>
    <t>CPS14E</t>
  </si>
  <si>
    <t>Frank DiMaggio</t>
  </si>
  <si>
    <t>CPS14F</t>
  </si>
  <si>
    <t>Larry J. Oates</t>
  </si>
  <si>
    <t>CPS16B</t>
  </si>
  <si>
    <t>Mairead A. Bromm</t>
  </si>
  <si>
    <t>CPS16C</t>
  </si>
  <si>
    <t>Kenica Samuel</t>
  </si>
  <si>
    <t>CPS16D</t>
  </si>
  <si>
    <t>Andrea C. Zacharie</t>
  </si>
  <si>
    <t>CPS16E</t>
  </si>
  <si>
    <t>Jessenia L. Jordan</t>
  </si>
  <si>
    <t>CPS16F</t>
  </si>
  <si>
    <t>CPV01A</t>
  </si>
  <si>
    <t>WILLOW</t>
  </si>
  <si>
    <t>Alexander E. Gmoser</t>
  </si>
  <si>
    <t>CPV01B</t>
  </si>
  <si>
    <t>Simone Wilson</t>
  </si>
  <si>
    <t>CPV01C</t>
  </si>
  <si>
    <t>Katie L. Spontak</t>
  </si>
  <si>
    <t>CPV01D</t>
  </si>
  <si>
    <t>Robert E. Edwards</t>
  </si>
  <si>
    <t>CPV01E</t>
  </si>
  <si>
    <t>Veronica Frost</t>
  </si>
  <si>
    <t>CPV01F</t>
  </si>
  <si>
    <t>Amy G. Fuerst</t>
  </si>
  <si>
    <t>CPV03A</t>
  </si>
  <si>
    <t>Connor R. Tully</t>
  </si>
  <si>
    <t>CPV03B</t>
  </si>
  <si>
    <t>Diana A. Bush</t>
  </si>
  <si>
    <t>CPV03C</t>
  </si>
  <si>
    <t>Logan N. Stevens</t>
  </si>
  <si>
    <t>CPV03D</t>
  </si>
  <si>
    <t>2 Bed Large - Platinum</t>
  </si>
  <si>
    <t>Ryan C. Rivera</t>
  </si>
  <si>
    <t>CPV03E</t>
  </si>
  <si>
    <t>John C. Helton</t>
  </si>
  <si>
    <t>CPV03F</t>
  </si>
  <si>
    <t>Sean N. Idema</t>
  </si>
  <si>
    <t>CPV05A</t>
  </si>
  <si>
    <t>Aracely  Abughounmi</t>
  </si>
  <si>
    <t>CPV05B</t>
  </si>
  <si>
    <t>Julio C. Abraham Medina</t>
  </si>
  <si>
    <t>CPV05C</t>
  </si>
  <si>
    <t>Melissa E. Platt</t>
  </si>
  <si>
    <t>CPV05D</t>
  </si>
  <si>
    <t>Emily  L. Brenner</t>
  </si>
  <si>
    <t>CPV05E</t>
  </si>
  <si>
    <t>Michael Cleary</t>
  </si>
  <si>
    <t>CPV05F</t>
  </si>
  <si>
    <t>LVF (Partial Charge)</t>
  </si>
  <si>
    <t>Monica T. Gayanelo</t>
  </si>
  <si>
    <t>CPV07A</t>
  </si>
  <si>
    <t>MARIGOLD</t>
  </si>
  <si>
    <t>Marco F. Mora-Fajardo</t>
  </si>
  <si>
    <t>CPV07B</t>
  </si>
  <si>
    <t>Matthew T. Bailey</t>
  </si>
  <si>
    <t>CPV07C</t>
  </si>
  <si>
    <t>Leslie Mills</t>
  </si>
  <si>
    <t>CPV07D</t>
  </si>
  <si>
    <t>T.T.R Fonseka</t>
  </si>
  <si>
    <t>CPV07E</t>
  </si>
  <si>
    <t>Lauren S. Acevedo</t>
  </si>
  <si>
    <t>CPV07F</t>
  </si>
  <si>
    <t>Kirsten  N. Blancato</t>
  </si>
  <si>
    <t>CPV09A</t>
  </si>
  <si>
    <t>1 Bed Small I - Platinum</t>
  </si>
  <si>
    <t>Lauren  T. Jackson</t>
  </si>
  <si>
    <t>CPV09B</t>
  </si>
  <si>
    <t>Lucas  J. Resnick</t>
  </si>
  <si>
    <t>CPV09C</t>
  </si>
  <si>
    <t>Carolyn L. Bongiorno</t>
  </si>
  <si>
    <t>CPV09D</t>
  </si>
  <si>
    <t>CPV09E</t>
  </si>
  <si>
    <t>Michael Gowie</t>
  </si>
  <si>
    <t>CPV09F</t>
  </si>
  <si>
    <t>Solveig Waage</t>
  </si>
  <si>
    <t>CPV11A</t>
  </si>
  <si>
    <t>Laura M. Hack</t>
  </si>
  <si>
    <t>CPV11B</t>
  </si>
  <si>
    <t>Gregory J. Hasapis</t>
  </si>
  <si>
    <t>CPV11C</t>
  </si>
  <si>
    <t>John P. Chicorelli</t>
  </si>
  <si>
    <t>CPV11D</t>
  </si>
  <si>
    <t>Randi Raimondo</t>
  </si>
  <si>
    <t>CPV11E</t>
  </si>
  <si>
    <t>Edward W. Mancari</t>
  </si>
  <si>
    <t>CPV11F</t>
  </si>
  <si>
    <t>Betty Jo Drost</t>
  </si>
  <si>
    <t>CPV15A</t>
  </si>
  <si>
    <t>MAPLE</t>
  </si>
  <si>
    <t>Jeremiah C. Richards</t>
  </si>
  <si>
    <t>CPV15B</t>
  </si>
  <si>
    <t>Kristopher B. Castro</t>
  </si>
  <si>
    <t>CPV15C</t>
  </si>
  <si>
    <t>Banu Akman-Bagriyanik</t>
  </si>
  <si>
    <t>CPV15D</t>
  </si>
  <si>
    <t>Milena Dedovic Stankovic</t>
  </si>
  <si>
    <t>CPV15E</t>
  </si>
  <si>
    <t>Stainless Appliances, LVF (3bed), LED Lighting (3bed)</t>
  </si>
  <si>
    <t>Irma E. Calderon</t>
  </si>
  <si>
    <t>CPV15F</t>
  </si>
  <si>
    <t>George E. Ford</t>
  </si>
  <si>
    <t>CPV17A</t>
  </si>
  <si>
    <t>Benjamin C. Raften</t>
  </si>
  <si>
    <t>CPV17B</t>
  </si>
  <si>
    <t>Megan Maldanado</t>
  </si>
  <si>
    <t>CPV17C</t>
  </si>
  <si>
    <t>Dianne Rinaldi</t>
  </si>
  <si>
    <t>CPV17D</t>
  </si>
  <si>
    <t>Christine Peterson</t>
  </si>
  <si>
    <t>CPV17E</t>
  </si>
  <si>
    <t>Chunxiang Conocenti</t>
  </si>
  <si>
    <t>CPV17F</t>
  </si>
  <si>
    <t>Joan M. Leverette</t>
  </si>
  <si>
    <t>CPV19A</t>
  </si>
  <si>
    <t>Jaron H. VanAnden</t>
  </si>
  <si>
    <t>CPV19B</t>
  </si>
  <si>
    <t>John A. Keeshan</t>
  </si>
  <si>
    <t>CPV19C</t>
  </si>
  <si>
    <t>Timothy J. Dowd</t>
  </si>
  <si>
    <t>CPV19D</t>
  </si>
  <si>
    <t>Marjorie A. Hetling</t>
  </si>
  <si>
    <t>CPV19E</t>
  </si>
  <si>
    <t>Michael V. Palmer</t>
  </si>
  <si>
    <t>CPV19F</t>
  </si>
  <si>
    <t>Mary B. Golden</t>
  </si>
  <si>
    <t>508 Units</t>
  </si>
  <si>
    <t>HVP Current Year Income Statement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</si>
  <si>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06/17/2025 11:14 AM</t>
    </r>
  </si>
  <si>
    <r>
      <rPr>
        <b/>
        <sz val="11"/>
        <rFont val="Arial"/>
        <family val="2"/>
      </rPr>
      <t>Hudson Highlands Properties, LLC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</si>
  <si>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</si>
  <si>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Fund Type: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</si>
  <si>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May 2024 to Apr 2025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</si>
  <si>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</si>
  <si>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</si>
  <si>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</si>
  <si>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Number</t>
  </si>
  <si>
    <t>Account Name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</si>
  <si>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</si>
  <si>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</si>
  <si>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</si>
  <si>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</si>
  <si>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</si>
  <si>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</si>
  <si>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</si>
  <si>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</si>
  <si>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</si>
  <si>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</si>
  <si>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</si>
  <si>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</si>
  <si>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Operating Income &amp; Expense</t>
  </si>
  <si>
    <t xml:space="preserve">        EFFECTIVE RENTAL REVENUE</t>
  </si>
  <si>
    <t>4000</t>
  </si>
  <si>
    <t xml:space="preserve">            MARKET RENT</t>
  </si>
  <si>
    <t>4005</t>
  </si>
  <si>
    <t xml:space="preserve">            RENT CONCESSIONS</t>
  </si>
  <si>
    <t>4010</t>
  </si>
  <si>
    <t xml:space="preserve">            VACANCIES</t>
  </si>
  <si>
    <t>4015</t>
  </si>
  <si>
    <t xml:space="preserve">            COMPANY APT OFFICE</t>
  </si>
  <si>
    <t>4135</t>
  </si>
  <si>
    <t xml:space="preserve">            LOSS/GAIN TO MARKET</t>
  </si>
  <si>
    <t xml:space="preserve">        Total EFFECTIVE RENTAL REVENUE</t>
  </si>
  <si>
    <t xml:space="preserve">        OTHER REVENUE</t>
  </si>
  <si>
    <t>4030</t>
  </si>
  <si>
    <t xml:space="preserve">            FMR TENANT UNCOLLECTABLE BAL</t>
  </si>
  <si>
    <t>4035</t>
  </si>
  <si>
    <t xml:space="preserve">            RECREATION FEE</t>
  </si>
  <si>
    <t>4041</t>
  </si>
  <si>
    <t xml:space="preserve">            APPLICATION FEE INCOME</t>
  </si>
  <si>
    <t>4042</t>
  </si>
  <si>
    <t xml:space="preserve">            NSF FEE INCOME</t>
  </si>
  <si>
    <t>4044</t>
  </si>
  <si>
    <t xml:space="preserve">            LATE FEE</t>
  </si>
  <si>
    <t>4046.01</t>
  </si>
  <si>
    <t xml:space="preserve">            PET FEE DOG</t>
  </si>
  <si>
    <t>4046.02</t>
  </si>
  <si>
    <t xml:space="preserve">            PET FEE CAT</t>
  </si>
  <si>
    <t>4060</t>
  </si>
  <si>
    <t xml:space="preserve">            KEYS &amp; LOCKS INCOME</t>
  </si>
  <si>
    <t>4065</t>
  </si>
  <si>
    <t xml:space="preserve">            APT BLINDS INCOME</t>
  </si>
  <si>
    <t>4070</t>
  </si>
  <si>
    <t xml:space="preserve">            LAUNDRY INCOME</t>
  </si>
  <si>
    <t>4080</t>
  </si>
  <si>
    <t xml:space="preserve">            POOL FEE</t>
  </si>
  <si>
    <t>4085</t>
  </si>
  <si>
    <t xml:space="preserve">            PARKING FEE</t>
  </si>
  <si>
    <t xml:space="preserve">            DAMAGE BY TENANT</t>
  </si>
  <si>
    <t>4090.01</t>
  </si>
  <si>
    <t xml:space="preserve">                CARPET CLEANING</t>
  </si>
  <si>
    <t>4090.02</t>
  </si>
  <si>
    <t xml:space="preserve">                CARPET REPLACEMENT</t>
  </si>
  <si>
    <t>4090.03</t>
  </si>
  <si>
    <t xml:space="preserve">                APT REPAIRS</t>
  </si>
  <si>
    <t>4090.04</t>
  </si>
  <si>
    <t xml:space="preserve">                APT CLEANING</t>
  </si>
  <si>
    <t xml:space="preserve">            Total DAMAGE BY TENANT</t>
  </si>
  <si>
    <t>4100</t>
  </si>
  <si>
    <t xml:space="preserve">            FORFEIT INCOME (BL)</t>
  </si>
  <si>
    <t>4101</t>
  </si>
  <si>
    <t xml:space="preserve">            FORFEIT INCOME (TRANSFER)</t>
  </si>
  <si>
    <t>4450</t>
  </si>
  <si>
    <t xml:space="preserve">            INSURANCE SERVICES</t>
  </si>
  <si>
    <t>4460</t>
  </si>
  <si>
    <t xml:space="preserve">            INSURANCE SERVICE - ADMIN FEE</t>
  </si>
  <si>
    <t>4500</t>
  </si>
  <si>
    <t xml:space="preserve">            WATER FEE</t>
  </si>
  <si>
    <t xml:space="preserve">        Total OTHER REVENUE</t>
  </si>
  <si>
    <t xml:space="preserve">    Total Operating Income</t>
  </si>
  <si>
    <t xml:space="preserve">        PAYROLL AND RELATED</t>
  </si>
  <si>
    <t>5020</t>
  </si>
  <si>
    <t xml:space="preserve">            SALARIES-MAINT</t>
  </si>
  <si>
    <t>5021</t>
  </si>
  <si>
    <t xml:space="preserve">            SALARIES-OT</t>
  </si>
  <si>
    <t>5022</t>
  </si>
  <si>
    <t xml:space="preserve">            SALARIES-V/H/SL</t>
  </si>
  <si>
    <t>5060</t>
  </si>
  <si>
    <t xml:space="preserve">            P/R TAXES-FICA</t>
  </si>
  <si>
    <t>5070</t>
  </si>
  <si>
    <t xml:space="preserve">            P/R TAXES FUTA</t>
  </si>
  <si>
    <t>5080</t>
  </si>
  <si>
    <t xml:space="preserve">            P/R TAX--NY UNEMP</t>
  </si>
  <si>
    <t>5085</t>
  </si>
  <si>
    <t xml:space="preserve">            P/R TAX MCTMT TAX</t>
  </si>
  <si>
    <t>5090</t>
  </si>
  <si>
    <t xml:space="preserve">            NY DISABILITY IN</t>
  </si>
  <si>
    <t>5100</t>
  </si>
  <si>
    <t xml:space="preserve">            WORKMANS COMP</t>
  </si>
  <si>
    <t>5110</t>
  </si>
  <si>
    <t xml:space="preserve">            GRP HOSP INS PRM</t>
  </si>
  <si>
    <t>5120</t>
  </si>
  <si>
    <t xml:space="preserve">            GROUP INSURANCE-SELF INSURED</t>
  </si>
  <si>
    <t>5140</t>
  </si>
  <si>
    <t xml:space="preserve">            PROFIT SHARING</t>
  </si>
  <si>
    <t>5150</t>
  </si>
  <si>
    <t xml:space="preserve">            DEFINED BENEFIT</t>
  </si>
  <si>
    <t xml:space="preserve">        Total PAYROLL AND RELATED</t>
  </si>
  <si>
    <t xml:space="preserve">        MAINTENANCE</t>
  </si>
  <si>
    <t>5400</t>
  </si>
  <si>
    <t xml:space="preserve">            BLDG REPAIRS &amp; SUPPLIES</t>
  </si>
  <si>
    <t>5410</t>
  </si>
  <si>
    <t xml:space="preserve">            TOOLS &amp; EQUIP REPAIR</t>
  </si>
  <si>
    <t>5420</t>
  </si>
  <si>
    <t xml:space="preserve">            PLMBG &amp; HEATING</t>
  </si>
  <si>
    <t>5430</t>
  </si>
  <si>
    <t xml:space="preserve">            ELECTRICAL</t>
  </si>
  <si>
    <t>5440</t>
  </si>
  <si>
    <t xml:space="preserve">            PAINTING</t>
  </si>
  <si>
    <t>5450</t>
  </si>
  <si>
    <t xml:space="preserve">            CLEANING</t>
  </si>
  <si>
    <t>5470</t>
  </si>
  <si>
    <t xml:space="preserve">            POOL SUPPLIES</t>
  </si>
  <si>
    <t>5480</t>
  </si>
  <si>
    <t xml:space="preserve">            POOL MAINT</t>
  </si>
  <si>
    <t>5490</t>
  </si>
  <si>
    <t xml:space="preserve">            VEHICLES EXPENSE</t>
  </si>
  <si>
    <t>5521</t>
  </si>
  <si>
    <t xml:space="preserve">            LANDSCAPING</t>
  </si>
  <si>
    <t>5522</t>
  </si>
  <si>
    <t xml:space="preserve">            SNOW REMOVAL</t>
  </si>
  <si>
    <t>5530</t>
  </si>
  <si>
    <t xml:space="preserve">            CARPET REPAIR</t>
  </si>
  <si>
    <t>5531</t>
  </si>
  <si>
    <t xml:space="preserve">            CARPET CLEANING</t>
  </si>
  <si>
    <t>5550</t>
  </si>
  <si>
    <t xml:space="preserve">            GARBAGE</t>
  </si>
  <si>
    <t>5560</t>
  </si>
  <si>
    <t xml:space="preserve">            EXTERMINATION</t>
  </si>
  <si>
    <t>5580</t>
  </si>
  <si>
    <t xml:space="preserve">            CABLE TV SYSTEMS</t>
  </si>
  <si>
    <t>5585</t>
  </si>
  <si>
    <t xml:space="preserve">            OPERATING LICENSES &amp; PERMITS HVP</t>
  </si>
  <si>
    <t xml:space="preserve">        Total MAINTENANCE</t>
  </si>
  <si>
    <t xml:space="preserve">        ADMIN &amp; GENERAL</t>
  </si>
  <si>
    <t>5590</t>
  </si>
  <si>
    <t xml:space="preserve">            PROFESSIONAL SER</t>
  </si>
  <si>
    <t>5600</t>
  </si>
  <si>
    <t xml:space="preserve">            TELEPHONE</t>
  </si>
  <si>
    <t>6020</t>
  </si>
  <si>
    <t xml:space="preserve">            CHARITABLE CONTRIBUTIONS</t>
  </si>
  <si>
    <t>6035</t>
  </si>
  <si>
    <t xml:space="preserve">            ACCOUNTING</t>
  </si>
  <si>
    <t>6037</t>
  </si>
  <si>
    <t xml:space="preserve">            NYS FRANC TAX</t>
  </si>
  <si>
    <t>6040</t>
  </si>
  <si>
    <t xml:space="preserve">            LEGAL</t>
  </si>
  <si>
    <t>6050</t>
  </si>
  <si>
    <t xml:space="preserve">            OFFICE EXP</t>
  </si>
  <si>
    <t>6054</t>
  </si>
  <si>
    <t xml:space="preserve">            SUPPLIES</t>
  </si>
  <si>
    <t>6070</t>
  </si>
  <si>
    <t xml:space="preserve">            POSTAGE</t>
  </si>
  <si>
    <t>6075</t>
  </si>
  <si>
    <t xml:space="preserve">            BANK SERVICE CHARGE</t>
  </si>
  <si>
    <t>6080</t>
  </si>
  <si>
    <t xml:space="preserve">            RENTING EXP</t>
  </si>
  <si>
    <t>6085</t>
  </si>
  <si>
    <t xml:space="preserve">            TENANT EVENTS</t>
  </si>
  <si>
    <t>6090</t>
  </si>
  <si>
    <t xml:space="preserve">            MEMBER/SUBSCRIPT</t>
  </si>
  <si>
    <t>6105</t>
  </si>
  <si>
    <t xml:space="preserve">            BUS MEET &amp; MEALS</t>
  </si>
  <si>
    <t>6110</t>
  </si>
  <si>
    <t xml:space="preserve">            EMPLOYMENT EXP</t>
  </si>
  <si>
    <t>6120</t>
  </si>
  <si>
    <t xml:space="preserve">            EMPLOYEE TRAININ</t>
  </si>
  <si>
    <t xml:space="preserve">        Total ADMIN &amp; GENERAL</t>
  </si>
  <si>
    <t xml:space="preserve">        ADVERTISING &amp; MARKETING</t>
  </si>
  <si>
    <t>5606</t>
  </si>
  <si>
    <t xml:space="preserve">            TENANT REFERRALS</t>
  </si>
  <si>
    <t>5610</t>
  </si>
  <si>
    <t xml:space="preserve">            OTHER ADVERTISING</t>
  </si>
  <si>
    <t>5612</t>
  </si>
  <si>
    <t xml:space="preserve">            ZILLOW.COM</t>
  </si>
  <si>
    <t xml:space="preserve">        Total ADVERTISING &amp; MARKETING</t>
  </si>
  <si>
    <t xml:space="preserve">        MANAGEMENT</t>
  </si>
  <si>
    <t>6000</t>
  </si>
  <si>
    <t xml:space="preserve">            MANAGEMENT FEE</t>
  </si>
  <si>
    <t xml:space="preserve">        Total MANAGEMENT</t>
  </si>
  <si>
    <t xml:space="preserve">        UTILITIES</t>
  </si>
  <si>
    <t>5630</t>
  </si>
  <si>
    <t xml:space="preserve">            GAS</t>
  </si>
  <si>
    <t>5640</t>
  </si>
  <si>
    <t xml:space="preserve">            ELECTRIC</t>
  </si>
  <si>
    <t>5660</t>
  </si>
  <si>
    <t xml:space="preserve">            WATER</t>
  </si>
  <si>
    <t>5670</t>
  </si>
  <si>
    <t xml:space="preserve">            SEWER</t>
  </si>
  <si>
    <t xml:space="preserve">        Total UTILITIES</t>
  </si>
  <si>
    <t xml:space="preserve">        R/E TAXES</t>
  </si>
  <si>
    <t xml:space="preserve">            R/E TAXES-TOWN</t>
  </si>
  <si>
    <t>6301.01</t>
  </si>
  <si>
    <t xml:space="preserve">                REAL ESTATE TAX-TOWN-T/C/F</t>
  </si>
  <si>
    <t>6301.02</t>
  </si>
  <si>
    <t xml:space="preserve">                REAL ESTATE TAX TOWN-WATER</t>
  </si>
  <si>
    <t>6301.03</t>
  </si>
  <si>
    <t xml:space="preserve">                REALESTATE TAX-TOWN-SEWER</t>
  </si>
  <si>
    <t xml:space="preserve">            Total R/E TAXES-TOWN</t>
  </si>
  <si>
    <t>6302</t>
  </si>
  <si>
    <t xml:space="preserve">            R/E TAXES-SCHOOL</t>
  </si>
  <si>
    <t xml:space="preserve">        Total R/E TAXES</t>
  </si>
  <si>
    <t xml:space="preserve">        INSURANCE</t>
  </si>
  <si>
    <t>6371</t>
  </si>
  <si>
    <t xml:space="preserve">            HAZARD INS-PROP/GL</t>
  </si>
  <si>
    <t>6372</t>
  </si>
  <si>
    <t xml:space="preserve">            HAZARD INS-AUTO</t>
  </si>
  <si>
    <t>6375</t>
  </si>
  <si>
    <t xml:space="preserve">            HAZARD INS-UMBRELLA</t>
  </si>
  <si>
    <t xml:space="preserve">        Total INSURANCE</t>
  </si>
  <si>
    <t xml:space="preserve">    Total Operating Expense</t>
  </si>
  <si>
    <t xml:space="preserve">    NOI - Net Operating Income</t>
  </si>
  <si>
    <t>Other Income &amp; Expense</t>
  </si>
  <si>
    <t xml:space="preserve">    Other Income</t>
  </si>
  <si>
    <t>4122</t>
  </si>
  <si>
    <t xml:space="preserve">        INT INC-M&amp;T ESCROW ACCT</t>
  </si>
  <si>
    <t>4142</t>
  </si>
  <si>
    <t xml:space="preserve">        MISC INC--INTERST BOA ML xx152</t>
  </si>
  <si>
    <t>4226</t>
  </si>
  <si>
    <t xml:space="preserve">        UNREALIZED GAIN / LOSS ML&amp;SS HVP</t>
  </si>
  <si>
    <t>4227</t>
  </si>
  <si>
    <t xml:space="preserve">        REALIZED GAIN/LOSS STATE ST HVP</t>
  </si>
  <si>
    <t xml:space="preserve">    Total Other Income</t>
  </si>
  <si>
    <t xml:space="preserve">    Other Expense</t>
  </si>
  <si>
    <t xml:space="preserve">        OTHER EXPENSES FEES</t>
  </si>
  <si>
    <t>6042</t>
  </si>
  <si>
    <t xml:space="preserve">            INVESTMENT FEE ( BOA ML)</t>
  </si>
  <si>
    <t xml:space="preserve">        Total OTHER EXPENSES FEES</t>
  </si>
  <si>
    <t xml:space="preserve">        DEBT SERVICE</t>
  </si>
  <si>
    <t>6250</t>
  </si>
  <si>
    <t xml:space="preserve">            M&amp;T MRTG INT HVP</t>
  </si>
  <si>
    <t xml:space="preserve">        Total DEBT SERVICE</t>
  </si>
  <si>
    <t xml:space="preserve">        OTHER DEBT EXPENSES</t>
  </si>
  <si>
    <t>6251</t>
  </si>
  <si>
    <t xml:space="preserve">            M&amp;T MTRG MIP</t>
  </si>
  <si>
    <t xml:space="preserve">        Total OTHER DEBT EXPENSES</t>
  </si>
  <si>
    <t xml:space="preserve">        DEPRECIATION</t>
  </si>
  <si>
    <t>6350</t>
  </si>
  <si>
    <t xml:space="preserve">            DEPRECIATION EXPENSE</t>
  </si>
  <si>
    <t>6360</t>
  </si>
  <si>
    <t xml:space="preserve">            AMORTIZATION</t>
  </si>
  <si>
    <t xml:space="preserve">        Total DEPRECIATION</t>
  </si>
  <si>
    <t xml:space="preserve">        CAPITAL IMPROVEMENT</t>
  </si>
  <si>
    <t>5404</t>
  </si>
  <si>
    <t xml:space="preserve">            BUILDING IMPROVEMENTS</t>
  </si>
  <si>
    <t>5405</t>
  </si>
  <si>
    <t xml:space="preserve">            APARTMENT IMPROVEMENTS</t>
  </si>
  <si>
    <t>5415</t>
  </si>
  <si>
    <t xml:space="preserve">            BATHROOMS IMPROVEMENTS</t>
  </si>
  <si>
    <t>5422</t>
  </si>
  <si>
    <t xml:space="preserve">            PLMBG &amp; HEATING IMPROVEMENTS</t>
  </si>
  <si>
    <t>5425</t>
  </si>
  <si>
    <t xml:space="preserve">            KITCHENS IMPROVEMENTS</t>
  </si>
  <si>
    <t>5460</t>
  </si>
  <si>
    <t xml:space="preserve">            APPLIANCE IMPROVEMENTS &amp; PARTS</t>
  </si>
  <si>
    <t>5520</t>
  </si>
  <si>
    <t xml:space="preserve">            GROUNDS &amp; STREET IMPROVEMENTS</t>
  </si>
  <si>
    <t xml:space="preserve">        Total CAPITAL IMPROVEMENT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</si>
  <si>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</si>
  <si>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</si>
  <si>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</si>
  <si>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</si>
  <si>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</si>
  <si>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t>occupied</t>
  </si>
  <si>
    <t>vacant</t>
  </si>
  <si>
    <t>Hudson View Park</t>
  </si>
  <si>
    <t>Beacon, NY 12508</t>
  </si>
  <si>
    <t>https://www.hudsonhp.com/hudson-view-park</t>
  </si>
  <si>
    <t>Dutchess, NY</t>
  </si>
  <si>
    <t>Max IP Rent</t>
  </si>
  <si>
    <t>Min IP Rent</t>
  </si>
  <si>
    <t>Studio - Small, Gold</t>
  </si>
  <si>
    <t>Studio - Small, Platinum</t>
  </si>
  <si>
    <t>Studio - Medium, Gold</t>
  </si>
  <si>
    <t>Studio - Medium, Platinum</t>
  </si>
  <si>
    <t>Studio - Medium, Silver</t>
  </si>
  <si>
    <t>Studio - Large, Gold</t>
  </si>
  <si>
    <t>Studio - Large, Platinum</t>
  </si>
  <si>
    <t>Studio - Large, Silver</t>
  </si>
  <si>
    <t>1BD - Small I, Gold</t>
  </si>
  <si>
    <t>1BD - Small I, Platinum</t>
  </si>
  <si>
    <t>1BD - Small II, Gold</t>
  </si>
  <si>
    <t>1BD - Small II, Platinum</t>
  </si>
  <si>
    <t>1BD - Small II, Silver</t>
  </si>
  <si>
    <t>1BD - Small III, Gold</t>
  </si>
  <si>
    <t>1BD - Small III, Platinum</t>
  </si>
  <si>
    <t>1BD - Small III, Silver</t>
  </si>
  <si>
    <t>1BD - Split, Gold</t>
  </si>
  <si>
    <t>1BD - Split, Platinum</t>
  </si>
  <si>
    <t>1BD - Split, Silver</t>
  </si>
  <si>
    <t>1BD - Medium, Gold</t>
  </si>
  <si>
    <t>1BD - Medium, Platinum</t>
  </si>
  <si>
    <t>1BD - Medium, Silver</t>
  </si>
  <si>
    <t>1BD - Large , Gold</t>
  </si>
  <si>
    <t>1BD - Large, Platinum</t>
  </si>
  <si>
    <t>1BD - Large, Silver</t>
  </si>
  <si>
    <t>1BD - HalfMoon 10.5, Gold</t>
  </si>
  <si>
    <t>1BD - HalfMoon 6.5, Platinum</t>
  </si>
  <si>
    <t>2BD - Small, Gold</t>
  </si>
  <si>
    <t>2BD - Small, Platinum</t>
  </si>
  <si>
    <t>2BD - Small, Silver</t>
  </si>
  <si>
    <t>2BD TH - Small, Gold</t>
  </si>
  <si>
    <t>2BD TH - Small, Platinum</t>
  </si>
  <si>
    <t>2BD - Split, Gold</t>
  </si>
  <si>
    <t>2BD TH - Large, Gold</t>
  </si>
  <si>
    <t>2BD TH L, S</t>
  </si>
  <si>
    <t>2BD - Medium, Gold</t>
  </si>
  <si>
    <t>2BD - Medium, Platinum</t>
  </si>
  <si>
    <t>2BD - Medium, Silver</t>
  </si>
  <si>
    <t>2BD - Large, Gold</t>
  </si>
  <si>
    <t>2BD - Large, Platinum</t>
  </si>
  <si>
    <t>2BD - Large, Silver</t>
  </si>
  <si>
    <t>2BD - HalfMoon 10, Silver</t>
  </si>
  <si>
    <t>2BD - HalfMoon 4, Silver</t>
  </si>
  <si>
    <t>3BD TH - Small, Gold</t>
  </si>
  <si>
    <t>3BD TH - Small, Platinum</t>
  </si>
  <si>
    <t>3BD TH - Small, Silver</t>
  </si>
  <si>
    <t>3BD TH - Medium + Den, Gold</t>
  </si>
  <si>
    <t>3BD TH - Large, Gold</t>
  </si>
  <si>
    <t>3BD TH - Large, Silver</t>
  </si>
  <si>
    <t>3BD, Gold</t>
  </si>
  <si>
    <t>3BD TH - Large, Platinum</t>
  </si>
  <si>
    <t>3BD - HalfMoon 12, Gold</t>
  </si>
  <si>
    <t>3BD - HalfMoon 2, Platinum</t>
  </si>
  <si>
    <t>4BD TH -, Gold</t>
  </si>
  <si>
    <t>4BD TH -, Silver</t>
  </si>
  <si>
    <t>4BD - HalfMoon 6, Gold</t>
  </si>
  <si>
    <t>4BD - HalfMoon 8, Gold</t>
  </si>
  <si>
    <t>Exclude</t>
  </si>
  <si>
    <t>Net Income</t>
  </si>
  <si>
    <t>Our pricing analysis considers the property’s attributes, current market dynamics, and recent comparable transactions. Drawing on these data points and our expertise, we have determined a market value range that best reflects current conditions.</t>
  </si>
  <si>
    <t>Parking Income</t>
  </si>
  <si>
    <t>Market Rents Less Gross Rents</t>
  </si>
  <si>
    <t>[Property 2 Name]</t>
  </si>
  <si>
    <t>Medium</t>
  </si>
  <si>
    <t>% of Unit Mix</t>
  </si>
  <si>
    <t>1BR</t>
  </si>
  <si>
    <t>2BR</t>
  </si>
  <si>
    <t>3BR</t>
  </si>
  <si>
    <t>4BR</t>
  </si>
  <si>
    <t>STABILIZED</t>
  </si>
  <si>
    <t>Annual Pmt</t>
  </si>
  <si>
    <t>UNIT MIX SUMMARY</t>
  </si>
  <si>
    <t>Google Maps Link</t>
  </si>
  <si>
    <t>www.google.com</t>
  </si>
  <si>
    <t>Stabilized CoC</t>
  </si>
  <si>
    <t>In-Place CoC</t>
  </si>
  <si>
    <t>Debt Yield</t>
  </si>
  <si>
    <t>Equity Summary</t>
  </si>
  <si>
    <t>T12</t>
  </si>
  <si>
    <t>Stabilized</t>
  </si>
  <si>
    <t>Interest Only</t>
  </si>
  <si>
    <t>Per SF</t>
  </si>
  <si>
    <t>Sq Ft</t>
  </si>
  <si>
    <t>Min Rent</t>
  </si>
  <si>
    <t>Max Rent</t>
  </si>
  <si>
    <t xml:space="preserve">In-Place Rent </t>
  </si>
  <si>
    <t>ICON UNIT TYPE</t>
  </si>
  <si>
    <t>Wtd Average</t>
  </si>
  <si>
    <t>YE 2023</t>
  </si>
  <si>
    <t>YE 2024</t>
  </si>
  <si>
    <t>--&gt; # to Choose UW Assumption</t>
  </si>
  <si>
    <t>EXCLUDE FROM OM</t>
  </si>
  <si>
    <t>INCLUDE IN OM</t>
  </si>
  <si>
    <t>Round Values:</t>
  </si>
  <si>
    <t>CapEx Required</t>
  </si>
  <si>
    <t>Cap Increments:</t>
  </si>
  <si>
    <t>In-Place Notes:</t>
  </si>
  <si>
    <t>- In-Place rental revenue from RR</t>
  </si>
  <si>
    <t>- OpEx is T12 Minus Exclusions on 'P&amp;L Detailed' Tab</t>
  </si>
  <si>
    <t>- OpEx from Column AD (T12 plus inflation or client override)</t>
  </si>
  <si>
    <t>Rent Inc &gt; IP --&gt;</t>
  </si>
  <si>
    <t>- In-Place rental revenue from RR plus market rates for vacant units, plus growth factor above</t>
  </si>
  <si>
    <t>Stabilized Notes:</t>
  </si>
  <si>
    <t>*Difference b/w Yr 1 &amp; Stabilzed is LTL and growth factors above</t>
  </si>
  <si>
    <t>DEAL SUMMARY</t>
  </si>
  <si>
    <t>Closing Costs</t>
  </si>
  <si>
    <t>Equity</t>
  </si>
  <si>
    <t>Choose if columns included in OM/BOV---&gt;</t>
  </si>
  <si>
    <t>ADJUSTED T12</t>
  </si>
  <si>
    <t>Rent Inc &gt; IP--&gt;</t>
  </si>
  <si>
    <t>IP Notes:</t>
  </si>
  <si>
    <t>--&gt; Default to $0</t>
  </si>
  <si>
    <t>--&gt; Default to 3.0%</t>
  </si>
  <si>
    <t>--&gt; Default to prior four quarter actuals</t>
  </si>
  <si>
    <t>**Enter Market Rents on 'Unit Mix' tab</t>
  </si>
  <si>
    <t>Last 4 Quarters</t>
  </si>
  <si>
    <t>2025 Q3 - 2026 Q2</t>
  </si>
  <si>
    <t>UNIT SUMMARY</t>
  </si>
  <si>
    <t>NOTES TO CONTENT/UW AUTHOR</t>
  </si>
  <si>
    <t>- Update Unit Mix table; delete unnecessary rows/cells, DO NOT HIDE</t>
  </si>
  <si>
    <t>- If there's only one unit type. No need to show the total row, so DELETE IT.</t>
  </si>
  <si>
    <t>- Add Retail, add Note: Retail units are excluded from Total/Wtd. Avg. Rent</t>
  </si>
  <si>
    <t>EXCLUDE</t>
  </si>
  <si>
    <t>Monthly</t>
  </si>
  <si>
    <t>Delta</t>
  </si>
  <si>
    <t>1 Bedroom</t>
  </si>
  <si>
    <t>2 Bedroom</t>
  </si>
  <si>
    <t>Total/Wtd. Avg.</t>
  </si>
  <si>
    <t>3 Bedroom</t>
  </si>
  <si>
    <t>4 Bedroom</t>
  </si>
  <si>
    <t>DATA CALLOUTS</t>
  </si>
  <si>
    <t>% Unit</t>
  </si>
  <si>
    <t>UNIT</t>
  </si>
  <si>
    <t>Lease Term</t>
  </si>
  <si>
    <t>Lease Exp</t>
  </si>
  <si>
    <t>COMMERCIAL UNIT SUMMARY</t>
  </si>
  <si>
    <t>Commercial Income</t>
  </si>
  <si>
    <t>Less Commercial Vacancy</t>
  </si>
  <si>
    <t>COMMERCIAL UNIT MIX SUMMARY</t>
  </si>
  <si>
    <t>delete this table if portfolio</t>
  </si>
  <si>
    <t>If deal is not portfolio, no need to fill out the property level tax  info grouped rows [delete this comment and the grouped rows]</t>
  </si>
  <si>
    <t>PORTFOLIO UNIT SUMMARY</t>
  </si>
  <si>
    <t>RENT COMPARABLES</t>
  </si>
  <si>
    <t>ADDRESS</t>
  </si>
  <si>
    <t>YEAR BUILT</t>
  </si>
  <si>
    <t># OF UNITS</t>
  </si>
  <si>
    <t>STORIES</t>
  </si>
  <si>
    <t>MO. RENT</t>
  </si>
  <si>
    <t>AVG SF</t>
  </si>
  <si>
    <t>1 BEDROOM</t>
  </si>
  <si>
    <t>2 BEDROOM</t>
  </si>
  <si>
    <t>3 BEDROOM</t>
  </si>
  <si>
    <t>4 BEDROOM</t>
  </si>
  <si>
    <t>PROPERTY</t>
  </si>
  <si>
    <t>Google MyMaps Link:</t>
  </si>
  <si>
    <t>SALES COMPS</t>
  </si>
  <si>
    <t>Distance</t>
  </si>
  <si>
    <t>Property Type</t>
  </si>
  <si>
    <t>Cap Rate</t>
  </si>
  <si>
    <t>Sale Date</t>
  </si>
  <si>
    <t>Sale Price</t>
  </si>
  <si>
    <t>Price Per Unit</t>
  </si>
  <si>
    <t>Price PSF</t>
  </si>
  <si>
    <t>Sale Status</t>
  </si>
  <si>
    <t>Wtd Avg/Avg of Comps</t>
  </si>
  <si>
    <t>[Property Image]</t>
  </si>
  <si>
    <t>S</t>
  </si>
  <si>
    <t>29 Hudson View Drive</t>
  </si>
  <si>
    <t>COMPS AVG</t>
  </si>
  <si>
    <t>Annual</t>
  </si>
  <si>
    <t>Utilities</t>
  </si>
  <si>
    <t>--&gt; Use this line item if there is no breakdown of utilities in the T12/historical</t>
  </si>
  <si>
    <t>[Link to source file]</t>
  </si>
  <si>
    <t>Avg/Unit</t>
  </si>
  <si>
    <t>Oth Inc / OpEx Inc &gt; IP--&gt;</t>
  </si>
  <si>
    <t>See Commercial Unit Summary</t>
  </si>
  <si>
    <t>10-YEAR CASH FLOW</t>
  </si>
  <si>
    <t>% Growth / Assumption</t>
  </si>
  <si>
    <t>of Gross Rental Income</t>
  </si>
  <si>
    <t>of Commercial Income</t>
  </si>
  <si>
    <t>of EGI</t>
  </si>
  <si>
    <t>EGI</t>
  </si>
  <si>
    <t>LTL</t>
  </si>
  <si>
    <t>Stabilized %</t>
  </si>
  <si>
    <t>Yrs to Stabilize</t>
  </si>
  <si>
    <t>Storage Income</t>
  </si>
  <si>
    <t>OpEx</t>
  </si>
  <si>
    <t>RESIDENTIAL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</si>
</sst>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SF&quot;"/>
    <numFmt numFmtId="166" formatCode="0.0%"/>
    <numFmt numFmtId="167" formatCode="&quot;$&quot;#,##0"/>
    <numFmt numFmtId="168" formatCode="&quot;$&quot;#,##0.00"/>
    <numFmt numFmtId="169" formatCode="[$-409]mmm\-yy;@"/>
    <numFmt numFmtId="170" formatCode="[$$-409]#,##0"/>
    <numFmt numFmtId="171" formatCode="#,##0;[Red]#,##0"/>
    <numFmt numFmtId="172" formatCode="0.00\ &quot;acres&quot;"/>
    <numFmt numFmtId="173" formatCode="mm\/dd\/yyyy"/>
    <numFmt numFmtId="174" formatCode="#0%\ &quot;of Purchase Price&quot;"/>
    <numFmt numFmtId="175" formatCode="&quot;$&quot;#,##0;[Red]&quot;$&quot;#,##0"/>
    <numFmt numFmtId="176" formatCode="\$#,##0"/>
    <numFmt numFmtId="177" formatCode="_([$$-409]* #,##0.00_);_([$$-409]* \(#,##0.00\);_([$$-409]* &quot;-&quot;??_);_(@_)"/>
    <numFmt numFmtId="178" formatCode="General_)"/>
    <numFmt numFmtId="179" formatCode="[$-409]mmm\-yyyy;@"/>
    <numFmt numFmtId="180" formatCode="_(* #,##0_);_(* \(#,##0\);_(* &quot;-&quot;??_);_(@_)"/>
    <numFmt numFmtId="181" formatCode="0.0"/>
    <numFmt numFmtId="182" formatCode="[$$-409]#,##0_);\([$$-409]#,##0\)"/>
    <numFmt numFmtId="183" formatCode="[$$-409]#,##0;[Red][$$-409]#,##0"/>
    <numFmt numFmtId="184" formatCode="[$$-409]#,##0.00"/>
    <numFmt numFmtId="185" formatCode="&quot;As of &quot;mm/dd/yyyy"/>
    <numFmt numFmtId="186" formatCode="0.000%"/>
    <numFmt numFmtId="187" formatCode="#,##0\ &quot;Units&quot;"/>
    <numFmt numFmtId="188" formatCode="&quot;T12 + [&quot;0.0\]%"/>
    <numFmt numFmtId="189" formatCode="0.0000000%"/>
    <numFmt numFmtId="190" formatCode="#\ &quot;Units&quot;"/>
    <numFmt numFmtId="191" formatCode="#0\ &quot;Units&quot;"/>
    <numFmt numFmtId="192" formatCode="##\-#"/>
    <numFmt numFmtId="193" formatCode="0.0\ &quot;mi&quot;"/>
    <numFmt numFmtId="194" formatCode="0.00\x"/>
    <numFmt numFmtId="195" formatCode="&quot;Property &quot;\ #"/>
    <numFmt numFmtId="196" formatCode="0.0000"/>
    <numFmt numFmtId="197" formatCode="&quot;Lease&quot;\ #"/>
    <numFmt numFmtId="198" formatCode="0.00%\ &quot;Increase&quot;"/>
    <numFmt numFmtId="199" formatCode="#,##0\ &quot;Months&quot;"/>
    <numFmt numFmtId="200" formatCode="&quot;IN-PLACE + [&quot;0.0\]%"/>
    <numFmt numFmtId="201" formatCode="&quot;$&quot;#,000&quot;/Unit&quot;"/>
    <numFmt numFmtId="202" formatCode="&quot;$&quot;#,##0&quot;/Unit&quot;"/>
    <numFmt numFmtId="203" formatCode="#,##0\ &quot;Years&quot;"/>
    <numFmt numFmtId="204" formatCode="#\ &quot;Unit&quot;"/>
    <numFmt numFmtId="205" formatCode="##,##0\ &quot;SF&quot;"/>
    <numFmt numFmtId="206" formatCode="mm/dd/yyyy;@"/>
    <numFmt numFmtId="207" formatCode="&quot;$&quot;#,##0\ &quot;PSF&quot;"/>
    <numFmt numFmtId="208" formatCode="#0\ &quot;Commercial&quot;"/>
    <numFmt numFmtId="209" formatCode="#,##0\ &quot;Residential&quot;"/>
    <numFmt numFmtId="210" formatCode="&quot;YEAR&quot;\ #"/>
  </numFmts>
  <fonts count="2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u/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10"/>
      <name val="Times New Roman"/>
      <family val="1"/>
    </font>
    <font>
      <sz val="11"/>
      <name val="Tms Rmn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name val="MS Sans Serif"/>
      <family val="2"/>
    </font>
    <font>
      <sz val="12"/>
      <name val="Times New Roman"/>
      <family val="1"/>
    </font>
    <font>
      <b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 tint="0.499984740745262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3"/>
      <name val="Calibri"/>
      <family val="2"/>
    </font>
    <font>
      <i/>
      <sz val="11"/>
      <color theme="1"/>
      <name val="Calibri"/>
      <family val="2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3"/>
      <name val="Calibri"/>
      <family val="2"/>
      <scheme val="minor"/>
    </font>
    <font>
      <b/>
      <i/>
      <sz val="13"/>
      <color theme="1" tint="0.499984740745262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8.25"/>
      <color rgb="FF000000"/>
      <name val="Microsoft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0"/>
      <color rgb="FF0000FF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1"/>
    </font>
    <font>
      <sz val="10"/>
      <name val="Courier"/>
    </font>
    <font>
      <sz val="11"/>
      <color indexed="8"/>
      <name val="Calibri"/>
      <family val="2"/>
    </font>
    <font>
      <sz val="10"/>
      <name val="Helv"/>
    </font>
    <font>
      <sz val="10"/>
      <color rgb="FF0432FF"/>
      <name val="Calibri"/>
      <family val="2"/>
      <scheme val="minor"/>
    </font>
    <font>
      <sz val="10"/>
      <color theme="9" tint="0.5999938962981048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u val="singleAccounting"/>
      <sz val="12"/>
      <color rgb="FF00000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 val="singleAccounting"/>
      <sz val="12"/>
      <color rgb="FF0432FF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u val="singleAccounting"/>
      <sz val="12"/>
      <color theme="9" tint="0.7999816888943144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rgb="FFB4DE86"/>
      <name val="Calibri"/>
      <family val="2"/>
      <scheme val="minor"/>
    </font>
    <font>
      <b/>
      <sz val="10"/>
      <color theme="9" tint="0.59999389629810485"/>
      <name val="Calibri"/>
      <family val="2"/>
      <scheme val="minor"/>
    </font>
    <font>
      <sz val="10"/>
      <color rgb="FF00B050"/>
      <name val="Calibri"/>
      <family val="2"/>
      <scheme val="minor"/>
    </font>
    <font>
      <b/>
      <u val="singleAccounting"/>
      <sz val="10"/>
      <color theme="0"/>
      <name val="Calibri"/>
      <family val="2"/>
      <scheme val="minor"/>
    </font>
    <font>
      <b/>
      <sz val="15"/>
      <color rgb="FFFF0000"/>
      <name val="Calibri"/>
      <family val="2"/>
    </font>
    <font>
      <b/>
      <sz val="11"/>
      <color theme="0"/>
      <name val="Calibri"/>
      <family val="2"/>
    </font>
    <font>
      <sz val="11"/>
      <color rgb="FFB4DE86"/>
      <name val="Calibri"/>
      <family val="2"/>
    </font>
    <font>
      <b/>
      <i/>
      <sz val="15"/>
      <color rgb="FF808080"/>
      <name val="Calibri"/>
      <family val="2"/>
    </font>
    <font>
      <b/>
      <u val="singleAccounting"/>
      <sz val="12"/>
      <color theme="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color rgb="FF2501FD"/>
      <name val="Calibri"/>
      <family val="2"/>
    </font>
    <font>
      <b/>
      <sz val="10"/>
      <color rgb="FF0000FF"/>
      <name val="Calibri"/>
      <family val="2"/>
    </font>
    <font>
      <b/>
      <sz val="14"/>
      <color theme="1"/>
      <name val="Calibri"/>
      <family val="2"/>
    </font>
    <font>
      <b/>
      <u val="singleAccounting"/>
      <sz val="11"/>
      <color theme="0"/>
      <name val="Calibri"/>
      <family val="2"/>
    </font>
    <font>
      <b/>
      <u/>
      <sz val="11"/>
      <color theme="1"/>
      <name val="Calibri"/>
      <family val="2"/>
    </font>
    <font>
      <i/>
      <sz val="10"/>
      <name val="Calibri"/>
      <family val="2"/>
    </font>
    <font>
      <sz val="11"/>
      <color theme="9" tint="0.59999389629810485"/>
      <name val="Calibri"/>
      <family val="2"/>
    </font>
    <font>
      <i/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2" tint="-0.499984740745262"/>
      <name val="Calibri"/>
      <family val="2"/>
    </font>
    <font>
      <sz val="11"/>
      <color theme="2" tint="-0.499984740745262"/>
      <name val="Calibri"/>
      <family val="2"/>
    </font>
    <font>
      <sz val="12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0" tint="-0.499984740745262"/>
      <name val="Calibri"/>
      <family val="2"/>
    </font>
    <font>
      <i/>
      <u val="singleAccounting"/>
      <sz val="10"/>
      <color rgb="FF000000"/>
      <name val="Calibri"/>
      <family val="2"/>
    </font>
    <font>
      <sz val="10"/>
      <color rgb="FFFF0000"/>
      <name val="Calibri"/>
      <family val="2"/>
    </font>
    <font>
      <i/>
      <sz val="10"/>
      <color rgb="FF000000"/>
      <name val="Calibri"/>
      <family val="2"/>
    </font>
    <font>
      <u val="singleAccounting"/>
      <sz val="10"/>
      <color rgb="FFFF0000"/>
      <name val="Calibri"/>
      <family val="2"/>
    </font>
    <font>
      <b/>
      <u val="singleAccounting"/>
      <sz val="10"/>
      <color rgb="FFFF0000"/>
      <name val="Calibri"/>
      <family val="2"/>
    </font>
    <font>
      <sz val="12"/>
      <name val="Calibri"/>
      <family val="2"/>
    </font>
    <font>
      <b/>
      <u val="singleAccounting"/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0"/>
      <name val="Calibri"/>
      <family val="2"/>
    </font>
    <font>
      <b/>
      <sz val="15"/>
      <color rgb="FFC00000"/>
      <name val="Calibri"/>
      <family val="2"/>
    </font>
    <font>
      <b/>
      <sz val="11"/>
      <color rgb="FF0000FF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rgb="FF0000FF"/>
      <name val="Calibri"/>
      <family val="2"/>
      <scheme val="minor"/>
    </font>
    <font>
      <sz val="26"/>
      <name val="Calibri"/>
      <family val="2"/>
      <scheme val="minor"/>
    </font>
    <font>
      <sz val="16"/>
      <name val="Calibri"/>
      <family val="2"/>
      <scheme val="minor"/>
    </font>
    <font>
      <b/>
      <i/>
      <sz val="15"/>
      <color rgb="FF80808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singleAccounting"/>
      <sz val="11"/>
      <color theme="0" tint="-0.1499984740745262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2501FD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5"/>
      <color rgb="FFFF0000"/>
      <name val="Calibri"/>
      <family val="2"/>
      <scheme val="minor"/>
    </font>
    <font>
      <b/>
      <i/>
      <sz val="15"/>
      <color theme="1" tint="0.499984740745262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11"/>
      <color rgb="FF92D050"/>
      <name val="Calibri"/>
      <family val="2"/>
    </font>
    <font>
      <sz val="11"/>
      <color theme="0"/>
      <name val="Calibri"/>
      <family val="2"/>
    </font>
    <font>
      <i/>
      <sz val="10"/>
      <color rgb="FF2501FD"/>
      <name val="Calibri"/>
      <family val="2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i/>
      <u val="singleAccounting"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B4DE86"/>
      <name val="Calibri"/>
      <family val="2"/>
      <scheme val="minor"/>
    </font>
    <font>
      <sz val="11"/>
      <color rgb="FFD9D9D9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rgb="FFD9D9D9"/>
      <name val="Calibri"/>
      <family val="2"/>
      <scheme val="minor"/>
    </font>
    <font>
      <sz val="11"/>
      <color rgb="FFB4DE86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i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sz val="13"/>
      <color rgb="FF303030"/>
      <name val="Arial"/>
      <family val="1"/>
    </font>
    <font>
      <sz val="11"/>
      <name val="Arial"/>
      <family val="2"/>
    </font>
    <font>
      <b/>
      <sz val="13"/>
      <color rgb="FF303030"/>
      <name val="Arial"/>
      <family val="1"/>
    </font>
    <font>
      <b/>
      <sz val="12"/>
      <color rgb="FF3764A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0000FF"/>
      <name val="Arial"/>
      <family val="1"/>
    </font>
    <font>
      <b/>
      <sz val="12"/>
      <color rgb="FF0000FF"/>
      <name val="Arial"/>
      <family val="1"/>
    </font>
    <font>
      <sz val="11"/>
      <color theme="2" tint="-0.14999847407452621"/>
      <name val="Calibri"/>
      <family val="2"/>
      <scheme val="minor"/>
    </font>
    <font>
      <sz val="11"/>
      <color rgb="FF80807D"/>
      <name val="Calibri"/>
      <family val="2"/>
      <scheme val="minor"/>
    </font>
    <font>
      <sz val="11"/>
      <color rgb="FF92D050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b/>
      <u val="singleAccounting"/>
      <sz val="10"/>
      <name val="Calibri"/>
      <family val="2"/>
    </font>
    <font>
      <b/>
      <u val="singleAccounting"/>
      <sz val="10"/>
      <color rgb="FF0432FF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i/>
      <sz val="11"/>
      <name val="Calibri"/>
      <family val="2"/>
    </font>
    <font>
      <b/>
      <i/>
      <sz val="9"/>
      <name val="Calibri"/>
      <family val="2"/>
    </font>
    <font>
      <i/>
      <u/>
      <sz val="11"/>
      <color rgb="FF000000"/>
      <name val="Calibri"/>
      <family val="2"/>
      <scheme val="minor"/>
    </font>
    <font>
      <b/>
      <i/>
      <sz val="10"/>
      <color theme="8" tint="0.39997558519241921"/>
      <name val="Calibri"/>
      <family val="2"/>
      <scheme val="minor"/>
    </font>
    <font>
      <sz val="10"/>
      <color theme="8" tint="0.39997558519241921"/>
      <name val="Calibri"/>
      <family val="2"/>
      <scheme val="minor"/>
    </font>
    <font>
      <b/>
      <u val="singleAccounting"/>
      <sz val="10"/>
      <color theme="8" tint="0.39997558519241921"/>
      <name val="Calibri"/>
      <family val="2"/>
      <scheme val="minor"/>
    </font>
    <font>
      <b/>
      <sz val="10"/>
      <color theme="8" tint="0.39997558519241921"/>
      <name val="Calibri"/>
      <family val="2"/>
      <scheme val="minor"/>
    </font>
    <font>
      <sz val="14"/>
      <color theme="7" tint="0.79998168889431442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sz val="8"/>
      <color theme="9"/>
      <name val="Calibri"/>
      <family val="2"/>
      <scheme val="minor"/>
    </font>
    <font>
      <u val="singleAccounting"/>
      <sz val="11"/>
      <color theme="0"/>
      <name val="Calibri"/>
      <family val="2"/>
      <scheme val="minor"/>
    </font>
    <font>
      <sz val="13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808080"/>
      <name val="Calibri"/>
      <family val="2"/>
      <scheme val="minor"/>
    </font>
    <font>
      <sz val="10"/>
      <color theme="6" tint="0.3999755851924192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 val="singleAccounting"/>
      <sz val="11"/>
      <name val="Calibri"/>
      <family val="2"/>
    </font>
    <font>
      <b/>
      <i/>
      <u val="singleAccounting"/>
      <sz val="11"/>
      <name val="Calibri"/>
      <family val="2"/>
    </font>
    <font>
      <sz val="13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6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51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0678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42D62"/>
        <bgColor indexed="64"/>
      </patternFill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  <fill>
      <patternFill patternType="solid">
        <fgColor rgb="FF993300"/>
        <bgColor indexed="64"/>
      </patternFill>
    </fill>
    <fill>
      <patternFill patternType="solid">
        <fgColor theme="8" tint="-0.249977111117893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/>
      <right/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thick">
        <color theme="4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theme="9" tint="0.79992065187536243"/>
      </left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 style="dotted">
        <color theme="0" tint="-0.24994659260841701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DotDot">
        <color auto="1"/>
      </right>
      <top style="dashDotDot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mediumDashDotDot">
        <color auto="1"/>
      </left>
      <right/>
      <top style="mediumDashDotDot">
        <color auto="1"/>
      </top>
      <bottom style="mediumDashDotDot">
        <color auto="1"/>
      </bottom>
      <diagonal/>
    </border>
    <border>
      <left/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 style="dashed">
        <color auto="1"/>
      </left>
      <right/>
      <top style="thin">
        <color indexed="64"/>
      </top>
      <bottom/>
      <diagonal/>
    </border>
    <border>
      <left/>
      <right style="dashed">
        <color auto="1"/>
      </right>
      <top style="thin">
        <color indexed="64"/>
      </top>
      <bottom/>
      <diagonal/>
    </border>
    <border>
      <left style="dashDotDot">
        <color auto="1"/>
      </left>
      <right style="dashDotDot">
        <color auto="1"/>
      </right>
      <top style="thin">
        <color indexed="64"/>
      </top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dashDotDot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/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dashDotDot">
        <color rgb="FFEAEAEA"/>
      </left>
      <right/>
      <top style="dashDotDot">
        <color rgb="FFEAEAEA"/>
      </top>
      <bottom/>
      <diagonal/>
    </border>
    <border>
      <left/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/>
      <top/>
      <bottom style="dashDotDot">
        <color rgb="FFEAEAEA"/>
      </bottom>
      <diagonal/>
    </border>
    <border>
      <left/>
      <right style="dashDotDot">
        <color rgb="FFEAEAEA"/>
      </right>
      <top/>
      <bottom style="dashDotDot">
        <color rgb="FFEAEAEA"/>
      </bottom>
      <diagonal/>
    </border>
    <border>
      <left style="dashDotDot">
        <color rgb="FFEAEAEA"/>
      </left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 style="dashDotDot">
        <color rgb="FFEAEAEA"/>
      </right>
      <top/>
      <bottom/>
      <diagonal/>
    </border>
    <border>
      <left style="dashDotDot">
        <color rgb="FFEAEAEA"/>
      </left>
      <right style="dashDotDot">
        <color rgb="FFEAEAEA"/>
      </right>
      <top/>
      <bottom style="dashDotDot">
        <color rgb="FFEAEAEA"/>
      </bottom>
      <diagonal/>
    </border>
    <border>
      <left style="mediumDashDotDot">
        <color theme="4" tint="0.79998168889431442"/>
      </left>
      <right style="mediumDashDotDot">
        <color theme="4" tint="0.79998168889431442"/>
      </right>
      <top style="mediumDashDotDot">
        <color theme="4" tint="0.79998168889431442"/>
      </top>
      <bottom/>
      <diagonal/>
    </border>
    <border>
      <left style="mediumDashDotDot">
        <color theme="4" tint="0.79998168889431442"/>
      </left>
      <right style="mediumDashDotDot">
        <color theme="4" tint="0.79998168889431442"/>
      </right>
      <top/>
      <bottom style="mediumDashDotDot">
        <color theme="4" tint="0.79998168889431442"/>
      </bottom>
      <diagonal/>
    </border>
    <border>
      <left style="dashDotDot">
        <color rgb="FFEAEAEA"/>
      </left>
      <right/>
      <top style="dashDotDot">
        <color rgb="FFEAEAEA"/>
      </top>
      <bottom style="dashDotDot">
        <color rgb="FFEAEAEA"/>
      </bottom>
      <diagonal/>
    </border>
    <border>
      <left/>
      <right style="dashDotDot">
        <color rgb="FFEAEAEA"/>
      </right>
      <top style="dashDotDot">
        <color rgb="FFEAEAEA"/>
      </top>
      <bottom style="dashDotDot">
        <color rgb="FFEAEAEA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/>
      </top>
      <bottom style="thin">
        <color rgb="FF051243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0" fillId="0" borderId="0">
      <alignment vertical="center"/>
    </xf>
    <xf numFmtId="0" fontId="11" fillId="0" borderId="0" applyNumberFormat="0" applyBorder="0" applyAlignment="0"/>
    <xf numFmtId="43" fontId="9" fillId="0" borderId="0" applyFont="0" applyFill="0" applyBorder="0" applyAlignment="0" applyProtection="0"/>
    <xf numFmtId="0" fontId="10" fillId="0" borderId="0"/>
    <xf numFmtId="0" fontId="9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0" fontId="1" fillId="0" borderId="0"/>
    <xf numFmtId="0" fontId="12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77" fontId="1" fillId="0" borderId="0"/>
    <xf numFmtId="177" fontId="10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8" fontId="16" fillId="0" borderId="0"/>
    <xf numFmtId="179" fontId="10" fillId="0" borderId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6" fillId="0" borderId="0"/>
    <xf numFmtId="0" fontId="32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0" fillId="0" borderId="0">
      <alignment wrapText="1"/>
    </xf>
    <xf numFmtId="0" fontId="1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8" fontId="16" fillId="0" borderId="0"/>
    <xf numFmtId="0" fontId="1" fillId="0" borderId="0"/>
    <xf numFmtId="0" fontId="1" fillId="0" borderId="0"/>
    <xf numFmtId="0" fontId="38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44" fillId="0" borderId="1">
      <alignment horizontal="right"/>
    </xf>
    <xf numFmtId="0" fontId="12" fillId="0" borderId="0"/>
    <xf numFmtId="0" fontId="1" fillId="0" borderId="0"/>
    <xf numFmtId="44" fontId="10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0" fontId="10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5" fillId="0" borderId="0"/>
    <xf numFmtId="177" fontId="1" fillId="0" borderId="0"/>
    <xf numFmtId="43" fontId="1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53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0" fontId="59" fillId="0" borderId="0"/>
    <xf numFmtId="44" fontId="1" fillId="0" borderId="0" applyFont="0" applyFill="0" applyBorder="0" applyAlignment="0" applyProtection="0"/>
    <xf numFmtId="0" fontId="60" fillId="0" borderId="0"/>
    <xf numFmtId="0" fontId="62" fillId="0" borderId="0"/>
    <xf numFmtId="0" fontId="1" fillId="0" borderId="0"/>
    <xf numFmtId="0" fontId="22" fillId="0" borderId="0"/>
    <xf numFmtId="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4" fillId="0" borderId="0" applyAlignment="0"/>
    <xf numFmtId="0" fontId="66" fillId="0" borderId="0"/>
    <xf numFmtId="9" fontId="59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0" fontId="71" fillId="0" borderId="0"/>
    <xf numFmtId="0" fontId="72" fillId="0" borderId="0"/>
    <xf numFmtId="0" fontId="10" fillId="0" borderId="0"/>
    <xf numFmtId="0" fontId="2" fillId="0" borderId="1" applyNumberFormat="0" applyFill="0" applyAlignment="0" applyProtection="0"/>
    <xf numFmtId="0" fontId="73" fillId="0" borderId="0"/>
    <xf numFmtId="43" fontId="74" fillId="0" borderId="0" applyFont="0" applyFill="0" applyBorder="0" applyAlignment="0" applyProtection="0"/>
    <xf numFmtId="9" fontId="7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72" fillId="0" borderId="0"/>
    <xf numFmtId="0" fontId="1" fillId="0" borderId="0"/>
    <xf numFmtId="0" fontId="1" fillId="0" borderId="0"/>
    <xf numFmtId="0" fontId="11" fillId="0" borderId="0" applyBorder="0"/>
    <xf numFmtId="0" fontId="61" fillId="0" borderId="0"/>
    <xf numFmtId="0" fontId="22" fillId="0" borderId="0"/>
    <xf numFmtId="0" fontId="72" fillId="0" borderId="0"/>
    <xf numFmtId="9" fontId="10" fillId="0" borderId="0" applyFont="0" applyFill="0" applyBorder="0" applyAlignment="0" applyProtection="0"/>
    <xf numFmtId="0" fontId="10" fillId="0" borderId="0">
      <alignment wrapText="1"/>
    </xf>
    <xf numFmtId="0" fontId="38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128" fillId="0" borderId="0"/>
    <xf numFmtId="0" fontId="148" fillId="0" borderId="0"/>
    <xf numFmtId="0" fontId="10" fillId="0" borderId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/>
    <xf numFmtId="44" fontId="74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44" fontId="61" fillId="0" borderId="0" applyFont="0" applyFill="0" applyBorder="0" applyAlignment="0" applyProtection="0"/>
    <xf numFmtId="0" fontId="167" fillId="0" borderId="0"/>
    <xf numFmtId="0" fontId="168" fillId="0" borderId="0">
      <alignment vertical="top"/>
    </xf>
    <xf numFmtId="9" fontId="12" fillId="0" borderId="0" applyFont="0" applyFill="0" applyBorder="0" applyAlignment="0" applyProtection="0"/>
    <xf numFmtId="0" fontId="61" fillId="0" borderId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1" fillId="0" borderId="0" applyFont="0" applyFill="0" applyBorder="0" applyAlignment="0" applyProtection="0"/>
  </cellStyleXfs>
  <cellXfs count="1131">
    <xf numFmtId="0" fontId="0" fillId="0" borderId="0" xfId="0"/>
    <xf numFmtId="0" fontId="2" fillId="0" borderId="1" xfId="1"/>
    <xf numFmtId="0" fontId="0" fillId="0" borderId="0" xfId="0" applyAlignment="1">
      <alignment horizontal="center"/>
    </xf>
    <xf numFmtId="0" fontId="17" fillId="0" borderId="0" xfId="0" applyFont="1"/>
    <xf numFmtId="0" fontId="2" fillId="0" borderId="1" xfId="1" applyFill="1" applyAlignment="1">
      <alignment vertical="center"/>
    </xf>
    <xf numFmtId="0" fontId="33" fillId="0" borderId="1" xfId="1" applyFont="1" applyFill="1" applyAlignment="1">
      <alignment vertical="center"/>
    </xf>
    <xf numFmtId="0" fontId="2" fillId="0" borderId="1" xfId="1" applyFill="1"/>
    <xf numFmtId="0" fontId="6" fillId="0" borderId="0" xfId="42"/>
    <xf numFmtId="0" fontId="2" fillId="0" borderId="1" xfId="1" applyFill="1" applyAlignment="1">
      <alignment horizontal="center"/>
    </xf>
    <xf numFmtId="0" fontId="7" fillId="0" borderId="0" xfId="10" applyFont="1"/>
    <xf numFmtId="8" fontId="44" fillId="0" borderId="1" xfId="62" applyNumberFormat="1">
      <alignment horizontal="right"/>
    </xf>
    <xf numFmtId="0" fontId="2" fillId="0" borderId="0" xfId="1" applyFill="1" applyBorder="1"/>
    <xf numFmtId="0" fontId="2" fillId="0" borderId="1" xfId="1" applyFill="1" applyAlignment="1">
      <alignment horizontal="left"/>
    </xf>
    <xf numFmtId="0" fontId="48" fillId="0" borderId="1" xfId="1" applyFont="1" applyFill="1"/>
    <xf numFmtId="14" fontId="48" fillId="0" borderId="1" xfId="1" applyNumberFormat="1" applyFont="1" applyFill="1" applyAlignment="1">
      <alignment horizontal="center"/>
    </xf>
    <xf numFmtId="177" fontId="0" fillId="0" borderId="0" xfId="24" applyFont="1"/>
    <xf numFmtId="177" fontId="0" fillId="0" borderId="0" xfId="24" applyFont="1" applyAlignment="1">
      <alignment vertical="center"/>
    </xf>
    <xf numFmtId="177" fontId="54" fillId="0" borderId="0" xfId="24" applyFont="1"/>
    <xf numFmtId="185" fontId="7" fillId="0" borderId="0" xfId="25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58" fillId="0" borderId="1" xfId="1" applyFont="1" applyAlignment="1">
      <alignment horizontal="right"/>
    </xf>
    <xf numFmtId="0" fontId="55" fillId="0" borderId="0" xfId="0" applyFont="1"/>
    <xf numFmtId="0" fontId="0" fillId="0" borderId="0" xfId="0" applyAlignment="1">
      <alignment horizontal="left" indent="1"/>
    </xf>
    <xf numFmtId="0" fontId="1" fillId="0" borderId="0" xfId="56"/>
    <xf numFmtId="0" fontId="78" fillId="0" borderId="0" xfId="56" applyFont="1" applyAlignment="1">
      <alignment vertical="center"/>
    </xf>
    <xf numFmtId="0" fontId="79" fillId="0" borderId="0" xfId="8" applyFont="1"/>
    <xf numFmtId="0" fontId="3" fillId="0" borderId="0" xfId="56" applyFont="1"/>
    <xf numFmtId="0" fontId="5" fillId="0" borderId="0" xfId="7" applyFont="1">
      <alignment vertical="center"/>
    </xf>
    <xf numFmtId="0" fontId="65" fillId="0" borderId="0" xfId="8" applyFont="1"/>
    <xf numFmtId="0" fontId="65" fillId="0" borderId="0" xfId="8" applyFont="1" applyBorder="1"/>
    <xf numFmtId="0" fontId="81" fillId="0" borderId="0" xfId="7" applyFont="1" applyAlignment="1">
      <alignment horizontal="centerContinuous"/>
    </xf>
    <xf numFmtId="0" fontId="81" fillId="0" borderId="0" xfId="7" applyFont="1" applyAlignment="1">
      <alignment horizontal="centerContinuous" vertical="center"/>
    </xf>
    <xf numFmtId="0" fontId="82" fillId="0" borderId="0" xfId="8" applyFont="1" applyBorder="1" applyAlignment="1">
      <alignment horizontal="center" wrapText="1"/>
    </xf>
    <xf numFmtId="2" fontId="69" fillId="0" borderId="0" xfId="0" applyNumberFormat="1" applyFont="1" applyAlignment="1">
      <alignment horizontal="center"/>
    </xf>
    <xf numFmtId="166" fontId="69" fillId="0" borderId="0" xfId="0" applyNumberFormat="1" applyFont="1" applyAlignment="1">
      <alignment horizontal="center"/>
    </xf>
    <xf numFmtId="0" fontId="79" fillId="0" borderId="0" xfId="8" quotePrefix="1" applyFont="1"/>
    <xf numFmtId="0" fontId="24" fillId="0" borderId="0" xfId="7" applyFont="1">
      <alignment vertical="center"/>
    </xf>
    <xf numFmtId="169" fontId="83" fillId="2" borderId="0" xfId="7" quotePrefix="1" applyNumberFormat="1" applyFont="1" applyFill="1" applyAlignment="1">
      <alignment horizontal="left" vertical="center" wrapText="1"/>
    </xf>
    <xf numFmtId="0" fontId="84" fillId="0" borderId="0" xfId="8" applyFont="1"/>
    <xf numFmtId="188" fontId="85" fillId="0" borderId="0" xfId="8" applyNumberFormat="1" applyFont="1" applyBorder="1" applyAlignment="1">
      <alignment horizontal="center" wrapText="1"/>
    </xf>
    <xf numFmtId="3" fontId="39" fillId="0" borderId="0" xfId="7" applyNumberFormat="1" applyFont="1">
      <alignment vertical="center"/>
    </xf>
    <xf numFmtId="3" fontId="37" fillId="0" borderId="0" xfId="7" applyNumberFormat="1" applyFont="1" applyAlignment="1">
      <alignment horizontal="centerContinuous"/>
    </xf>
    <xf numFmtId="3" fontId="81" fillId="0" borderId="0" xfId="7" applyNumberFormat="1" applyFont="1" applyAlignment="1">
      <alignment horizontal="centerContinuous" vertical="center"/>
    </xf>
    <xf numFmtId="0" fontId="57" fillId="0" borderId="0" xfId="7" applyFont="1">
      <alignment vertical="center"/>
    </xf>
    <xf numFmtId="0" fontId="86" fillId="0" borderId="0" xfId="8" applyFont="1"/>
    <xf numFmtId="0" fontId="70" fillId="0" borderId="0" xfId="7" applyFont="1" applyAlignment="1">
      <alignment horizontal="left" vertical="center"/>
    </xf>
    <xf numFmtId="3" fontId="8" fillId="0" borderId="0" xfId="7" applyNumberFormat="1" applyFont="1">
      <alignment vertical="center"/>
    </xf>
    <xf numFmtId="3" fontId="8" fillId="0" borderId="35" xfId="7" applyNumberFormat="1" applyFont="1" applyBorder="1" applyAlignment="1">
      <alignment horizontal="center" vertical="center"/>
    </xf>
    <xf numFmtId="3" fontId="8" fillId="0" borderId="36" xfId="7" applyNumberFormat="1" applyFont="1" applyBorder="1" applyAlignment="1">
      <alignment horizontal="center" vertical="center"/>
    </xf>
    <xf numFmtId="0" fontId="65" fillId="0" borderId="0" xfId="56" applyFont="1" applyAlignment="1">
      <alignment horizontal="left" vertical="center" indent="1"/>
    </xf>
    <xf numFmtId="170" fontId="7" fillId="0" borderId="0" xfId="7" applyNumberFormat="1" applyFont="1" applyAlignment="1">
      <alignment horizontal="right" vertical="center" indent="1"/>
    </xf>
    <xf numFmtId="0" fontId="39" fillId="0" borderId="0" xfId="7" applyFont="1" applyAlignment="1">
      <alignment horizontal="left" vertical="center"/>
    </xf>
    <xf numFmtId="0" fontId="65" fillId="0" borderId="0" xfId="56" applyFont="1" applyAlignment="1">
      <alignment horizontal="left" vertical="center" indent="2"/>
    </xf>
    <xf numFmtId="3" fontId="7" fillId="0" borderId="0" xfId="7" applyNumberFormat="1" applyFont="1" applyAlignment="1">
      <alignment horizontal="right" vertical="center" indent="1"/>
    </xf>
    <xf numFmtId="166" fontId="36" fillId="0" borderId="0" xfId="31" applyNumberFormat="1" applyFont="1" applyFill="1" applyBorder="1" applyAlignment="1">
      <alignment horizontal="center" vertical="center"/>
    </xf>
    <xf numFmtId="0" fontId="35" fillId="0" borderId="0" xfId="8" applyFont="1" applyBorder="1" applyAlignment="1">
      <alignment horizontal="center"/>
    </xf>
    <xf numFmtId="8" fontId="3" fillId="10" borderId="0" xfId="56" applyNumberFormat="1" applyFont="1" applyFill="1" applyAlignment="1">
      <alignment horizontal="left" vertical="center"/>
    </xf>
    <xf numFmtId="170" fontId="8" fillId="10" borderId="0" xfId="7" applyNumberFormat="1" applyFont="1" applyFill="1" applyAlignment="1">
      <alignment horizontal="right" vertical="center" indent="1"/>
    </xf>
    <xf numFmtId="0" fontId="7" fillId="0" borderId="0" xfId="7" applyFont="1" applyAlignment="1">
      <alignment horizontal="left" vertical="center" indent="2"/>
    </xf>
    <xf numFmtId="171" fontId="30" fillId="0" borderId="0" xfId="7" applyNumberFormat="1" applyFont="1" applyAlignment="1">
      <alignment horizontal="right" vertical="center" indent="1"/>
    </xf>
    <xf numFmtId="0" fontId="70" fillId="0" borderId="0" xfId="7" applyFont="1">
      <alignment vertical="center"/>
    </xf>
    <xf numFmtId="171" fontId="8" fillId="0" borderId="0" xfId="7" applyNumberFormat="1" applyFont="1" applyAlignment="1">
      <alignment horizontal="right" vertical="center" indent="1"/>
    </xf>
    <xf numFmtId="188" fontId="88" fillId="0" borderId="0" xfId="8" applyNumberFormat="1" applyFont="1" applyBorder="1" applyAlignment="1">
      <alignment horizontal="center" wrapText="1"/>
    </xf>
    <xf numFmtId="0" fontId="90" fillId="0" borderId="0" xfId="7" applyFont="1" applyAlignment="1">
      <alignment horizontal="left" vertical="center"/>
    </xf>
    <xf numFmtId="8" fontId="3" fillId="0" borderId="0" xfId="56" applyNumberFormat="1" applyFont="1" applyAlignment="1">
      <alignment horizontal="left" vertical="center"/>
    </xf>
    <xf numFmtId="8" fontId="3" fillId="7" borderId="0" xfId="56" applyNumberFormat="1" applyFont="1" applyFill="1" applyAlignment="1">
      <alignment horizontal="left" vertical="center"/>
    </xf>
    <xf numFmtId="170" fontId="8" fillId="7" borderId="0" xfId="7" applyNumberFormat="1" applyFont="1" applyFill="1" applyAlignment="1">
      <alignment horizontal="right" vertical="center" indent="1"/>
    </xf>
    <xf numFmtId="0" fontId="40" fillId="0" borderId="0" xfId="10" applyFont="1"/>
    <xf numFmtId="4" fontId="5" fillId="0" borderId="0" xfId="7" applyNumberFormat="1" applyFont="1">
      <alignment vertical="center"/>
    </xf>
    <xf numFmtId="1" fontId="5" fillId="0" borderId="0" xfId="7" applyNumberFormat="1" applyFont="1">
      <alignment vertical="center"/>
    </xf>
    <xf numFmtId="1" fontId="76" fillId="0" borderId="0" xfId="7" applyNumberFormat="1" applyFont="1">
      <alignment vertical="center"/>
    </xf>
    <xf numFmtId="1" fontId="5" fillId="0" borderId="0" xfId="7" applyNumberFormat="1" applyFont="1" applyAlignment="1">
      <alignment horizontal="right" vertical="center" indent="1"/>
    </xf>
    <xf numFmtId="0" fontId="76" fillId="0" borderId="0" xfId="7" applyFont="1">
      <alignment vertical="center"/>
    </xf>
    <xf numFmtId="0" fontId="92" fillId="0" borderId="0" xfId="7" applyFont="1">
      <alignment vertical="center"/>
    </xf>
    <xf numFmtId="170" fontId="92" fillId="0" borderId="0" xfId="7" applyNumberFormat="1" applyFont="1">
      <alignment vertical="center"/>
    </xf>
    <xf numFmtId="170" fontId="93" fillId="0" borderId="0" xfId="7" applyNumberFormat="1" applyFont="1" applyAlignment="1">
      <alignment horizontal="right" vertical="center" indent="2"/>
    </xf>
    <xf numFmtId="166" fontId="5" fillId="0" borderId="0" xfId="7" applyNumberFormat="1" applyFont="1">
      <alignment vertical="center"/>
    </xf>
    <xf numFmtId="170" fontId="5" fillId="0" borderId="0" xfId="7" applyNumberFormat="1" applyFont="1">
      <alignment vertical="center"/>
    </xf>
    <xf numFmtId="189" fontId="5" fillId="0" borderId="0" xfId="76" applyNumberFormat="1" applyFont="1" applyAlignment="1">
      <alignment vertical="center"/>
    </xf>
    <xf numFmtId="184" fontId="5" fillId="0" borderId="0" xfId="7" applyNumberFormat="1" applyFont="1">
      <alignment vertical="center"/>
    </xf>
    <xf numFmtId="0" fontId="45" fillId="0" borderId="0" xfId="10" applyFont="1"/>
    <xf numFmtId="177" fontId="35" fillId="4" borderId="0" xfId="24" applyFont="1" applyFill="1"/>
    <xf numFmtId="0" fontId="1" fillId="0" borderId="0" xfId="34" applyAlignment="1">
      <alignment horizontal="center" vertical="center"/>
    </xf>
    <xf numFmtId="177" fontId="7" fillId="4" borderId="0" xfId="24" applyFont="1" applyFill="1"/>
    <xf numFmtId="0" fontId="1" fillId="0" borderId="0" xfId="34" applyAlignment="1">
      <alignment vertical="center"/>
    </xf>
    <xf numFmtId="177" fontId="54" fillId="11" borderId="0" xfId="24" applyFont="1" applyFill="1"/>
    <xf numFmtId="177" fontId="0" fillId="11" borderId="0" xfId="24" applyFont="1" applyFill="1" applyAlignment="1">
      <alignment vertical="center"/>
    </xf>
    <xf numFmtId="177" fontId="0" fillId="11" borderId="0" xfId="24" applyFont="1" applyFill="1"/>
    <xf numFmtId="0" fontId="4" fillId="0" borderId="0" xfId="10" applyFont="1"/>
    <xf numFmtId="0" fontId="48" fillId="0" borderId="1" xfId="1" applyFont="1"/>
    <xf numFmtId="0" fontId="96" fillId="0" borderId="1" xfId="1" applyFont="1" applyFill="1"/>
    <xf numFmtId="169" fontId="97" fillId="2" borderId="14" xfId="10" quotePrefix="1" applyNumberFormat="1" applyFont="1" applyFill="1" applyBorder="1" applyAlignment="1">
      <alignment horizontal="left" vertical="center"/>
    </xf>
    <xf numFmtId="3" fontId="4" fillId="0" borderId="15" xfId="10" applyNumberFormat="1" applyFont="1" applyBorder="1"/>
    <xf numFmtId="3" fontId="4" fillId="0" borderId="0" xfId="10" applyNumberFormat="1" applyFont="1"/>
    <xf numFmtId="3" fontId="4" fillId="0" borderId="0" xfId="10" applyNumberFormat="1" applyFont="1" applyAlignment="1">
      <alignment horizontal="right" indent="1"/>
    </xf>
    <xf numFmtId="0" fontId="67" fillId="0" borderId="0" xfId="10" applyFont="1"/>
    <xf numFmtId="3" fontId="4" fillId="0" borderId="0" xfId="42" applyNumberFormat="1" applyFont="1" applyAlignment="1">
      <alignment horizontal="left" indent="2"/>
    </xf>
    <xf numFmtId="0" fontId="98" fillId="0" borderId="0" xfId="10" applyFont="1"/>
    <xf numFmtId="0" fontId="48" fillId="0" borderId="1" xfId="1" applyFont="1" applyFill="1" applyAlignment="1">
      <alignment vertical="center"/>
    </xf>
    <xf numFmtId="0" fontId="99" fillId="0" borderId="1" xfId="1" applyFont="1" applyAlignment="1">
      <alignment horizontal="right"/>
    </xf>
    <xf numFmtId="167" fontId="102" fillId="0" borderId="0" xfId="10" applyNumberFormat="1" applyFont="1" applyAlignment="1">
      <alignment horizontal="right" vertical="center" indent="1"/>
    </xf>
    <xf numFmtId="167" fontId="63" fillId="0" borderId="0" xfId="10" applyNumberFormat="1" applyFont="1" applyAlignment="1">
      <alignment horizontal="right" vertical="center" indent="1"/>
    </xf>
    <xf numFmtId="0" fontId="107" fillId="0" borderId="7" xfId="10" applyFont="1" applyBorder="1" applyAlignment="1">
      <alignment horizontal="center" vertical="center"/>
    </xf>
    <xf numFmtId="0" fontId="47" fillId="0" borderId="0" xfId="61" applyFont="1"/>
    <xf numFmtId="0" fontId="47" fillId="0" borderId="0" xfId="61" applyFont="1" applyAlignment="1">
      <alignment horizontal="center"/>
    </xf>
    <xf numFmtId="0" fontId="49" fillId="0" borderId="0" xfId="61" applyFont="1"/>
    <xf numFmtId="14" fontId="48" fillId="0" borderId="1" xfId="1" applyNumberFormat="1" applyFont="1"/>
    <xf numFmtId="0" fontId="99" fillId="0" borderId="0" xfId="1" applyFont="1" applyBorder="1" applyAlignment="1">
      <alignment horizontal="right"/>
    </xf>
    <xf numFmtId="0" fontId="108" fillId="0" borderId="0" xfId="61" applyFont="1"/>
    <xf numFmtId="0" fontId="110" fillId="0" borderId="0" xfId="61" applyFont="1" applyAlignment="1">
      <alignment horizontal="center"/>
    </xf>
    <xf numFmtId="14" fontId="47" fillId="0" borderId="0" xfId="61" applyNumberFormat="1" applyFont="1" applyAlignment="1">
      <alignment horizontal="left" vertical="center" indent="1"/>
    </xf>
    <xf numFmtId="0" fontId="47" fillId="0" borderId="0" xfId="61" applyFont="1" applyAlignment="1">
      <alignment horizontal="left" vertical="center" indent="1"/>
    </xf>
    <xf numFmtId="190" fontId="47" fillId="0" borderId="0" xfId="61" applyNumberFormat="1" applyFont="1" applyAlignment="1">
      <alignment horizontal="right" vertical="center" indent="1"/>
    </xf>
    <xf numFmtId="165" fontId="47" fillId="0" borderId="0" xfId="61" applyNumberFormat="1" applyFont="1" applyAlignment="1">
      <alignment horizontal="right" vertical="center" indent="1"/>
    </xf>
    <xf numFmtId="167" fontId="47" fillId="0" borderId="0" xfId="61" applyNumberFormat="1" applyFont="1" applyAlignment="1">
      <alignment horizontal="right" vertical="center" indent="2"/>
    </xf>
    <xf numFmtId="0" fontId="104" fillId="8" borderId="0" xfId="61" applyFont="1" applyFill="1" applyAlignment="1">
      <alignment horizontal="left" vertical="center" indent="1"/>
    </xf>
    <xf numFmtId="190" fontId="104" fillId="8" borderId="0" xfId="61" applyNumberFormat="1" applyFont="1" applyFill="1" applyAlignment="1">
      <alignment horizontal="right" vertical="center" indent="1"/>
    </xf>
    <xf numFmtId="165" fontId="104" fillId="8" borderId="0" xfId="61" applyNumberFormat="1" applyFont="1" applyFill="1" applyAlignment="1">
      <alignment horizontal="right" vertical="center" indent="1"/>
    </xf>
    <xf numFmtId="167" fontId="104" fillId="8" borderId="0" xfId="61" applyNumberFormat="1" applyFont="1" applyFill="1" applyAlignment="1">
      <alignment horizontal="right" vertical="center" indent="2"/>
    </xf>
    <xf numFmtId="16" fontId="47" fillId="0" borderId="0" xfId="61" applyNumberFormat="1" applyFont="1"/>
    <xf numFmtId="0" fontId="47" fillId="0" borderId="0" xfId="61" applyFont="1" applyAlignment="1">
      <alignment vertical="center"/>
    </xf>
    <xf numFmtId="0" fontId="47" fillId="0" borderId="0" xfId="61" applyFont="1" applyAlignment="1">
      <alignment horizontal="right" vertical="center" indent="2"/>
    </xf>
    <xf numFmtId="0" fontId="47" fillId="0" borderId="0" xfId="61" applyFont="1" applyAlignment="1">
      <alignment horizontal="right" vertical="center" indent="1"/>
    </xf>
    <xf numFmtId="0" fontId="47" fillId="0" borderId="0" xfId="61" applyFont="1" applyAlignment="1">
      <alignment horizontal="right" vertical="center" indent="3"/>
    </xf>
    <xf numFmtId="0" fontId="104" fillId="4" borderId="0" xfId="61" applyFont="1" applyFill="1" applyAlignment="1">
      <alignment horizontal="left" vertical="center" indent="1"/>
    </xf>
    <xf numFmtId="0" fontId="47" fillId="4" borderId="0" xfId="61" applyFont="1" applyFill="1"/>
    <xf numFmtId="187" fontId="104" fillId="4" borderId="0" xfId="61" applyNumberFormat="1" applyFont="1" applyFill="1" applyAlignment="1">
      <alignment horizontal="right" indent="1"/>
    </xf>
    <xf numFmtId="166" fontId="104" fillId="4" borderId="0" xfId="61" applyNumberFormat="1" applyFont="1" applyFill="1" applyAlignment="1">
      <alignment horizontal="right" indent="1"/>
    </xf>
    <xf numFmtId="165" fontId="104" fillId="4" borderId="0" xfId="61" applyNumberFormat="1" applyFont="1" applyFill="1" applyAlignment="1">
      <alignment horizontal="right" indent="1"/>
    </xf>
    <xf numFmtId="167" fontId="104" fillId="4" borderId="0" xfId="61" applyNumberFormat="1" applyFont="1" applyFill="1" applyAlignment="1">
      <alignment horizontal="right" vertical="center" indent="1"/>
    </xf>
    <xf numFmtId="0" fontId="111" fillId="0" borderId="0" xfId="10" applyFont="1" applyAlignment="1">
      <alignment vertical="center"/>
    </xf>
    <xf numFmtId="0" fontId="113" fillId="0" borderId="0" xfId="61" applyFont="1"/>
    <xf numFmtId="168" fontId="112" fillId="0" borderId="0" xfId="61" applyNumberFormat="1" applyFont="1"/>
    <xf numFmtId="4" fontId="112" fillId="0" borderId="0" xfId="61" applyNumberFormat="1" applyFont="1"/>
    <xf numFmtId="4" fontId="47" fillId="0" borderId="0" xfId="61" applyNumberFormat="1" applyFont="1"/>
    <xf numFmtId="9" fontId="112" fillId="0" borderId="0" xfId="54" applyFont="1" applyBorder="1" applyAlignment="1">
      <alignment horizontal="center"/>
    </xf>
    <xf numFmtId="0" fontId="104" fillId="0" borderId="0" xfId="61" applyFont="1"/>
    <xf numFmtId="0" fontId="47" fillId="0" borderId="0" xfId="61" quotePrefix="1" applyFont="1"/>
    <xf numFmtId="3" fontId="47" fillId="0" borderId="0" xfId="61" applyNumberFormat="1" applyFont="1" applyAlignment="1">
      <alignment horizontal="right" indent="1"/>
    </xf>
    <xf numFmtId="4" fontId="47" fillId="0" borderId="0" xfId="61" quotePrefix="1" applyNumberFormat="1" applyFont="1"/>
    <xf numFmtId="166" fontId="47" fillId="0" borderId="0" xfId="54" quotePrefix="1" applyNumberFormat="1" applyFont="1" applyBorder="1"/>
    <xf numFmtId="166" fontId="47" fillId="0" borderId="0" xfId="54" applyNumberFormat="1" applyFont="1" applyBorder="1" applyAlignment="1">
      <alignment horizontal="right" indent="1"/>
    </xf>
    <xf numFmtId="3" fontId="47" fillId="0" borderId="0" xfId="61" quotePrefix="1" applyNumberFormat="1" applyFont="1"/>
    <xf numFmtId="3" fontId="47" fillId="0" borderId="0" xfId="61" applyNumberFormat="1" applyFont="1"/>
    <xf numFmtId="166" fontId="47" fillId="0" borderId="0" xfId="54" applyNumberFormat="1" applyFont="1" applyBorder="1"/>
    <xf numFmtId="0" fontId="104" fillId="0" borderId="0" xfId="61" quotePrefix="1" applyFont="1" applyAlignment="1">
      <alignment vertical="center"/>
    </xf>
    <xf numFmtId="0" fontId="109" fillId="6" borderId="0" xfId="47" applyFont="1" applyFill="1" applyAlignment="1">
      <alignment horizontal="left" vertical="center" indent="1"/>
    </xf>
    <xf numFmtId="0" fontId="109" fillId="6" borderId="0" xfId="47" applyFont="1" applyFill="1" applyAlignment="1">
      <alignment horizontal="center" vertical="center"/>
    </xf>
    <xf numFmtId="16" fontId="47" fillId="0" borderId="0" xfId="61" applyNumberFormat="1" applyFont="1" applyAlignment="1">
      <alignment horizontal="left" indent="1"/>
    </xf>
    <xf numFmtId="0" fontId="104" fillId="0" borderId="0" xfId="61" applyFont="1" applyAlignment="1">
      <alignment horizontal="center"/>
    </xf>
    <xf numFmtId="6" fontId="47" fillId="0" borderId="0" xfId="61" applyNumberFormat="1" applyFont="1" applyAlignment="1">
      <alignment horizontal="right" indent="1"/>
    </xf>
    <xf numFmtId="14" fontId="47" fillId="0" borderId="0" xfId="61" applyNumberFormat="1" applyFont="1" applyAlignment="1">
      <alignment horizontal="center"/>
    </xf>
    <xf numFmtId="0" fontId="48" fillId="0" borderId="1" xfId="1" applyFont="1" applyFill="1" applyAlignment="1">
      <alignment horizontal="center"/>
    </xf>
    <xf numFmtId="6" fontId="48" fillId="0" borderId="1" xfId="1" applyNumberFormat="1" applyFont="1" applyFill="1" applyAlignment="1">
      <alignment horizontal="right" indent="1"/>
    </xf>
    <xf numFmtId="16" fontId="47" fillId="0" borderId="0" xfId="61" applyNumberFormat="1" applyFont="1" applyAlignment="1">
      <alignment horizontal="left"/>
    </xf>
    <xf numFmtId="3" fontId="47" fillId="0" borderId="0" xfId="61" applyNumberFormat="1" applyFont="1" applyAlignment="1">
      <alignment horizontal="center"/>
    </xf>
    <xf numFmtId="0" fontId="47" fillId="0" borderId="0" xfId="61" applyFont="1" applyAlignment="1">
      <alignment horizontal="left"/>
    </xf>
    <xf numFmtId="173" fontId="47" fillId="0" borderId="0" xfId="61" applyNumberFormat="1" applyFont="1" applyAlignment="1">
      <alignment horizontal="right" indent="1"/>
    </xf>
    <xf numFmtId="192" fontId="47" fillId="0" borderId="0" xfId="61" applyNumberFormat="1" applyFont="1"/>
    <xf numFmtId="14" fontId="104" fillId="0" borderId="0" xfId="61" applyNumberFormat="1" applyFont="1" applyAlignment="1">
      <alignment horizontal="left"/>
    </xf>
    <xf numFmtId="0" fontId="104" fillId="0" borderId="3" xfId="61" applyFont="1" applyBorder="1"/>
    <xf numFmtId="187" fontId="104" fillId="0" borderId="3" xfId="61" applyNumberFormat="1" applyFont="1" applyBorder="1" applyAlignment="1">
      <alignment horizontal="left" indent="1"/>
    </xf>
    <xf numFmtId="187" fontId="104" fillId="0" borderId="3" xfId="61" applyNumberFormat="1" applyFont="1" applyBorder="1" applyAlignment="1">
      <alignment horizontal="center"/>
    </xf>
    <xf numFmtId="6" fontId="104" fillId="0" borderId="3" xfId="61" applyNumberFormat="1" applyFont="1" applyBorder="1" applyAlignment="1">
      <alignment horizontal="right" indent="1"/>
    </xf>
    <xf numFmtId="14" fontId="104" fillId="0" borderId="3" xfId="61" applyNumberFormat="1" applyFont="1" applyBorder="1" applyAlignment="1">
      <alignment horizontal="center"/>
    </xf>
    <xf numFmtId="0" fontId="116" fillId="0" borderId="0" xfId="61" applyFont="1"/>
    <xf numFmtId="0" fontId="117" fillId="0" borderId="0" xfId="61" applyFont="1"/>
    <xf numFmtId="10" fontId="47" fillId="0" borderId="0" xfId="76" applyNumberFormat="1" applyFont="1" applyAlignment="1">
      <alignment horizontal="right" indent="1"/>
    </xf>
    <xf numFmtId="0" fontId="114" fillId="0" borderId="0" xfId="112" applyFont="1" applyAlignment="1">
      <alignment horizontal="left"/>
    </xf>
    <xf numFmtId="0" fontId="118" fillId="0" borderId="0" xfId="113" applyFont="1"/>
    <xf numFmtId="0" fontId="119" fillId="0" borderId="0" xfId="114" applyFont="1"/>
    <xf numFmtId="0" fontId="115" fillId="0" borderId="0" xfId="112" applyFont="1" applyAlignment="1">
      <alignment horizontal="left"/>
    </xf>
    <xf numFmtId="0" fontId="102" fillId="0" borderId="0" xfId="112" applyFont="1" applyAlignment="1">
      <alignment horizontal="left"/>
    </xf>
    <xf numFmtId="0" fontId="115" fillId="0" borderId="3" xfId="112" applyFont="1" applyBorder="1" applyAlignment="1">
      <alignment horizontal="left"/>
    </xf>
    <xf numFmtId="0" fontId="114" fillId="0" borderId="3" xfId="112" applyFont="1" applyBorder="1" applyAlignment="1">
      <alignment horizontal="left"/>
    </xf>
    <xf numFmtId="3" fontId="115" fillId="0" borderId="3" xfId="112" applyNumberFormat="1" applyFont="1" applyBorder="1" applyAlignment="1">
      <alignment horizontal="right"/>
    </xf>
    <xf numFmtId="0" fontId="115" fillId="0" borderId="3" xfId="112" applyFont="1" applyBorder="1" applyAlignment="1">
      <alignment horizontal="right"/>
    </xf>
    <xf numFmtId="166" fontId="115" fillId="0" borderId="0" xfId="115" applyNumberFormat="1" applyFont="1" applyBorder="1" applyAlignment="1">
      <alignment horizontal="right"/>
    </xf>
    <xf numFmtId="0" fontId="114" fillId="0" borderId="0" xfId="112" applyFont="1" applyAlignment="1">
      <alignment horizontal="right"/>
    </xf>
    <xf numFmtId="0" fontId="121" fillId="0" borderId="0" xfId="112" applyFont="1" applyAlignment="1">
      <alignment horizontal="left"/>
    </xf>
    <xf numFmtId="0" fontId="122" fillId="0" borderId="0" xfId="112" applyFont="1" applyAlignment="1">
      <alignment horizontal="left"/>
    </xf>
    <xf numFmtId="173" fontId="63" fillId="0" borderId="0" xfId="116" applyNumberFormat="1" applyFont="1" applyAlignment="1">
      <alignment horizontal="right"/>
    </xf>
    <xf numFmtId="2" fontId="114" fillId="0" borderId="0" xfId="112" applyNumberFormat="1" applyFont="1" applyAlignment="1">
      <alignment horizontal="left"/>
    </xf>
    <xf numFmtId="0" fontId="123" fillId="0" borderId="0" xfId="112" applyFont="1" applyAlignment="1">
      <alignment horizontal="left"/>
    </xf>
    <xf numFmtId="14" fontId="107" fillId="0" borderId="0" xfId="112" applyNumberFormat="1" applyFont="1" applyAlignment="1">
      <alignment horizontal="left"/>
    </xf>
    <xf numFmtId="0" fontId="106" fillId="0" borderId="0" xfId="113" applyFont="1"/>
    <xf numFmtId="0" fontId="102" fillId="0" borderId="0" xfId="112" quotePrefix="1" applyFont="1" applyAlignment="1">
      <alignment horizontal="left"/>
    </xf>
    <xf numFmtId="0" fontId="103" fillId="0" borderId="0" xfId="117" applyFont="1" applyAlignment="1">
      <alignment horizontal="left"/>
    </xf>
    <xf numFmtId="0" fontId="124" fillId="0" borderId="0" xfId="112" applyFont="1" applyAlignment="1">
      <alignment horizontal="centerContinuous"/>
    </xf>
    <xf numFmtId="0" fontId="125" fillId="0" borderId="0" xfId="112" applyFont="1" applyAlignment="1">
      <alignment horizontal="centerContinuous"/>
    </xf>
    <xf numFmtId="0" fontId="115" fillId="11" borderId="0" xfId="116" applyFont="1" applyFill="1" applyAlignment="1"/>
    <xf numFmtId="0" fontId="105" fillId="12" borderId="38" xfId="116" applyFont="1" applyFill="1" applyBorder="1" applyAlignment="1"/>
    <xf numFmtId="0" fontId="105" fillId="12" borderId="38" xfId="116" applyFont="1" applyFill="1" applyBorder="1" applyAlignment="1">
      <alignment horizontal="center"/>
    </xf>
    <xf numFmtId="0" fontId="105" fillId="12" borderId="38" xfId="116" applyFont="1" applyFill="1" applyBorder="1" applyAlignment="1">
      <alignment horizontal="right"/>
    </xf>
    <xf numFmtId="14" fontId="63" fillId="0" borderId="0" xfId="116" applyNumberFormat="1" applyFont="1" applyAlignment="1">
      <alignment horizontal="left"/>
    </xf>
    <xf numFmtId="0" fontId="63" fillId="0" borderId="0" xfId="112" applyFont="1" applyAlignment="1">
      <alignment horizontal="left"/>
    </xf>
    <xf numFmtId="0" fontId="63" fillId="0" borderId="0" xfId="116" applyFont="1" applyAlignment="1">
      <alignment horizontal="left"/>
    </xf>
    <xf numFmtId="4" fontId="63" fillId="0" borderId="39" xfId="116" applyNumberFormat="1" applyFont="1" applyBorder="1" applyAlignment="1">
      <alignment horizontal="right" shrinkToFit="1"/>
    </xf>
    <xf numFmtId="0" fontId="126" fillId="0" borderId="0" xfId="113" applyFont="1"/>
    <xf numFmtId="180" fontId="63" fillId="0" borderId="0" xfId="118" applyNumberFormat="1" applyFont="1" applyFill="1" applyAlignment="1"/>
    <xf numFmtId="4" fontId="63" fillId="0" borderId="0" xfId="116" applyNumberFormat="1" applyFont="1" applyAlignment="1">
      <alignment horizontal="right" shrinkToFit="1"/>
    </xf>
    <xf numFmtId="173" fontId="63" fillId="0" borderId="0" xfId="116" applyNumberFormat="1" applyFont="1" applyAlignment="1">
      <alignment horizontal="right" shrinkToFit="1"/>
    </xf>
    <xf numFmtId="170" fontId="21" fillId="3" borderId="0" xfId="7" applyNumberFormat="1" applyFont="1" applyFill="1" applyAlignment="1">
      <alignment horizontal="right" vertical="center" indent="1"/>
    </xf>
    <xf numFmtId="183" fontId="21" fillId="4" borderId="0" xfId="7" applyNumberFormat="1" applyFont="1" applyFill="1" applyAlignment="1">
      <alignment horizontal="right" vertical="center" indent="1"/>
    </xf>
    <xf numFmtId="0" fontId="127" fillId="0" borderId="0" xfId="8" applyFont="1" applyBorder="1" applyAlignment="1">
      <alignment horizontal="center" wrapText="1"/>
    </xf>
    <xf numFmtId="0" fontId="44" fillId="0" borderId="0" xfId="1" applyFont="1" applyFill="1" applyBorder="1" applyAlignment="1">
      <alignment horizontal="right"/>
    </xf>
    <xf numFmtId="3" fontId="8" fillId="0" borderId="32" xfId="7" applyNumberFormat="1" applyFont="1" applyBorder="1">
      <alignment vertical="center"/>
    </xf>
    <xf numFmtId="166" fontId="8" fillId="0" borderId="32" xfId="7" applyNumberFormat="1" applyFont="1" applyBorder="1">
      <alignment vertical="center"/>
    </xf>
    <xf numFmtId="166" fontId="30" fillId="0" borderId="32" xfId="7" applyNumberFormat="1" applyFont="1" applyBorder="1" applyAlignment="1">
      <alignment horizontal="right" vertical="center" indent="1"/>
    </xf>
    <xf numFmtId="3" fontId="8" fillId="0" borderId="0" xfId="7" applyNumberFormat="1" applyFont="1" applyAlignment="1">
      <alignment horizontal="left" vertical="center"/>
    </xf>
    <xf numFmtId="166" fontId="8" fillId="0" borderId="0" xfId="7" applyNumberFormat="1" applyFont="1" applyAlignment="1">
      <alignment horizontal="left" vertical="center"/>
    </xf>
    <xf numFmtId="170" fontId="7" fillId="0" borderId="0" xfId="7" applyNumberFormat="1" applyFont="1" applyAlignment="1">
      <alignment horizontal="left" vertical="center" indent="1"/>
    </xf>
    <xf numFmtId="3" fontId="7" fillId="0" borderId="0" xfId="7" applyNumberFormat="1" applyFont="1" applyAlignment="1">
      <alignment horizontal="left" vertical="center" indent="1"/>
    </xf>
    <xf numFmtId="170" fontId="8" fillId="10" borderId="0" xfId="7" applyNumberFormat="1" applyFont="1" applyFill="1" applyAlignment="1">
      <alignment horizontal="left" vertical="center" indent="1"/>
    </xf>
    <xf numFmtId="166" fontId="30" fillId="0" borderId="0" xfId="7" applyNumberFormat="1" applyFont="1" applyAlignment="1">
      <alignment horizontal="left" vertical="center" indent="1"/>
    </xf>
    <xf numFmtId="0" fontId="24" fillId="2" borderId="0" xfId="7" applyFont="1" applyFill="1">
      <alignment vertical="center"/>
    </xf>
    <xf numFmtId="6" fontId="77" fillId="0" borderId="0" xfId="7" applyNumberFormat="1" applyFont="1" applyAlignment="1">
      <alignment horizontal="right" vertical="center" indent="1"/>
    </xf>
    <xf numFmtId="170" fontId="77" fillId="0" borderId="0" xfId="7" applyNumberFormat="1" applyFont="1" applyAlignment="1">
      <alignment horizontal="right" vertical="center" indent="1"/>
    </xf>
    <xf numFmtId="0" fontId="77" fillId="0" borderId="0" xfId="7" applyFont="1" applyAlignment="1">
      <alignment horizontal="right" vertical="center" indent="1"/>
    </xf>
    <xf numFmtId="170" fontId="92" fillId="0" borderId="0" xfId="7" applyNumberFormat="1" applyFont="1" applyAlignment="1">
      <alignment horizontal="center" vertical="center"/>
    </xf>
    <xf numFmtId="168" fontId="47" fillId="0" borderId="0" xfId="61" applyNumberFormat="1" applyFont="1"/>
    <xf numFmtId="0" fontId="7" fillId="0" borderId="0" xfId="108" applyFont="1" applyAlignment="1">
      <alignment horizontal="left" indent="2"/>
    </xf>
    <xf numFmtId="0" fontId="35" fillId="0" borderId="0" xfId="8" applyFont="1" applyAlignment="1">
      <alignment horizontal="center"/>
    </xf>
    <xf numFmtId="166" fontId="0" fillId="0" borderId="0" xfId="0" applyNumberFormat="1" applyAlignment="1">
      <alignment horizontal="center"/>
    </xf>
    <xf numFmtId="187" fontId="8" fillId="0" borderId="9" xfId="0" applyNumberFormat="1" applyFont="1" applyBorder="1" applyAlignment="1">
      <alignment horizontal="center"/>
    </xf>
    <xf numFmtId="182" fontId="7" fillId="0" borderId="0" xfId="7" applyNumberFormat="1" applyFont="1" applyAlignment="1">
      <alignment horizontal="center" vertical="center"/>
    </xf>
    <xf numFmtId="0" fontId="1" fillId="0" borderId="0" xfId="0" applyFont="1"/>
    <xf numFmtId="6" fontId="1" fillId="0" borderId="0" xfId="0" applyNumberFormat="1" applyFont="1" applyAlignment="1">
      <alignment horizontal="center"/>
    </xf>
    <xf numFmtId="4" fontId="102" fillId="0" borderId="39" xfId="116" applyNumberFormat="1" applyFont="1" applyBorder="1" applyAlignment="1">
      <alignment horizontal="right" shrinkToFit="1"/>
    </xf>
    <xf numFmtId="0" fontId="107" fillId="3" borderId="0" xfId="112" applyFont="1" applyFill="1" applyAlignment="1">
      <alignment horizontal="left"/>
    </xf>
    <xf numFmtId="0" fontId="125" fillId="5" borderId="0" xfId="112" applyFont="1" applyFill="1" applyAlignment="1">
      <alignment horizontal="centerContinuous"/>
    </xf>
    <xf numFmtId="0" fontId="124" fillId="5" borderId="0" xfId="112" applyFont="1" applyFill="1" applyAlignment="1">
      <alignment horizontal="centerContinuous"/>
    </xf>
    <xf numFmtId="0" fontId="67" fillId="5" borderId="0" xfId="112" applyFont="1" applyFill="1" applyAlignment="1">
      <alignment horizontal="centerContinuous"/>
    </xf>
    <xf numFmtId="0" fontId="115" fillId="0" borderId="0" xfId="112" applyFont="1" applyAlignment="1">
      <alignment horizontal="right"/>
    </xf>
    <xf numFmtId="3" fontId="114" fillId="0" borderId="0" xfId="112" applyNumberFormat="1" applyFont="1" applyAlignment="1">
      <alignment horizontal="right"/>
    </xf>
    <xf numFmtId="3" fontId="115" fillId="0" borderId="0" xfId="112" applyNumberFormat="1" applyFont="1" applyAlignment="1">
      <alignment horizontal="right"/>
    </xf>
    <xf numFmtId="0" fontId="120" fillId="0" borderId="0" xfId="112" applyFont="1" applyAlignment="1">
      <alignment horizontal="right"/>
    </xf>
    <xf numFmtId="0" fontId="115" fillId="0" borderId="22" xfId="112" applyFont="1" applyBorder="1" applyAlignment="1">
      <alignment horizontal="left"/>
    </xf>
    <xf numFmtId="0" fontId="115" fillId="0" borderId="23" xfId="112" applyFont="1" applyBorder="1" applyAlignment="1">
      <alignment horizontal="left"/>
    </xf>
    <xf numFmtId="0" fontId="114" fillId="0" borderId="23" xfId="112" applyFont="1" applyBorder="1" applyAlignment="1">
      <alignment horizontal="left"/>
    </xf>
    <xf numFmtId="0" fontId="114" fillId="0" borderId="24" xfId="112" applyFont="1" applyBorder="1" applyAlignment="1">
      <alignment horizontal="left"/>
    </xf>
    <xf numFmtId="0" fontId="115" fillId="0" borderId="25" xfId="112" applyFont="1" applyBorder="1" applyAlignment="1">
      <alignment horizontal="left"/>
    </xf>
    <xf numFmtId="0" fontId="115" fillId="0" borderId="0" xfId="112" applyFont="1" applyAlignment="1">
      <alignment horizontal="center"/>
    </xf>
    <xf numFmtId="0" fontId="115" fillId="0" borderId="26" xfId="112" applyFont="1" applyBorder="1" applyAlignment="1">
      <alignment horizontal="right"/>
    </xf>
    <xf numFmtId="0" fontId="102" fillId="0" borderId="0" xfId="112" applyFont="1" applyAlignment="1">
      <alignment horizontal="center"/>
    </xf>
    <xf numFmtId="181" fontId="102" fillId="0" borderId="0" xfId="112" applyNumberFormat="1" applyFont="1" applyAlignment="1">
      <alignment horizontal="center"/>
    </xf>
    <xf numFmtId="0" fontId="102" fillId="0" borderId="0" xfId="112" applyFont="1" applyAlignment="1">
      <alignment horizontal="center" wrapText="1"/>
    </xf>
    <xf numFmtId="3" fontId="114" fillId="0" borderId="26" xfId="112" applyNumberFormat="1" applyFont="1" applyBorder="1" applyAlignment="1">
      <alignment horizontal="right"/>
    </xf>
    <xf numFmtId="0" fontId="115" fillId="0" borderId="44" xfId="112" applyFont="1" applyBorder="1" applyAlignment="1">
      <alignment horizontal="left"/>
    </xf>
    <xf numFmtId="3" fontId="115" fillId="0" borderId="45" xfId="112" applyNumberFormat="1" applyFont="1" applyBorder="1" applyAlignment="1">
      <alignment horizontal="right"/>
    </xf>
    <xf numFmtId="3" fontId="115" fillId="0" borderId="26" xfId="112" applyNumberFormat="1" applyFont="1" applyBorder="1" applyAlignment="1">
      <alignment horizontal="right"/>
    </xf>
    <xf numFmtId="0" fontId="114" fillId="0" borderId="25" xfId="112" applyFont="1" applyBorder="1" applyAlignment="1">
      <alignment horizontal="left"/>
    </xf>
    <xf numFmtId="0" fontId="120" fillId="0" borderId="26" xfId="112" applyFont="1" applyBorder="1" applyAlignment="1">
      <alignment horizontal="right"/>
    </xf>
    <xf numFmtId="0" fontId="114" fillId="0" borderId="27" xfId="112" applyFont="1" applyBorder="1" applyAlignment="1">
      <alignment horizontal="left"/>
    </xf>
    <xf numFmtId="0" fontId="114" fillId="0" borderId="21" xfId="112" applyFont="1" applyBorder="1" applyAlignment="1">
      <alignment horizontal="left"/>
    </xf>
    <xf numFmtId="0" fontId="115" fillId="0" borderId="21" xfId="112" applyFont="1" applyBorder="1" applyAlignment="1">
      <alignment horizontal="left"/>
    </xf>
    <xf numFmtId="0" fontId="114" fillId="0" borderId="28" xfId="112" applyFont="1" applyBorder="1" applyAlignment="1">
      <alignment horizontal="left"/>
    </xf>
    <xf numFmtId="3" fontId="63" fillId="0" borderId="28" xfId="112" applyNumberFormat="1" applyFont="1" applyBorder="1" applyAlignment="1">
      <alignment horizontal="right"/>
    </xf>
    <xf numFmtId="0" fontId="114" fillId="0" borderId="22" xfId="112" applyFont="1" applyBorder="1" applyAlignment="1">
      <alignment horizontal="left"/>
    </xf>
    <xf numFmtId="0" fontId="115" fillId="0" borderId="25" xfId="112" applyFont="1" applyBorder="1" applyAlignment="1">
      <alignment horizontal="right"/>
    </xf>
    <xf numFmtId="3" fontId="114" fillId="0" borderId="25" xfId="112" applyNumberFormat="1" applyFont="1" applyBorder="1" applyAlignment="1">
      <alignment horizontal="right"/>
    </xf>
    <xf numFmtId="3" fontId="115" fillId="0" borderId="44" xfId="112" applyNumberFormat="1" applyFont="1" applyBorder="1" applyAlignment="1">
      <alignment horizontal="right"/>
    </xf>
    <xf numFmtId="3" fontId="115" fillId="0" borderId="25" xfId="112" applyNumberFormat="1" applyFont="1" applyBorder="1" applyAlignment="1">
      <alignment horizontal="right"/>
    </xf>
    <xf numFmtId="0" fontId="120" fillId="0" borderId="25" xfId="112" applyFont="1" applyBorder="1" applyAlignment="1">
      <alignment horizontal="right"/>
    </xf>
    <xf numFmtId="0" fontId="115" fillId="0" borderId="26" xfId="112" applyFont="1" applyBorder="1" applyAlignment="1">
      <alignment horizontal="center"/>
    </xf>
    <xf numFmtId="0" fontId="102" fillId="0" borderId="26" xfId="112" applyFont="1" applyBorder="1" applyAlignment="1">
      <alignment horizontal="center" wrapText="1"/>
    </xf>
    <xf numFmtId="0" fontId="114" fillId="0" borderId="45" xfId="112" applyFont="1" applyBorder="1" applyAlignment="1">
      <alignment horizontal="left"/>
    </xf>
    <xf numFmtId="0" fontId="114" fillId="0" borderId="26" xfId="112" applyFont="1" applyBorder="1" applyAlignment="1">
      <alignment horizontal="left"/>
    </xf>
    <xf numFmtId="0" fontId="115" fillId="0" borderId="27" xfId="112" applyFont="1" applyBorder="1" applyAlignment="1">
      <alignment horizontal="left"/>
    </xf>
    <xf numFmtId="0" fontId="118" fillId="0" borderId="47" xfId="113" applyFont="1" applyBorder="1"/>
    <xf numFmtId="0" fontId="118" fillId="0" borderId="48" xfId="113" applyFont="1" applyBorder="1"/>
    <xf numFmtId="0" fontId="102" fillId="0" borderId="39" xfId="116" applyFont="1" applyBorder="1" applyAlignment="1">
      <alignment horizontal="left"/>
    </xf>
    <xf numFmtId="180" fontId="102" fillId="0" borderId="39" xfId="118" applyNumberFormat="1" applyFont="1" applyFill="1" applyBorder="1" applyAlignment="1"/>
    <xf numFmtId="0" fontId="102" fillId="0" borderId="0" xfId="116" applyFont="1" applyAlignment="1">
      <alignment horizontal="left"/>
    </xf>
    <xf numFmtId="173" fontId="102" fillId="0" borderId="0" xfId="116" applyNumberFormat="1" applyFont="1" applyAlignment="1">
      <alignment horizontal="right"/>
    </xf>
    <xf numFmtId="173" fontId="102" fillId="0" borderId="39" xfId="116" applyNumberFormat="1" applyFont="1" applyBorder="1" applyAlignment="1">
      <alignment horizontal="right" shrinkToFit="1"/>
    </xf>
    <xf numFmtId="173" fontId="102" fillId="0" borderId="0" xfId="116" applyNumberFormat="1" applyFont="1" applyAlignment="1">
      <alignment horizontal="right" shrinkToFit="1"/>
    </xf>
    <xf numFmtId="0" fontId="115" fillId="0" borderId="24" xfId="112" applyFont="1" applyBorder="1" applyAlignment="1">
      <alignment horizontal="right"/>
    </xf>
    <xf numFmtId="0" fontId="110" fillId="0" borderId="46" xfId="61" applyFont="1" applyBorder="1" applyAlignment="1">
      <alignment horizontal="center"/>
    </xf>
    <xf numFmtId="0" fontId="47" fillId="13" borderId="0" xfId="61" applyFont="1" applyFill="1"/>
    <xf numFmtId="0" fontId="109" fillId="13" borderId="0" xfId="47" applyFont="1" applyFill="1" applyAlignment="1">
      <alignment horizontal="left" vertical="center" indent="1"/>
    </xf>
    <xf numFmtId="0" fontId="109" fillId="13" borderId="0" xfId="47" applyFont="1" applyFill="1" applyAlignment="1">
      <alignment horizontal="center" vertical="center"/>
    </xf>
    <xf numFmtId="0" fontId="100" fillId="2" borderId="0" xfId="61" applyFont="1" applyFill="1" applyAlignment="1">
      <alignment horizontal="centerContinuous" vertical="center"/>
    </xf>
    <xf numFmtId="0" fontId="100" fillId="2" borderId="0" xfId="61" applyFont="1" applyFill="1" applyAlignment="1">
      <alignment horizontal="centerContinuous"/>
    </xf>
    <xf numFmtId="0" fontId="109" fillId="2" borderId="0" xfId="61" applyFont="1" applyFill="1" applyAlignment="1">
      <alignment horizontal="centerContinuous" vertical="center"/>
    </xf>
    <xf numFmtId="187" fontId="8" fillId="0" borderId="9" xfId="55" applyNumberFormat="1" applyFont="1" applyBorder="1" applyAlignment="1">
      <alignment horizontal="center"/>
    </xf>
    <xf numFmtId="14" fontId="67" fillId="0" borderId="50" xfId="1" applyNumberFormat="1" applyFont="1" applyBorder="1" applyAlignment="1">
      <alignment horizontal="center"/>
    </xf>
    <xf numFmtId="0" fontId="130" fillId="0" borderId="0" xfId="61" applyFont="1" applyAlignment="1">
      <alignment horizontal="center"/>
    </xf>
    <xf numFmtId="0" fontId="105" fillId="12" borderId="38" xfId="116" applyFont="1" applyFill="1" applyBorder="1" applyAlignment="1">
      <alignment horizontal="right" wrapText="1"/>
    </xf>
    <xf numFmtId="191" fontId="47" fillId="0" borderId="0" xfId="61" applyNumberFormat="1" applyFont="1" applyAlignment="1">
      <alignment horizontal="right" vertical="center" indent="1"/>
    </xf>
    <xf numFmtId="14" fontId="102" fillId="0" borderId="0" xfId="116" applyNumberFormat="1" applyFont="1" applyAlignment="1">
      <alignment horizontal="left"/>
    </xf>
    <xf numFmtId="167" fontId="104" fillId="8" borderId="0" xfId="61" applyNumberFormat="1" applyFont="1" applyFill="1" applyAlignment="1">
      <alignment horizontal="right" vertical="center" indent="1"/>
    </xf>
    <xf numFmtId="16" fontId="47" fillId="0" borderId="0" xfId="61" applyNumberFormat="1" applyFont="1" applyAlignment="1">
      <alignment horizontal="left" vertical="center" indent="1"/>
    </xf>
    <xf numFmtId="195" fontId="132" fillId="0" borderId="0" xfId="112" applyNumberFormat="1" applyFont="1" applyAlignment="1">
      <alignment horizontal="right"/>
    </xf>
    <xf numFmtId="14" fontId="104" fillId="4" borderId="0" xfId="61" applyNumberFormat="1" applyFont="1" applyFill="1" applyAlignment="1">
      <alignment horizontal="left" vertical="center" indent="1"/>
    </xf>
    <xf numFmtId="190" fontId="104" fillId="4" borderId="0" xfId="61" applyNumberFormat="1" applyFont="1" applyFill="1" applyAlignment="1">
      <alignment horizontal="right" vertical="center" indent="1"/>
    </xf>
    <xf numFmtId="165" fontId="104" fillId="4" borderId="0" xfId="61" applyNumberFormat="1" applyFont="1" applyFill="1" applyAlignment="1">
      <alignment horizontal="right" vertical="center" indent="1"/>
    </xf>
    <xf numFmtId="14" fontId="104" fillId="4" borderId="0" xfId="61" applyNumberFormat="1" applyFont="1" applyFill="1" applyAlignment="1">
      <alignment horizontal="left" vertical="center" indent="2"/>
    </xf>
    <xf numFmtId="167" fontId="104" fillId="4" borderId="0" xfId="61" applyNumberFormat="1" applyFont="1" applyFill="1" applyAlignment="1">
      <alignment horizontal="right" vertical="center" indent="2"/>
    </xf>
    <xf numFmtId="0" fontId="109" fillId="13" borderId="51" xfId="47" applyFont="1" applyFill="1" applyBorder="1" applyAlignment="1">
      <alignment horizontal="center" vertical="center"/>
    </xf>
    <xf numFmtId="0" fontId="109" fillId="13" borderId="52" xfId="47" applyFont="1" applyFill="1" applyBorder="1" applyAlignment="1">
      <alignment horizontal="center" vertical="center"/>
    </xf>
    <xf numFmtId="167" fontId="47" fillId="0" borderId="51" xfId="61" applyNumberFormat="1" applyFont="1" applyBorder="1" applyAlignment="1">
      <alignment horizontal="right" vertical="center" indent="2"/>
    </xf>
    <xf numFmtId="166" fontId="47" fillId="0" borderId="52" xfId="61" applyNumberFormat="1" applyFont="1" applyBorder="1" applyAlignment="1">
      <alignment horizontal="right" vertical="center" indent="1"/>
    </xf>
    <xf numFmtId="167" fontId="104" fillId="8" borderId="51" xfId="61" applyNumberFormat="1" applyFont="1" applyFill="1" applyBorder="1" applyAlignment="1">
      <alignment horizontal="right" vertical="center" indent="2"/>
    </xf>
    <xf numFmtId="166" fontId="104" fillId="8" borderId="52" xfId="61" applyNumberFormat="1" applyFont="1" applyFill="1" applyBorder="1" applyAlignment="1">
      <alignment horizontal="right" vertical="center" indent="1"/>
    </xf>
    <xf numFmtId="167" fontId="104" fillId="4" borderId="51" xfId="61" applyNumberFormat="1" applyFont="1" applyFill="1" applyBorder="1" applyAlignment="1">
      <alignment horizontal="right" vertical="center" indent="2"/>
    </xf>
    <xf numFmtId="166" fontId="104" fillId="4" borderId="52" xfId="61" applyNumberFormat="1" applyFont="1" applyFill="1" applyBorder="1" applyAlignment="1">
      <alignment horizontal="right" vertical="center" indent="1"/>
    </xf>
    <xf numFmtId="0" fontId="47" fillId="0" borderId="52" xfId="61" applyFont="1" applyBorder="1" applyAlignment="1">
      <alignment horizontal="right" vertical="center" indent="2"/>
    </xf>
    <xf numFmtId="3" fontId="104" fillId="8" borderId="52" xfId="61" applyNumberFormat="1" applyFont="1" applyFill="1" applyBorder="1" applyAlignment="1">
      <alignment horizontal="right" vertical="center" indent="2"/>
    </xf>
    <xf numFmtId="3" fontId="104" fillId="4" borderId="52" xfId="61" applyNumberFormat="1" applyFont="1" applyFill="1" applyBorder="1" applyAlignment="1">
      <alignment horizontal="right" vertical="center" indent="2"/>
    </xf>
    <xf numFmtId="0" fontId="47" fillId="0" borderId="52" xfId="61" applyFont="1" applyBorder="1" applyAlignment="1">
      <alignment horizontal="center" vertical="center"/>
    </xf>
    <xf numFmtId="167" fontId="47" fillId="0" borderId="0" xfId="61" applyNumberFormat="1" applyFont="1" applyAlignment="1">
      <alignment horizontal="right" vertical="center" indent="1"/>
    </xf>
    <xf numFmtId="167" fontId="47" fillId="0" borderId="51" xfId="61" applyNumberFormat="1" applyFont="1" applyBorder="1" applyAlignment="1">
      <alignment horizontal="right" vertical="center" indent="1"/>
    </xf>
    <xf numFmtId="168" fontId="47" fillId="0" borderId="52" xfId="61" applyNumberFormat="1" applyFont="1" applyBorder="1" applyAlignment="1">
      <alignment horizontal="right" vertical="center" indent="2"/>
    </xf>
    <xf numFmtId="167" fontId="104" fillId="8" borderId="51" xfId="61" applyNumberFormat="1" applyFont="1" applyFill="1" applyBorder="1" applyAlignment="1">
      <alignment horizontal="right" vertical="center" indent="1"/>
    </xf>
    <xf numFmtId="168" fontId="104" fillId="8" borderId="52" xfId="61" applyNumberFormat="1" applyFont="1" applyFill="1" applyBorder="1" applyAlignment="1">
      <alignment horizontal="right" vertical="center" indent="2"/>
    </xf>
    <xf numFmtId="167" fontId="104" fillId="4" borderId="51" xfId="61" applyNumberFormat="1" applyFont="1" applyFill="1" applyBorder="1" applyAlignment="1">
      <alignment horizontal="right" vertical="center" indent="1"/>
    </xf>
    <xf numFmtId="168" fontId="104" fillId="4" borderId="52" xfId="61" applyNumberFormat="1" applyFont="1" applyFill="1" applyBorder="1" applyAlignment="1">
      <alignment horizontal="right" vertical="center" indent="2"/>
    </xf>
    <xf numFmtId="167" fontId="68" fillId="0" borderId="0" xfId="61" applyNumberFormat="1" applyFont="1" applyAlignment="1">
      <alignment horizontal="right" vertical="center" indent="1"/>
    </xf>
    <xf numFmtId="14" fontId="102" fillId="0" borderId="25" xfId="112" applyNumberFormat="1" applyFont="1" applyBorder="1" applyAlignment="1">
      <alignment horizontal="left"/>
    </xf>
    <xf numFmtId="196" fontId="47" fillId="0" borderId="0" xfId="61" applyNumberFormat="1" applyFont="1"/>
    <xf numFmtId="196" fontId="47" fillId="0" borderId="0" xfId="103" applyNumberFormat="1" applyFont="1"/>
    <xf numFmtId="3" fontId="104" fillId="8" borderId="52" xfId="61" applyNumberFormat="1" applyFont="1" applyFill="1" applyBorder="1" applyAlignment="1">
      <alignment horizontal="center" vertical="center"/>
    </xf>
    <xf numFmtId="3" fontId="104" fillId="4" borderId="52" xfId="61" applyNumberFormat="1" applyFont="1" applyFill="1" applyBorder="1" applyAlignment="1">
      <alignment horizontal="center" vertical="center"/>
    </xf>
    <xf numFmtId="167" fontId="47" fillId="0" borderId="52" xfId="61" applyNumberFormat="1" applyFont="1" applyBorder="1" applyAlignment="1">
      <alignment horizontal="right" vertical="center" indent="1"/>
    </xf>
    <xf numFmtId="167" fontId="104" fillId="8" borderId="52" xfId="61" applyNumberFormat="1" applyFont="1" applyFill="1" applyBorder="1" applyAlignment="1">
      <alignment horizontal="right" vertical="center" indent="1"/>
    </xf>
    <xf numFmtId="197" fontId="129" fillId="13" borderId="0" xfId="47" applyNumberFormat="1" applyFont="1" applyFill="1" applyAlignment="1">
      <alignment horizontal="right" vertical="center" indent="1"/>
    </xf>
    <xf numFmtId="197" fontId="129" fillId="13" borderId="52" xfId="47" applyNumberFormat="1" applyFont="1" applyFill="1" applyBorder="1" applyAlignment="1">
      <alignment horizontal="right" vertical="center" indent="1"/>
    </xf>
    <xf numFmtId="184" fontId="86" fillId="0" borderId="0" xfId="8" applyNumberFormat="1" applyFont="1"/>
    <xf numFmtId="0" fontId="134" fillId="0" borderId="0" xfId="10" applyFont="1"/>
    <xf numFmtId="0" fontId="135" fillId="0" borderId="0" xfId="10" applyFont="1"/>
    <xf numFmtId="0" fontId="1" fillId="0" borderId="0" xfId="42" applyFont="1"/>
    <xf numFmtId="0" fontId="2" fillId="0" borderId="1" xfId="1" applyFill="1" applyAlignment="1">
      <alignment horizontal="left" vertical="center"/>
    </xf>
    <xf numFmtId="0" fontId="136" fillId="0" borderId="1" xfId="1" applyFont="1" applyAlignment="1">
      <alignment horizontal="right"/>
    </xf>
    <xf numFmtId="0" fontId="39" fillId="0" borderId="53" xfId="10" applyFont="1" applyBorder="1" applyAlignment="1">
      <alignment vertical="center"/>
    </xf>
    <xf numFmtId="0" fontId="137" fillId="0" borderId="54" xfId="10" applyFont="1" applyBorder="1" applyAlignment="1">
      <alignment horizontal="center" vertical="center"/>
    </xf>
    <xf numFmtId="0" fontId="138" fillId="0" borderId="0" xfId="10" applyFont="1"/>
    <xf numFmtId="0" fontId="139" fillId="0" borderId="0" xfId="57" applyFont="1" applyAlignment="1">
      <alignment vertical="center"/>
    </xf>
    <xf numFmtId="0" fontId="28" fillId="2" borderId="0" xfId="57" applyFont="1" applyFill="1" applyAlignment="1">
      <alignment horizontal="left" vertical="center" indent="1"/>
    </xf>
    <xf numFmtId="0" fontId="95" fillId="2" borderId="0" xfId="57" applyFont="1" applyFill="1" applyAlignment="1">
      <alignment vertical="center"/>
    </xf>
    <xf numFmtId="0" fontId="95" fillId="2" borderId="0" xfId="57" applyFont="1" applyFill="1" applyAlignment="1">
      <alignment horizontal="center" vertical="center"/>
    </xf>
    <xf numFmtId="0" fontId="95" fillId="2" borderId="0" xfId="57" applyFont="1" applyFill="1" applyAlignment="1">
      <alignment horizontal="left" vertical="center"/>
    </xf>
    <xf numFmtId="0" fontId="140" fillId="0" borderId="0" xfId="57" applyFont="1" applyAlignment="1">
      <alignment vertical="center"/>
    </xf>
    <xf numFmtId="0" fontId="141" fillId="0" borderId="0" xfId="57" applyFont="1" applyAlignment="1">
      <alignment vertical="center"/>
    </xf>
    <xf numFmtId="0" fontId="142" fillId="0" borderId="0" xfId="57" applyFont="1" applyAlignment="1">
      <alignment vertical="center"/>
    </xf>
    <xf numFmtId="0" fontId="143" fillId="0" borderId="0" xfId="57" applyFont="1"/>
    <xf numFmtId="0" fontId="144" fillId="0" borderId="0" xfId="57" applyFont="1"/>
    <xf numFmtId="0" fontId="5" fillId="0" borderId="0" xfId="10" applyFont="1" applyAlignment="1">
      <alignment horizontal="center" vertical="center"/>
    </xf>
    <xf numFmtId="170" fontId="5" fillId="0" borderId="0" xfId="57" applyNumberFormat="1" applyFont="1" applyAlignment="1">
      <alignment horizontal="right" vertical="center" indent="1"/>
    </xf>
    <xf numFmtId="167" fontId="5" fillId="0" borderId="0" xfId="10" applyNumberFormat="1" applyFont="1" applyAlignment="1">
      <alignment horizontal="right" vertical="center" indent="1"/>
    </xf>
    <xf numFmtId="10" fontId="23" fillId="0" borderId="0" xfId="57" applyNumberFormat="1" applyFont="1" applyAlignment="1">
      <alignment horizontal="center" vertical="center"/>
    </xf>
    <xf numFmtId="6" fontId="38" fillId="0" borderId="0" xfId="75" applyNumberFormat="1" applyBorder="1" applyAlignment="1">
      <alignment vertical="center"/>
    </xf>
    <xf numFmtId="0" fontId="138" fillId="0" borderId="0" xfId="57" applyFont="1"/>
    <xf numFmtId="0" fontId="1" fillId="0" borderId="0" xfId="57"/>
    <xf numFmtId="14" fontId="8" fillId="0" borderId="0" xfId="75" applyNumberFormat="1" applyFont="1"/>
    <xf numFmtId="0" fontId="134" fillId="0" borderId="0" xfId="10" applyFont="1" applyAlignment="1">
      <alignment vertical="center"/>
    </xf>
    <xf numFmtId="0" fontId="3" fillId="7" borderId="0" xfId="57" applyFont="1" applyFill="1" applyAlignment="1">
      <alignment vertical="center"/>
    </xf>
    <xf numFmtId="0" fontId="41" fillId="8" borderId="0" xfId="57" applyFont="1" applyFill="1" applyAlignment="1">
      <alignment vertical="center"/>
    </xf>
    <xf numFmtId="190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vertical="center"/>
    </xf>
    <xf numFmtId="170" fontId="27" fillId="8" borderId="0" xfId="57" applyNumberFormat="1" applyFont="1" applyFill="1" applyAlignment="1">
      <alignment horizontal="right" vertical="center" indent="1"/>
    </xf>
    <xf numFmtId="10" fontId="27" fillId="8" borderId="0" xfId="57" applyNumberFormat="1" applyFont="1" applyFill="1" applyAlignment="1">
      <alignment horizontal="center" vertical="center"/>
    </xf>
    <xf numFmtId="10" fontId="41" fillId="8" borderId="0" xfId="57" applyNumberFormat="1" applyFont="1" applyFill="1" applyAlignment="1">
      <alignment horizontal="center" vertical="center"/>
    </xf>
    <xf numFmtId="0" fontId="138" fillId="0" borderId="0" xfId="10" applyFont="1" applyAlignment="1">
      <alignment vertical="center"/>
    </xf>
    <xf numFmtId="0" fontId="7" fillId="0" borderId="0" xfId="10" applyFont="1" applyAlignment="1">
      <alignment vertical="center"/>
    </xf>
    <xf numFmtId="0" fontId="135" fillId="0" borderId="0" xfId="10" applyFont="1" applyAlignment="1">
      <alignment vertical="center"/>
    </xf>
    <xf numFmtId="0" fontId="41" fillId="0" borderId="0" xfId="57" applyFont="1" applyAlignment="1">
      <alignment vertical="center"/>
    </xf>
    <xf numFmtId="6" fontId="41" fillId="0" borderId="0" xfId="57" applyNumberFormat="1" applyFont="1" applyAlignment="1">
      <alignment horizontal="center" vertical="center"/>
    </xf>
    <xf numFmtId="6" fontId="36" fillId="0" borderId="0" xfId="57" applyNumberFormat="1" applyFont="1" applyAlignment="1">
      <alignment horizontal="center" vertical="center"/>
    </xf>
    <xf numFmtId="0" fontId="41" fillId="0" borderId="0" xfId="57" applyFont="1" applyAlignment="1">
      <alignment horizontal="center" vertical="center"/>
    </xf>
    <xf numFmtId="0" fontId="90" fillId="0" borderId="49" xfId="10" applyFont="1" applyBorder="1" applyAlignment="1">
      <alignment vertical="center"/>
    </xf>
    <xf numFmtId="0" fontId="52" fillId="0" borderId="49" xfId="57" applyFont="1" applyBorder="1" applyAlignment="1">
      <alignment vertical="center"/>
    </xf>
    <xf numFmtId="0" fontId="57" fillId="0" borderId="0" xfId="10" applyFont="1" applyAlignment="1">
      <alignment vertical="center"/>
    </xf>
    <xf numFmtId="0" fontId="23" fillId="0" borderId="49" xfId="57" applyFont="1" applyBorder="1"/>
    <xf numFmtId="0" fontId="41" fillId="0" borderId="0" xfId="57" applyFont="1"/>
    <xf numFmtId="0" fontId="3" fillId="0" borderId="0" xfId="42" applyFont="1"/>
    <xf numFmtId="0" fontId="1" fillId="0" borderId="0" xfId="42" applyFont="1" applyAlignment="1">
      <alignment wrapText="1"/>
    </xf>
    <xf numFmtId="0" fontId="5" fillId="0" borderId="0" xfId="10" applyFont="1" applyAlignment="1">
      <alignment horizontal="left" vertical="center" indent="1"/>
    </xf>
    <xf numFmtId="0" fontId="5" fillId="0" borderId="0" xfId="10" applyFont="1"/>
    <xf numFmtId="6" fontId="94" fillId="0" borderId="0" xfId="10" applyNumberFormat="1" applyFont="1" applyAlignment="1">
      <alignment vertical="center"/>
    </xf>
    <xf numFmtId="0" fontId="5" fillId="0" borderId="0" xfId="59" applyFont="1" applyAlignment="1">
      <alignment horizontal="left" vertical="center"/>
    </xf>
    <xf numFmtId="166" fontId="5" fillId="0" borderId="0" xfId="59" applyNumberFormat="1" applyFont="1" applyAlignment="1">
      <alignment horizontal="right" vertical="center" indent="5"/>
    </xf>
    <xf numFmtId="173" fontId="36" fillId="0" borderId="0" xfId="59" applyNumberFormat="1" applyFont="1" applyAlignment="1">
      <alignment horizontal="right" vertical="center" wrapText="1" indent="1"/>
    </xf>
    <xf numFmtId="0" fontId="37" fillId="0" borderId="0" xfId="10" applyFont="1" applyAlignment="1">
      <alignment horizontal="center" vertical="center"/>
    </xf>
    <xf numFmtId="174" fontId="36" fillId="0" borderId="0" xfId="10" applyNumberFormat="1" applyFont="1" applyAlignment="1">
      <alignment horizontal="left" vertical="center" indent="1"/>
    </xf>
    <xf numFmtId="6" fontId="5" fillId="0" borderId="0" xfId="10" applyNumberFormat="1" applyFont="1" applyAlignment="1">
      <alignment vertical="center"/>
    </xf>
    <xf numFmtId="175" fontId="5" fillId="0" borderId="0" xfId="59" applyNumberFormat="1" applyFont="1" applyAlignment="1">
      <alignment horizontal="right" vertical="center" indent="5"/>
    </xf>
    <xf numFmtId="10" fontId="5" fillId="0" borderId="0" xfId="10" applyNumberFormat="1" applyFont="1" applyAlignment="1">
      <alignment horizontal="center" vertical="center"/>
    </xf>
    <xf numFmtId="170" fontId="145" fillId="0" borderId="0" xfId="42" applyNumberFormat="1" applyFont="1" applyAlignment="1">
      <alignment horizontal="right"/>
    </xf>
    <xf numFmtId="170" fontId="145" fillId="0" borderId="0" xfId="42" applyNumberFormat="1" applyFont="1"/>
    <xf numFmtId="9" fontId="5" fillId="0" borderId="0" xfId="76" applyFont="1" applyBorder="1" applyAlignment="1">
      <alignment horizontal="right" vertical="center" indent="1"/>
    </xf>
    <xf numFmtId="0" fontId="23" fillId="0" borderId="0" xfId="42" applyFont="1"/>
    <xf numFmtId="3" fontId="145" fillId="0" borderId="0" xfId="42" applyNumberFormat="1" applyFont="1"/>
    <xf numFmtId="0" fontId="145" fillId="0" borderId="0" xfId="42" applyFont="1"/>
    <xf numFmtId="174" fontId="5" fillId="0" borderId="0" xfId="10" applyNumberFormat="1" applyFont="1" applyAlignment="1">
      <alignment horizontal="left" vertical="center" indent="1"/>
    </xf>
    <xf numFmtId="173" fontId="36" fillId="0" borderId="0" xfId="59" applyNumberFormat="1" applyFont="1" applyAlignment="1">
      <alignment horizontal="right" vertical="center" indent="1"/>
    </xf>
    <xf numFmtId="0" fontId="27" fillId="7" borderId="0" xfId="10" applyFont="1" applyFill="1" applyAlignment="1">
      <alignment horizontal="left" vertical="center" indent="1"/>
    </xf>
    <xf numFmtId="0" fontId="27" fillId="7" borderId="0" xfId="10" applyFont="1" applyFill="1"/>
    <xf numFmtId="6" fontId="27" fillId="7" borderId="0" xfId="10" applyNumberFormat="1" applyFont="1" applyFill="1" applyAlignment="1">
      <alignment vertical="center"/>
    </xf>
    <xf numFmtId="0" fontId="5" fillId="0" borderId="0" xfId="59" applyFont="1" applyAlignment="1">
      <alignment vertical="center"/>
    </xf>
    <xf numFmtId="167" fontId="36" fillId="0" borderId="0" xfId="59" applyNumberFormat="1" applyFont="1" applyAlignment="1">
      <alignment horizontal="right" vertical="center" indent="1"/>
    </xf>
    <xf numFmtId="176" fontId="36" fillId="0" borderId="0" xfId="10" applyNumberFormat="1" applyFont="1" applyAlignment="1">
      <alignment horizontal="right" vertical="center" indent="1"/>
    </xf>
    <xf numFmtId="176" fontId="5" fillId="0" borderId="0" xfId="10" applyNumberFormat="1" applyFont="1" applyAlignment="1">
      <alignment horizontal="right" vertical="center" indent="1"/>
    </xf>
    <xf numFmtId="170" fontId="23" fillId="0" borderId="0" xfId="42" applyNumberFormat="1" applyFont="1"/>
    <xf numFmtId="0" fontId="27" fillId="0" borderId="6" xfId="10" applyFont="1" applyBorder="1" applyAlignment="1">
      <alignment horizontal="left" vertical="center" indent="1"/>
    </xf>
    <xf numFmtId="0" fontId="146" fillId="0" borderId="0" xfId="10" applyFont="1" applyAlignment="1">
      <alignment horizontal="left" vertical="center"/>
    </xf>
    <xf numFmtId="0" fontId="147" fillId="0" borderId="0" xfId="10" applyFont="1" applyAlignment="1">
      <alignment vertical="center"/>
    </xf>
    <xf numFmtId="0" fontId="69" fillId="0" borderId="0" xfId="10" applyFont="1" applyAlignment="1">
      <alignment horizontal="center" vertical="center"/>
    </xf>
    <xf numFmtId="0" fontId="146" fillId="0" borderId="0" xfId="10" applyFont="1" applyAlignment="1">
      <alignment vertical="center"/>
    </xf>
    <xf numFmtId="6" fontId="36" fillId="0" borderId="0" xfId="10" applyNumberFormat="1" applyFont="1" applyAlignment="1">
      <alignment horizontal="right" vertical="center" indent="1"/>
    </xf>
    <xf numFmtId="6" fontId="5" fillId="0" borderId="0" xfId="10" applyNumberFormat="1" applyFont="1" applyAlignment="1">
      <alignment horizontal="center" vertical="center"/>
    </xf>
    <xf numFmtId="10" fontId="36" fillId="0" borderId="0" xfId="10" applyNumberFormat="1" applyFont="1" applyAlignment="1">
      <alignment horizontal="center" vertical="center"/>
    </xf>
    <xf numFmtId="0" fontId="133" fillId="0" borderId="0" xfId="10" applyFont="1" applyAlignment="1">
      <alignment horizontal="left" vertical="center"/>
    </xf>
    <xf numFmtId="8" fontId="146" fillId="0" borderId="0" xfId="10" applyNumberFormat="1" applyFont="1" applyAlignment="1">
      <alignment vertical="center"/>
    </xf>
    <xf numFmtId="0" fontId="38" fillId="0" borderId="0" xfId="60" applyFont="1" applyBorder="1"/>
    <xf numFmtId="14" fontId="136" fillId="0" borderId="1" xfId="1" applyNumberFormat="1" applyFont="1" applyAlignment="1">
      <alignment horizontal="right"/>
    </xf>
    <xf numFmtId="0" fontId="39" fillId="0" borderId="0" xfId="10" applyFont="1" applyAlignment="1">
      <alignment vertical="center"/>
    </xf>
    <xf numFmtId="0" fontId="137" fillId="0" borderId="0" xfId="10" applyFont="1" applyAlignment="1">
      <alignment horizontal="center" vertical="center"/>
    </xf>
    <xf numFmtId="0" fontId="145" fillId="0" borderId="0" xfId="10" applyFont="1" applyAlignment="1">
      <alignment horizontal="left" vertical="center"/>
    </xf>
    <xf numFmtId="0" fontId="145" fillId="0" borderId="0" xfId="10" quotePrefix="1" applyFont="1" applyAlignment="1">
      <alignment horizontal="left" vertical="center"/>
    </xf>
    <xf numFmtId="0" fontId="145" fillId="0" borderId="0" xfId="10" applyFont="1" applyAlignment="1">
      <alignment horizontal="center" vertical="center"/>
    </xf>
    <xf numFmtId="172" fontId="145" fillId="0" borderId="0" xfId="10" applyNumberFormat="1" applyFont="1" applyAlignment="1">
      <alignment horizontal="center" vertical="center"/>
    </xf>
    <xf numFmtId="170" fontId="145" fillId="0" borderId="0" xfId="57" applyNumberFormat="1" applyFont="1" applyAlignment="1">
      <alignment horizontal="right" vertical="center" indent="1"/>
    </xf>
    <xf numFmtId="0" fontId="38" fillId="0" borderId="0" xfId="75"/>
    <xf numFmtId="0" fontId="57" fillId="0" borderId="49" xfId="10" applyFont="1" applyBorder="1" applyAlignment="1">
      <alignment vertical="center"/>
    </xf>
    <xf numFmtId="0" fontId="41" fillId="0" borderId="49" xfId="57" applyFont="1" applyBorder="1"/>
    <xf numFmtId="0" fontId="37" fillId="0" borderId="3" xfId="10" applyFont="1" applyBorder="1" applyAlignment="1">
      <alignment horizontal="center" vertical="center"/>
    </xf>
    <xf numFmtId="9" fontId="5" fillId="0" borderId="0" xfId="76" applyFont="1" applyAlignment="1">
      <alignment horizontal="right" vertical="center" indent="1"/>
    </xf>
    <xf numFmtId="0" fontId="5" fillId="0" borderId="5" xfId="59" applyFont="1" applyBorder="1" applyAlignment="1">
      <alignment horizontal="left" vertical="center"/>
    </xf>
    <xf numFmtId="0" fontId="5" fillId="0" borderId="5" xfId="59" applyFont="1" applyBorder="1" applyAlignment="1">
      <alignment vertical="center"/>
    </xf>
    <xf numFmtId="167" fontId="36" fillId="0" borderId="5" xfId="59" applyNumberFormat="1" applyFont="1" applyBorder="1" applyAlignment="1">
      <alignment horizontal="right" vertical="center" indent="1"/>
    </xf>
    <xf numFmtId="6" fontId="36" fillId="0" borderId="0" xfId="10" applyNumberFormat="1" applyFont="1" applyAlignment="1">
      <alignment vertical="center"/>
    </xf>
    <xf numFmtId="0" fontId="7" fillId="0" borderId="0" xfId="10" quotePrefix="1" applyFont="1"/>
    <xf numFmtId="0" fontId="33" fillId="0" borderId="1" xfId="1" applyFont="1"/>
    <xf numFmtId="0" fontId="150" fillId="0" borderId="1" xfId="1" applyFont="1" applyFill="1" applyAlignment="1">
      <alignment horizontal="right" indent="1"/>
    </xf>
    <xf numFmtId="0" fontId="150" fillId="0" borderId="0" xfId="1" applyFont="1" applyFill="1" applyBorder="1" applyAlignment="1">
      <alignment horizontal="right"/>
    </xf>
    <xf numFmtId="0" fontId="151" fillId="0" borderId="0" xfId="10" applyFont="1"/>
    <xf numFmtId="169" fontId="8" fillId="0" borderId="0" xfId="10" quotePrefix="1" applyNumberFormat="1" applyFont="1" applyAlignment="1">
      <alignment horizontal="left" vertical="center"/>
    </xf>
    <xf numFmtId="169" fontId="8" fillId="0" borderId="0" xfId="10" applyNumberFormat="1" applyFont="1" applyAlignment="1">
      <alignment horizontal="center" vertical="center"/>
    </xf>
    <xf numFmtId="169" fontId="8" fillId="0" borderId="2" xfId="10" quotePrefix="1" applyNumberFormat="1" applyFont="1" applyBorder="1" applyAlignment="1">
      <alignment horizontal="center" vertical="center" wrapText="1"/>
    </xf>
    <xf numFmtId="169" fontId="8" fillId="0" borderId="0" xfId="10" quotePrefix="1" applyNumberFormat="1" applyFont="1" applyAlignment="1">
      <alignment horizontal="center" vertical="center" wrapText="1"/>
    </xf>
    <xf numFmtId="0" fontId="8" fillId="0" borderId="0" xfId="108" applyFont="1"/>
    <xf numFmtId="0" fontId="7" fillId="0" borderId="0" xfId="108" applyFont="1" applyAlignment="1">
      <alignment horizontal="left"/>
    </xf>
    <xf numFmtId="3" fontId="7" fillId="0" borderId="0" xfId="10" applyNumberFormat="1" applyFont="1" applyAlignment="1">
      <alignment horizontal="right" indent="1"/>
    </xf>
    <xf numFmtId="0" fontId="7" fillId="0" borderId="0" xfId="108" applyFont="1"/>
    <xf numFmtId="0" fontId="8" fillId="0" borderId="0" xfId="108" applyFont="1" applyAlignment="1">
      <alignment horizontal="left" indent="1"/>
    </xf>
    <xf numFmtId="3" fontId="8" fillId="0" borderId="3" xfId="10" applyNumberFormat="1" applyFont="1" applyBorder="1" applyAlignment="1">
      <alignment horizontal="right" indent="1"/>
    </xf>
    <xf numFmtId="0" fontId="152" fillId="0" borderId="0" xfId="61" applyFont="1"/>
    <xf numFmtId="0" fontId="21" fillId="0" borderId="0" xfId="8" applyFont="1"/>
    <xf numFmtId="0" fontId="92" fillId="0" borderId="0" xfId="7" applyFont="1" applyAlignment="1">
      <alignment horizontal="right" vertical="center"/>
    </xf>
    <xf numFmtId="3" fontId="68" fillId="0" borderId="15" xfId="10" applyNumberFormat="1" applyFont="1" applyBorder="1"/>
    <xf numFmtId="0" fontId="78" fillId="14" borderId="0" xfId="1" applyFont="1" applyFill="1" applyBorder="1" applyAlignment="1">
      <alignment horizontal="centerContinuous" vertical="center"/>
    </xf>
    <xf numFmtId="0" fontId="26" fillId="14" borderId="0" xfId="42" applyFont="1" applyFill="1" applyAlignment="1">
      <alignment horizontal="centerContinuous"/>
    </xf>
    <xf numFmtId="0" fontId="56" fillId="14" borderId="0" xfId="60" applyFont="1" applyFill="1" applyBorder="1" applyAlignment="1">
      <alignment horizontal="centerContinuous"/>
    </xf>
    <xf numFmtId="0" fontId="154" fillId="0" borderId="0" xfId="113" applyFont="1"/>
    <xf numFmtId="0" fontId="8" fillId="0" borderId="0" xfId="108" applyFont="1" applyAlignment="1">
      <alignment horizontal="left"/>
    </xf>
    <xf numFmtId="167" fontId="104" fillId="0" borderId="0" xfId="61" applyNumberFormat="1" applyFont="1"/>
    <xf numFmtId="0" fontId="153" fillId="0" borderId="0" xfId="61" applyFont="1" applyAlignment="1">
      <alignment horizontal="left"/>
    </xf>
    <xf numFmtId="0" fontId="97" fillId="0" borderId="0" xfId="61" applyFont="1" applyAlignment="1">
      <alignment horizontal="left"/>
    </xf>
    <xf numFmtId="0" fontId="153" fillId="0" borderId="0" xfId="61" applyFont="1"/>
    <xf numFmtId="0" fontId="155" fillId="0" borderId="0" xfId="8" applyFont="1"/>
    <xf numFmtId="0" fontId="156" fillId="0" borderId="0" xfId="8" applyFont="1"/>
    <xf numFmtId="3" fontId="5" fillId="0" borderId="0" xfId="7" applyNumberFormat="1" applyFont="1">
      <alignment vertical="center"/>
    </xf>
    <xf numFmtId="37" fontId="7" fillId="0" borderId="32" xfId="7" applyNumberFormat="1" applyFont="1" applyBorder="1" applyAlignment="1">
      <alignment horizontal="right" vertical="center" indent="1"/>
    </xf>
    <xf numFmtId="5" fontId="7" fillId="0" borderId="32" xfId="7" applyNumberFormat="1" applyFont="1" applyBorder="1" applyAlignment="1">
      <alignment horizontal="right" vertical="center" indent="1"/>
    </xf>
    <xf numFmtId="5" fontId="8" fillId="10" borderId="32" xfId="7" applyNumberFormat="1" applyFont="1" applyFill="1" applyBorder="1" applyAlignment="1">
      <alignment horizontal="right" vertical="center" indent="1"/>
    </xf>
    <xf numFmtId="5" fontId="8" fillId="7" borderId="42" xfId="7" applyNumberFormat="1" applyFont="1" applyFill="1" applyBorder="1" applyAlignment="1">
      <alignment horizontal="right" vertical="center" indent="1"/>
    </xf>
    <xf numFmtId="0" fontId="97" fillId="0" borderId="0" xfId="61" applyFont="1"/>
    <xf numFmtId="16" fontId="153" fillId="0" borderId="0" xfId="61" applyNumberFormat="1" applyFont="1"/>
    <xf numFmtId="0" fontId="35" fillId="0" borderId="0" xfId="0" applyFont="1"/>
    <xf numFmtId="167" fontId="8" fillId="0" borderId="56" xfId="7" applyNumberFormat="1" applyFont="1" applyBorder="1" applyAlignment="1">
      <alignment horizontal="right" vertical="center" indent="1"/>
    </xf>
    <xf numFmtId="0" fontId="25" fillId="0" borderId="0" xfId="56" applyFont="1"/>
    <xf numFmtId="0" fontId="42" fillId="0" borderId="33" xfId="7" applyFont="1" applyBorder="1">
      <alignment vertical="center"/>
    </xf>
    <xf numFmtId="3" fontId="159" fillId="0" borderId="31" xfId="7" applyNumberFormat="1" applyFont="1" applyBorder="1">
      <alignment vertical="center"/>
    </xf>
    <xf numFmtId="166" fontId="159" fillId="0" borderId="31" xfId="7" applyNumberFormat="1" applyFont="1" applyBorder="1">
      <alignment vertical="center"/>
    </xf>
    <xf numFmtId="5" fontId="40" fillId="0" borderId="31" xfId="7" applyNumberFormat="1" applyFont="1" applyBorder="1" applyAlignment="1">
      <alignment horizontal="right" vertical="center" indent="1"/>
    </xf>
    <xf numFmtId="37" fontId="40" fillId="0" borderId="31" xfId="7" applyNumberFormat="1" applyFont="1" applyBorder="1" applyAlignment="1">
      <alignment horizontal="right" vertical="center" indent="1"/>
    </xf>
    <xf numFmtId="167" fontId="159" fillId="0" borderId="55" xfId="7" applyNumberFormat="1" applyFont="1" applyBorder="1" applyAlignment="1">
      <alignment horizontal="right" vertical="center" indent="1"/>
    </xf>
    <xf numFmtId="5" fontId="159" fillId="10" borderId="31" xfId="7" applyNumberFormat="1" applyFont="1" applyFill="1" applyBorder="1" applyAlignment="1">
      <alignment horizontal="right" vertical="center" indent="1"/>
    </xf>
    <xf numFmtId="166" fontId="160" fillId="0" borderId="31" xfId="7" applyNumberFormat="1" applyFont="1" applyBorder="1" applyAlignment="1">
      <alignment horizontal="right" vertical="center" indent="1"/>
    </xf>
    <xf numFmtId="5" fontId="159" fillId="7" borderId="41" xfId="7" applyNumberFormat="1" applyFont="1" applyFill="1" applyBorder="1" applyAlignment="1">
      <alignment horizontal="right" vertical="center" indent="1"/>
    </xf>
    <xf numFmtId="0" fontId="161" fillId="0" borderId="0" xfId="8" applyFont="1"/>
    <xf numFmtId="0" fontId="162" fillId="0" borderId="0" xfId="7" applyFont="1">
      <alignment vertical="center"/>
    </xf>
    <xf numFmtId="0" fontId="42" fillId="0" borderId="0" xfId="7" applyFont="1">
      <alignment vertical="center"/>
    </xf>
    <xf numFmtId="0" fontId="25" fillId="0" borderId="0" xfId="0" applyFont="1"/>
    <xf numFmtId="0" fontId="79" fillId="0" borderId="0" xfId="56" applyFont="1" applyAlignment="1">
      <alignment horizontal="left" vertical="center"/>
    </xf>
    <xf numFmtId="3" fontId="7" fillId="0" borderId="15" xfId="10" applyNumberFormat="1" applyFont="1" applyBorder="1"/>
    <xf numFmtId="3" fontId="35" fillId="0" borderId="15" xfId="10" applyNumberFormat="1" applyFont="1" applyBorder="1"/>
    <xf numFmtId="3" fontId="7" fillId="0" borderId="2" xfId="10" applyNumberFormat="1" applyFont="1" applyBorder="1" applyAlignment="1">
      <alignment horizontal="right" indent="1"/>
    </xf>
    <xf numFmtId="3" fontId="163" fillId="0" borderId="0" xfId="10" applyNumberFormat="1" applyFont="1" applyAlignment="1">
      <alignment horizontal="right" indent="1"/>
    </xf>
    <xf numFmtId="3" fontId="7" fillId="0" borderId="0" xfId="10" applyNumberFormat="1" applyFont="1"/>
    <xf numFmtId="167" fontId="8" fillId="10" borderId="0" xfId="10" applyNumberFormat="1" applyFont="1" applyFill="1" applyAlignment="1">
      <alignment horizontal="left" indent="1"/>
    </xf>
    <xf numFmtId="49" fontId="8" fillId="7" borderId="0" xfId="42" applyNumberFormat="1" applyFont="1" applyFill="1"/>
    <xf numFmtId="0" fontId="8" fillId="0" borderId="0" xfId="10" applyFont="1"/>
    <xf numFmtId="167" fontId="8" fillId="10" borderId="0" xfId="10" applyNumberFormat="1" applyFont="1" applyFill="1" applyAlignment="1">
      <alignment horizontal="right" indent="1"/>
    </xf>
    <xf numFmtId="167" fontId="8" fillId="10" borderId="2" xfId="10" applyNumberFormat="1" applyFont="1" applyFill="1" applyBorder="1" applyAlignment="1">
      <alignment horizontal="right" indent="1"/>
    </xf>
    <xf numFmtId="3" fontId="165" fillId="0" borderId="0" xfId="10" applyNumberFormat="1" applyFont="1" applyAlignment="1">
      <alignment horizontal="right" indent="1"/>
    </xf>
    <xf numFmtId="0" fontId="166" fillId="0" borderId="0" xfId="10" applyFont="1"/>
    <xf numFmtId="167" fontId="164" fillId="0" borderId="0" xfId="10" applyNumberFormat="1" applyFont="1" applyAlignment="1">
      <alignment horizontal="right" indent="1"/>
    </xf>
    <xf numFmtId="3" fontId="7" fillId="0" borderId="16" xfId="10" applyNumberFormat="1" applyFont="1" applyBorder="1"/>
    <xf numFmtId="3" fontId="35" fillId="0" borderId="16" xfId="10" applyNumberFormat="1" applyFont="1" applyBorder="1"/>
    <xf numFmtId="167" fontId="8" fillId="7" borderId="0" xfId="10" applyNumberFormat="1" applyFont="1" applyFill="1" applyAlignment="1">
      <alignment horizontal="right" indent="1"/>
    </xf>
    <xf numFmtId="167" fontId="8" fillId="7" borderId="4" xfId="10" applyNumberFormat="1" applyFont="1" applyFill="1" applyBorder="1" applyAlignment="1">
      <alignment horizontal="right" indent="1"/>
    </xf>
    <xf numFmtId="0" fontId="149" fillId="0" borderId="1" xfId="1" applyFont="1"/>
    <xf numFmtId="0" fontId="0" fillId="0" borderId="0" xfId="56" applyFont="1"/>
    <xf numFmtId="0" fontId="38" fillId="0" borderId="0" xfId="75" applyAlignment="1">
      <alignment vertical="center"/>
    </xf>
    <xf numFmtId="37" fontId="8" fillId="0" borderId="55" xfId="7" applyNumberFormat="1" applyFont="1" applyBorder="1" applyAlignment="1">
      <alignment horizontal="right" vertical="center" indent="1"/>
    </xf>
    <xf numFmtId="37" fontId="8" fillId="0" borderId="3" xfId="7" applyNumberFormat="1" applyFont="1" applyBorder="1" applyAlignment="1">
      <alignment horizontal="right" vertical="center" indent="1"/>
    </xf>
    <xf numFmtId="0" fontId="146" fillId="0" borderId="0" xfId="7" applyFont="1">
      <alignment vertical="center"/>
    </xf>
    <xf numFmtId="3" fontId="114" fillId="0" borderId="0" xfId="112" applyNumberFormat="1" applyFont="1" applyAlignment="1">
      <alignment horizontal="left"/>
    </xf>
    <xf numFmtId="184" fontId="1" fillId="0" borderId="0" xfId="42" applyNumberFormat="1" applyFont="1"/>
    <xf numFmtId="43" fontId="8" fillId="0" borderId="32" xfId="103" applyFont="1" applyBorder="1" applyAlignment="1">
      <alignment vertical="center"/>
    </xf>
    <xf numFmtId="198" fontId="131" fillId="9" borderId="0" xfId="61" applyNumberFormat="1" applyFont="1" applyFill="1" applyAlignment="1">
      <alignment horizontal="center"/>
    </xf>
    <xf numFmtId="0" fontId="3" fillId="0" borderId="0" xfId="0" applyFont="1"/>
    <xf numFmtId="167" fontId="47" fillId="0" borderId="0" xfId="61" applyNumberFormat="1" applyFont="1"/>
    <xf numFmtId="4" fontId="7" fillId="0" borderId="0" xfId="7" applyNumberFormat="1" applyFont="1" applyAlignment="1">
      <alignment horizontal="left" vertical="center" indent="1"/>
    </xf>
    <xf numFmtId="169" fontId="83" fillId="15" borderId="0" xfId="7" quotePrefix="1" applyNumberFormat="1" applyFont="1" applyFill="1" applyAlignment="1">
      <alignment horizontal="left" vertical="center" wrapText="1"/>
    </xf>
    <xf numFmtId="0" fontId="28" fillId="15" borderId="0" xfId="7" quotePrefix="1" applyFont="1" applyFill="1" applyAlignment="1">
      <alignment horizontal="center" wrapText="1"/>
    </xf>
    <xf numFmtId="0" fontId="28" fillId="15" borderId="40" xfId="7" quotePrefix="1" applyFont="1" applyFill="1" applyBorder="1" applyAlignment="1">
      <alignment horizontal="centerContinuous" wrapText="1"/>
    </xf>
    <xf numFmtId="0" fontId="28" fillId="15" borderId="30" xfId="7" quotePrefix="1" applyFont="1" applyFill="1" applyBorder="1" applyAlignment="1">
      <alignment horizontal="centerContinuous" wrapText="1"/>
    </xf>
    <xf numFmtId="0" fontId="158" fillId="15" borderId="31" xfId="7" quotePrefix="1" applyFont="1" applyFill="1" applyBorder="1" applyAlignment="1">
      <alignment horizontal="center" wrapText="1"/>
    </xf>
    <xf numFmtId="0" fontId="28" fillId="15" borderId="32" xfId="7" quotePrefix="1" applyFont="1" applyFill="1" applyBorder="1" applyAlignment="1">
      <alignment horizontal="center" wrapText="1"/>
    </xf>
    <xf numFmtId="0" fontId="28" fillId="15" borderId="0" xfId="7" quotePrefix="1" applyFont="1" applyFill="1" applyAlignment="1">
      <alignment horizontal="left" wrapText="1" indent="1"/>
    </xf>
    <xf numFmtId="0" fontId="28" fillId="15" borderId="0" xfId="7" quotePrefix="1" applyFont="1" applyFill="1" applyAlignment="1">
      <alignment horizontal="left" wrapText="1"/>
    </xf>
    <xf numFmtId="0" fontId="84" fillId="15" borderId="0" xfId="8" applyFont="1" applyFill="1"/>
    <xf numFmtId="0" fontId="47" fillId="15" borderId="0" xfId="61" applyFont="1" applyFill="1"/>
    <xf numFmtId="0" fontId="109" fillId="15" borderId="0" xfId="47" applyFont="1" applyFill="1" applyAlignment="1">
      <alignment horizontal="left" vertical="center" indent="1"/>
    </xf>
    <xf numFmtId="0" fontId="109" fillId="15" borderId="0" xfId="47" applyFont="1" applyFill="1" applyAlignment="1">
      <alignment horizontal="center" vertical="center"/>
    </xf>
    <xf numFmtId="0" fontId="109" fillId="15" borderId="51" xfId="47" applyFont="1" applyFill="1" applyBorder="1" applyAlignment="1">
      <alignment horizontal="center" vertical="center"/>
    </xf>
    <xf numFmtId="0" fontId="109" fillId="15" borderId="52" xfId="47" applyFont="1" applyFill="1" applyBorder="1" applyAlignment="1">
      <alignment horizontal="center" vertical="center"/>
    </xf>
    <xf numFmtId="0" fontId="49" fillId="15" borderId="0" xfId="61" applyFont="1" applyFill="1"/>
    <xf numFmtId="169" fontId="97" fillId="15" borderId="14" xfId="10" quotePrefix="1" applyNumberFormat="1" applyFont="1" applyFill="1" applyBorder="1" applyAlignment="1">
      <alignment horizontal="left" vertical="center"/>
    </xf>
    <xf numFmtId="169" fontId="51" fillId="15" borderId="0" xfId="10" quotePrefix="1" applyNumberFormat="1" applyFont="1" applyFill="1" applyAlignment="1">
      <alignment horizontal="left" vertical="center"/>
    </xf>
    <xf numFmtId="169" fontId="51" fillId="15" borderId="0" xfId="10" applyNumberFormat="1" applyFont="1" applyFill="1" applyAlignment="1">
      <alignment horizontal="center" vertical="center"/>
    </xf>
    <xf numFmtId="169" fontId="51" fillId="15" borderId="34" xfId="10" applyNumberFormat="1" applyFont="1" applyFill="1" applyBorder="1" applyAlignment="1">
      <alignment horizontal="center" vertical="center" wrapText="1"/>
    </xf>
    <xf numFmtId="169" fontId="51" fillId="15" borderId="0" xfId="10" quotePrefix="1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109" fillId="15" borderId="0" xfId="47" applyFont="1" applyFill="1" applyAlignment="1">
      <alignment horizontal="centerContinuous" vertical="center"/>
    </xf>
    <xf numFmtId="0" fontId="109" fillId="15" borderId="51" xfId="47" applyFont="1" applyFill="1" applyBorder="1" applyAlignment="1">
      <alignment horizontal="centerContinuous" vertical="center"/>
    </xf>
    <xf numFmtId="0" fontId="109" fillId="15" borderId="52" xfId="47" applyFont="1" applyFill="1" applyBorder="1" applyAlignment="1">
      <alignment horizontal="centerContinuous" vertical="center"/>
    </xf>
    <xf numFmtId="0" fontId="109" fillId="15" borderId="37" xfId="47" applyFont="1" applyFill="1" applyBorder="1" applyAlignment="1">
      <alignment horizontal="centerContinuous" vertical="center"/>
    </xf>
    <xf numFmtId="0" fontId="97" fillId="15" borderId="0" xfId="61" applyFont="1" applyFill="1" applyAlignment="1">
      <alignment horizontal="left"/>
    </xf>
    <xf numFmtId="0" fontId="97" fillId="15" borderId="0" xfId="61" applyFont="1" applyFill="1" applyAlignment="1">
      <alignment horizontal="center"/>
    </xf>
    <xf numFmtId="0" fontId="97" fillId="15" borderId="0" xfId="61" applyFont="1" applyFill="1"/>
    <xf numFmtId="6" fontId="97" fillId="15" borderId="0" xfId="61" applyNumberFormat="1" applyFont="1" applyFill="1" applyAlignment="1">
      <alignment horizontal="center"/>
    </xf>
    <xf numFmtId="14" fontId="97" fillId="15" borderId="0" xfId="61" applyNumberFormat="1" applyFont="1" applyFill="1" applyAlignment="1">
      <alignment horizontal="center"/>
    </xf>
    <xf numFmtId="0" fontId="109" fillId="15" borderId="0" xfId="61" applyFont="1" applyFill="1" applyAlignment="1">
      <alignment horizontal="left"/>
    </xf>
    <xf numFmtId="0" fontId="109" fillId="15" borderId="0" xfId="61" applyFont="1" applyFill="1" applyAlignment="1">
      <alignment horizontal="center"/>
    </xf>
    <xf numFmtId="0" fontId="101" fillId="15" borderId="0" xfId="61" applyFont="1" applyFill="1" applyAlignment="1">
      <alignment horizontal="center"/>
    </xf>
    <xf numFmtId="0" fontId="109" fillId="15" borderId="0" xfId="61" applyFont="1" applyFill="1"/>
    <xf numFmtId="6" fontId="109" fillId="15" borderId="0" xfId="61" applyNumberFormat="1" applyFont="1" applyFill="1" applyAlignment="1">
      <alignment horizontal="center"/>
    </xf>
    <xf numFmtId="6" fontId="129" fillId="15" borderId="0" xfId="61" applyNumberFormat="1" applyFont="1" applyFill="1" applyAlignment="1">
      <alignment horizontal="center"/>
    </xf>
    <xf numFmtId="14" fontId="109" fillId="15" borderId="0" xfId="61" applyNumberFormat="1" applyFont="1" applyFill="1" applyAlignment="1">
      <alignment horizontal="center"/>
    </xf>
    <xf numFmtId="198" fontId="131" fillId="0" borderId="0" xfId="61" applyNumberFormat="1" applyFont="1" applyAlignment="1">
      <alignment horizontal="center"/>
    </xf>
    <xf numFmtId="6" fontId="48" fillId="0" borderId="1" xfId="1" applyNumberFormat="1" applyFont="1" applyAlignment="1">
      <alignment horizontal="right" indent="1"/>
    </xf>
    <xf numFmtId="0" fontId="153" fillId="0" borderId="0" xfId="61" applyFont="1" applyAlignment="1">
      <alignment horizontal="left" indent="1"/>
    </xf>
    <xf numFmtId="0" fontId="51" fillId="0" borderId="0" xfId="8" applyFont="1"/>
    <xf numFmtId="0" fontId="50" fillId="0" borderId="0" xfId="8" applyFont="1"/>
    <xf numFmtId="0" fontId="109" fillId="0" borderId="0" xfId="61" applyFont="1" applyAlignment="1">
      <alignment horizontal="left" indent="1"/>
    </xf>
    <xf numFmtId="0" fontId="21" fillId="0" borderId="0" xfId="0" applyFont="1"/>
    <xf numFmtId="187" fontId="67" fillId="4" borderId="0" xfId="61" applyNumberFormat="1" applyFont="1" applyFill="1" applyAlignment="1">
      <alignment horizontal="right" indent="1"/>
    </xf>
    <xf numFmtId="166" fontId="67" fillId="4" borderId="0" xfId="61" applyNumberFormat="1" applyFont="1" applyFill="1" applyAlignment="1">
      <alignment horizontal="right" indent="1"/>
    </xf>
    <xf numFmtId="165" fontId="67" fillId="4" borderId="0" xfId="61" applyNumberFormat="1" applyFont="1" applyFill="1" applyAlignment="1">
      <alignment horizontal="right" indent="1"/>
    </xf>
    <xf numFmtId="167" fontId="67" fillId="4" borderId="0" xfId="61" applyNumberFormat="1" applyFont="1" applyFill="1" applyAlignment="1">
      <alignment horizontal="right" vertical="center" indent="1"/>
    </xf>
    <xf numFmtId="8" fontId="65" fillId="0" borderId="0" xfId="8" applyNumberFormat="1" applyFont="1"/>
    <xf numFmtId="3" fontId="8" fillId="0" borderId="57" xfId="10" applyNumberFormat="1" applyFont="1" applyBorder="1" applyAlignment="1">
      <alignment horizontal="right" indent="1"/>
    </xf>
    <xf numFmtId="0" fontId="170" fillId="0" borderId="0" xfId="61" quotePrefix="1" applyFont="1" applyAlignment="1">
      <alignment horizontal="left" vertical="center" indent="1"/>
    </xf>
    <xf numFmtId="3" fontId="120" fillId="0" borderId="0" xfId="112" applyNumberFormat="1" applyFont="1" applyAlignment="1">
      <alignment horizontal="right"/>
    </xf>
    <xf numFmtId="3" fontId="114" fillId="0" borderId="21" xfId="112" applyNumberFormat="1" applyFont="1" applyBorder="1" applyAlignment="1">
      <alignment horizontal="right"/>
    </xf>
    <xf numFmtId="0" fontId="115" fillId="0" borderId="21" xfId="112" applyFont="1" applyBorder="1" applyAlignment="1">
      <alignment horizontal="right"/>
    </xf>
    <xf numFmtId="0" fontId="118" fillId="0" borderId="0" xfId="113" applyFont="1" applyAlignment="1">
      <alignment horizontal="right"/>
    </xf>
    <xf numFmtId="4" fontId="114" fillId="0" borderId="0" xfId="112" applyNumberFormat="1" applyFont="1" applyAlignment="1">
      <alignment horizontal="left"/>
    </xf>
    <xf numFmtId="190" fontId="47" fillId="0" borderId="0" xfId="61" applyNumberFormat="1" applyFont="1" applyAlignment="1">
      <alignment horizontal="right" vertical="center" indent="2"/>
    </xf>
    <xf numFmtId="165" fontId="47" fillId="0" borderId="0" xfId="61" applyNumberFormat="1" applyFont="1" applyAlignment="1">
      <alignment horizontal="right" vertical="center" indent="2"/>
    </xf>
    <xf numFmtId="167" fontId="4" fillId="0" borderId="0" xfId="61" applyNumberFormat="1" applyFont="1" applyAlignment="1">
      <alignment horizontal="right" vertical="center" indent="2"/>
    </xf>
    <xf numFmtId="168" fontId="47" fillId="0" borderId="52" xfId="61" applyNumberFormat="1" applyFont="1" applyBorder="1" applyAlignment="1">
      <alignment horizontal="right" vertical="center" indent="3"/>
    </xf>
    <xf numFmtId="190" fontId="104" fillId="8" borderId="0" xfId="61" applyNumberFormat="1" applyFont="1" applyFill="1" applyAlignment="1">
      <alignment horizontal="right" vertical="center" indent="2"/>
    </xf>
    <xf numFmtId="165" fontId="104" fillId="8" borderId="0" xfId="61" applyNumberFormat="1" applyFont="1" applyFill="1" applyAlignment="1">
      <alignment horizontal="right" vertical="center" indent="2"/>
    </xf>
    <xf numFmtId="168" fontId="104" fillId="8" borderId="52" xfId="61" applyNumberFormat="1" applyFont="1" applyFill="1" applyBorder="1" applyAlignment="1">
      <alignment horizontal="right" vertical="center" indent="3"/>
    </xf>
    <xf numFmtId="167" fontId="171" fillId="8" borderId="0" xfId="61" applyNumberFormat="1" applyFont="1" applyFill="1" applyAlignment="1">
      <alignment horizontal="right" vertical="center" indent="2"/>
    </xf>
    <xf numFmtId="190" fontId="104" fillId="4" borderId="0" xfId="61" applyNumberFormat="1" applyFont="1" applyFill="1" applyAlignment="1">
      <alignment horizontal="right" vertical="center" indent="2"/>
    </xf>
    <xf numFmtId="165" fontId="104" fillId="4" borderId="0" xfId="61" applyNumberFormat="1" applyFont="1" applyFill="1" applyAlignment="1">
      <alignment horizontal="right" vertical="center" indent="2"/>
    </xf>
    <xf numFmtId="168" fontId="104" fillId="4" borderId="52" xfId="61" applyNumberFormat="1" applyFont="1" applyFill="1" applyBorder="1" applyAlignment="1">
      <alignment horizontal="right" vertical="center" indent="3"/>
    </xf>
    <xf numFmtId="167" fontId="171" fillId="4" borderId="0" xfId="61" applyNumberFormat="1" applyFont="1" applyFill="1" applyAlignment="1">
      <alignment horizontal="right" vertical="center" indent="2"/>
    </xf>
    <xf numFmtId="191" fontId="47" fillId="0" borderId="0" xfId="61" applyNumberFormat="1" applyFont="1" applyAlignment="1">
      <alignment horizontal="right" vertical="center" indent="2"/>
    </xf>
    <xf numFmtId="0" fontId="178" fillId="17" borderId="58" xfId="0" applyFont="1" applyFill="1" applyBorder="1" applyAlignment="1">
      <alignment horizontal="left"/>
    </xf>
    <xf numFmtId="0" fontId="180" fillId="0" borderId="0" xfId="0" applyFont="1"/>
    <xf numFmtId="14" fontId="180" fillId="0" borderId="0" xfId="0" applyNumberFormat="1" applyFont="1"/>
    <xf numFmtId="38" fontId="180" fillId="0" borderId="0" xfId="0" applyNumberFormat="1" applyFont="1"/>
    <xf numFmtId="40" fontId="180" fillId="0" borderId="0" xfId="0" applyNumberFormat="1" applyFont="1"/>
    <xf numFmtId="0" fontId="181" fillId="0" borderId="0" xfId="0" applyFont="1"/>
    <xf numFmtId="14" fontId="181" fillId="0" borderId="0" xfId="0" applyNumberFormat="1" applyFont="1"/>
    <xf numFmtId="38" fontId="181" fillId="0" borderId="0" xfId="0" applyNumberFormat="1" applyFont="1"/>
    <xf numFmtId="40" fontId="181" fillId="0" borderId="0" xfId="0" applyNumberFormat="1" applyFont="1"/>
    <xf numFmtId="40" fontId="181" fillId="0" borderId="59" xfId="0" applyNumberFormat="1" applyFont="1" applyBorder="1"/>
    <xf numFmtId="40" fontId="181" fillId="0" borderId="60" xfId="0" applyNumberFormat="1" applyFont="1" applyBorder="1"/>
    <xf numFmtId="0" fontId="182" fillId="0" borderId="0" xfId="0" applyFont="1"/>
    <xf numFmtId="0" fontId="183" fillId="0" borderId="0" xfId="0" applyFont="1"/>
    <xf numFmtId="38" fontId="35" fillId="0" borderId="0" xfId="0" applyNumberFormat="1" applyFont="1"/>
    <xf numFmtId="0" fontId="36" fillId="0" borderId="0" xfId="112" applyFont="1" applyAlignment="1">
      <alignment horizontal="left"/>
    </xf>
    <xf numFmtId="0" fontId="176" fillId="16" borderId="0" xfId="0" applyFont="1" applyFill="1" applyAlignment="1">
      <alignment horizontal="left" vertical="top" wrapText="1"/>
    </xf>
    <xf numFmtId="0" fontId="172" fillId="16" borderId="0" xfId="0" applyFont="1" applyFill="1"/>
    <xf numFmtId="0" fontId="173" fillId="16" borderId="0" xfId="0" applyFont="1" applyFill="1" applyAlignment="1">
      <alignment horizontal="left" vertical="top" wrapText="1"/>
    </xf>
    <xf numFmtId="0" fontId="145" fillId="0" borderId="0" xfId="10" applyFont="1" applyAlignment="1">
      <alignment horizontal="left" vertical="center" wrapText="1"/>
    </xf>
    <xf numFmtId="170" fontId="36" fillId="0" borderId="0" xfId="57" applyNumberFormat="1" applyFont="1" applyAlignment="1">
      <alignment horizontal="right" vertical="center" indent="1"/>
    </xf>
    <xf numFmtId="170" fontId="5" fillId="0" borderId="0" xfId="42" applyNumberFormat="1" applyFont="1"/>
    <xf numFmtId="3" fontId="7" fillId="0" borderId="57" xfId="10" applyNumberFormat="1" applyFont="1" applyBorder="1" applyAlignment="1">
      <alignment horizontal="right" indent="1"/>
    </xf>
    <xf numFmtId="3" fontId="7" fillId="0" borderId="3" xfId="10" applyNumberFormat="1" applyFont="1" applyBorder="1" applyAlignment="1">
      <alignment horizontal="right" indent="1"/>
    </xf>
    <xf numFmtId="0" fontId="145" fillId="0" borderId="0" xfId="10" quotePrefix="1" applyFont="1" applyAlignment="1">
      <alignment horizontal="left" vertical="center" wrapText="1"/>
    </xf>
    <xf numFmtId="168" fontId="184" fillId="0" borderId="0" xfId="10" applyNumberFormat="1" applyFont="1" applyAlignment="1">
      <alignment horizontal="center"/>
    </xf>
    <xf numFmtId="168" fontId="184" fillId="0" borderId="0" xfId="10" applyNumberFormat="1" applyFont="1"/>
    <xf numFmtId="0" fontId="164" fillId="0" borderId="0" xfId="10" applyFont="1"/>
    <xf numFmtId="167" fontId="36" fillId="0" borderId="0" xfId="10" applyNumberFormat="1" applyFont="1" applyAlignment="1">
      <alignment horizontal="right" vertical="center" indent="1"/>
    </xf>
    <xf numFmtId="3" fontId="8" fillId="10" borderId="0" xfId="10" applyNumberFormat="1" applyFont="1" applyFill="1" applyAlignment="1">
      <alignment horizontal="right" indent="1"/>
    </xf>
    <xf numFmtId="40" fontId="166" fillId="0" borderId="0" xfId="10" applyNumberFormat="1" applyFont="1"/>
    <xf numFmtId="167" fontId="7" fillId="0" borderId="0" xfId="10" applyNumberFormat="1" applyFont="1" applyAlignment="1">
      <alignment horizontal="right" indent="1"/>
    </xf>
    <xf numFmtId="3" fontId="8" fillId="0" borderId="0" xfId="10" applyNumberFormat="1" applyFont="1"/>
    <xf numFmtId="49" fontId="8" fillId="10" borderId="0" xfId="42" applyNumberFormat="1" applyFont="1" applyFill="1"/>
    <xf numFmtId="3" fontId="7" fillId="0" borderId="0" xfId="42" applyNumberFormat="1" applyFont="1"/>
    <xf numFmtId="3" fontId="7" fillId="0" borderId="0" xfId="42" applyNumberFormat="1" applyFont="1" applyAlignment="1">
      <alignment horizontal="right" indent="1"/>
    </xf>
    <xf numFmtId="49" fontId="8" fillId="0" borderId="0" xfId="42" applyNumberFormat="1" applyFont="1"/>
    <xf numFmtId="167" fontId="185" fillId="0" borderId="0" xfId="10" applyNumberFormat="1" applyFont="1" applyAlignment="1">
      <alignment horizontal="right" indent="1"/>
    </xf>
    <xf numFmtId="176" fontId="7" fillId="0" borderId="0" xfId="10" applyNumberFormat="1" applyFont="1" applyAlignment="1">
      <alignment horizontal="right" indent="1"/>
    </xf>
    <xf numFmtId="176" fontId="7" fillId="0" borderId="0" xfId="42" applyNumberFormat="1" applyFont="1" applyAlignment="1">
      <alignment horizontal="right" indent="1"/>
    </xf>
    <xf numFmtId="176" fontId="185" fillId="0" borderId="0" xfId="10" applyNumberFormat="1" applyFont="1" applyAlignment="1">
      <alignment horizontal="right" indent="1"/>
    </xf>
    <xf numFmtId="167" fontId="8" fillId="7" borderId="2" xfId="10" applyNumberFormat="1" applyFont="1" applyFill="1" applyBorder="1" applyAlignment="1">
      <alignment horizontal="right" indent="1"/>
    </xf>
    <xf numFmtId="3" fontId="8" fillId="0" borderId="61" xfId="10" applyNumberFormat="1" applyFont="1" applyBorder="1" applyAlignment="1">
      <alignment horizontal="right" indent="1"/>
    </xf>
    <xf numFmtId="0" fontId="173" fillId="16" borderId="0" xfId="0" applyFont="1" applyFill="1" applyAlignment="1">
      <alignment vertical="top" wrapText="1"/>
    </xf>
    <xf numFmtId="0" fontId="179" fillId="0" borderId="0" xfId="0" applyFont="1"/>
    <xf numFmtId="0" fontId="176" fillId="16" borderId="0" xfId="0" applyFont="1" applyFill="1" applyAlignment="1">
      <alignment vertical="top" wrapText="1"/>
    </xf>
    <xf numFmtId="167" fontId="157" fillId="8" borderId="51" xfId="61" applyNumberFormat="1" applyFont="1" applyFill="1" applyBorder="1" applyAlignment="1">
      <alignment horizontal="right" vertical="center" indent="2"/>
    </xf>
    <xf numFmtId="167" fontId="157" fillId="8" borderId="0" xfId="61" applyNumberFormat="1" applyFont="1" applyFill="1" applyAlignment="1">
      <alignment horizontal="right" vertical="center" indent="2"/>
    </xf>
    <xf numFmtId="3" fontId="47" fillId="0" borderId="0" xfId="61" applyNumberFormat="1" applyFont="1" applyAlignment="1">
      <alignment horizontal="right" indent="3"/>
    </xf>
    <xf numFmtId="3" fontId="104" fillId="0" borderId="3" xfId="61" applyNumberFormat="1" applyFont="1" applyBorder="1" applyAlignment="1">
      <alignment horizontal="right" indent="3"/>
    </xf>
    <xf numFmtId="6" fontId="47" fillId="0" borderId="0" xfId="61" applyNumberFormat="1" applyFont="1" applyAlignment="1">
      <alignment horizontal="right" indent="2"/>
    </xf>
    <xf numFmtId="6" fontId="104" fillId="0" borderId="3" xfId="61" applyNumberFormat="1" applyFont="1" applyBorder="1" applyAlignment="1">
      <alignment horizontal="right" indent="2"/>
    </xf>
    <xf numFmtId="167" fontId="8" fillId="10" borderId="0" xfId="10" applyNumberFormat="1" applyFont="1" applyFill="1" applyAlignment="1">
      <alignment horizontal="left"/>
    </xf>
    <xf numFmtId="40" fontId="186" fillId="0" borderId="0" xfId="10" applyNumberFormat="1" applyFont="1"/>
    <xf numFmtId="0" fontId="186" fillId="0" borderId="0" xfId="10" applyFont="1"/>
    <xf numFmtId="168" fontId="186" fillId="0" borderId="0" xfId="10" applyNumberFormat="1" applyFont="1"/>
    <xf numFmtId="0" fontId="173" fillId="16" borderId="0" xfId="0" applyFont="1" applyFill="1" applyAlignment="1">
      <alignment horizontal="left" vertical="top"/>
    </xf>
    <xf numFmtId="0" fontId="176" fillId="16" borderId="0" xfId="0" applyFont="1" applyFill="1" applyAlignment="1">
      <alignment horizontal="left" vertical="top"/>
    </xf>
    <xf numFmtId="0" fontId="173" fillId="16" borderId="0" xfId="0" applyFont="1" applyFill="1" applyAlignment="1">
      <alignment vertical="top"/>
    </xf>
    <xf numFmtId="0" fontId="176" fillId="16" borderId="0" xfId="0" applyFont="1" applyFill="1" applyAlignment="1">
      <alignment vertical="top"/>
    </xf>
    <xf numFmtId="0" fontId="177" fillId="16" borderId="0" xfId="0" applyFont="1" applyFill="1" applyAlignment="1">
      <alignment vertical="top"/>
    </xf>
    <xf numFmtId="0" fontId="137" fillId="0" borderId="0" xfId="7" applyFont="1" applyAlignment="1">
      <alignment horizontal="left" vertical="center"/>
    </xf>
    <xf numFmtId="166" fontId="35" fillId="0" borderId="0" xfId="8" applyNumberFormat="1" applyFont="1" applyBorder="1" applyAlignment="1">
      <alignment horizontal="center"/>
    </xf>
    <xf numFmtId="177" fontId="54" fillId="0" borderId="0" xfId="24" applyFont="1" applyAlignment="1">
      <alignment vertical="center"/>
    </xf>
    <xf numFmtId="177" fontId="46" fillId="0" borderId="0" xfId="24" applyFont="1" applyAlignment="1">
      <alignment vertical="center"/>
    </xf>
    <xf numFmtId="10" fontId="7" fillId="0" borderId="0" xfId="77" applyNumberFormat="1" applyFont="1" applyAlignment="1">
      <alignment horizontal="center" vertical="center"/>
    </xf>
    <xf numFmtId="0" fontId="188" fillId="0" borderId="0" xfId="121" applyFont="1" applyAlignment="1">
      <alignment horizontal="centerContinuous" vertical="center"/>
    </xf>
    <xf numFmtId="167" fontId="7" fillId="0" borderId="0" xfId="24" applyNumberFormat="1" applyFont="1" applyAlignment="1">
      <alignment horizontal="center" vertical="center"/>
    </xf>
    <xf numFmtId="166" fontId="35" fillId="0" borderId="0" xfId="77" applyNumberFormat="1" applyFont="1" applyFill="1" applyAlignment="1">
      <alignment horizontal="center" vertical="center"/>
    </xf>
    <xf numFmtId="177" fontId="35" fillId="0" borderId="0" xfId="24" applyFont="1" applyAlignment="1">
      <alignment vertical="center"/>
    </xf>
    <xf numFmtId="177" fontId="43" fillId="0" borderId="0" xfId="24" applyFont="1" applyAlignment="1">
      <alignment vertical="center"/>
    </xf>
    <xf numFmtId="177" fontId="34" fillId="0" borderId="0" xfId="24" applyFont="1" applyAlignment="1">
      <alignment horizontal="centerContinuous"/>
    </xf>
    <xf numFmtId="177" fontId="7" fillId="0" borderId="0" xfId="24" applyFont="1" applyAlignment="1">
      <alignment vertical="center"/>
    </xf>
    <xf numFmtId="14" fontId="35" fillId="0" borderId="0" xfId="24" applyNumberFormat="1" applyFont="1" applyAlignment="1">
      <alignment horizontal="right" vertical="center" indent="1"/>
    </xf>
    <xf numFmtId="177" fontId="34" fillId="0" borderId="0" xfId="24" applyFont="1" applyAlignment="1">
      <alignment horizontal="center" vertical="center"/>
    </xf>
    <xf numFmtId="0" fontId="35" fillId="0" borderId="0" xfId="24" applyNumberFormat="1" applyFont="1" applyAlignment="1">
      <alignment horizontal="right" vertical="center" indent="1"/>
    </xf>
    <xf numFmtId="3" fontId="7" fillId="0" borderId="0" xfId="24" applyNumberFormat="1" applyFont="1" applyAlignment="1">
      <alignment horizontal="right" vertical="center" indent="1"/>
    </xf>
    <xf numFmtId="166" fontId="7" fillId="0" borderId="0" xfId="77" applyNumberFormat="1" applyFont="1" applyFill="1" applyAlignment="1">
      <alignment horizontal="right" vertical="center" indent="1"/>
    </xf>
    <xf numFmtId="0" fontId="35" fillId="0" borderId="0" xfId="77" applyNumberFormat="1" applyFont="1" applyFill="1" applyAlignment="1">
      <alignment horizontal="right" vertical="center" indent="1"/>
    </xf>
    <xf numFmtId="201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center" vertical="center"/>
    </xf>
    <xf numFmtId="166" fontId="7" fillId="0" borderId="0" xfId="77" applyNumberFormat="1" applyFont="1" applyFill="1" applyAlignment="1">
      <alignment horizontal="center" vertical="center"/>
    </xf>
    <xf numFmtId="177" fontId="34" fillId="0" borderId="66" xfId="24" applyFont="1" applyBorder="1" applyAlignment="1">
      <alignment horizontal="centerContinuous"/>
    </xf>
    <xf numFmtId="177" fontId="34" fillId="0" borderId="67" xfId="24" applyFont="1" applyBorder="1" applyAlignment="1">
      <alignment horizontal="centerContinuous"/>
    </xf>
    <xf numFmtId="177" fontId="26" fillId="0" borderId="0" xfId="24" applyFont="1" applyAlignment="1">
      <alignment vertical="center"/>
    </xf>
    <xf numFmtId="177" fontId="51" fillId="0" borderId="0" xfId="24" applyFont="1" applyAlignment="1">
      <alignment vertical="center"/>
    </xf>
    <xf numFmtId="177" fontId="31" fillId="0" borderId="0" xfId="24" applyFont="1" applyAlignment="1">
      <alignment vertical="center"/>
    </xf>
    <xf numFmtId="166" fontId="187" fillId="0" borderId="62" xfId="77" applyNumberFormat="1" applyFont="1" applyFill="1" applyBorder="1" applyAlignment="1">
      <alignment horizontal="center" vertical="center"/>
    </xf>
    <xf numFmtId="167" fontId="40" fillId="0" borderId="63" xfId="24" applyNumberFormat="1" applyFont="1" applyBorder="1" applyAlignment="1">
      <alignment horizontal="center" vertical="center"/>
    </xf>
    <xf numFmtId="177" fontId="3" fillId="0" borderId="17" xfId="24" applyFont="1" applyBorder="1" applyAlignment="1">
      <alignment horizontal="left" vertical="center"/>
    </xf>
    <xf numFmtId="167" fontId="159" fillId="0" borderId="64" xfId="24" applyNumberFormat="1" applyFont="1" applyBorder="1" applyAlignment="1">
      <alignment horizontal="center" vertical="center"/>
    </xf>
    <xf numFmtId="10" fontId="8" fillId="0" borderId="8" xfId="77" applyNumberFormat="1" applyFont="1" applyFill="1" applyBorder="1" applyAlignment="1">
      <alignment horizontal="center" vertical="center"/>
    </xf>
    <xf numFmtId="10" fontId="21" fillId="0" borderId="8" xfId="77" applyNumberFormat="1" applyFont="1" applyFill="1" applyBorder="1" applyAlignment="1">
      <alignment horizontal="center" vertical="center"/>
    </xf>
    <xf numFmtId="10" fontId="8" fillId="0" borderId="18" xfId="77" applyNumberFormat="1" applyFont="1" applyFill="1" applyBorder="1" applyAlignment="1">
      <alignment horizontal="center" vertical="center"/>
    </xf>
    <xf numFmtId="167" fontId="40" fillId="0" borderId="65" xfId="24" applyNumberFormat="1" applyFont="1" applyBorder="1" applyAlignment="1">
      <alignment horizontal="center" vertical="center"/>
    </xf>
    <xf numFmtId="202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right" vertical="center" indent="1"/>
    </xf>
    <xf numFmtId="0" fontId="65" fillId="0" borderId="0" xfId="130" applyFont="1" applyAlignment="1">
      <alignment horizontal="left" vertical="center" indent="1"/>
    </xf>
    <xf numFmtId="166" fontId="63" fillId="0" borderId="0" xfId="132" applyNumberFormat="1" applyFont="1" applyBorder="1" applyAlignment="1">
      <alignment horizontal="right" vertical="center" indent="4"/>
    </xf>
    <xf numFmtId="0" fontId="65" fillId="4" borderId="0" xfId="130" applyFont="1" applyFill="1" applyAlignment="1">
      <alignment horizontal="left" vertical="center" indent="1"/>
    </xf>
    <xf numFmtId="166" fontId="63" fillId="4" borderId="0" xfId="132" applyNumberFormat="1" applyFont="1" applyFill="1" applyBorder="1" applyAlignment="1">
      <alignment horizontal="right" vertical="center" indent="4"/>
    </xf>
    <xf numFmtId="166" fontId="187" fillId="0" borderId="0" xfId="77" applyNumberFormat="1" applyFont="1" applyFill="1" applyAlignment="1">
      <alignment horizontal="center" vertical="center"/>
    </xf>
    <xf numFmtId="177" fontId="187" fillId="0" borderId="0" xfId="24" applyFont="1" applyAlignment="1">
      <alignment horizontal="center" vertical="center"/>
    </xf>
    <xf numFmtId="177" fontId="187" fillId="0" borderId="0" xfId="24" applyFont="1" applyAlignment="1">
      <alignment horizontal="centerContinuous"/>
    </xf>
    <xf numFmtId="167" fontId="27" fillId="5" borderId="0" xfId="121" applyNumberFormat="1" applyFont="1" applyFill="1" applyAlignment="1">
      <alignment horizontal="right" vertical="center" indent="3"/>
    </xf>
    <xf numFmtId="167" fontId="67" fillId="0" borderId="47" xfId="61" applyNumberFormat="1" applyFont="1" applyBorder="1" applyAlignment="1">
      <alignment horizontal="right" vertical="center" indent="3"/>
    </xf>
    <xf numFmtId="169" fontId="51" fillId="15" borderId="72" xfId="10" applyNumberFormat="1" applyFont="1" applyFill="1" applyBorder="1" applyAlignment="1">
      <alignment horizontal="center" vertical="center"/>
    </xf>
    <xf numFmtId="169" fontId="51" fillId="15" borderId="73" xfId="10" applyNumberFormat="1" applyFont="1" applyFill="1" applyBorder="1" applyAlignment="1">
      <alignment horizontal="center" vertical="center"/>
    </xf>
    <xf numFmtId="169" fontId="51" fillId="15" borderId="43" xfId="10" applyNumberFormat="1" applyFont="1" applyFill="1" applyBorder="1" applyAlignment="1">
      <alignment horizontal="center" vertical="center"/>
    </xf>
    <xf numFmtId="169" fontId="8" fillId="0" borderId="74" xfId="10" applyNumberFormat="1" applyFont="1" applyBorder="1" applyAlignment="1">
      <alignment horizontal="center" vertical="center"/>
    </xf>
    <xf numFmtId="169" fontId="8" fillId="0" borderId="75" xfId="10" applyNumberFormat="1" applyFont="1" applyBorder="1" applyAlignment="1">
      <alignment horizontal="center" vertical="center"/>
    </xf>
    <xf numFmtId="3" fontId="7" fillId="0" borderId="74" xfId="10" applyNumberFormat="1" applyFont="1" applyBorder="1" applyAlignment="1">
      <alignment horizontal="right" indent="1"/>
    </xf>
    <xf numFmtId="3" fontId="7" fillId="0" borderId="75" xfId="10" applyNumberFormat="1" applyFont="1" applyBorder="1" applyAlignment="1">
      <alignment horizontal="right" indent="1"/>
    </xf>
    <xf numFmtId="3" fontId="8" fillId="0" borderId="76" xfId="10" applyNumberFormat="1" applyFont="1" applyBorder="1" applyAlignment="1">
      <alignment horizontal="right" indent="1"/>
    </xf>
    <xf numFmtId="167" fontId="8" fillId="10" borderId="74" xfId="10" applyNumberFormat="1" applyFont="1" applyFill="1" applyBorder="1" applyAlignment="1">
      <alignment horizontal="right" indent="1"/>
    </xf>
    <xf numFmtId="167" fontId="8" fillId="10" borderId="75" xfId="10" applyNumberFormat="1" applyFont="1" applyFill="1" applyBorder="1" applyAlignment="1">
      <alignment horizontal="right" indent="1"/>
    </xf>
    <xf numFmtId="167" fontId="7" fillId="0" borderId="74" xfId="10" applyNumberFormat="1" applyFont="1" applyBorder="1" applyAlignment="1">
      <alignment horizontal="right" indent="1"/>
    </xf>
    <xf numFmtId="167" fontId="7" fillId="0" borderId="75" xfId="10" applyNumberFormat="1" applyFont="1" applyBorder="1" applyAlignment="1">
      <alignment horizontal="right" indent="1"/>
    </xf>
    <xf numFmtId="176" fontId="7" fillId="0" borderId="74" xfId="10" applyNumberFormat="1" applyFont="1" applyBorder="1" applyAlignment="1">
      <alignment horizontal="right" indent="1"/>
    </xf>
    <xf numFmtId="176" fontId="7" fillId="0" borderId="75" xfId="10" applyNumberFormat="1" applyFont="1" applyBorder="1" applyAlignment="1">
      <alignment horizontal="right" indent="1"/>
    </xf>
    <xf numFmtId="3" fontId="7" fillId="0" borderId="61" xfId="10" applyNumberFormat="1" applyFont="1" applyBorder="1" applyAlignment="1">
      <alignment horizontal="right" indent="1"/>
    </xf>
    <xf numFmtId="3" fontId="7" fillId="0" borderId="76" xfId="10" applyNumberFormat="1" applyFont="1" applyBorder="1" applyAlignment="1">
      <alignment horizontal="right" indent="1"/>
    </xf>
    <xf numFmtId="167" fontId="8" fillId="7" borderId="74" xfId="10" applyNumberFormat="1" applyFont="1" applyFill="1" applyBorder="1" applyAlignment="1">
      <alignment horizontal="right" indent="1"/>
    </xf>
    <xf numFmtId="167" fontId="8" fillId="7" borderId="75" xfId="10" applyNumberFormat="1" applyFont="1" applyFill="1" applyBorder="1" applyAlignment="1">
      <alignment horizontal="right" indent="1"/>
    </xf>
    <xf numFmtId="167" fontId="8" fillId="7" borderId="77" xfId="10" applyNumberFormat="1" applyFont="1" applyFill="1" applyBorder="1" applyAlignment="1">
      <alignment horizontal="right" indent="1"/>
    </xf>
    <xf numFmtId="167" fontId="8" fillId="7" borderId="78" xfId="10" applyNumberFormat="1" applyFont="1" applyFill="1" applyBorder="1" applyAlignment="1">
      <alignment horizontal="right" indent="1"/>
    </xf>
    <xf numFmtId="167" fontId="8" fillId="7" borderId="79" xfId="10" applyNumberFormat="1" applyFont="1" applyFill="1" applyBorder="1" applyAlignment="1">
      <alignment horizontal="right" indent="1"/>
    </xf>
    <xf numFmtId="3" fontId="27" fillId="0" borderId="80" xfId="7" applyNumberFormat="1" applyFont="1" applyBorder="1" applyAlignment="1"/>
    <xf numFmtId="3" fontId="27" fillId="0" borderId="82" xfId="7" applyNumberFormat="1" applyFont="1" applyBorder="1" applyAlignment="1">
      <alignment vertical="top"/>
    </xf>
    <xf numFmtId="200" fontId="189" fillId="0" borderId="0" xfId="8" applyNumberFormat="1" applyFont="1" applyAlignment="1">
      <alignment horizontal="center" wrapText="1"/>
    </xf>
    <xf numFmtId="0" fontId="190" fillId="0" borderId="0" xfId="8" applyFont="1" applyBorder="1" applyAlignment="1">
      <alignment horizontal="center" wrapText="1"/>
    </xf>
    <xf numFmtId="3" fontId="8" fillId="0" borderId="36" xfId="7" quotePrefix="1" applyNumberFormat="1" applyFont="1" applyBorder="1" applyAlignment="1">
      <alignment horizontal="left" vertical="center"/>
    </xf>
    <xf numFmtId="0" fontId="190" fillId="0" borderId="84" xfId="8" applyFont="1" applyBorder="1" applyAlignment="1">
      <alignment horizontal="center" wrapText="1"/>
    </xf>
    <xf numFmtId="0" fontId="82" fillId="0" borderId="85" xfId="8" applyFont="1" applyBorder="1" applyAlignment="1">
      <alignment horizontal="center" wrapText="1"/>
    </xf>
    <xf numFmtId="3" fontId="81" fillId="0" borderId="85" xfId="7" applyNumberFormat="1" applyFont="1" applyBorder="1" applyAlignment="1">
      <alignment horizontal="centerContinuous" vertical="center"/>
    </xf>
    <xf numFmtId="3" fontId="8" fillId="0" borderId="85" xfId="7" applyNumberFormat="1" applyFont="1" applyBorder="1">
      <alignment vertical="center"/>
    </xf>
    <xf numFmtId="3" fontId="7" fillId="0" borderId="85" xfId="7" applyNumberFormat="1" applyFont="1" applyBorder="1" applyAlignment="1">
      <alignment horizontal="right" vertical="center" indent="2"/>
    </xf>
    <xf numFmtId="10" fontId="7" fillId="0" borderId="85" xfId="7" applyNumberFormat="1" applyFont="1" applyBorder="1" applyAlignment="1">
      <alignment horizontal="right" vertical="center" indent="2"/>
    </xf>
    <xf numFmtId="170" fontId="7" fillId="4" borderId="85" xfId="7" applyNumberFormat="1" applyFont="1" applyFill="1" applyBorder="1" applyAlignment="1">
      <alignment horizontal="right" vertical="center" indent="3"/>
    </xf>
    <xf numFmtId="170" fontId="8" fillId="3" borderId="85" xfId="7" applyNumberFormat="1" applyFont="1" applyFill="1" applyBorder="1" applyAlignment="1">
      <alignment horizontal="right" vertical="center" indent="3"/>
    </xf>
    <xf numFmtId="183" fontId="8" fillId="4" borderId="85" xfId="7" applyNumberFormat="1" applyFont="1" applyFill="1" applyBorder="1" applyAlignment="1">
      <alignment horizontal="right" vertical="center" indent="3"/>
    </xf>
    <xf numFmtId="0" fontId="82" fillId="0" borderId="85" xfId="8" applyFont="1" applyBorder="1" applyAlignment="1">
      <alignment horizontal="right" wrapText="1" indent="1"/>
    </xf>
    <xf numFmtId="3" fontId="7" fillId="4" borderId="85" xfId="7" applyNumberFormat="1" applyFont="1" applyFill="1" applyBorder="1" applyAlignment="1">
      <alignment horizontal="right" vertical="center" indent="3"/>
    </xf>
    <xf numFmtId="0" fontId="69" fillId="0" borderId="0" xfId="7" applyFont="1" applyAlignment="1">
      <alignment horizontal="centerContinuous"/>
    </xf>
    <xf numFmtId="177" fontId="8" fillId="0" borderId="12" xfId="24" applyFont="1" applyBorder="1" applyAlignment="1">
      <alignment horizontal="left" vertical="center"/>
    </xf>
    <xf numFmtId="0" fontId="191" fillId="0" borderId="0" xfId="61" applyFont="1"/>
    <xf numFmtId="198" fontId="192" fillId="9" borderId="0" xfId="61" applyNumberFormat="1" applyFont="1" applyFill="1" applyAlignment="1">
      <alignment horizontal="left"/>
    </xf>
    <xf numFmtId="10" fontId="0" fillId="0" borderId="0" xfId="0" applyNumberFormat="1" applyAlignment="1">
      <alignment horizontal="center"/>
    </xf>
    <xf numFmtId="3" fontId="7" fillId="0" borderId="0" xfId="7" applyNumberFormat="1" applyFont="1" applyAlignment="1">
      <alignment horizontal="right" vertical="center" indent="2"/>
    </xf>
    <xf numFmtId="170" fontId="35" fillId="0" borderId="0" xfId="7" applyNumberFormat="1" applyFont="1" applyAlignment="1">
      <alignment horizontal="right" vertical="center" indent="2"/>
    </xf>
    <xf numFmtId="170" fontId="8" fillId="3" borderId="0" xfId="7" applyNumberFormat="1" applyFont="1" applyFill="1" applyAlignment="1">
      <alignment horizontal="right" vertical="center" indent="2"/>
    </xf>
    <xf numFmtId="183" fontId="8" fillId="4" borderId="0" xfId="7" applyNumberFormat="1" applyFont="1" applyFill="1" applyAlignment="1">
      <alignment horizontal="right" vertical="center" indent="2"/>
    </xf>
    <xf numFmtId="0" fontId="82" fillId="0" borderId="0" xfId="8" applyFont="1" applyBorder="1" applyAlignment="1">
      <alignment horizontal="right" wrapText="1" indent="1"/>
    </xf>
    <xf numFmtId="3" fontId="7" fillId="4" borderId="0" xfId="7" applyNumberFormat="1" applyFont="1" applyFill="1" applyAlignment="1">
      <alignment horizontal="right" vertical="center" indent="2"/>
    </xf>
    <xf numFmtId="3" fontId="35" fillId="4" borderId="0" xfId="7" applyNumberFormat="1" applyFont="1" applyFill="1" applyAlignment="1">
      <alignment horizontal="right" vertical="center" indent="2"/>
    </xf>
    <xf numFmtId="3" fontId="7" fillId="0" borderId="0" xfId="7" applyNumberFormat="1" applyFont="1" applyAlignment="1">
      <alignment horizontal="right" vertical="center" indent="3"/>
    </xf>
    <xf numFmtId="186" fontId="8" fillId="3" borderId="0" xfId="76" applyNumberFormat="1" applyFont="1" applyFill="1" applyAlignment="1">
      <alignment horizontal="right" vertical="center" indent="3"/>
    </xf>
    <xf numFmtId="183" fontId="8" fillId="4" borderId="0" xfId="7" applyNumberFormat="1" applyFont="1" applyFill="1" applyAlignment="1">
      <alignment horizontal="right" vertical="center" indent="3"/>
    </xf>
    <xf numFmtId="188" fontId="88" fillId="0" borderId="0" xfId="8" applyNumberFormat="1" applyFont="1" applyBorder="1" applyAlignment="1">
      <alignment horizontal="right" wrapText="1" indent="2"/>
    </xf>
    <xf numFmtId="170" fontId="7" fillId="4" borderId="0" xfId="7" applyNumberFormat="1" applyFont="1" applyFill="1" applyAlignment="1">
      <alignment horizontal="right" vertical="center" indent="3"/>
    </xf>
    <xf numFmtId="3" fontId="7" fillId="4" borderId="0" xfId="7" applyNumberFormat="1" applyFont="1" applyFill="1" applyAlignment="1">
      <alignment horizontal="right" vertical="center" indent="3"/>
    </xf>
    <xf numFmtId="0" fontId="193" fillId="0" borderId="0" xfId="8" applyFont="1"/>
    <xf numFmtId="0" fontId="161" fillId="0" borderId="0" xfId="8" quotePrefix="1" applyFont="1"/>
    <xf numFmtId="0" fontId="195" fillId="0" borderId="33" xfId="7" applyFont="1" applyBorder="1">
      <alignment vertical="center"/>
    </xf>
    <xf numFmtId="0" fontId="196" fillId="0" borderId="0" xfId="7" applyFont="1" applyAlignment="1">
      <alignment horizontal="centerContinuous"/>
    </xf>
    <xf numFmtId="0" fontId="197" fillId="0" borderId="0" xfId="7" applyFont="1" applyAlignment="1">
      <alignment horizontal="centerContinuous"/>
    </xf>
    <xf numFmtId="0" fontId="195" fillId="0" borderId="0" xfId="7" applyFont="1" applyAlignment="1"/>
    <xf numFmtId="0" fontId="197" fillId="0" borderId="0" xfId="7" applyFont="1" applyAlignment="1">
      <alignment horizontal="left"/>
    </xf>
    <xf numFmtId="166" fontId="69" fillId="0" borderId="81" xfId="56" applyNumberFormat="1" applyFont="1" applyBorder="1" applyAlignment="1">
      <alignment horizontal="center"/>
    </xf>
    <xf numFmtId="166" fontId="69" fillId="0" borderId="83" xfId="7" applyNumberFormat="1" applyFont="1" applyBorder="1" applyAlignment="1">
      <alignment horizontal="center" vertical="top"/>
    </xf>
    <xf numFmtId="3" fontId="27" fillId="0" borderId="89" xfId="7" applyNumberFormat="1" applyFont="1" applyBorder="1" applyAlignment="1"/>
    <xf numFmtId="166" fontId="69" fillId="0" borderId="90" xfId="56" applyNumberFormat="1" applyFont="1" applyBorder="1" applyAlignment="1">
      <alignment horizontal="center"/>
    </xf>
    <xf numFmtId="0" fontId="198" fillId="0" borderId="0" xfId="61" applyFont="1"/>
    <xf numFmtId="0" fontId="194" fillId="0" borderId="0" xfId="7" applyFont="1" applyAlignment="1">
      <alignment horizontal="right"/>
    </xf>
    <xf numFmtId="0" fontId="28" fillId="15" borderId="40" xfId="7" quotePrefix="1" applyFont="1" applyFill="1" applyBorder="1" applyAlignment="1">
      <alignment horizontal="center" wrapText="1"/>
    </xf>
    <xf numFmtId="0" fontId="28" fillId="15" borderId="91" xfId="7" quotePrefix="1" applyFont="1" applyFill="1" applyBorder="1" applyAlignment="1">
      <alignment horizontal="center" wrapText="1"/>
    </xf>
    <xf numFmtId="0" fontId="28" fillId="15" borderId="30" xfId="7" quotePrefix="1" applyFont="1" applyFill="1" applyBorder="1" applyAlignment="1">
      <alignment horizontal="center" wrapText="1"/>
    </xf>
    <xf numFmtId="0" fontId="28" fillId="15" borderId="31" xfId="7" quotePrefix="1" applyFont="1" applyFill="1" applyBorder="1" applyAlignment="1">
      <alignment horizontal="center" wrapText="1"/>
    </xf>
    <xf numFmtId="3" fontId="39" fillId="0" borderId="31" xfId="7" applyNumberFormat="1" applyFont="1" applyBorder="1">
      <alignment vertical="center"/>
    </xf>
    <xf numFmtId="3" fontId="39" fillId="0" borderId="32" xfId="7" applyNumberFormat="1" applyFont="1" applyBorder="1">
      <alignment vertical="center"/>
    </xf>
    <xf numFmtId="3" fontId="8" fillId="0" borderId="31" xfId="7" applyNumberFormat="1" applyFont="1" applyBorder="1">
      <alignment vertical="center"/>
    </xf>
    <xf numFmtId="5" fontId="7" fillId="0" borderId="31" xfId="7" applyNumberFormat="1" applyFont="1" applyBorder="1" applyAlignment="1">
      <alignment horizontal="right" vertical="center" indent="1"/>
    </xf>
    <xf numFmtId="5" fontId="7" fillId="0" borderId="0" xfId="7" applyNumberFormat="1" applyFont="1" applyAlignment="1">
      <alignment horizontal="right" vertical="center" indent="1"/>
    </xf>
    <xf numFmtId="37" fontId="7" fillId="0" borderId="31" xfId="7" applyNumberFormat="1" applyFont="1" applyBorder="1" applyAlignment="1">
      <alignment horizontal="right" vertical="center" indent="1"/>
    </xf>
    <xf numFmtId="37" fontId="7" fillId="0" borderId="0" xfId="7" applyNumberFormat="1" applyFont="1" applyAlignment="1">
      <alignment horizontal="right" vertical="center" indent="1"/>
    </xf>
    <xf numFmtId="37" fontId="8" fillId="0" borderId="56" xfId="7" applyNumberFormat="1" applyFont="1" applyBorder="1" applyAlignment="1">
      <alignment horizontal="right" vertical="center" indent="1"/>
    </xf>
    <xf numFmtId="170" fontId="8" fillId="10" borderId="31" xfId="7" applyNumberFormat="1" applyFont="1" applyFill="1" applyBorder="1" applyAlignment="1">
      <alignment horizontal="right" vertical="center" indent="1"/>
    </xf>
    <xf numFmtId="170" fontId="8" fillId="10" borderId="32" xfId="7" applyNumberFormat="1" applyFont="1" applyFill="1" applyBorder="1" applyAlignment="1">
      <alignment horizontal="right" vertical="center" indent="1"/>
    </xf>
    <xf numFmtId="183" fontId="87" fillId="4" borderId="31" xfId="7" applyNumberFormat="1" applyFont="1" applyFill="1" applyBorder="1" applyAlignment="1">
      <alignment horizontal="right" vertical="center" indent="1"/>
    </xf>
    <xf numFmtId="183" fontId="87" fillId="4" borderId="0" xfId="7" applyNumberFormat="1" applyFont="1" applyFill="1" applyAlignment="1">
      <alignment horizontal="right" vertical="center" indent="1"/>
    </xf>
    <xf numFmtId="183" fontId="87" fillId="4" borderId="32" xfId="7" applyNumberFormat="1" applyFont="1" applyFill="1" applyBorder="1" applyAlignment="1">
      <alignment horizontal="right" vertical="center" indent="1"/>
    </xf>
    <xf numFmtId="37" fontId="89" fillId="4" borderId="31" xfId="7" applyNumberFormat="1" applyFont="1" applyFill="1" applyBorder="1" applyAlignment="1">
      <alignment horizontal="right" vertical="center" indent="1"/>
    </xf>
    <xf numFmtId="37" fontId="89" fillId="4" borderId="0" xfId="7" applyNumberFormat="1" applyFont="1" applyFill="1" applyAlignment="1">
      <alignment horizontal="right" vertical="center" indent="1"/>
    </xf>
    <xf numFmtId="37" fontId="89" fillId="4" borderId="32" xfId="7" applyNumberFormat="1" applyFont="1" applyFill="1" applyBorder="1" applyAlignment="1">
      <alignment horizontal="right" vertical="center" indent="1"/>
    </xf>
    <xf numFmtId="5" fontId="89" fillId="4" borderId="31" xfId="7" applyNumberFormat="1" applyFont="1" applyFill="1" applyBorder="1" applyAlignment="1">
      <alignment horizontal="right" vertical="center" indent="1"/>
    </xf>
    <xf numFmtId="5" fontId="89" fillId="4" borderId="0" xfId="7" applyNumberFormat="1" applyFont="1" applyFill="1" applyAlignment="1">
      <alignment horizontal="right" vertical="center" indent="1"/>
    </xf>
    <xf numFmtId="5" fontId="89" fillId="4" borderId="32" xfId="7" applyNumberFormat="1" applyFont="1" applyFill="1" applyBorder="1" applyAlignment="1">
      <alignment horizontal="right" vertical="center" indent="1"/>
    </xf>
    <xf numFmtId="5" fontId="91" fillId="4" borderId="31" xfId="7" applyNumberFormat="1" applyFont="1" applyFill="1" applyBorder="1" applyAlignment="1">
      <alignment horizontal="right" vertical="center" indent="1"/>
    </xf>
    <xf numFmtId="5" fontId="91" fillId="4" borderId="0" xfId="7" applyNumberFormat="1" applyFont="1" applyFill="1" applyAlignment="1">
      <alignment horizontal="right" vertical="center" indent="1"/>
    </xf>
    <xf numFmtId="5" fontId="91" fillId="4" borderId="32" xfId="7" applyNumberFormat="1" applyFont="1" applyFill="1" applyBorder="1" applyAlignment="1">
      <alignment horizontal="right" vertical="center" indent="1"/>
    </xf>
    <xf numFmtId="177" fontId="26" fillId="3" borderId="0" xfId="24" applyFont="1" applyFill="1"/>
    <xf numFmtId="177" fontId="26" fillId="3" borderId="0" xfId="24" quotePrefix="1" applyFont="1" applyFill="1" applyAlignment="1">
      <alignment horizontal="left" indent="2"/>
    </xf>
    <xf numFmtId="167" fontId="68" fillId="0" borderId="0" xfId="61" applyNumberFormat="1" applyFont="1" applyAlignment="1">
      <alignment horizontal="right" vertical="center" indent="2"/>
    </xf>
    <xf numFmtId="0" fontId="161" fillId="0" borderId="0" xfId="8" quotePrefix="1" applyFont="1" applyAlignment="1">
      <alignment horizontal="left" indent="1"/>
    </xf>
    <xf numFmtId="0" fontId="86" fillId="0" borderId="0" xfId="8" applyFont="1" applyAlignment="1">
      <alignment horizontal="left" indent="1"/>
    </xf>
    <xf numFmtId="0" fontId="65" fillId="0" borderId="0" xfId="8" applyFont="1" applyAlignment="1">
      <alignment horizontal="left" indent="1"/>
    </xf>
    <xf numFmtId="0" fontId="82" fillId="0" borderId="86" xfId="8" applyFont="1" applyBorder="1" applyAlignment="1">
      <alignment horizontal="center" wrapText="1"/>
    </xf>
    <xf numFmtId="0" fontId="41" fillId="0" borderId="0" xfId="42" applyFont="1"/>
    <xf numFmtId="0" fontId="1" fillId="0" borderId="0" xfId="42" applyFont="1" applyAlignment="1">
      <alignment horizontal="left" indent="1"/>
    </xf>
    <xf numFmtId="0" fontId="3" fillId="0" borderId="0" xfId="42" applyFont="1" applyAlignment="1">
      <alignment horizontal="left" indent="1"/>
    </xf>
    <xf numFmtId="6" fontId="3" fillId="0" borderId="0" xfId="42" applyNumberFormat="1" applyFont="1"/>
    <xf numFmtId="6" fontId="35" fillId="0" borderId="0" xfId="42" applyNumberFormat="1" applyFont="1"/>
    <xf numFmtId="167" fontId="42" fillId="0" borderId="0" xfId="10" applyNumberFormat="1" applyFont="1" applyAlignment="1">
      <alignment horizontal="right" vertical="center" indent="1"/>
    </xf>
    <xf numFmtId="166" fontId="63" fillId="0" borderId="0" xfId="132" applyNumberFormat="1" applyFont="1" applyBorder="1" applyAlignment="1">
      <alignment horizontal="right" vertical="center" indent="2"/>
    </xf>
    <xf numFmtId="166" fontId="63" fillId="4" borderId="0" xfId="132" applyNumberFormat="1" applyFont="1" applyFill="1" applyBorder="1" applyAlignment="1">
      <alignment horizontal="right" vertical="center" indent="2"/>
    </xf>
    <xf numFmtId="166" fontId="105" fillId="5" borderId="0" xfId="132" applyNumberFormat="1" applyFont="1" applyFill="1" applyBorder="1" applyAlignment="1">
      <alignment horizontal="right" vertical="center" indent="2"/>
    </xf>
    <xf numFmtId="0" fontId="1" fillId="0" borderId="10" xfId="56" applyBorder="1"/>
    <xf numFmtId="0" fontId="1" fillId="0" borderId="3" xfId="56" applyBorder="1"/>
    <xf numFmtId="0" fontId="25" fillId="0" borderId="3" xfId="56" applyFont="1" applyBorder="1"/>
    <xf numFmtId="0" fontId="0" fillId="0" borderId="3" xfId="56" applyFont="1" applyBorder="1"/>
    <xf numFmtId="0" fontId="1" fillId="0" borderId="11" xfId="56" applyBorder="1"/>
    <xf numFmtId="0" fontId="33" fillId="0" borderId="92" xfId="1" applyFont="1" applyFill="1" applyBorder="1" applyAlignment="1">
      <alignment vertical="center"/>
    </xf>
    <xf numFmtId="0" fontId="44" fillId="0" borderId="13" xfId="1" applyFont="1" applyFill="1" applyBorder="1" applyAlignment="1">
      <alignment horizontal="right"/>
    </xf>
    <xf numFmtId="0" fontId="5" fillId="0" borderId="12" xfId="7" applyFont="1" applyBorder="1">
      <alignment vertical="center"/>
    </xf>
    <xf numFmtId="0" fontId="80" fillId="0" borderId="0" xfId="7" applyFont="1" applyAlignment="1"/>
    <xf numFmtId="0" fontId="42" fillId="0" borderId="93" xfId="7" applyFont="1" applyBorder="1">
      <alignment vertical="center"/>
    </xf>
    <xf numFmtId="0" fontId="24" fillId="2" borderId="12" xfId="7" applyFont="1" applyFill="1" applyBorder="1">
      <alignment vertical="center"/>
    </xf>
    <xf numFmtId="0" fontId="84" fillId="0" borderId="0" xfId="8" applyFont="1" applyBorder="1"/>
    <xf numFmtId="0" fontId="84" fillId="15" borderId="0" xfId="8" applyFont="1" applyFill="1" applyBorder="1"/>
    <xf numFmtId="0" fontId="84" fillId="0" borderId="13" xfId="8" applyFont="1" applyBorder="1"/>
    <xf numFmtId="169" fontId="83" fillId="2" borderId="12" xfId="7" quotePrefix="1" applyNumberFormat="1" applyFont="1" applyFill="1" applyBorder="1" applyAlignment="1">
      <alignment horizontal="left" vertical="center" wrapText="1"/>
    </xf>
    <xf numFmtId="0" fontId="24" fillId="0" borderId="12" xfId="7" applyFont="1" applyBorder="1">
      <alignment vertical="center"/>
    </xf>
    <xf numFmtId="0" fontId="86" fillId="0" borderId="12" xfId="8" applyFont="1" applyBorder="1"/>
    <xf numFmtId="0" fontId="86" fillId="0" borderId="0" xfId="8" applyFont="1" applyBorder="1"/>
    <xf numFmtId="0" fontId="86" fillId="0" borderId="13" xfId="8" applyFont="1" applyBorder="1"/>
    <xf numFmtId="0" fontId="39" fillId="0" borderId="12" xfId="7" applyFont="1" applyBorder="1" applyAlignment="1">
      <alignment horizontal="left" vertical="center"/>
    </xf>
    <xf numFmtId="0" fontId="57" fillId="0" borderId="12" xfId="7" applyFont="1" applyBorder="1">
      <alignment vertical="center"/>
    </xf>
    <xf numFmtId="0" fontId="90" fillId="0" borderId="12" xfId="7" applyFont="1" applyBorder="1" applyAlignment="1">
      <alignment horizontal="left" vertical="center"/>
    </xf>
    <xf numFmtId="8" fontId="3" fillId="0" borderId="12" xfId="56" applyNumberFormat="1" applyFont="1" applyBorder="1" applyAlignment="1">
      <alignment horizontal="left" vertical="center"/>
    </xf>
    <xf numFmtId="0" fontId="5" fillId="0" borderId="19" xfId="7" applyFont="1" applyBorder="1">
      <alignment vertical="center"/>
    </xf>
    <xf numFmtId="0" fontId="40" fillId="0" borderId="49" xfId="10" applyFont="1" applyBorder="1"/>
    <xf numFmtId="0" fontId="161" fillId="0" borderId="49" xfId="8" applyFont="1" applyBorder="1"/>
    <xf numFmtId="4" fontId="5" fillId="0" borderId="49" xfId="7" applyNumberFormat="1" applyFont="1" applyBorder="1">
      <alignment vertical="center"/>
    </xf>
    <xf numFmtId="0" fontId="65" fillId="0" borderId="49" xfId="8" applyFont="1" applyBorder="1"/>
    <xf numFmtId="0" fontId="65" fillId="0" borderId="20" xfId="8" applyFont="1" applyBorder="1"/>
    <xf numFmtId="0" fontId="101" fillId="2" borderId="10" xfId="121" applyFont="1" applyFill="1" applyBorder="1" applyAlignment="1">
      <alignment horizontal="centerContinuous" vertical="center"/>
    </xf>
    <xf numFmtId="0" fontId="101" fillId="2" borderId="3" xfId="121" applyFont="1" applyFill="1" applyBorder="1" applyAlignment="1">
      <alignment horizontal="centerContinuous" vertical="center"/>
    </xf>
    <xf numFmtId="0" fontId="101" fillId="2" borderId="11" xfId="121" applyFont="1" applyFill="1" applyBorder="1" applyAlignment="1">
      <alignment horizontal="centerContinuous" vertical="center"/>
    </xf>
    <xf numFmtId="0" fontId="188" fillId="0" borderId="12" xfId="121" applyFont="1" applyBorder="1" applyAlignment="1">
      <alignment horizontal="left" vertical="center" indent="1"/>
    </xf>
    <xf numFmtId="0" fontId="188" fillId="0" borderId="13" xfId="121" applyFont="1" applyBorder="1" applyAlignment="1">
      <alignment horizontal="centerContinuous" vertical="center"/>
    </xf>
    <xf numFmtId="0" fontId="65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2"/>
    </xf>
    <xf numFmtId="0" fontId="65" fillId="4" borderId="12" xfId="130" applyFont="1" applyFill="1" applyBorder="1" applyAlignment="1">
      <alignment horizontal="left" vertical="center" indent="1"/>
    </xf>
    <xf numFmtId="0" fontId="63" fillId="4" borderId="0" xfId="121" applyFont="1" applyFill="1" applyAlignment="1">
      <alignment horizontal="right" vertical="center" indent="2"/>
    </xf>
    <xf numFmtId="0" fontId="27" fillId="5" borderId="12" xfId="121" applyFont="1" applyFill="1" applyBorder="1" applyAlignment="1">
      <alignment horizontal="left" vertical="center" indent="1"/>
    </xf>
    <xf numFmtId="0" fontId="105" fillId="5" borderId="0" xfId="121" applyFont="1" applyFill="1" applyAlignment="1">
      <alignment horizontal="right" vertical="center" indent="2"/>
    </xf>
    <xf numFmtId="0" fontId="105" fillId="5" borderId="19" xfId="121" applyFont="1" applyFill="1" applyBorder="1" applyAlignment="1">
      <alignment horizontal="left" vertical="center" indent="1"/>
    </xf>
    <xf numFmtId="166" fontId="27" fillId="5" borderId="49" xfId="132" applyNumberFormat="1" applyFont="1" applyFill="1" applyBorder="1" applyAlignment="1">
      <alignment horizontal="right" vertical="center" indent="4"/>
    </xf>
    <xf numFmtId="167" fontId="105" fillId="5" borderId="49" xfId="121" applyNumberFormat="1" applyFont="1" applyFill="1" applyBorder="1" applyAlignment="1">
      <alignment horizontal="right" vertical="center" indent="3"/>
    </xf>
    <xf numFmtId="165" fontId="63" fillId="0" borderId="0" xfId="121" applyNumberFormat="1" applyFont="1" applyAlignment="1">
      <alignment horizontal="right" vertical="center" indent="2"/>
    </xf>
    <xf numFmtId="6" fontId="63" fillId="0" borderId="0" xfId="121" applyNumberFormat="1" applyFont="1" applyAlignment="1">
      <alignment horizontal="right" vertical="center" indent="2"/>
    </xf>
    <xf numFmtId="167" fontId="63" fillId="0" borderId="0" xfId="121" applyNumberFormat="1" applyFont="1" applyAlignment="1">
      <alignment horizontal="right" vertical="center" indent="2"/>
    </xf>
    <xf numFmtId="167" fontId="63" fillId="0" borderId="13" xfId="121" applyNumberFormat="1" applyFont="1" applyBorder="1" applyAlignment="1">
      <alignment horizontal="right" vertical="center" indent="2"/>
    </xf>
    <xf numFmtId="165" fontId="63" fillId="4" borderId="0" xfId="121" applyNumberFormat="1" applyFont="1" applyFill="1" applyAlignment="1">
      <alignment horizontal="right" vertical="center" indent="2"/>
    </xf>
    <xf numFmtId="6" fontId="63" fillId="4" borderId="0" xfId="121" applyNumberFormat="1" applyFont="1" applyFill="1" applyAlignment="1">
      <alignment horizontal="right" vertical="center" indent="2"/>
    </xf>
    <xf numFmtId="167" fontId="63" fillId="4" borderId="0" xfId="121" applyNumberFormat="1" applyFont="1" applyFill="1" applyAlignment="1">
      <alignment horizontal="right" vertical="center" indent="2"/>
    </xf>
    <xf numFmtId="167" fontId="5" fillId="4" borderId="13" xfId="121" applyNumberFormat="1" applyFont="1" applyFill="1" applyBorder="1" applyAlignment="1">
      <alignment horizontal="right" vertical="center" indent="2"/>
    </xf>
    <xf numFmtId="167" fontId="63" fillId="4" borderId="13" xfId="121" applyNumberFormat="1" applyFont="1" applyFill="1" applyBorder="1" applyAlignment="1">
      <alignment horizontal="right" vertical="center" indent="2"/>
    </xf>
    <xf numFmtId="165" fontId="27" fillId="5" borderId="0" xfId="121" applyNumberFormat="1" applyFont="1" applyFill="1" applyAlignment="1">
      <alignment horizontal="right" vertical="center" indent="2"/>
    </xf>
    <xf numFmtId="167" fontId="27" fillId="5" borderId="0" xfId="121" applyNumberFormat="1" applyFont="1" applyFill="1" applyAlignment="1">
      <alignment horizontal="right" vertical="center" indent="2"/>
    </xf>
    <xf numFmtId="167" fontId="27" fillId="5" borderId="13" xfId="121" applyNumberFormat="1" applyFont="1" applyFill="1" applyBorder="1" applyAlignment="1">
      <alignment horizontal="right" vertical="center" indent="2"/>
    </xf>
    <xf numFmtId="165" fontId="105" fillId="5" borderId="49" xfId="121" applyNumberFormat="1" applyFont="1" applyFill="1" applyBorder="1" applyAlignment="1">
      <alignment horizontal="right" vertical="center" indent="2"/>
    </xf>
    <xf numFmtId="167" fontId="105" fillId="5" borderId="49" xfId="121" applyNumberFormat="1" applyFont="1" applyFill="1" applyBorder="1" applyAlignment="1">
      <alignment horizontal="right" vertical="center" indent="2"/>
    </xf>
    <xf numFmtId="167" fontId="105" fillId="5" borderId="20" xfId="121" applyNumberFormat="1" applyFont="1" applyFill="1" applyBorder="1" applyAlignment="1">
      <alignment horizontal="right" vertical="center" indent="2"/>
    </xf>
    <xf numFmtId="0" fontId="36" fillId="0" borderId="0" xfId="10" applyFont="1" applyAlignment="1">
      <alignment horizontal="left" vertical="center"/>
    </xf>
    <xf numFmtId="0" fontId="36" fillId="0" borderId="0" xfId="10" quotePrefix="1" applyFont="1" applyAlignment="1">
      <alignment horizontal="left" vertical="center"/>
    </xf>
    <xf numFmtId="0" fontId="36" fillId="0" borderId="0" xfId="10" applyFont="1" applyAlignment="1">
      <alignment horizontal="center" vertical="center"/>
    </xf>
    <xf numFmtId="172" fontId="36" fillId="0" borderId="0" xfId="10" applyNumberFormat="1" applyFont="1" applyAlignment="1">
      <alignment horizontal="center" vertical="center"/>
    </xf>
    <xf numFmtId="0" fontId="199" fillId="0" borderId="0" xfId="0" applyFont="1"/>
    <xf numFmtId="0" fontId="200" fillId="0" borderId="0" xfId="0" applyFont="1"/>
    <xf numFmtId="0" fontId="201" fillId="0" borderId="0" xfId="0" quotePrefix="1" applyFont="1" applyAlignment="1">
      <alignment horizontal="left" indent="1"/>
    </xf>
    <xf numFmtId="0" fontId="202" fillId="0" borderId="0" xfId="0" applyFont="1" applyAlignment="1">
      <alignment vertical="center"/>
    </xf>
    <xf numFmtId="0" fontId="29" fillId="2" borderId="0" xfId="0" applyFont="1" applyFill="1" applyAlignment="1">
      <alignment horizontal="centerContinuous"/>
    </xf>
    <xf numFmtId="0" fontId="203" fillId="2" borderId="0" xfId="0" applyFont="1" applyFill="1" applyAlignment="1">
      <alignment horizontal="centerContinuous"/>
    </xf>
    <xf numFmtId="0" fontId="51" fillId="2" borderId="0" xfId="0" applyFont="1" applyFill="1" applyAlignment="1">
      <alignment horizontal="centerContinuous"/>
    </xf>
    <xf numFmtId="0" fontId="51" fillId="18" borderId="0" xfId="0" applyFont="1" applyFill="1" applyAlignment="1">
      <alignment horizontal="centerContinuous"/>
    </xf>
    <xf numFmtId="0" fontId="51" fillId="18" borderId="0" xfId="0" quotePrefix="1" applyFont="1" applyFill="1" applyAlignment="1">
      <alignment horizontal="centerContinuous"/>
    </xf>
    <xf numFmtId="0" fontId="51" fillId="2" borderId="0" xfId="0" applyFont="1" applyFill="1" applyAlignment="1">
      <alignment horizontal="left" indent="1"/>
    </xf>
    <xf numFmtId="0" fontId="51" fillId="2" borderId="0" xfId="0" applyFont="1" applyFill="1" applyAlignment="1">
      <alignment horizontal="center"/>
    </xf>
    <xf numFmtId="0" fontId="97" fillId="2" borderId="0" xfId="47" applyFont="1" applyFill="1" applyAlignment="1">
      <alignment horizontal="centerContinuous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indent="1"/>
    </xf>
    <xf numFmtId="0" fontId="51" fillId="2" borderId="0" xfId="0" applyFont="1" applyFill="1" applyAlignment="1">
      <alignment horizontal="left" vertical="center" indent="1"/>
    </xf>
    <xf numFmtId="0" fontId="51" fillId="2" borderId="0" xfId="0" applyFont="1" applyFill="1" applyAlignment="1">
      <alignment horizontal="right" indent="1"/>
    </xf>
    <xf numFmtId="3" fontId="51" fillId="2" borderId="0" xfId="0" applyNumberFormat="1" applyFont="1" applyFill="1" applyAlignment="1">
      <alignment horizontal="right" indent="1"/>
    </xf>
    <xf numFmtId="167" fontId="51" fillId="2" borderId="0" xfId="0" applyNumberFormat="1" applyFont="1" applyFill="1" applyAlignment="1">
      <alignment horizontal="right" indent="1"/>
    </xf>
    <xf numFmtId="167" fontId="51" fillId="18" borderId="0" xfId="0" applyNumberFormat="1" applyFont="1" applyFill="1" applyAlignment="1">
      <alignment horizontal="right" indent="1"/>
    </xf>
    <xf numFmtId="0" fontId="201" fillId="0" borderId="0" xfId="0" applyFont="1"/>
    <xf numFmtId="166" fontId="3" fillId="0" borderId="94" xfId="0" applyNumberFormat="1" applyFont="1" applyBorder="1" applyAlignment="1">
      <alignment horizontal="center"/>
    </xf>
    <xf numFmtId="0" fontId="0" fillId="0" borderId="95" xfId="0" applyBorder="1" applyAlignment="1">
      <alignment horizontal="center"/>
    </xf>
    <xf numFmtId="6" fontId="3" fillId="0" borderId="94" xfId="0" applyNumberFormat="1" applyFont="1" applyBorder="1" applyAlignment="1">
      <alignment horizontal="center"/>
    </xf>
    <xf numFmtId="9" fontId="0" fillId="0" borderId="0" xfId="76" applyFont="1" applyAlignment="1">
      <alignment horizontal="right" indent="1"/>
    </xf>
    <xf numFmtId="9" fontId="51" fillId="18" borderId="0" xfId="76" applyFont="1" applyFill="1" applyAlignment="1">
      <alignment horizontal="right" indent="1"/>
    </xf>
    <xf numFmtId="0" fontId="161" fillId="0" borderId="0" xfId="130" applyFont="1" applyAlignment="1">
      <alignment horizontal="left" vertical="center" indent="1"/>
    </xf>
    <xf numFmtId="0" fontId="204" fillId="0" borderId="49" xfId="57" applyFont="1" applyBorder="1" applyAlignment="1">
      <alignment horizontal="right" vertical="center"/>
    </xf>
    <xf numFmtId="0" fontId="205" fillId="0" borderId="0" xfId="10" applyFont="1"/>
    <xf numFmtId="14" fontId="199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51" fillId="19" borderId="0" xfId="0" applyFont="1" applyFill="1"/>
    <xf numFmtId="14" fontId="206" fillId="19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26" fillId="19" borderId="0" xfId="0" applyNumberFormat="1" applyFont="1" applyFill="1" applyAlignment="1">
      <alignment horizontal="center"/>
    </xf>
    <xf numFmtId="0" fontId="207" fillId="0" borderId="0" xfId="0" applyFont="1"/>
    <xf numFmtId="0" fontId="0" fillId="0" borderId="0" xfId="0" applyAlignment="1">
      <alignment vertical="center"/>
    </xf>
    <xf numFmtId="0" fontId="23" fillId="0" borderId="0" xfId="46" applyFont="1" applyAlignment="1">
      <alignment vertical="center"/>
    </xf>
    <xf numFmtId="0" fontId="23" fillId="0" borderId="0" xfId="46" applyFont="1" applyAlignment="1">
      <alignment horizontal="center" vertical="center"/>
    </xf>
    <xf numFmtId="0" fontId="208" fillId="0" borderId="1" xfId="1" applyFont="1" applyAlignment="1">
      <alignment vertical="center"/>
    </xf>
    <xf numFmtId="0" fontId="209" fillId="0" borderId="1" xfId="1" applyFont="1" applyAlignment="1">
      <alignment vertical="center"/>
    </xf>
    <xf numFmtId="0" fontId="210" fillId="0" borderId="1" xfId="1" applyFont="1" applyAlignment="1">
      <alignment horizontal="right" vertical="center"/>
    </xf>
    <xf numFmtId="0" fontId="41" fillId="0" borderId="0" xfId="46" applyFont="1" applyAlignment="1">
      <alignment vertical="center"/>
    </xf>
    <xf numFmtId="0" fontId="5" fillId="0" borderId="0" xfId="46" applyFont="1" applyAlignment="1">
      <alignment horizontal="center" vertical="center"/>
    </xf>
    <xf numFmtId="191" fontId="5" fillId="0" borderId="0" xfId="46" applyNumberFormat="1" applyFont="1" applyAlignment="1">
      <alignment horizontal="right" vertical="center"/>
    </xf>
    <xf numFmtId="1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right" vertical="center"/>
    </xf>
    <xf numFmtId="0" fontId="95" fillId="2" borderId="0" xfId="47" applyFont="1" applyFill="1" applyAlignment="1">
      <alignment horizontal="centerContinuous" vertical="center"/>
    </xf>
    <xf numFmtId="0" fontId="95" fillId="2" borderId="0" xfId="47" applyFont="1" applyFill="1" applyAlignment="1">
      <alignment horizontal="left" vertical="center"/>
    </xf>
    <xf numFmtId="0" fontId="95" fillId="2" borderId="0" xfId="47" applyFont="1" applyFill="1" applyAlignment="1">
      <alignment horizontal="center" vertical="center"/>
    </xf>
    <xf numFmtId="16" fontId="5" fillId="0" borderId="0" xfId="46" applyNumberFormat="1" applyFont="1" applyAlignment="1">
      <alignment horizontal="left" vertical="center"/>
    </xf>
    <xf numFmtId="0" fontId="5" fillId="0" borderId="0" xfId="46" applyFont="1" applyAlignment="1">
      <alignment horizontal="left" vertical="center"/>
    </xf>
    <xf numFmtId="193" fontId="5" fillId="0" borderId="0" xfId="46" applyNumberFormat="1" applyFont="1" applyAlignment="1">
      <alignment horizontal="center" vertical="center"/>
    </xf>
    <xf numFmtId="20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center" vertical="center"/>
    </xf>
    <xf numFmtId="166" fontId="5" fillId="0" borderId="0" xfId="76" applyNumberFormat="1" applyFont="1" applyAlignment="1">
      <alignment horizontal="center" vertical="center"/>
    </xf>
    <xf numFmtId="205" fontId="5" fillId="0" borderId="0" xfId="46" applyNumberFormat="1" applyFont="1" applyAlignment="1">
      <alignment horizontal="center" vertical="center"/>
    </xf>
    <xf numFmtId="10" fontId="5" fillId="0" borderId="0" xfId="76" applyNumberFormat="1" applyFont="1" applyAlignment="1">
      <alignment horizontal="center" vertical="center"/>
    </xf>
    <xf numFmtId="206" fontId="5" fillId="0" borderId="0" xfId="46" applyNumberFormat="1" applyFont="1" applyAlignment="1">
      <alignment horizontal="center" vertical="center"/>
    </xf>
    <xf numFmtId="167" fontId="5" fillId="0" borderId="0" xfId="46" applyNumberFormat="1" applyFont="1" applyAlignment="1">
      <alignment horizontal="center" vertical="center"/>
    </xf>
    <xf numFmtId="168" fontId="5" fillId="0" borderId="0" xfId="46" applyNumberFormat="1" applyFont="1" applyAlignment="1">
      <alignment horizontal="center" vertical="center"/>
    </xf>
    <xf numFmtId="168" fontId="23" fillId="0" borderId="0" xfId="46" applyNumberFormat="1" applyFont="1" applyAlignment="1">
      <alignment vertical="center"/>
    </xf>
    <xf numFmtId="0" fontId="23" fillId="4" borderId="0" xfId="46" applyFont="1" applyFill="1" applyAlignment="1">
      <alignment vertical="center"/>
    </xf>
    <xf numFmtId="16" fontId="5" fillId="4" borderId="0" xfId="46" applyNumberFormat="1" applyFont="1" applyFill="1" applyAlignment="1">
      <alignment horizontal="left" vertical="center"/>
    </xf>
    <xf numFmtId="0" fontId="5" fillId="4" borderId="0" xfId="46" applyFont="1" applyFill="1" applyAlignment="1">
      <alignment horizontal="left" vertical="center"/>
    </xf>
    <xf numFmtId="0" fontId="5" fillId="4" borderId="0" xfId="46" applyFont="1" applyFill="1" applyAlignment="1">
      <alignment horizontal="center" vertical="center"/>
    </xf>
    <xf numFmtId="193" fontId="5" fillId="4" borderId="0" xfId="46" applyNumberFormat="1" applyFont="1" applyFill="1" applyAlignment="1">
      <alignment horizontal="center" vertical="center"/>
    </xf>
    <xf numFmtId="204" fontId="5" fillId="4" borderId="0" xfId="46" applyNumberFormat="1" applyFont="1" applyFill="1" applyAlignment="1">
      <alignment horizontal="center" vertical="center"/>
    </xf>
    <xf numFmtId="3" fontId="5" fillId="4" borderId="0" xfId="46" applyNumberFormat="1" applyFont="1" applyFill="1" applyAlignment="1">
      <alignment horizontal="center" vertical="center"/>
    </xf>
    <xf numFmtId="166" fontId="5" fillId="4" borderId="0" xfId="76" applyNumberFormat="1" applyFont="1" applyFill="1" applyAlignment="1">
      <alignment horizontal="center" vertical="center"/>
    </xf>
    <xf numFmtId="205" fontId="5" fillId="4" borderId="0" xfId="46" applyNumberFormat="1" applyFont="1" applyFill="1" applyAlignment="1">
      <alignment horizontal="center" vertical="center"/>
    </xf>
    <xf numFmtId="10" fontId="5" fillId="4" borderId="0" xfId="76" applyNumberFormat="1" applyFont="1" applyFill="1" applyAlignment="1">
      <alignment horizontal="center" vertical="center"/>
    </xf>
    <xf numFmtId="206" fontId="5" fillId="4" borderId="0" xfId="46" applyNumberFormat="1" applyFont="1" applyFill="1" applyAlignment="1">
      <alignment horizontal="center" vertical="center"/>
    </xf>
    <xf numFmtId="167" fontId="5" fillId="4" borderId="0" xfId="46" applyNumberFormat="1" applyFont="1" applyFill="1" applyAlignment="1">
      <alignment horizontal="center" vertical="center"/>
    </xf>
    <xf numFmtId="190" fontId="5" fillId="0" borderId="0" xfId="46" applyNumberFormat="1" applyFont="1" applyAlignment="1">
      <alignment horizontal="center" vertical="center"/>
    </xf>
    <xf numFmtId="166" fontId="5" fillId="0" borderId="0" xfId="76" applyNumberFormat="1" applyFont="1" applyFill="1" applyAlignment="1">
      <alignment horizontal="center" vertical="center"/>
    </xf>
    <xf numFmtId="10" fontId="5" fillId="0" borderId="0" xfId="76" applyNumberFormat="1" applyFont="1" applyFill="1" applyAlignment="1">
      <alignment horizontal="center" vertical="center"/>
    </xf>
    <xf numFmtId="168" fontId="5" fillId="4" borderId="0" xfId="46" applyNumberFormat="1" applyFont="1" applyFill="1" applyAlignment="1">
      <alignment horizontal="center" vertical="center"/>
    </xf>
    <xf numFmtId="0" fontId="41" fillId="7" borderId="0" xfId="46" applyFont="1" applyFill="1" applyAlignment="1">
      <alignment horizontal="left" vertical="center"/>
    </xf>
    <xf numFmtId="193" fontId="41" fillId="7" borderId="0" xfId="46" applyNumberFormat="1" applyFont="1" applyFill="1" applyAlignment="1">
      <alignment horizontal="center" vertical="center"/>
    </xf>
    <xf numFmtId="190" fontId="41" fillId="7" borderId="0" xfId="46" applyNumberFormat="1" applyFont="1" applyFill="1" applyAlignment="1">
      <alignment horizontal="center" vertical="center"/>
    </xf>
    <xf numFmtId="1" fontId="27" fillId="7" borderId="0" xfId="46" applyNumberFormat="1" applyFont="1" applyFill="1" applyAlignment="1">
      <alignment horizontal="center" vertical="center"/>
    </xf>
    <xf numFmtId="3" fontId="27" fillId="7" borderId="0" xfId="46" applyNumberFormat="1" applyFont="1" applyFill="1" applyAlignment="1">
      <alignment horizontal="center" vertical="center"/>
    </xf>
    <xf numFmtId="166" fontId="27" fillId="7" borderId="0" xfId="76" applyNumberFormat="1" applyFont="1" applyFill="1" applyAlignment="1">
      <alignment horizontal="center" vertical="center"/>
    </xf>
    <xf numFmtId="205" fontId="27" fillId="7" borderId="0" xfId="46" applyNumberFormat="1" applyFont="1" applyFill="1" applyAlignment="1">
      <alignment horizontal="center" vertical="center"/>
    </xf>
    <xf numFmtId="10" fontId="27" fillId="7" borderId="0" xfId="76" applyNumberFormat="1" applyFont="1" applyFill="1" applyAlignment="1">
      <alignment horizontal="center" vertical="center"/>
    </xf>
    <xf numFmtId="206" fontId="27" fillId="7" borderId="0" xfId="46" applyNumberFormat="1" applyFont="1" applyFill="1" applyAlignment="1">
      <alignment horizontal="center" vertical="center"/>
    </xf>
    <xf numFmtId="167" fontId="27" fillId="7" borderId="0" xfId="46" applyNumberFormat="1" applyFont="1" applyFill="1" applyAlignment="1">
      <alignment horizontal="center" vertical="center"/>
    </xf>
    <xf numFmtId="168" fontId="27" fillId="7" borderId="0" xfId="46" applyNumberFormat="1" applyFont="1" applyFill="1" applyAlignment="1">
      <alignment horizontal="center" vertical="center"/>
    </xf>
    <xf numFmtId="207" fontId="27" fillId="7" borderId="0" xfId="46" applyNumberFormat="1" applyFont="1" applyFill="1" applyAlignment="1">
      <alignment horizontal="center" vertical="center"/>
    </xf>
    <xf numFmtId="193" fontId="41" fillId="0" borderId="0" xfId="46" applyNumberFormat="1" applyFont="1" applyAlignment="1">
      <alignment vertical="center"/>
    </xf>
    <xf numFmtId="14" fontId="41" fillId="7" borderId="0" xfId="0" applyNumberFormat="1" applyFont="1" applyFill="1" applyAlignment="1">
      <alignment horizontal="left" vertical="center"/>
    </xf>
    <xf numFmtId="14" fontId="41" fillId="7" borderId="0" xfId="0" applyNumberFormat="1" applyFont="1" applyFill="1" applyAlignment="1">
      <alignment horizontal="left" vertical="center" wrapText="1"/>
    </xf>
    <xf numFmtId="14" fontId="41" fillId="7" borderId="0" xfId="0" applyNumberFormat="1" applyFont="1" applyFill="1" applyAlignment="1">
      <alignment horizontal="center" vertical="center" wrapText="1"/>
    </xf>
    <xf numFmtId="0" fontId="41" fillId="7" borderId="0" xfId="0" applyFont="1" applyFill="1" applyAlignment="1">
      <alignment horizontal="center" vertical="center"/>
    </xf>
    <xf numFmtId="10" fontId="27" fillId="7" borderId="0" xfId="46" applyNumberFormat="1" applyFont="1" applyFill="1" applyAlignment="1">
      <alignment horizontal="center" vertical="center"/>
    </xf>
    <xf numFmtId="206" fontId="27" fillId="7" borderId="0" xfId="46" quotePrefix="1" applyNumberFormat="1" applyFont="1" applyFill="1" applyAlignment="1">
      <alignment horizontal="center" vertical="center"/>
    </xf>
    <xf numFmtId="166" fontId="211" fillId="0" borderId="0" xfId="46" applyNumberFormat="1" applyFont="1" applyAlignment="1">
      <alignment horizontal="center" vertical="center"/>
    </xf>
    <xf numFmtId="0" fontId="211" fillId="0" borderId="0" xfId="46" applyFont="1" applyAlignment="1">
      <alignment vertical="center"/>
    </xf>
    <xf numFmtId="167" fontId="211" fillId="0" borderId="0" xfId="46" applyNumberFormat="1" applyFont="1" applyAlignment="1">
      <alignment vertical="center"/>
    </xf>
    <xf numFmtId="168" fontId="77" fillId="0" borderId="0" xfId="46" applyNumberFormat="1" applyFont="1" applyAlignment="1">
      <alignment vertical="center"/>
    </xf>
    <xf numFmtId="0" fontId="77" fillId="0" borderId="0" xfId="46" applyFont="1" applyAlignment="1">
      <alignment vertical="center"/>
    </xf>
    <xf numFmtId="0" fontId="38" fillId="0" borderId="0" xfId="75" applyAlignment="1">
      <alignment horizontal="center" vertical="center"/>
    </xf>
    <xf numFmtId="191" fontId="23" fillId="0" borderId="0" xfId="46" applyNumberFormat="1" applyFont="1" applyAlignment="1">
      <alignment vertical="center"/>
    </xf>
    <xf numFmtId="14" fontId="23" fillId="0" borderId="0" xfId="46" applyNumberFormat="1" applyFont="1" applyAlignment="1">
      <alignment vertical="center"/>
    </xf>
    <xf numFmtId="0" fontId="51" fillId="2" borderId="29" xfId="0" applyFont="1" applyFill="1" applyBorder="1"/>
    <xf numFmtId="0" fontId="29" fillId="2" borderId="29" xfId="0" applyFont="1" applyFill="1" applyBorder="1" applyAlignment="1">
      <alignment horizontal="center"/>
    </xf>
    <xf numFmtId="0" fontId="212" fillId="0" borderId="0" xfId="46" applyFont="1" applyAlignment="1">
      <alignment horizontal="left" vertical="center"/>
    </xf>
    <xf numFmtId="0" fontId="213" fillId="0" borderId="96" xfId="0" applyFont="1" applyBorder="1" applyAlignment="1">
      <alignment horizontal="center" vertical="center"/>
    </xf>
    <xf numFmtId="0" fontId="213" fillId="0" borderId="97" xfId="0" applyFont="1" applyBorder="1" applyAlignment="1">
      <alignment horizontal="center" vertical="center"/>
    </xf>
    <xf numFmtId="0" fontId="213" fillId="0" borderId="98" xfId="0" applyFont="1" applyBorder="1" applyAlignment="1">
      <alignment horizontal="center" vertical="center"/>
    </xf>
    <xf numFmtId="0" fontId="51" fillId="2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4" fontId="206" fillId="19" borderId="100" xfId="0" applyNumberFormat="1" applyFont="1" applyFill="1" applyBorder="1" applyAlignment="1">
      <alignment horizontal="center"/>
    </xf>
    <xf numFmtId="14" fontId="26" fillId="19" borderId="100" xfId="0" applyNumberFormat="1" applyFont="1" applyFill="1" applyBorder="1" applyAlignment="1">
      <alignment horizontal="center"/>
    </xf>
    <xf numFmtId="0" fontId="214" fillId="2" borderId="29" xfId="0" applyFont="1" applyFill="1" applyBorder="1" applyAlignment="1">
      <alignment horizontal="center"/>
    </xf>
    <xf numFmtId="0" fontId="51" fillId="18" borderId="0" xfId="0" applyFont="1" applyFill="1" applyAlignment="1">
      <alignment horizontal="center"/>
    </xf>
    <xf numFmtId="0" fontId="26" fillId="18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/>
    </xf>
    <xf numFmtId="14" fontId="0" fillId="7" borderId="0" xfId="0" applyNumberFormat="1" applyFill="1" applyAlignment="1">
      <alignment horizontal="center" vertical="center" wrapText="1"/>
    </xf>
    <xf numFmtId="14" fontId="51" fillId="2" borderId="99" xfId="0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29" fillId="15" borderId="0" xfId="0" quotePrefix="1" applyFont="1" applyFill="1" applyAlignment="1">
      <alignment horizontal="centerContinuous" vertical="center"/>
    </xf>
    <xf numFmtId="177" fontId="54" fillId="0" borderId="3" xfId="24" applyFont="1" applyBorder="1" applyAlignment="1">
      <alignment vertical="center"/>
    </xf>
    <xf numFmtId="177" fontId="54" fillId="0" borderId="11" xfId="24" applyFont="1" applyBorder="1" applyAlignment="1">
      <alignment vertical="center"/>
    </xf>
    <xf numFmtId="177" fontId="54" fillId="0" borderId="13" xfId="24" applyFont="1" applyBorder="1" applyAlignment="1">
      <alignment vertical="center"/>
    </xf>
    <xf numFmtId="177" fontId="54" fillId="0" borderId="49" xfId="24" applyFont="1" applyBorder="1" applyAlignment="1">
      <alignment vertical="center"/>
    </xf>
    <xf numFmtId="177" fontId="54" fillId="0" borderId="20" xfId="24" applyFont="1" applyBorder="1" applyAlignment="1">
      <alignment vertical="center"/>
    </xf>
    <xf numFmtId="14" fontId="51" fillId="18" borderId="0" xfId="0" applyNumberFormat="1" applyFont="1" applyFill="1" applyAlignment="1">
      <alignment horizontal="center" vertical="center"/>
    </xf>
    <xf numFmtId="14" fontId="0" fillId="18" borderId="0" xfId="0" applyNumberForma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14" fontId="206" fillId="18" borderId="0" xfId="0" applyNumberFormat="1" applyFont="1" applyFill="1" applyAlignment="1">
      <alignment horizontal="center"/>
    </xf>
    <xf numFmtId="167" fontId="0" fillId="18" borderId="0" xfId="0" applyNumberFormat="1" applyFill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14" fontId="26" fillId="18" borderId="0" xfId="0" applyNumberFormat="1" applyFont="1" applyFill="1" applyAlignment="1">
      <alignment horizontal="center"/>
    </xf>
    <xf numFmtId="167" fontId="67" fillId="0" borderId="48" xfId="61" applyNumberFormat="1" applyFont="1" applyBorder="1" applyAlignment="1">
      <alignment horizontal="right" vertical="center" indent="3"/>
    </xf>
    <xf numFmtId="0" fontId="215" fillId="0" borderId="0" xfId="130" applyFont="1" applyAlignment="1">
      <alignment horizontal="left" vertical="center" indent="1"/>
    </xf>
    <xf numFmtId="0" fontId="95" fillId="2" borderId="10" xfId="121" applyFont="1" applyFill="1" applyBorder="1" applyAlignment="1">
      <alignment horizontal="centerContinuous" vertical="center"/>
    </xf>
    <xf numFmtId="0" fontId="37" fillId="0" borderId="12" xfId="121" applyFont="1" applyBorder="1" applyAlignment="1">
      <alignment horizontal="left" vertical="center" indent="1"/>
    </xf>
    <xf numFmtId="0" fontId="37" fillId="0" borderId="0" xfId="121" applyFont="1" applyAlignment="1">
      <alignment horizontal="centerContinuous" vertical="center"/>
    </xf>
    <xf numFmtId="0" fontId="37" fillId="0" borderId="13" xfId="121" applyFont="1" applyBorder="1" applyAlignment="1">
      <alignment horizontal="centerContinuous" vertical="center"/>
    </xf>
    <xf numFmtId="0" fontId="161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4"/>
    </xf>
    <xf numFmtId="165" fontId="63" fillId="0" borderId="0" xfId="121" applyNumberFormat="1" applyFont="1" applyAlignment="1">
      <alignment horizontal="right" vertical="center" indent="3"/>
    </xf>
    <xf numFmtId="6" fontId="63" fillId="0" borderId="0" xfId="121" applyNumberFormat="1" applyFont="1" applyAlignment="1">
      <alignment horizontal="right" vertical="center" indent="3"/>
    </xf>
    <xf numFmtId="167" fontId="102" fillId="0" borderId="0" xfId="121" applyNumberFormat="1" applyFont="1" applyAlignment="1">
      <alignment horizontal="right" vertical="center" indent="3"/>
    </xf>
    <xf numFmtId="167" fontId="102" fillId="0" borderId="13" xfId="121" applyNumberFormat="1" applyFont="1" applyBorder="1" applyAlignment="1">
      <alignment horizontal="right" vertical="center" indent="3"/>
    </xf>
    <xf numFmtId="0" fontId="63" fillId="4" borderId="0" xfId="121" applyFont="1" applyFill="1" applyAlignment="1">
      <alignment horizontal="right" vertical="center" indent="4"/>
    </xf>
    <xf numFmtId="165" fontId="63" fillId="4" borderId="0" xfId="121" applyNumberFormat="1" applyFont="1" applyFill="1" applyAlignment="1">
      <alignment horizontal="right" vertical="center" indent="3"/>
    </xf>
    <xf numFmtId="6" fontId="63" fillId="4" borderId="0" xfId="121" applyNumberFormat="1" applyFont="1" applyFill="1" applyAlignment="1">
      <alignment horizontal="right" vertical="center" indent="3"/>
    </xf>
    <xf numFmtId="167" fontId="102" fillId="4" borderId="0" xfId="121" applyNumberFormat="1" applyFont="1" applyFill="1" applyAlignment="1">
      <alignment horizontal="right" vertical="center" indent="3"/>
    </xf>
    <xf numFmtId="167" fontId="36" fillId="4" borderId="13" xfId="121" applyNumberFormat="1" applyFont="1" applyFill="1" applyBorder="1" applyAlignment="1">
      <alignment horizontal="right" vertical="center" indent="3"/>
    </xf>
    <xf numFmtId="167" fontId="102" fillId="4" borderId="13" xfId="121" applyNumberFormat="1" applyFont="1" applyFill="1" applyBorder="1" applyAlignment="1">
      <alignment horizontal="right" vertical="center" indent="3"/>
    </xf>
    <xf numFmtId="0" fontId="27" fillId="5" borderId="19" xfId="121" applyFont="1" applyFill="1" applyBorder="1" applyAlignment="1">
      <alignment horizontal="left" vertical="center" indent="1"/>
    </xf>
    <xf numFmtId="0" fontId="105" fillId="5" borderId="49" xfId="121" applyFont="1" applyFill="1" applyBorder="1" applyAlignment="1">
      <alignment horizontal="right" vertical="center" indent="4"/>
    </xf>
    <xf numFmtId="166" fontId="105" fillId="5" borderId="49" xfId="132" applyNumberFormat="1" applyFont="1" applyFill="1" applyBorder="1" applyAlignment="1">
      <alignment horizontal="right" vertical="center" indent="4"/>
    </xf>
    <xf numFmtId="165" fontId="27" fillId="5" borderId="49" xfId="121" applyNumberFormat="1" applyFont="1" applyFill="1" applyBorder="1" applyAlignment="1">
      <alignment horizontal="right" vertical="center" indent="3"/>
    </xf>
    <xf numFmtId="167" fontId="27" fillId="5" borderId="49" xfId="121" applyNumberFormat="1" applyFont="1" applyFill="1" applyBorder="1" applyAlignment="1">
      <alignment horizontal="right" vertical="center" indent="4"/>
    </xf>
    <xf numFmtId="167" fontId="27" fillId="5" borderId="49" xfId="121" applyNumberFormat="1" applyFont="1" applyFill="1" applyBorder="1" applyAlignment="1">
      <alignment horizontal="right" vertical="center" indent="3"/>
    </xf>
    <xf numFmtId="167" fontId="27" fillId="5" borderId="20" xfId="121" applyNumberFormat="1" applyFont="1" applyFill="1" applyBorder="1" applyAlignment="1">
      <alignment horizontal="right" vertical="center" indent="3"/>
    </xf>
    <xf numFmtId="0" fontId="109" fillId="2" borderId="0" xfId="121" applyFont="1" applyFill="1" applyAlignment="1">
      <alignment horizontal="centerContinuous" vertical="center"/>
    </xf>
    <xf numFmtId="177" fontId="1" fillId="0" borderId="0" xfId="24"/>
    <xf numFmtId="177" fontId="1" fillId="0" borderId="0" xfId="24" applyAlignment="1">
      <alignment vertical="center"/>
    </xf>
    <xf numFmtId="6" fontId="7" fillId="0" borderId="12" xfId="34" applyNumberFormat="1" applyFont="1" applyBorder="1" applyAlignment="1">
      <alignment horizontal="left" vertical="center" indent="1"/>
    </xf>
    <xf numFmtId="166" fontId="35" fillId="0" borderId="0" xfId="105" applyNumberFormat="1" applyFont="1" applyAlignment="1">
      <alignment horizontal="right" vertical="center" indent="1"/>
    </xf>
    <xf numFmtId="177" fontId="1" fillId="0" borderId="10" xfId="24" applyBorder="1" applyAlignment="1">
      <alignment vertical="center"/>
    </xf>
    <xf numFmtId="10" fontId="35" fillId="0" borderId="0" xfId="105" applyNumberFormat="1" applyFont="1" applyAlignment="1">
      <alignment horizontal="right" vertical="center" indent="1"/>
    </xf>
    <xf numFmtId="177" fontId="1" fillId="0" borderId="12" xfId="24" applyBorder="1" applyAlignment="1">
      <alignment vertical="center"/>
    </xf>
    <xf numFmtId="203" fontId="35" fillId="0" borderId="0" xfId="104" applyNumberFormat="1" applyFont="1" applyAlignment="1">
      <alignment horizontal="right" vertical="center" indent="1"/>
    </xf>
    <xf numFmtId="199" fontId="35" fillId="0" borderId="0" xfId="104" applyNumberFormat="1" applyFont="1" applyAlignment="1">
      <alignment horizontal="right" vertical="center" indent="1"/>
    </xf>
    <xf numFmtId="167" fontId="7" fillId="0" borderId="0" xfId="34" applyNumberFormat="1" applyFont="1" applyAlignment="1">
      <alignment horizontal="right" vertical="center" indent="1"/>
    </xf>
    <xf numFmtId="6" fontId="7" fillId="0" borderId="0" xfId="104" applyNumberFormat="1" applyFont="1" applyAlignment="1">
      <alignment horizontal="right" vertical="center" indent="1"/>
    </xf>
    <xf numFmtId="166" fontId="38" fillId="0" borderId="0" xfId="75" applyNumberFormat="1" applyFill="1" applyAlignment="1">
      <alignment horizontal="right" vertical="center" indent="1"/>
    </xf>
    <xf numFmtId="194" fontId="7" fillId="0" borderId="0" xfId="104" applyNumberFormat="1" applyFont="1" applyAlignment="1">
      <alignment horizontal="right" vertical="center" indent="1"/>
    </xf>
    <xf numFmtId="166" fontId="7" fillId="0" borderId="0" xfId="104" applyNumberFormat="1" applyFont="1" applyAlignment="1">
      <alignment horizontal="right" vertical="center" indent="1"/>
    </xf>
    <xf numFmtId="177" fontId="1" fillId="0" borderId="19" xfId="24" applyBorder="1" applyAlignment="1">
      <alignment vertical="center"/>
    </xf>
    <xf numFmtId="177" fontId="216" fillId="0" borderId="87" xfId="24" applyFont="1" applyBorder="1" applyAlignment="1">
      <alignment horizontal="center" vertical="center"/>
    </xf>
    <xf numFmtId="6" fontId="40" fillId="0" borderId="68" xfId="34" applyNumberFormat="1" applyFont="1" applyBorder="1" applyAlignment="1">
      <alignment horizontal="left" vertical="center" indent="1"/>
    </xf>
    <xf numFmtId="6" fontId="40" fillId="0" borderId="69" xfId="104" applyNumberFormat="1" applyFont="1" applyBorder="1" applyAlignment="1">
      <alignment horizontal="right" vertical="center" indent="1"/>
    </xf>
    <xf numFmtId="0" fontId="21" fillId="0" borderId="88" xfId="24" applyNumberFormat="1" applyFont="1" applyBorder="1" applyAlignment="1">
      <alignment horizontal="center" vertical="top"/>
    </xf>
    <xf numFmtId="10" fontId="21" fillId="0" borderId="88" xfId="24" applyNumberFormat="1" applyFont="1" applyBorder="1" applyAlignment="1">
      <alignment horizontal="center" vertical="top"/>
    </xf>
    <xf numFmtId="166" fontId="40" fillId="0" borderId="69" xfId="104" applyNumberFormat="1" applyFont="1" applyBorder="1" applyAlignment="1">
      <alignment horizontal="right" vertical="center" indent="1"/>
    </xf>
    <xf numFmtId="6" fontId="40" fillId="0" borderId="70" xfId="34" applyNumberFormat="1" applyFont="1" applyBorder="1" applyAlignment="1">
      <alignment horizontal="left" vertical="center" indent="1"/>
    </xf>
    <xf numFmtId="166" fontId="40" fillId="0" borderId="71" xfId="104" applyNumberFormat="1" applyFont="1" applyBorder="1" applyAlignment="1">
      <alignment horizontal="right" vertical="center" indent="1"/>
    </xf>
    <xf numFmtId="177" fontId="217" fillId="0" borderId="0" xfId="24" applyFont="1"/>
    <xf numFmtId="177" fontId="1" fillId="0" borderId="0" xfId="24" applyAlignment="1">
      <alignment horizontal="left" vertical="center"/>
    </xf>
    <xf numFmtId="6" fontId="7" fillId="0" borderId="0" xfId="34" applyNumberFormat="1" applyFont="1" applyAlignment="1">
      <alignment horizontal="left" vertical="center"/>
    </xf>
    <xf numFmtId="14" fontId="7" fillId="0" borderId="0" xfId="24" applyNumberFormat="1" applyFont="1" applyAlignment="1">
      <alignment horizontal="center" vertical="center"/>
    </xf>
    <xf numFmtId="0" fontId="218" fillId="0" borderId="0" xfId="121" applyFont="1" applyAlignment="1">
      <alignment horizontal="left" vertical="center" indent="1"/>
    </xf>
    <xf numFmtId="0" fontId="218" fillId="0" borderId="0" xfId="121" applyFont="1" applyAlignment="1">
      <alignment horizontal="centerContinuous" vertical="center"/>
    </xf>
    <xf numFmtId="177" fontId="40" fillId="0" borderId="0" xfId="24" applyFont="1"/>
    <xf numFmtId="0" fontId="4" fillId="0" borderId="0" xfId="121" applyFont="1" applyAlignment="1">
      <alignment horizontal="right" vertical="center" indent="4"/>
    </xf>
    <xf numFmtId="166" fontId="4" fillId="0" borderId="0" xfId="132" applyNumberFormat="1" applyFont="1" applyBorder="1" applyAlignment="1">
      <alignment horizontal="right" vertical="center" indent="4"/>
    </xf>
    <xf numFmtId="165" fontId="4" fillId="0" borderId="0" xfId="121" applyNumberFormat="1" applyFont="1" applyAlignment="1">
      <alignment horizontal="right" vertical="center" indent="3"/>
    </xf>
    <xf numFmtId="6" fontId="4" fillId="0" borderId="0" xfId="121" applyNumberFormat="1" applyFont="1" applyAlignment="1">
      <alignment horizontal="right" vertical="center" indent="3"/>
    </xf>
    <xf numFmtId="167" fontId="4" fillId="0" borderId="0" xfId="121" applyNumberFormat="1" applyFont="1" applyAlignment="1">
      <alignment horizontal="right" vertical="center" indent="3"/>
    </xf>
    <xf numFmtId="167" fontId="191" fillId="0" borderId="0" xfId="121" applyNumberFormat="1" applyFont="1" applyAlignment="1">
      <alignment horizontal="right" vertical="center" indent="3"/>
    </xf>
    <xf numFmtId="0" fontId="4" fillId="4" borderId="0" xfId="121" applyFont="1" applyFill="1" applyAlignment="1">
      <alignment horizontal="right" vertical="center" indent="4"/>
    </xf>
    <xf numFmtId="166" fontId="4" fillId="4" borderId="0" xfId="132" applyNumberFormat="1" applyFont="1" applyFill="1" applyBorder="1" applyAlignment="1">
      <alignment horizontal="right" vertical="center" indent="4"/>
    </xf>
    <xf numFmtId="165" fontId="4" fillId="4" borderId="0" xfId="121" applyNumberFormat="1" applyFont="1" applyFill="1" applyAlignment="1">
      <alignment horizontal="right" vertical="center" indent="3"/>
    </xf>
    <xf numFmtId="6" fontId="4" fillId="4" borderId="0" xfId="121" applyNumberFormat="1" applyFont="1" applyFill="1" applyAlignment="1">
      <alignment horizontal="right" vertical="center" indent="3"/>
    </xf>
    <xf numFmtId="167" fontId="4" fillId="4" borderId="0" xfId="121" applyNumberFormat="1" applyFont="1" applyFill="1" applyAlignment="1">
      <alignment horizontal="right" vertical="center" indent="3"/>
    </xf>
    <xf numFmtId="167" fontId="7" fillId="4" borderId="0" xfId="121" applyNumberFormat="1" applyFont="1" applyFill="1" applyAlignment="1">
      <alignment horizontal="right" vertical="center" indent="3"/>
    </xf>
    <xf numFmtId="167" fontId="191" fillId="4" borderId="0" xfId="121" applyNumberFormat="1" applyFont="1" applyFill="1" applyAlignment="1">
      <alignment horizontal="right" vertical="center" indent="3"/>
    </xf>
    <xf numFmtId="0" fontId="8" fillId="5" borderId="0" xfId="121" applyFont="1" applyFill="1" applyAlignment="1">
      <alignment horizontal="left" vertical="center" indent="1"/>
    </xf>
    <xf numFmtId="0" fontId="67" fillId="5" borderId="0" xfId="121" applyFont="1" applyFill="1" applyAlignment="1">
      <alignment horizontal="right" vertical="center" indent="4"/>
    </xf>
    <xf numFmtId="166" fontId="67" fillId="5" borderId="0" xfId="132" applyNumberFormat="1" applyFont="1" applyFill="1" applyBorder="1" applyAlignment="1">
      <alignment horizontal="right" vertical="center" indent="4"/>
    </xf>
    <xf numFmtId="165" fontId="8" fillId="5" borderId="0" xfId="121" applyNumberFormat="1" applyFont="1" applyFill="1" applyAlignment="1">
      <alignment horizontal="right" vertical="center" indent="3"/>
    </xf>
    <xf numFmtId="167" fontId="8" fillId="5" borderId="0" xfId="121" applyNumberFormat="1" applyFont="1" applyFill="1" applyAlignment="1">
      <alignment horizontal="right" vertical="center" indent="4"/>
    </xf>
    <xf numFmtId="167" fontId="8" fillId="5" borderId="0" xfId="121" applyNumberFormat="1" applyFont="1" applyFill="1" applyAlignment="1">
      <alignment horizontal="right" vertical="center" indent="3"/>
    </xf>
    <xf numFmtId="167" fontId="159" fillId="5" borderId="0" xfId="121" applyNumberFormat="1" applyFont="1" applyFill="1" applyAlignment="1">
      <alignment horizontal="right" vertical="center" indent="3"/>
    </xf>
    <xf numFmtId="0" fontId="67" fillId="5" borderId="0" xfId="121" applyFont="1" applyFill="1" applyAlignment="1">
      <alignment horizontal="left" vertical="center" indent="1"/>
    </xf>
    <xf numFmtId="166" fontId="8" fillId="5" borderId="0" xfId="132" applyNumberFormat="1" applyFont="1" applyFill="1" applyAlignment="1">
      <alignment horizontal="right" vertical="center" indent="4"/>
    </xf>
    <xf numFmtId="165" fontId="67" fillId="5" borderId="0" xfId="121" applyNumberFormat="1" applyFont="1" applyFill="1" applyAlignment="1">
      <alignment horizontal="right" vertical="center" indent="3"/>
    </xf>
    <xf numFmtId="167" fontId="67" fillId="5" borderId="0" xfId="121" applyNumberFormat="1" applyFont="1" applyFill="1" applyAlignment="1">
      <alignment horizontal="right" vertical="center" indent="4"/>
    </xf>
    <xf numFmtId="167" fontId="67" fillId="5" borderId="0" xfId="121" applyNumberFormat="1" applyFont="1" applyFill="1" applyAlignment="1">
      <alignment horizontal="right" vertical="center" indent="3"/>
    </xf>
    <xf numFmtId="0" fontId="29" fillId="2" borderId="0" xfId="121" applyFont="1" applyFill="1" applyAlignment="1">
      <alignment horizontal="centerContinuous" vertical="center"/>
    </xf>
    <xf numFmtId="0" fontId="34" fillId="0" borderId="0" xfId="121" applyFont="1" applyAlignment="1">
      <alignment horizontal="left" vertical="center" indent="1"/>
    </xf>
    <xf numFmtId="0" fontId="34" fillId="0" borderId="0" xfId="121" applyFont="1" applyAlignment="1">
      <alignment horizontal="centerContinuous" vertical="center"/>
    </xf>
    <xf numFmtId="0" fontId="219" fillId="0" borderId="0" xfId="121" applyFont="1" applyAlignment="1">
      <alignment horizontal="centerContinuous" vertical="center"/>
    </xf>
    <xf numFmtId="167" fontId="68" fillId="0" borderId="0" xfId="121" applyNumberFormat="1" applyFont="1" applyAlignment="1">
      <alignment horizontal="right" vertical="center" indent="3"/>
    </xf>
    <xf numFmtId="167" fontId="68" fillId="4" borderId="0" xfId="121" applyNumberFormat="1" applyFont="1" applyFill="1" applyAlignment="1">
      <alignment horizontal="right" vertical="center" indent="3"/>
    </xf>
    <xf numFmtId="167" fontId="35" fillId="4" borderId="0" xfId="121" applyNumberFormat="1" applyFont="1" applyFill="1" applyAlignment="1">
      <alignment horizontal="right" vertical="center" indent="3"/>
    </xf>
    <xf numFmtId="0" fontId="220" fillId="0" borderId="0" xfId="8" applyFont="1"/>
    <xf numFmtId="0" fontId="221" fillId="0" borderId="0" xfId="8" applyFont="1" applyAlignment="1">
      <alignment horizontal="center"/>
    </xf>
    <xf numFmtId="208" fontId="1" fillId="0" borderId="0" xfId="24" applyNumberFormat="1" applyAlignment="1">
      <alignment horizontal="right" vertical="center" indent="1"/>
    </xf>
    <xf numFmtId="209" fontId="7" fillId="0" borderId="0" xfId="24" applyNumberFormat="1" applyFont="1" applyAlignment="1">
      <alignment horizontal="right" vertical="center" indent="1"/>
    </xf>
    <xf numFmtId="37" fontId="35" fillId="0" borderId="32" xfId="7" applyNumberFormat="1" applyFont="1" applyBorder="1" applyAlignment="1">
      <alignment horizontal="right" vertical="center" indent="1"/>
    </xf>
    <xf numFmtId="210" fontId="28" fillId="15" borderId="0" xfId="7" quotePrefix="1" applyNumberFormat="1" applyFont="1" applyFill="1" applyAlignment="1">
      <alignment horizontal="centerContinuous" wrapText="1"/>
    </xf>
    <xf numFmtId="43" fontId="8" fillId="0" borderId="0" xfId="103" applyFont="1" applyBorder="1" applyAlignment="1">
      <alignment vertical="center"/>
    </xf>
    <xf numFmtId="5" fontId="8" fillId="10" borderId="0" xfId="7" applyNumberFormat="1" applyFont="1" applyFill="1" applyAlignment="1">
      <alignment horizontal="right" vertical="center" indent="1"/>
    </xf>
    <xf numFmtId="166" fontId="30" fillId="0" borderId="0" xfId="7" applyNumberFormat="1" applyFont="1" applyAlignment="1">
      <alignment horizontal="right" vertical="center" indent="1"/>
    </xf>
    <xf numFmtId="5" fontId="8" fillId="7" borderId="0" xfId="7" applyNumberFormat="1" applyFont="1" applyFill="1" applyAlignment="1">
      <alignment horizontal="right" vertical="center" indent="1"/>
    </xf>
    <xf numFmtId="167" fontId="8" fillId="0" borderId="3" xfId="7" applyNumberFormat="1" applyFont="1" applyBorder="1" applyAlignment="1">
      <alignment horizontal="right" vertical="center" indent="1"/>
    </xf>
    <xf numFmtId="166" fontId="7" fillId="0" borderId="0" xfId="76" applyNumberFormat="1" applyFont="1" applyBorder="1" applyAlignment="1">
      <alignment horizontal="center" vertical="center"/>
    </xf>
    <xf numFmtId="166" fontId="35" fillId="0" borderId="0" xfId="76" applyNumberFormat="1" applyFont="1" applyBorder="1" applyAlignment="1">
      <alignment horizontal="center" vertical="center"/>
    </xf>
    <xf numFmtId="166" fontId="7" fillId="4" borderId="0" xfId="76" applyNumberFormat="1" applyFont="1" applyFill="1" applyBorder="1" applyAlignment="1">
      <alignment horizontal="center" vertical="center"/>
    </xf>
    <xf numFmtId="166" fontId="86" fillId="0" borderId="0" xfId="76" applyNumberFormat="1" applyFont="1" applyBorder="1" applyAlignment="1">
      <alignment horizontal="center"/>
    </xf>
    <xf numFmtId="166" fontId="7" fillId="3" borderId="0" xfId="76" applyNumberFormat="1" applyFont="1" applyFill="1" applyBorder="1" applyAlignment="1">
      <alignment horizontal="center" vertical="center"/>
    </xf>
    <xf numFmtId="0" fontId="40" fillId="0" borderId="0" xfId="8" applyFont="1"/>
    <xf numFmtId="0" fontId="86" fillId="0" borderId="0" xfId="8" applyFont="1" applyAlignment="1">
      <alignment horizontal="right" indent="1"/>
    </xf>
    <xf numFmtId="0" fontId="220" fillId="0" borderId="0" xfId="8" applyFont="1" applyAlignment="1">
      <alignment horizontal="right" indent="1"/>
    </xf>
    <xf numFmtId="166" fontId="42" fillId="0" borderId="0" xfId="56" applyNumberFormat="1" applyFont="1" applyAlignment="1">
      <alignment horizontal="center"/>
    </xf>
    <xf numFmtId="0" fontId="40" fillId="0" borderId="101" xfId="8" applyFont="1" applyBorder="1" applyAlignment="1">
      <alignment horizontal="center"/>
    </xf>
    <xf numFmtId="0" fontId="35" fillId="0" borderId="101" xfId="8" applyFont="1" applyBorder="1" applyAlignment="1">
      <alignment horizontal="center"/>
    </xf>
    <xf numFmtId="0" fontId="223" fillId="0" borderId="0" xfId="8" applyFont="1" applyBorder="1" applyAlignment="1">
      <alignment horizontal="left"/>
    </xf>
    <xf numFmtId="0" fontId="224" fillId="0" borderId="0" xfId="8" applyFont="1"/>
    <xf numFmtId="9" fontId="8" fillId="0" borderId="0" xfId="76" applyFont="1" applyBorder="1" applyAlignment="1">
      <alignment vertical="center"/>
    </xf>
    <xf numFmtId="0" fontId="40" fillId="0" borderId="0" xfId="8" quotePrefix="1" applyFont="1"/>
    <xf numFmtId="166" fontId="222" fillId="0" borderId="0" xfId="76" applyNumberFormat="1" applyFont="1" applyBorder="1" applyAlignment="1">
      <alignment horizontal="center" vertical="center"/>
    </xf>
    <xf numFmtId="3" fontId="35" fillId="0" borderId="0" xfId="7" applyNumberFormat="1" applyFont="1" applyAlignment="1">
      <alignment horizontal="right" vertical="center" indent="2"/>
    </xf>
    <xf numFmtId="0" fontId="225" fillId="0" borderId="0" xfId="61" applyFont="1"/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</cellXfs>
  <cellStyles count="164">
    <cellStyle name="Comma" xfId="103" builtinId="3"/>
    <cellStyle name="Comma 2" xfId="53" xr:uid="{6CEEC56C-2554-4F41-95E1-A9BB2DA5E87D}"/>
    <cellStyle name="Comma 2 12" xfId="27" xr:uid="{B2EFFC67-0D98-44FA-893D-3E2C1E07E04C}"/>
    <cellStyle name="Comma 2 12 2" xfId="153" xr:uid="{FA32DCF3-EB56-4B45-AF23-C319DC99F455}"/>
    <cellStyle name="Comma 2 2" xfId="9" xr:uid="{BA18EF45-D623-43C9-8323-CFB846FFE678}"/>
    <cellStyle name="Comma 2 2 2" xfId="38" xr:uid="{534AECB2-99D8-4700-A4FD-2828FF0DF966}"/>
    <cellStyle name="Comma 2 2 2 2" xfId="67" xr:uid="{0F18E80D-7E37-46B5-9F1C-CEFE51454E0B}"/>
    <cellStyle name="Comma 2 2 2 2 2" xfId="157" xr:uid="{AA78D653-6D62-450B-84C5-273BBEFAFD36}"/>
    <cellStyle name="Comma 2 2 2 3" xfId="155" xr:uid="{7039579D-4DD1-438B-A28C-FC923703BB5C}"/>
    <cellStyle name="Comma 2 2 3" xfId="151" xr:uid="{93ED9DC2-2A6E-4417-B0B1-73C5A8515698}"/>
    <cellStyle name="Comma 2 3" xfId="144" xr:uid="{94D930FB-D9B1-44BE-89E9-7203D14A869B}"/>
    <cellStyle name="Comma 2 3 2" xfId="156" xr:uid="{656FED55-0E30-44A9-B1DB-8447FCCE870F}"/>
    <cellStyle name="Comma 2 4 2" xfId="122" xr:uid="{005FDA57-D842-4C9E-8746-46CD390DE4B6}"/>
    <cellStyle name="Comma 2 4 2 2" xfId="162" xr:uid="{BA2B2486-BBC2-4838-AA11-7E1F9FE0A3C2}"/>
    <cellStyle name="Comma 3" xfId="21" xr:uid="{92342DBA-E429-48CF-A0DA-E68E42E9E4A5}"/>
    <cellStyle name="Comma 3 2" xfId="118" xr:uid="{DE208127-7C3F-4AD3-A0B3-1F4FF2617AF9}"/>
    <cellStyle name="Comma 3 2 2" xfId="161" xr:uid="{AF0D495F-AFB3-4CDD-ADBD-F6FEBB1BF33B}"/>
    <cellStyle name="Comma 3 3" xfId="152" xr:uid="{8CDDF979-5897-4FA6-8CB7-4A6C33AAF8CE}"/>
    <cellStyle name="Comma 4" xfId="70" xr:uid="{FBAF5350-E4F0-49D1-8E16-B3E23B2E1F05}"/>
    <cellStyle name="Comma 4 2" xfId="158" xr:uid="{F2E29529-FFEF-42CE-BC26-0C792646B902}"/>
    <cellStyle name="Comma 5" xfId="74" xr:uid="{41CCA126-0663-4015-B728-D77A60473439}"/>
    <cellStyle name="Comma 5 2" xfId="159" xr:uid="{B95D5897-75A6-4225-AE06-36C640D54216}"/>
    <cellStyle name="Comma 6" xfId="36" xr:uid="{9D8B8F3C-A21D-4234-8FC4-B0D6E03A01F2}"/>
    <cellStyle name="Comma 6 2" xfId="154" xr:uid="{4643A398-3386-48ED-B62D-7741405AC4B7}"/>
    <cellStyle name="Comma 7" xfId="133" xr:uid="{F5FF3A2E-52FD-4ACF-9B44-937A330493C2}"/>
    <cellStyle name="Comma 7 2" xfId="163" xr:uid="{1FFE2BCD-85B4-42FA-A810-E66980B3E996}"/>
    <cellStyle name="Comma 8" xfId="101" xr:uid="{B9CDBB4A-7948-4804-8CB9-AE7FD3E57E85}"/>
    <cellStyle name="Comma 8 2" xfId="160" xr:uid="{DB46FE27-27A9-412C-B9EB-3FFF0AC7B543}"/>
    <cellStyle name="Currency 2" xfId="84" xr:uid="{CA31FC9B-8A62-4B60-A258-E30F0D67E835}"/>
    <cellStyle name="Currency 2 2" xfId="22" xr:uid="{43FBD32B-1DE2-43F4-BB2D-22BE8A69ECBE}"/>
    <cellStyle name="Currency 2 2 2" xfId="23" xr:uid="{735F30F8-9497-40F5-936D-A484B54F59A9}"/>
    <cellStyle name="Currency 2 3" xfId="146" xr:uid="{D711E93F-1C6A-409B-8B15-7F926BE391BE}"/>
    <cellStyle name="Currency 2 4" xfId="65" xr:uid="{980FD67C-26DE-42AE-8C8A-646C6D289CCC}"/>
    <cellStyle name="Currency 3" xfId="90" xr:uid="{D6F2638E-9CD8-42CC-957D-370E4AB5EE02}"/>
    <cellStyle name="Currency 3 2" xfId="143" xr:uid="{F7F850A5-26B6-4390-8BF7-D1C80416159E}"/>
    <cellStyle name="Currency 4" xfId="134" xr:uid="{079DBAA2-7C15-462E-ADA5-326BC882222D}"/>
    <cellStyle name="Heading 1" xfId="1" builtinId="16"/>
    <cellStyle name="Heading 1 2" xfId="99" xr:uid="{1705683E-9157-4D1C-91F7-C98F0BF59355}"/>
    <cellStyle name="Hyperlink" xfId="75" builtinId="8"/>
    <cellStyle name="Hyperlink 2" xfId="13" xr:uid="{3C8B01ED-3E80-4DB5-AE3C-C016D1386061}"/>
    <cellStyle name="Hyperlink 2 2" xfId="58" xr:uid="{5BAB7E38-8B68-4AFD-81E6-AF7FDF409FE0}"/>
    <cellStyle name="Hyperlink 2 2 2" xfId="60" xr:uid="{A35C74CB-0EC8-46D2-9C43-27F9051781CC}"/>
    <cellStyle name="Hyperlink 3" xfId="117" xr:uid="{62347895-0690-440D-B4C4-6B0E32B1CD07}"/>
    <cellStyle name="Hyperlink 4" xfId="69" xr:uid="{999F85D8-E2BC-4C14-93AB-4AD116E9CE1D}"/>
    <cellStyle name="Normal" xfId="0" builtinId="0"/>
    <cellStyle name="Normal - Style1 2" xfId="16" xr:uid="{900F804C-A819-437C-9C30-EE5D4AF799A1}"/>
    <cellStyle name="Normal 10" xfId="85" xr:uid="{9312AF04-DD4A-41A0-9DC5-13603735FA57}"/>
    <cellStyle name="Normal 10 2" xfId="105" xr:uid="{29847647-CD68-4706-B55A-0A0105BECC0F}"/>
    <cellStyle name="Normal 10 3" xfId="138" xr:uid="{57591F87-A946-4ABF-962C-4ABD60D41D01}"/>
    <cellStyle name="Normal 10 4" xfId="126" xr:uid="{90220BFC-82EB-4193-B9BB-3053C3992779}"/>
    <cellStyle name="Normal 10 4 2 2 2" xfId="6" xr:uid="{820B4E20-71FC-4087-A839-00F7DAE04249}"/>
    <cellStyle name="Normal 10 4 2 2 3" xfId="56" xr:uid="{2E347351-AF58-4940-9AB8-95D5F54C3487}"/>
    <cellStyle name="Normal 11" xfId="86" xr:uid="{CAB93051-8966-4F08-8D5A-F43DC5819139}"/>
    <cellStyle name="Normal 11 2" xfId="2" xr:uid="{D75F2FD1-BA0E-409C-BFAD-C87431FC9487}"/>
    <cellStyle name="Normal 11 2 2" xfId="48" xr:uid="{3251443C-0EFD-498F-8062-A1D7454CE7F8}"/>
    <cellStyle name="Normal 11 3" xfId="139" xr:uid="{30076CD7-B6B3-44DF-85F6-EB1C5F2910B0}"/>
    <cellStyle name="Normal 11 4" xfId="127" xr:uid="{761158C7-0E3C-4096-937A-96E7E906CB94}"/>
    <cellStyle name="Normal 12" xfId="88" xr:uid="{BE0BD0E3-4EE7-45D3-B150-52F51286DF7D}"/>
    <cellStyle name="Normal 12 2" xfId="120" xr:uid="{4CB5AFAF-E75C-4F9D-94AC-4F3CB2AD211A}"/>
    <cellStyle name="Normal 12 2 2 2" xfId="12" xr:uid="{EDBB7335-6AC2-4C87-926D-B145BB3A0A99}"/>
    <cellStyle name="Normal 12 2 2 2 2" xfId="57" xr:uid="{F8A3E48D-6A30-4705-82E9-3A334D870BF6}"/>
    <cellStyle name="Normal 12 2 2 2 2 4" xfId="87" xr:uid="{3F2782B8-9BFA-4118-ACEC-1AB85AE980CD}"/>
    <cellStyle name="Normal 12 2 3" xfId="19" xr:uid="{E22C478D-4D33-4037-A420-BD9A8752F18D}"/>
    <cellStyle name="Normal 12 2 3 2" xfId="50" xr:uid="{E36B818C-302B-428B-9E21-01B3A2EC2CE4}"/>
    <cellStyle name="Normal 12 2 3 2 2" xfId="110" xr:uid="{BD5CF0D8-7E4C-40BC-B0F2-3B2341C745C4}"/>
    <cellStyle name="Normal 13" xfId="96" xr:uid="{1077E6E6-E721-42DE-A475-360F44AE9D1C}"/>
    <cellStyle name="Normal 13 2" xfId="100" xr:uid="{687774ED-7A9F-4F5C-AEEE-7731EE724398}"/>
    <cellStyle name="Normal 13 3" xfId="141" xr:uid="{5C83513F-C7ED-4165-9648-74FBEB071362}"/>
    <cellStyle name="Normal 13 4" xfId="129" xr:uid="{65FB29D7-0984-4600-8E60-FFBE1AE14502}"/>
    <cellStyle name="Normal 14" xfId="29" xr:uid="{33437C54-6D6D-4B1D-AA7F-2D4D4437C845}"/>
    <cellStyle name="Normal 14 2" xfId="55" xr:uid="{012FD723-0339-4F05-B50E-24F0A7C647BC}"/>
    <cellStyle name="Normal 14 3" xfId="112" xr:uid="{664DDECF-981E-400E-BE62-2134D47A6439}"/>
    <cellStyle name="Normal 15" xfId="26" xr:uid="{7E9DC02B-EA9D-4234-A89A-B20D27F993E8}"/>
    <cellStyle name="Normal 15 2" xfId="116" xr:uid="{DD085778-8D43-4098-B1F8-E5BD38AEA62F}"/>
    <cellStyle name="Normal 16" xfId="97" xr:uid="{027297B1-D5C6-4CF5-9CE9-F9038F298E9A}"/>
    <cellStyle name="Normal 16 2 2" xfId="71" xr:uid="{B1FAF0F5-D484-428D-8962-85185CFCE08E}"/>
    <cellStyle name="Normal 17" xfId="131" xr:uid="{995F5E4A-A7E9-4409-AB79-A9BEDFCA20B5}"/>
    <cellStyle name="Normal 18" xfId="147" xr:uid="{BDC78D99-00C9-4E36-B50F-B9B3A65A4442}"/>
    <cellStyle name="Normal 18 2" xfId="150" xr:uid="{083212D6-DD17-4053-9CD6-747AADF41B50}"/>
    <cellStyle name="Normal 19" xfId="64" xr:uid="{C4BCACC0-0F4B-4B2B-A125-18AED403C209}"/>
    <cellStyle name="Normal 2" xfId="5" xr:uid="{2869BF69-BF98-479D-AA6A-3B29C531102D}"/>
    <cellStyle name="Normal 2 10" xfId="10" xr:uid="{C9F9C01F-58A9-4768-8CB7-59C0660DA27A}"/>
    <cellStyle name="Normal 2 11" xfId="98" xr:uid="{99CA4CA5-EBB5-483E-9142-F59587223776}"/>
    <cellStyle name="Normal 2 12" xfId="72" xr:uid="{82823E4E-2409-4E61-B382-F6516B06237B}"/>
    <cellStyle name="Normal 2 13" xfId="73" xr:uid="{350D48B5-A5B9-472A-9DA3-4D7C02C0F599}"/>
    <cellStyle name="Normal 2 2" xfId="33" xr:uid="{048F0CFF-8F55-484A-A69A-46E3D400FEF3}"/>
    <cellStyle name="Normal 2 2 2" xfId="11" xr:uid="{15702084-30CA-4975-862B-BEE6729F04EA}"/>
    <cellStyle name="Normal 2 2 2 2" xfId="42" xr:uid="{7A7A16E7-B439-4E27-9D0A-03AF5CA01DDA}"/>
    <cellStyle name="Normal 2 2 2 3" xfId="121" xr:uid="{39E04D39-CD39-492B-8207-093CF4F370E2}"/>
    <cellStyle name="Normal 2 2 3" xfId="14" xr:uid="{53A50670-FBFB-4FF9-A74B-71FEE1CD2568}"/>
    <cellStyle name="Normal 2 2 3 2" xfId="59" xr:uid="{ECAF5B37-C04D-40B3-8078-43D5C907B668}"/>
    <cellStyle name="Normal 2 2 3 3" xfId="44" xr:uid="{491FBEF3-B8B3-48BE-B4B6-F4DE87C45B29}"/>
    <cellStyle name="Normal 2 2 4" xfId="7" xr:uid="{D58ACB5D-9E47-46F5-93F8-7008EDF754BE}"/>
    <cellStyle name="Normal 2 2 5" xfId="45" xr:uid="{ECB58F88-75DC-4628-835B-1AF7088A00C0}"/>
    <cellStyle name="Normal 2 2 6" xfId="81" xr:uid="{F7DDE3F0-CE37-4124-A50D-D8AB23096C5E}"/>
    <cellStyle name="Normal 2 2 6 2" xfId="107" xr:uid="{416B9639-2106-4DC6-AF39-CBAB97FFA263}"/>
    <cellStyle name="Normal 2 3" xfId="91" xr:uid="{79A724BF-84A1-44CB-A271-6796EC8150D6}"/>
    <cellStyle name="Normal 2 3 2" xfId="108" xr:uid="{EC6B95F6-8556-4A74-98C2-5EE9494E7770}"/>
    <cellStyle name="Normal 2 3 4" xfId="47" xr:uid="{1F8E9E1E-BD55-4CA2-A89D-99B55F74AC15}"/>
    <cellStyle name="Normal 2 4" xfId="4" xr:uid="{D49AF6E6-D44A-42D0-B924-402F461B10E0}"/>
    <cellStyle name="Normal 2 5" xfId="119" xr:uid="{B86D3A13-D9E3-49D1-AE9D-FCBCD535F66C}"/>
    <cellStyle name="Normal 2 6" xfId="145" xr:uid="{022EBBC2-2585-497C-8C1E-C553E4346A77}"/>
    <cellStyle name="Normal 20" xfId="148" xr:uid="{B907C153-77D5-4E00-A402-8E762F2AA6EE}"/>
    <cellStyle name="Normal 3" xfId="40" xr:uid="{9D35045B-7817-4B81-A675-3AB0EECB24B3}"/>
    <cellStyle name="Normal 3 2" xfId="25" xr:uid="{03C8BD24-2821-457E-AE98-365EC84EC5F4}"/>
    <cellStyle name="Normal 3 2 2" xfId="30" xr:uid="{6E57E41E-1AE2-4697-B378-957CE4AF737C}"/>
    <cellStyle name="Normal 3 2 3" xfId="106" xr:uid="{32BCA0CD-5387-467D-8782-430642689165}"/>
    <cellStyle name="Normal 3 2 4" xfId="130" xr:uid="{5A071235-6A30-46CB-81B9-98CE10CC1100}"/>
    <cellStyle name="Normal 3 3" xfId="68" xr:uid="{73BA4233-12C7-47D5-A8F8-9F9F8A015871}"/>
    <cellStyle name="Normal 3 4" xfId="92" xr:uid="{26BF2714-3FD1-49CD-A0BE-4033B54CFAE1}"/>
    <cellStyle name="Normal 3 4 2" xfId="140" xr:uid="{16D1E5E9-7A10-44FE-AC5F-CCC1E5AC661A}"/>
    <cellStyle name="Normal 3 4 3" xfId="128" xr:uid="{784D1CC0-82EF-4C5F-839E-0DBE8BDEE0F3}"/>
    <cellStyle name="Normal 4" xfId="41" xr:uid="{5F044477-0186-4A49-9577-0B32B70E66E7}"/>
    <cellStyle name="Normal 4 11 4" xfId="24" xr:uid="{1EDF7492-ED0C-4744-8B97-9D2CF8920361}"/>
    <cellStyle name="Normal 4 2" xfId="52" xr:uid="{99694CB5-1920-4D6A-B34B-1C2A5835242F}"/>
    <cellStyle name="Normal 4 2 2" xfId="49" xr:uid="{5C3D72A1-410F-439C-8431-3932938F44DE}"/>
    <cellStyle name="Normal 4 3" xfId="17" xr:uid="{114B81A3-7BA5-4F46-9873-3A1CF2C22021}"/>
    <cellStyle name="Normal 4 3 2" xfId="94" xr:uid="{20EFF4DC-901F-449E-BD8E-07EA59DBFC0F}"/>
    <cellStyle name="Normal 4 3 2 2" xfId="109" xr:uid="{3539D806-1D96-4BE2-97F4-159D7CD681E3}"/>
    <cellStyle name="Normal 4 4" xfId="135" xr:uid="{4BC91197-6802-49F8-93FB-E4E264708F19}"/>
    <cellStyle name="Normal 4 5" xfId="8" xr:uid="{19631BA3-8F8D-4C2D-ACCE-DBDA1F6ABE58}"/>
    <cellStyle name="Normal 4 6" xfId="123" xr:uid="{142C7B5D-08DD-4026-AAC8-CB5C331A4F60}"/>
    <cellStyle name="Normal 4 9 5" xfId="79" xr:uid="{1C8F292C-44AA-4939-AF6F-392213A3800A}"/>
    <cellStyle name="Normal 5" xfId="78" xr:uid="{E5D2D595-B671-4DDC-96DB-6A7792CE3A2F}"/>
    <cellStyle name="Normal 5 2" xfId="137" xr:uid="{04CFECBE-855D-4511-BAA0-39DFF0AD907A}"/>
    <cellStyle name="Normal 5 3" xfId="125" xr:uid="{497408EF-F8B8-42A8-98E7-CC96738C7363}"/>
    <cellStyle name="Normal 5 70" xfId="142" xr:uid="{F4E5C3BA-514A-4F0E-A4D1-3DD681375730}"/>
    <cellStyle name="Normal 5 9" xfId="80" xr:uid="{9D840A72-8B26-48A3-807C-4F98D907A917}"/>
    <cellStyle name="Normal 6" xfId="39" xr:uid="{35765D33-953F-46DC-9B4C-19E7287090D8}"/>
    <cellStyle name="Normal 6 2" xfId="51" xr:uid="{805247D3-FB26-4B92-BFF6-37241BAE2B75}"/>
    <cellStyle name="Normal 6 2 2" xfId="66" xr:uid="{DF6FC492-B225-4E7A-AFC1-2522FA85342B}"/>
    <cellStyle name="Normal 6 2 3" xfId="111" xr:uid="{59CE9656-8EEB-48AB-9CB0-B7C35F37A6D8}"/>
    <cellStyle name="Normal 62" xfId="20" xr:uid="{BB11D8AB-30CC-4B8E-94BC-5774958F8769}"/>
    <cellStyle name="Normal 62 2" xfId="63" xr:uid="{5A6469B5-70F8-4AF0-BA83-20FF3703812F}"/>
    <cellStyle name="Normal 680 2" xfId="104" xr:uid="{0B060FC2-91C4-4FF0-B783-5A4AB504F53F}"/>
    <cellStyle name="Normal 7" xfId="34" xr:uid="{3415AD20-67BB-4756-958D-F6ED7646B42A}"/>
    <cellStyle name="Normal 7 2" xfId="113" xr:uid="{466A1352-C365-40C0-B347-5FB0043BAE32}"/>
    <cellStyle name="Normal 8" xfId="83" xr:uid="{CE9C7E3E-4C21-4790-B5CD-CEB49FF5B15D}"/>
    <cellStyle name="Normal 8 2" xfId="114" xr:uid="{94E7AF54-F6D9-400D-B631-DCC3DB1992D2}"/>
    <cellStyle name="Normal 8 2 2 2" xfId="46" xr:uid="{4B4C86D4-55B1-4C75-9960-763D785531F2}"/>
    <cellStyle name="Normal 8 2 2 2 2" xfId="61" xr:uid="{7288A7AE-8F8C-4991-A729-395CC7271F52}"/>
    <cellStyle name="Normal 9" xfId="43" xr:uid="{826D4932-D427-48CC-9884-6BEAEF56185F}"/>
    <cellStyle name="Normal 9 2" xfId="3" xr:uid="{3B61AFE6-0ACE-4A2A-85AD-6F436253FB83}"/>
    <cellStyle name="Normal 9 3" xfId="136" xr:uid="{C3BD20D7-A16A-48D5-882C-E48F0C107450}"/>
    <cellStyle name="Normal 9 4" xfId="124" xr:uid="{3802B08A-EFF7-46CB-9304-3B6AC11734B7}"/>
    <cellStyle name="Percent" xfId="76" builtinId="5"/>
    <cellStyle name="Percent 2" xfId="15" xr:uid="{AC56D17B-A183-40E5-96FD-5782AA14CA83}"/>
    <cellStyle name="Percent 2 12" xfId="28" xr:uid="{9BE94E6A-EFF3-4AC9-A7DC-AF9200653006}"/>
    <cellStyle name="Percent 2 2" xfId="31" xr:uid="{DAF2195D-9EE5-4528-96AD-68A6F3D35B43}"/>
    <cellStyle name="Percent 2 2 2" xfId="37" xr:uid="{75243DEB-D08B-450A-8154-31808449BA71}"/>
    <cellStyle name="Percent 2 2 2 2" xfId="115" xr:uid="{A1262575-E0F1-40D6-BCF9-700DB7C23F14}"/>
    <cellStyle name="Percent 2 2 3" xfId="54" xr:uid="{6DCC40BF-BB27-4B66-AACF-853A5ED4C286}"/>
    <cellStyle name="Percent 3" xfId="18" xr:uid="{6A9B833B-83F1-42DC-96DE-FEA96D39BFF1}"/>
    <cellStyle name="Percent 3 2" xfId="95" xr:uid="{708FB958-381E-40AA-AB8A-9C71A999328E}"/>
    <cellStyle name="Percent 3 9" xfId="77" xr:uid="{C99743B3-9AF6-4A29-949A-04A14F9311B0}"/>
    <cellStyle name="Percent 4" xfId="35" xr:uid="{1152FB1E-1C53-49BE-B4E7-428131B4D80C}"/>
    <cellStyle name="Percent 4 9" xfId="82" xr:uid="{BEBAAAF6-6478-49A2-8C02-D4B1063B8A20}"/>
    <cellStyle name="Percent 5" xfId="93" xr:uid="{326B3775-8996-4150-AABA-2763AD548599}"/>
    <cellStyle name="Percent 5 2" xfId="102" xr:uid="{562D8A21-DAAC-4963-AE58-076FB9E336B8}"/>
    <cellStyle name="Percent 6" xfId="132" xr:uid="{DD6A748E-D041-4EEB-A651-3B00C81F3982}"/>
    <cellStyle name="Percent 7" xfId="32" xr:uid="{00B4484D-8838-431A-A2B5-2D173C1C1D85}"/>
    <cellStyle name="Percent 7 2" xfId="89" xr:uid="{BB6E5C8D-E031-419F-803E-D3338C774BCF}"/>
    <cellStyle name="Percent 8" xfId="149" xr:uid="{244D3022-2D45-4CE3-8F8A-A5EDC407EF70}"/>
    <cellStyle name="Property Name" xfId="62" xr:uid="{4B0B3B8B-3538-45A8-8190-F6783D51E59E}"/>
  </cellStyles>
  <dxfs count="15">
    <dxf>
      <font>
        <b/>
        <i/>
      </font>
      <numFmt numFmtId="9" formatCode="&quot;$&quot;#,##0_);\(&quot;$&quot;#,##0\)"/>
      <fill>
        <patternFill>
          <bgColor theme="8" tint="0.39994506668294322"/>
        </patternFill>
      </fill>
    </dxf>
    <dxf>
      <font>
        <b/>
        <i/>
      </font>
      <numFmt numFmtId="9" formatCode="&quot;$&quot;#,##0_);\(&quot;$&quot;#,##0\)"/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2"/>
        </patternFill>
      </fill>
    </dxf>
    <dxf>
      <font>
        <color theme="0" tint="-0.14996795556505021"/>
      </font>
      <fill>
        <patternFill patternType="solid">
          <bgColor theme="2"/>
        </patternFill>
      </fill>
    </dxf>
  </dxfs>
  <tableStyles count="0" defaultTableStyle="TableStyleMedium2" defaultPivotStyle="PivotStyleLight16"/>
  <colors>
    <mruColors>
      <color rgb="FF0000FF"/>
      <color rgb="FF993300"/>
      <color rgb="FF051243"/>
      <color rgb="FF3366FF"/>
      <color rgb="FFEAEAEA"/>
      <color rgb="FFD6FDFE"/>
      <color rgb="FFDDF1F7"/>
      <color rgb="FF042D62"/>
      <color rgb="FF50678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 Mix by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52-4831-A7C4-F54117977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52-4831-A7C4-F541179774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52-4831-A7C4-F541179774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B2-48AA-BCC2-874B09F99E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B2-48AA-BCC2-874B09F99ED5}"/>
              </c:ext>
            </c:extLst>
          </c:dPt>
          <c:dLbls>
            <c:numFmt formatCode="#0\ &quot;Unit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f>'Unit Mix Exhibit'!$C$12:$C$16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2-4831-A7C4-F541179774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Rent Comparison by Unit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Avg In-Place Rent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Exhibit'!$F$12:$F$17</c15:sqref>
                  </c15:fullRef>
                </c:ext>
              </c:extLst>
              <c:f>'Unit Mix Exhibit'!$F$12:$F$16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8-48B8-AED0-5E6F89D471B8}"/>
            </c:ext>
          </c:extLst>
        </c:ser>
        <c:ser>
          <c:idx val="5"/>
          <c:order val="5"/>
          <c:tx>
            <c:v>Avg Market Rent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Exhibit'!$H$12:$H$17</c15:sqref>
                  </c15:fullRef>
                </c:ext>
              </c:extLst>
              <c:f>'Unit Mix Exhibit'!$H$12:$H$16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4A8-48B8-AED0-5E6F89D471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2532816"/>
        <c:axId val="2925256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'Unit Mix Exhibit'!$C$11</c15:sqref>
                        </c15:formulaRef>
                      </c:ext>
                    </c:extLst>
                    <c:strCache>
                      <c:ptCount val="1"/>
                      <c:pt idx="0">
                        <c:v>Units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'Unit Mix Exhibit'!$C$12:$C$17</c15:sqref>
                        </c15:fullRef>
                        <c15:formulaRef>
                          <c15:sqref>'Unit Mix Exhibit'!$C$12:$C$16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4A8-48B8-AED0-5E6F89D471B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Exhibit'!$D$11</c15:sqref>
                        </c15:formulaRef>
                      </c:ext>
                    </c:extLst>
                    <c:strCache>
                      <c:ptCount val="1"/>
                      <c:pt idx="0">
                        <c:v>Avg SF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Exhibit'!$D$12:$D$17</c15:sqref>
                        </c15:fullRef>
                        <c15:formulaRef>
                          <c15:sqref>'Unit Mix Exhibit'!$D$12:$D$16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A8-48B8-AED0-5E6F89D471B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Exhibit'!$E$11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Exhibit'!$E$12:$E$17</c15:sqref>
                        </c15:fullRef>
                        <c15:formulaRef>
                          <c15:sqref>'Unit Mix Exhibit'!$E$12:$E$16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A8-48B8-AED0-5E6F89D471B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Exhibit'!$G$11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Exhibit'!$G$12:$G$17</c15:sqref>
                        </c15:fullRef>
                        <c15:formulaRef>
                          <c15:sqref>'Unit Mix Exhibit'!$G$12:$G$16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A8-48B8-AED0-5E6F89D471B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Exhibit'!$J$11</c15:sqref>
                        </c15:formulaRef>
                      </c:ext>
                    </c:extLst>
                    <c:strCache>
                      <c:ptCount val="1"/>
                      <c:pt idx="0">
                        <c:v>% Unit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Exhibit'!$J$12:$J$17</c15:sqref>
                        </c15:fullRef>
                        <c15:formulaRef>
                          <c15:sqref>'Unit Mix Exhibit'!$J$12:$J$16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A8-48B8-AED0-5E6F89D471B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'Unit Mix Exhibit'!$I$11</c:f>
              <c:strCache>
                <c:ptCount val="1"/>
                <c:pt idx="0">
                  <c:v>Delta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Exhibit'!$I$12:$I$17</c15:sqref>
                  </c15:fullRef>
                </c:ext>
              </c:extLst>
              <c:f>'Unit Mix Exhibit'!$I$12:$I$16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8-48B8-AED0-5E6F89D4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532816"/>
        <c:axId val="292525616"/>
      </c:lineChart>
      <c:catAx>
        <c:axId val="2925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25616"/>
        <c:crosses val="autoZero"/>
        <c:auto val="1"/>
        <c:lblAlgn val="ctr"/>
        <c:lblOffset val="100"/>
        <c:noMultiLvlLbl val="0"/>
      </c:catAx>
      <c:valAx>
        <c:axId val="292525616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1090863</xdr:colOff>
      <xdr:row>5</xdr:row>
      <xdr:rowOff>187109</xdr:rowOff>
    </xdr:from>
    <xdr:to>
      <xdr:col>11</xdr:col>
      <xdr:colOff>0</xdr:colOff>
      <xdr:row>14</xdr:row>
      <xdr:rowOff>6350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DA4FE3F-3117-4A5C-87F1-CE1C06F29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722"/>
        <a:stretch>
          <a:fillRect/>
        </a:stretch>
      </xdr:blipFill>
      <xdr:spPr bwMode="auto">
        <a:xfrm>
          <a:off x="6682038" y="920534"/>
          <a:ext cx="3290637" cy="153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547408</xdr:colOff>
      <xdr:row>47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6E8D6-C137-42A3-B813-E32042985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21</xdr:col>
      <xdr:colOff>463363</xdr:colOff>
      <xdr:row>54</xdr:row>
      <xdr:rowOff>65051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74C39-2D97-44B3-99E4-B94A5A0C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0.41315</cdr:x>
      <cdr:y>0.45188</cdr:y>
    </cdr:from>
    <cdr:to>
      <cdr:x>0.60563</cdr:x>
      <cdr:y>0.5692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B3387D-1929-BBA2-B413-036AA423A22D}"/>
            </a:ext>
          </a:extLst>
        </cdr:cNvPr>
        <cdr:cNvSpPr txBox="1"/>
      </cdr:nvSpPr>
      <cdr:spPr>
        <a:xfrm xmlns:a="http://schemas.openxmlformats.org/drawingml/2006/main">
          <a:off x="2514600" y="2347913"/>
          <a:ext cx="1171575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0.38895</cdr:x>
      <cdr:y>0.43209</cdr:y>
    </cdr:from>
    <cdr:to>
      <cdr:x>0.6068</cdr:x>
      <cdr:y>0.53892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2EC90C0-8E2E-4251-A8C1-8C0384FBA794}"/>
            </a:ext>
          </a:extLst>
        </cdr:cNvPr>
        <cdr:cNvSpPr txBox="1"/>
      </cdr:nvSpPr>
      <cdr:spPr>
        <a:xfrm xmlns:a="http://schemas.openxmlformats.org/drawingml/2006/main">
          <a:off x="2553081" y="2037936"/>
          <a:ext cx="1429974" cy="5038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/>
            <a:t>51% </a:t>
          </a:r>
          <a:br>
            <a:rPr lang="en-US" sz="1400" b="1"/>
          </a:br>
          <a:r>
            <a:rPr lang="en-US" sz="1400" b="1"/>
            <a:t>One-Bedroom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53F11D-E4C9-4713-86DC-19DA302D02B0}">
  <we:reference id="wa200001147" version="1.1.0.0" store="en-US" storeType="OMEX"/>
  <we:alternateReferences>
    <we:reference id="WA200001147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hudsonhp.com/hudson-view-par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DB1C-0A39-451D-B1C8-F0F83A004583}">
  <sheetPr codeName="Sheet10">
    <tabColor theme="8" tint="0.39997558519241921"/>
    <pageSetUpPr fitToPage="1"/>
  </sheetPr>
  <dimension ref="C1:AA60"/>
  <sheetViews>
    <sheetView showGridLines="0" view="pageBreakPreview" zoomScale="85" zoomScaleNormal="100" zoomScaleSheetLayoutView="85" workbookViewId="0">
      <selection activeCell="F20" sqref="F20:H20"/>
    </sheetView>
  </sheetViews>
  <sheetFormatPr defaultColWidth="9.140625" defaultRowHeight="15" outlineLevelRow="1" x14ac:dyDescent="0.25"/>
  <cols>
    <col min="1" max="3" width="0.85546875" style="15" customWidth="1"/>
    <col min="4" max="4" width="32.42578125" style="15" customWidth="1"/>
    <col min="5" max="9" width="16.42578125" style="15" customWidth="1"/>
    <col min="10" max="11" width="16.42578125" style="17" customWidth="1"/>
    <col min="12" max="13" width="0.85546875" style="17" customWidth="1"/>
    <col min="14" max="14" width="16" style="17" customWidth="1"/>
    <col min="15" max="16" width="12.85546875" style="17" bestFit="1" customWidth="1"/>
    <col min="17" max="17" width="14.42578125" style="17" bestFit="1" customWidth="1"/>
    <col min="18" max="16384" width="9.140625" style="15"/>
  </cols>
  <sheetData>
    <row r="1" spans="3:17" ht="4.3499999999999996" customHeight="1" x14ac:dyDescent="0.25"/>
    <row r="2" spans="3:17" ht="4.3499999999999996" customHeight="1" x14ac:dyDescent="0.25"/>
    <row r="3" spans="3:17" ht="20.100000000000001" customHeight="1" thickBot="1" x14ac:dyDescent="0.35">
      <c r="C3" s="12" t="s">
        <v>20</v>
      </c>
      <c r="D3" s="8"/>
      <c r="E3" s="8"/>
      <c r="F3" s="8"/>
      <c r="G3" s="8"/>
      <c r="H3" s="8"/>
      <c r="I3" s="8"/>
      <c r="J3" s="8"/>
      <c r="K3" s="10"/>
      <c r="L3" s="10" t="str">
        <f>'Exec Summ'!$F$6</f>
        <v>Hudson View Park</v>
      </c>
      <c r="O3" s="15"/>
      <c r="P3" s="15"/>
      <c r="Q3" s="15"/>
    </row>
    <row r="4" spans="3:17" ht="15.75" thickTop="1" x14ac:dyDescent="0.25">
      <c r="D4" s="18"/>
      <c r="P4" s="15"/>
      <c r="Q4" s="15"/>
    </row>
    <row r="5" spans="3:17" ht="15" customHeight="1" x14ac:dyDescent="0.25">
      <c r="D5" s="1030" t="s">
        <v>1803</v>
      </c>
      <c r="E5" s="1030"/>
      <c r="F5" s="1030"/>
      <c r="G5" s="1030"/>
      <c r="H5" s="1030"/>
      <c r="I5" s="1030"/>
      <c r="J5" s="1030"/>
      <c r="K5" s="1030"/>
      <c r="N5" s="786"/>
      <c r="O5" s="1031"/>
      <c r="P5" s="15"/>
      <c r="Q5" s="15"/>
    </row>
    <row r="6" spans="3:17" ht="15" customHeight="1" x14ac:dyDescent="0.25">
      <c r="D6" s="658" t="s">
        <v>22</v>
      </c>
      <c r="E6" s="1031"/>
      <c r="F6" s="659" t="str">
        <f>OneLineRR!C67</f>
        <v>Hudson View Park</v>
      </c>
      <c r="G6" s="730" t="s">
        <v>19</v>
      </c>
      <c r="H6" s="660"/>
      <c r="I6" s="1032"/>
      <c r="J6" s="649"/>
      <c r="K6" s="649"/>
      <c r="N6" s="786"/>
      <c r="O6" s="15"/>
      <c r="P6" s="15"/>
      <c r="Q6" s="15"/>
    </row>
    <row r="7" spans="3:17" ht="15" customHeight="1" x14ac:dyDescent="0.25">
      <c r="D7" s="658" t="s">
        <v>23</v>
      </c>
      <c r="E7" s="1031"/>
      <c r="F7" s="659" t="str">
        <f>OneLineRR!C68</f>
        <v>29 Hudson View Drive</v>
      </c>
      <c r="G7" s="1033" t="s">
        <v>218</v>
      </c>
      <c r="H7" s="1034">
        <v>0.65</v>
      </c>
      <c r="I7" s="1035"/>
      <c r="J7" s="993"/>
      <c r="K7" s="994"/>
      <c r="N7" s="786"/>
      <c r="O7" s="1031"/>
      <c r="P7" s="15"/>
      <c r="Q7" s="15"/>
    </row>
    <row r="8" spans="3:17" ht="15" customHeight="1" x14ac:dyDescent="0.25">
      <c r="D8" s="658" t="s">
        <v>24</v>
      </c>
      <c r="E8" s="1031"/>
      <c r="F8" s="661" t="str">
        <f>OneLineRR!C69</f>
        <v>Beacon, NY 12508</v>
      </c>
      <c r="G8" s="1033" t="s">
        <v>231</v>
      </c>
      <c r="H8" s="1036">
        <v>5.5E-2</v>
      </c>
      <c r="I8" s="1037"/>
      <c r="J8" s="649"/>
      <c r="K8" s="995"/>
      <c r="N8" s="787"/>
      <c r="O8" s="1031"/>
      <c r="P8" s="15"/>
      <c r="Q8" s="15"/>
    </row>
    <row r="9" spans="3:17" ht="15" customHeight="1" x14ac:dyDescent="0.25">
      <c r="D9" s="1032" t="s">
        <v>16</v>
      </c>
      <c r="E9" s="1031"/>
      <c r="F9" s="662">
        <f>'Unit Mix'!G74</f>
        <v>0</v>
      </c>
      <c r="G9" s="1033" t="s">
        <v>233</v>
      </c>
      <c r="H9" s="1038">
        <v>30</v>
      </c>
      <c r="I9" s="1037"/>
      <c r="J9" s="649"/>
      <c r="K9" s="995"/>
      <c r="N9" s="787"/>
      <c r="O9" s="1031"/>
      <c r="P9" s="15"/>
      <c r="Q9" s="15"/>
    </row>
    <row r="10" spans="3:17" ht="15" customHeight="1" x14ac:dyDescent="0.25">
      <c r="D10" s="1032" t="s">
        <v>17</v>
      </c>
      <c r="E10" s="1095">
        <f>COUNTIF(D40:D44,"*")</f>
        <v>0</v>
      </c>
      <c r="F10" s="1096">
        <f>'Unit Mix'!G70</f>
        <v>0</v>
      </c>
      <c r="G10" s="1033" t="s">
        <v>1779</v>
      </c>
      <c r="H10" s="1039" t="s">
        <v>181</v>
      </c>
      <c r="I10" s="1037"/>
      <c r="J10" s="649"/>
      <c r="K10" s="995"/>
      <c r="N10" s="787"/>
      <c r="O10" s="1031"/>
      <c r="P10" s="15"/>
      <c r="Q10" s="15"/>
    </row>
    <row r="11" spans="3:17" ht="15" customHeight="1" x14ac:dyDescent="0.25">
      <c r="D11" s="1032" t="s">
        <v>18</v>
      </c>
      <c r="E11" s="1031"/>
      <c r="F11" s="663" t="e">
        <f>'Unit Mix'!G72</f>
        <v>#DIV/0!</v>
      </c>
      <c r="G11" s="1033" t="s">
        <v>232</v>
      </c>
      <c r="H11" s="1040" t="e">
        <f>$G$19*H7</f>
        <v>#DIV/0!</v>
      </c>
      <c r="I11" s="1037"/>
      <c r="J11" s="649"/>
      <c r="K11" s="995"/>
      <c r="N11" s="787"/>
      <c r="O11" s="1031"/>
      <c r="P11" s="15"/>
      <c r="Q11" s="15"/>
    </row>
    <row r="12" spans="3:17" ht="15" customHeight="1" x14ac:dyDescent="0.25">
      <c r="D12" s="1032" t="s">
        <v>47</v>
      </c>
      <c r="E12" s="1031"/>
      <c r="F12" s="664">
        <v>1900</v>
      </c>
      <c r="G12" s="1033" t="s">
        <v>1769</v>
      </c>
      <c r="H12" s="1041" t="e">
        <f>IF(H10="Yes",H11*$H$8,PMT(H8/12,H9*12,-H11,0)*12)</f>
        <v>#DIV/0!</v>
      </c>
      <c r="I12" s="1037"/>
      <c r="J12" s="649"/>
      <c r="K12" s="995"/>
      <c r="N12" s="787"/>
      <c r="O12" s="1031"/>
      <c r="P12" s="15"/>
      <c r="Q12" s="15"/>
    </row>
    <row r="13" spans="3:17" ht="15" customHeight="1" x14ac:dyDescent="0.25">
      <c r="D13" s="1032" t="s">
        <v>1771</v>
      </c>
      <c r="E13" s="1031"/>
      <c r="F13" s="1042" t="s">
        <v>1772</v>
      </c>
      <c r="G13" s="1033" t="s">
        <v>177</v>
      </c>
      <c r="H13" s="1043" t="e">
        <f>$E$25/H12</f>
        <v>#DIV/0!</v>
      </c>
      <c r="I13" s="1037"/>
      <c r="J13" s="649"/>
      <c r="K13" s="995"/>
      <c r="N13" s="787"/>
      <c r="O13" s="1031"/>
      <c r="P13" s="15"/>
      <c r="Q13" s="15"/>
    </row>
    <row r="14" spans="3:17" ht="15" customHeight="1" x14ac:dyDescent="0.25">
      <c r="D14" s="1032" t="s">
        <v>1793</v>
      </c>
      <c r="E14" s="681">
        <v>0</v>
      </c>
      <c r="F14" s="682">
        <f>E14*F10</f>
        <v>0</v>
      </c>
      <c r="G14" s="1033" t="s">
        <v>1775</v>
      </c>
      <c r="H14" s="1044" t="e">
        <f>E25/H11</f>
        <v>#DIV/0!</v>
      </c>
      <c r="I14" s="1045"/>
      <c r="J14" s="996"/>
      <c r="K14" s="997"/>
      <c r="N14" s="787"/>
      <c r="O14" s="1031"/>
      <c r="P14" s="15"/>
      <c r="Q14" s="15"/>
    </row>
    <row r="15" spans="3:17" ht="15" customHeight="1" x14ac:dyDescent="0.25">
      <c r="D15" s="1032"/>
      <c r="E15" s="665"/>
      <c r="F15" s="666"/>
      <c r="G15" s="1031"/>
      <c r="H15" s="1031"/>
      <c r="I15" s="1032"/>
      <c r="J15" s="649"/>
      <c r="K15" s="649"/>
      <c r="N15" s="787"/>
      <c r="O15" s="1031"/>
      <c r="P15" s="15"/>
      <c r="Q15" s="15"/>
    </row>
    <row r="16" spans="3:17" ht="15" customHeight="1" x14ac:dyDescent="0.25">
      <c r="D16" s="1032"/>
      <c r="E16" s="667"/>
      <c r="F16" s="654"/>
      <c r="G16" s="1031"/>
      <c r="H16" s="1031"/>
      <c r="I16" s="1032"/>
      <c r="J16" s="649"/>
      <c r="K16" s="649"/>
      <c r="O16" s="1031"/>
      <c r="P16" s="15"/>
      <c r="Q16" s="15"/>
    </row>
    <row r="17" spans="4:17" ht="15" customHeight="1" thickBot="1" x14ac:dyDescent="0.3">
      <c r="D17" s="1030" t="s">
        <v>44</v>
      </c>
      <c r="E17" s="1030"/>
      <c r="F17" s="1030"/>
      <c r="G17" s="1030"/>
      <c r="H17" s="1030"/>
      <c r="I17" s="1032"/>
      <c r="J17" s="649"/>
      <c r="K17" s="649"/>
      <c r="O17" s="1031"/>
      <c r="P17" s="15"/>
      <c r="Q17" s="15"/>
    </row>
    <row r="18" spans="4:17" ht="15" customHeight="1" x14ac:dyDescent="0.4">
      <c r="D18" s="1032"/>
      <c r="E18" s="1032"/>
      <c r="F18" s="687" t="s">
        <v>11</v>
      </c>
      <c r="G18" s="688" t="s">
        <v>1762</v>
      </c>
      <c r="H18" s="688" t="s">
        <v>12</v>
      </c>
      <c r="I18" s="1032"/>
      <c r="J18" s="668" t="s">
        <v>1776</v>
      </c>
      <c r="K18" s="669"/>
      <c r="N18" s="1046" t="s">
        <v>1792</v>
      </c>
      <c r="O18" s="1046" t="s">
        <v>1804</v>
      </c>
      <c r="P18" s="15"/>
      <c r="Q18" s="15"/>
    </row>
    <row r="19" spans="4:17" ht="15" customHeight="1" thickBot="1" x14ac:dyDescent="0.3">
      <c r="D19" s="658" t="s">
        <v>13</v>
      </c>
      <c r="E19" s="670"/>
      <c r="F19" s="653" t="e">
        <f>ROUND($E$25/F25,-$N$19)</f>
        <v>#DIV/0!</v>
      </c>
      <c r="G19" s="653" t="e">
        <f>ROUND($E$25/G25,-$N$19)</f>
        <v>#DIV/0!</v>
      </c>
      <c r="H19" s="653" t="e">
        <f>ROUND($E$25/H25,-$N$19)</f>
        <v>#DIV/0!</v>
      </c>
      <c r="I19" s="1032"/>
      <c r="J19" s="1047" t="s">
        <v>1805</v>
      </c>
      <c r="K19" s="1048" t="e">
        <f>$G$19+$F$14-$H$11+($G$19*$O$19)</f>
        <v>#DIV/0!</v>
      </c>
      <c r="N19" s="1049">
        <v>0</v>
      </c>
      <c r="O19" s="1050">
        <v>0.03</v>
      </c>
      <c r="P19" s="15"/>
      <c r="Q19" s="15"/>
    </row>
    <row r="20" spans="4:17" ht="15" customHeight="1" x14ac:dyDescent="0.25">
      <c r="D20" s="658" t="s">
        <v>14</v>
      </c>
      <c r="E20" s="671"/>
      <c r="F20" s="653" t="e">
        <f>F19/($F$10+$E$10)</f>
        <v>#DIV/0!</v>
      </c>
      <c r="G20" s="653" t="e">
        <f t="shared" ref="G20:H20" si="0">G19/($F$10+$E$10)</f>
        <v>#DIV/0!</v>
      </c>
      <c r="H20" s="653" t="e">
        <f t="shared" si="0"/>
        <v>#DIV/0!</v>
      </c>
      <c r="I20" s="1032"/>
      <c r="J20" s="1047" t="s">
        <v>1774</v>
      </c>
      <c r="K20" s="1051" t="e">
        <f>+(E25-$H$12)/$K$19</f>
        <v>#DIV/0!</v>
      </c>
      <c r="O20" s="1031"/>
      <c r="P20" s="15"/>
      <c r="Q20" s="15"/>
    </row>
    <row r="21" spans="4:17" ht="15" customHeight="1" x14ac:dyDescent="0.25">
      <c r="D21" s="658" t="s">
        <v>1780</v>
      </c>
      <c r="E21" s="671"/>
      <c r="F21" s="653" t="e">
        <f>F19/$F$9</f>
        <v>#DIV/0!</v>
      </c>
      <c r="G21" s="653" t="e">
        <f t="shared" ref="G21:H21" si="1">G19/$F$9</f>
        <v>#DIV/0!</v>
      </c>
      <c r="H21" s="653" t="e">
        <f t="shared" si="1"/>
        <v>#DIV/0!</v>
      </c>
      <c r="I21" s="1032"/>
      <c r="J21" s="1052" t="s">
        <v>1773</v>
      </c>
      <c r="K21" s="1053" t="e">
        <f>+(E26-$H$12)/$K$19</f>
        <v>#DIV/0!</v>
      </c>
      <c r="O21" s="1031"/>
      <c r="P21" s="15"/>
      <c r="Q21" s="15"/>
    </row>
    <row r="22" spans="4:17" ht="15" customHeight="1" x14ac:dyDescent="0.25">
      <c r="D22" s="1032"/>
      <c r="E22" s="1032"/>
      <c r="F22" s="1032"/>
      <c r="G22" s="1032"/>
      <c r="H22" s="1032"/>
      <c r="I22" s="1032"/>
      <c r="O22" s="1031"/>
      <c r="P22" s="15"/>
      <c r="Q22" s="15"/>
    </row>
    <row r="23" spans="4:17" ht="15" customHeight="1" thickBot="1" x14ac:dyDescent="0.45">
      <c r="D23" s="672"/>
      <c r="E23" s="673" t="s">
        <v>67</v>
      </c>
      <c r="F23" s="689" t="s">
        <v>15</v>
      </c>
      <c r="G23" s="657"/>
      <c r="H23" s="657"/>
      <c r="I23" s="1032"/>
      <c r="J23" s="1054" t="str">
        <f>"*Includes $"&amp;TEXT($F$14,"$0.0")/1000000&amp;"M in capex and "&amp;TEXT($O$19,"0.0%")&amp;" closing costs"</f>
        <v>*Includes $0M in capex and 3.0% closing costs</v>
      </c>
      <c r="M23" s="17" t="s">
        <v>80</v>
      </c>
      <c r="O23" s="1031"/>
      <c r="P23" s="15"/>
      <c r="Q23" s="15"/>
    </row>
    <row r="24" spans="4:17" ht="15" customHeight="1" x14ac:dyDescent="0.25">
      <c r="D24" s="1055" t="s">
        <v>1777</v>
      </c>
      <c r="E24" s="674">
        <f>'P&amp;Ls Summary'!I40</f>
        <v>6299663.1600000001</v>
      </c>
      <c r="F24" s="667" t="e">
        <f t="shared" ref="F24:H24" si="2">$E24/F$19</f>
        <v>#DIV/0!</v>
      </c>
      <c r="G24" s="667" t="e">
        <f t="shared" si="2"/>
        <v>#DIV/0!</v>
      </c>
      <c r="H24" s="667" t="e">
        <f t="shared" si="2"/>
        <v>#DIV/0!</v>
      </c>
      <c r="I24" s="1032"/>
      <c r="J24" s="1056"/>
      <c r="K24" s="1057"/>
      <c r="N24" s="1046" t="s">
        <v>1794</v>
      </c>
      <c r="O24" s="1031"/>
      <c r="P24" s="15"/>
      <c r="Q24" s="15"/>
    </row>
    <row r="25" spans="4:17" ht="15" customHeight="1" thickBot="1" x14ac:dyDescent="0.3">
      <c r="D25" s="675" t="s">
        <v>26</v>
      </c>
      <c r="E25" s="676" t="e">
        <f>'P&amp;Ls Summary'!S40</f>
        <v>#DIV/0!</v>
      </c>
      <c r="F25" s="677">
        <f>G25+N25</f>
        <v>6.0000000000000005E-2</v>
      </c>
      <c r="G25" s="678">
        <v>5.7500000000000002E-2</v>
      </c>
      <c r="H25" s="679">
        <f>G25-N25</f>
        <v>5.5E-2</v>
      </c>
      <c r="I25" s="1032"/>
      <c r="J25" s="649"/>
      <c r="K25" s="649"/>
      <c r="N25" s="1050">
        <v>2.5000000000000001E-3</v>
      </c>
      <c r="O25" s="1031"/>
      <c r="P25" s="15"/>
      <c r="Q25" s="15"/>
    </row>
    <row r="26" spans="4:17" ht="15" customHeight="1" x14ac:dyDescent="0.25">
      <c r="D26" s="1055" t="s">
        <v>1778</v>
      </c>
      <c r="E26" s="680" t="e">
        <f>'P&amp;Ls Summary'!V40</f>
        <v>#DIV/0!</v>
      </c>
      <c r="F26" s="667" t="e">
        <f>$E26/F$19</f>
        <v>#DIV/0!</v>
      </c>
      <c r="G26" s="667" t="e">
        <f>$E26/G$19</f>
        <v>#DIV/0!</v>
      </c>
      <c r="H26" s="667" t="e">
        <f>$E26/H$19</f>
        <v>#DIV/0!</v>
      </c>
      <c r="I26" s="1032"/>
      <c r="J26" s="656"/>
      <c r="K26" s="649"/>
      <c r="O26" s="1031"/>
      <c r="P26" s="15"/>
      <c r="Q26" s="15"/>
    </row>
    <row r="27" spans="4:17" ht="15" customHeight="1" x14ac:dyDescent="0.25">
      <c r="D27" s="1032"/>
      <c r="E27" s="653"/>
      <c r="F27" s="654"/>
      <c r="G27" s="655"/>
      <c r="H27" s="655"/>
      <c r="I27" s="1032"/>
      <c r="J27" s="649"/>
      <c r="K27" s="649"/>
      <c r="O27" s="1031"/>
      <c r="P27" s="15"/>
      <c r="Q27" s="15"/>
    </row>
    <row r="28" spans="4:17" ht="15" customHeight="1" x14ac:dyDescent="0.25">
      <c r="D28" s="1030" t="s">
        <v>1770</v>
      </c>
      <c r="E28" s="1030"/>
      <c r="F28" s="1030"/>
      <c r="G28" s="1030"/>
      <c r="H28" s="1030"/>
      <c r="I28" s="1030"/>
      <c r="J28" s="1030"/>
      <c r="K28" s="1030"/>
      <c r="O28" s="1031"/>
      <c r="P28" s="15"/>
      <c r="Q28" s="15"/>
    </row>
    <row r="29" spans="4:17" ht="15" customHeight="1" x14ac:dyDescent="0.25">
      <c r="D29" s="1058" t="s">
        <v>54</v>
      </c>
      <c r="E29" s="1059" t="s">
        <v>57</v>
      </c>
      <c r="F29" s="1059" t="s">
        <v>1763</v>
      </c>
      <c r="G29" s="1059" t="s">
        <v>1781</v>
      </c>
      <c r="H29" s="1059" t="s">
        <v>1782</v>
      </c>
      <c r="I29" s="1059" t="s">
        <v>1783</v>
      </c>
      <c r="J29" s="1059" t="s">
        <v>1784</v>
      </c>
      <c r="K29" s="1059" t="s">
        <v>157</v>
      </c>
      <c r="N29" s="1060" t="s">
        <v>1813</v>
      </c>
      <c r="O29" s="1031"/>
      <c r="P29" s="15"/>
      <c r="Q29" s="15"/>
    </row>
    <row r="30" spans="4:17" ht="15" customHeight="1" x14ac:dyDescent="0.25">
      <c r="D30" s="683" t="s">
        <v>237</v>
      </c>
      <c r="E30" s="1061">
        <f>SUMIFS('Unit Mix'!$F$6:$F$62,'Unit Mix'!$AI$6:$AI$62,'Exec Summ'!D30)</f>
        <v>0</v>
      </c>
      <c r="F30" s="1062" t="e">
        <f>E30/$E$35</f>
        <v>#DIV/0!</v>
      </c>
      <c r="G30" s="1063" t="e">
        <f>SUMIFS('Unit Mix'!$G$6:$G$62,'Unit Mix'!$AI$6:$AI$62,'Exec Summ'!D30)/E30</f>
        <v>#DIV/0!</v>
      </c>
      <c r="H30" s="1064">
        <f>_xlfn.MINIFS('Unit Mix'!U$6:U$62,'Unit Mix'!$AI$6:$AI$62,'Exec Summ'!$D30)</f>
        <v>0</v>
      </c>
      <c r="I30" s="1064">
        <f>_xlfn.MAXIFS('Unit Mix'!V$6:V$62,'Unit Mix'!$AI$6:$AI$62,'Exec Summ'!$D30)</f>
        <v>0</v>
      </c>
      <c r="J30" s="1065" t="e">
        <f>SUMIFS('Unit Mix'!$I$6:$I$62,'Unit Mix'!$AI$6:$AI$62,'Exec Summ'!D30)/E30</f>
        <v>#DIV/0!</v>
      </c>
      <c r="K30" s="1065" t="e">
        <f>SUMIFS('Unit Mix'!$O$6:$O$62,'Unit Mix'!$AI$6:$AI$62,'Exec Summ'!D30)/E30</f>
        <v>#DIV/0!</v>
      </c>
      <c r="N30" s="1066"/>
      <c r="O30" s="1031"/>
      <c r="P30" s="15"/>
      <c r="Q30" s="15"/>
    </row>
    <row r="31" spans="4:17" ht="15" customHeight="1" x14ac:dyDescent="0.25">
      <c r="D31" s="685" t="s">
        <v>1764</v>
      </c>
      <c r="E31" s="1067">
        <f>SUMIFS('Unit Mix'!$F$6:$F$62,'Unit Mix'!$AI$6:$AI$62,'Exec Summ'!D31)</f>
        <v>0</v>
      </c>
      <c r="F31" s="1068" t="e">
        <f>E31/$E$35</f>
        <v>#DIV/0!</v>
      </c>
      <c r="G31" s="1069" t="e">
        <f>SUMIFS('Unit Mix'!$G$6:$G$62,'Unit Mix'!$AI$6:$AI$62,'Exec Summ'!D31)/E31</f>
        <v>#DIV/0!</v>
      </c>
      <c r="H31" s="1070">
        <f>_xlfn.MINIFS('Unit Mix'!U$6:U$62,'Unit Mix'!$AI$6:$AI$62,'Exec Summ'!$D31)</f>
        <v>0</v>
      </c>
      <c r="I31" s="1070">
        <f>_xlfn.MAXIFS('Unit Mix'!V$6:V$62,'Unit Mix'!$AI$6:$AI$62,'Exec Summ'!$D31)</f>
        <v>0</v>
      </c>
      <c r="J31" s="1071" t="e">
        <f>SUMIFS('Unit Mix'!$I$6:$I$62,'Unit Mix'!$AI$6:$AI$62,'Exec Summ'!D31)/E31</f>
        <v>#DIV/0!</v>
      </c>
      <c r="K31" s="1072" t="e">
        <f>SUMIFS('Unit Mix'!$O$6:$O$62,'Unit Mix'!$AI$6:$AI$62,'Exec Summ'!D31)/E31</f>
        <v>#DIV/0!</v>
      </c>
      <c r="N31" s="1073"/>
      <c r="O31" s="1031"/>
      <c r="P31" s="15"/>
      <c r="Q31" s="15"/>
    </row>
    <row r="32" spans="4:17" ht="15" customHeight="1" x14ac:dyDescent="0.25">
      <c r="D32" s="683" t="s">
        <v>1765</v>
      </c>
      <c r="E32" s="1061">
        <f>SUMIFS('Unit Mix'!$F$6:$F$62,'Unit Mix'!$AI$6:$AI$62,'Exec Summ'!D32)</f>
        <v>0</v>
      </c>
      <c r="F32" s="1062" t="e">
        <f>E32/$E$35</f>
        <v>#DIV/0!</v>
      </c>
      <c r="G32" s="1063" t="e">
        <f>SUMIFS('Unit Mix'!$G$6:$G$62,'Unit Mix'!$AI$6:$AI$62,'Exec Summ'!D32)/E32</f>
        <v>#DIV/0!</v>
      </c>
      <c r="H32" s="1064">
        <f>_xlfn.MINIFS('Unit Mix'!U$6:U$62,'Unit Mix'!$AI$6:$AI$62,'Exec Summ'!$D32)</f>
        <v>0</v>
      </c>
      <c r="I32" s="1064">
        <f>_xlfn.MAXIFS('Unit Mix'!V$6:V$62,'Unit Mix'!$AI$6:$AI$62,'Exec Summ'!$D32)</f>
        <v>0</v>
      </c>
      <c r="J32" s="1065" t="e">
        <f>SUMIFS('Unit Mix'!$I$6:$I$62,'Unit Mix'!$AI$6:$AI$62,'Exec Summ'!D32)/E32</f>
        <v>#DIV/0!</v>
      </c>
      <c r="K32" s="1065" t="e">
        <f>SUMIFS('Unit Mix'!$O$6:$O$62,'Unit Mix'!$AI$6:$AI$62,'Exec Summ'!D32)/E32</f>
        <v>#DIV/0!</v>
      </c>
      <c r="N32" s="1066"/>
      <c r="O32" s="1031"/>
      <c r="P32" s="15"/>
      <c r="Q32" s="15"/>
    </row>
    <row r="33" spans="4:17" ht="15" customHeight="1" x14ac:dyDescent="0.25">
      <c r="D33" s="685" t="s">
        <v>1766</v>
      </c>
      <c r="E33" s="1067">
        <f>SUMIFS('Unit Mix'!$F$6:$F$62,'Unit Mix'!$AI$6:$AI$62,'Exec Summ'!D33)</f>
        <v>0</v>
      </c>
      <c r="F33" s="1068" t="e">
        <f>E33/$E$35</f>
        <v>#DIV/0!</v>
      </c>
      <c r="G33" s="1069" t="e">
        <f>SUMIFS('Unit Mix'!$G$6:$G$62,'Unit Mix'!$AI$6:$AI$62,'Exec Summ'!D33)/E33</f>
        <v>#DIV/0!</v>
      </c>
      <c r="H33" s="1070">
        <f>_xlfn.MINIFS('Unit Mix'!U$6:U$62,'Unit Mix'!$AI$6:$AI$62,'Exec Summ'!$D33)</f>
        <v>0</v>
      </c>
      <c r="I33" s="1070">
        <f>_xlfn.MAXIFS('Unit Mix'!V$6:V$62,'Unit Mix'!$AI$6:$AI$62,'Exec Summ'!$D33)</f>
        <v>0</v>
      </c>
      <c r="J33" s="1071" t="e">
        <f>SUMIFS('Unit Mix'!$I$6:$I$62,'Unit Mix'!$AI$6:$AI$62,'Exec Summ'!D33)/E33</f>
        <v>#DIV/0!</v>
      </c>
      <c r="K33" s="1071" t="e">
        <f>SUMIFS('Unit Mix'!$O$6:$O$62,'Unit Mix'!$AI$6:$AI$62,'Exec Summ'!D33)/E33</f>
        <v>#DIV/0!</v>
      </c>
      <c r="N33" s="1073"/>
      <c r="O33" s="1031"/>
      <c r="P33" s="15"/>
      <c r="Q33" s="15"/>
    </row>
    <row r="34" spans="4:17" ht="15" customHeight="1" x14ac:dyDescent="0.25">
      <c r="D34" s="683" t="s">
        <v>1767</v>
      </c>
      <c r="E34" s="1061">
        <f>SUMIFS('Unit Mix'!$F$6:$F$62,'Unit Mix'!$AI$6:$AI$62,'Exec Summ'!D34)</f>
        <v>0</v>
      </c>
      <c r="F34" s="1062" t="e">
        <f>E34/$E$35</f>
        <v>#DIV/0!</v>
      </c>
      <c r="G34" s="1063" t="e">
        <f>SUMIFS('Unit Mix'!$G$6:$G$62,'Unit Mix'!$AI$6:$AI$62,'Exec Summ'!D34)/E34</f>
        <v>#DIV/0!</v>
      </c>
      <c r="H34" s="1064">
        <f>_xlfn.MINIFS('Unit Mix'!U$6:U$62,'Unit Mix'!$AI$6:$AI$62,'Exec Summ'!$D34)</f>
        <v>0</v>
      </c>
      <c r="I34" s="1064">
        <f>_xlfn.MAXIFS('Unit Mix'!V$6:V$62,'Unit Mix'!$AI$6:$AI$62,'Exec Summ'!$D34)</f>
        <v>0</v>
      </c>
      <c r="J34" s="1065" t="e">
        <f>SUMIFS('Unit Mix'!$I$6:$I$62,'Unit Mix'!$AI$6:$AI$62,'Exec Summ'!D34)/E34</f>
        <v>#DIV/0!</v>
      </c>
      <c r="K34" s="1065" t="e">
        <f>SUMIFS('Unit Mix'!$O$6:$O$62,'Unit Mix'!$AI$6:$AI$62,'Exec Summ'!D34)/E34</f>
        <v>#DIV/0!</v>
      </c>
      <c r="N34" s="1066"/>
      <c r="O34" s="1031"/>
      <c r="P34" s="15"/>
      <c r="Q34" s="15"/>
    </row>
    <row r="35" spans="4:17" ht="15" customHeight="1" x14ac:dyDescent="0.25">
      <c r="D35" s="1074" t="s">
        <v>21</v>
      </c>
      <c r="E35" s="1075">
        <f>SUM(E30:E34)</f>
        <v>0</v>
      </c>
      <c r="F35" s="1076" t="e">
        <f>SUM(F30:F34)</f>
        <v>#DIV/0!</v>
      </c>
      <c r="G35" s="1077" t="e">
        <f>SUMPRODUCT(G30:G34,$E$30:$E$34)</f>
        <v>#DIV/0!</v>
      </c>
      <c r="H35" s="1078"/>
      <c r="I35" s="1078"/>
      <c r="J35" s="1079" t="e">
        <f t="shared" ref="J35:K35" si="3">SUMPRODUCT(J30:J34,$E$30:$E$34)</f>
        <v>#DIV/0!</v>
      </c>
      <c r="K35" s="1079" t="e">
        <f t="shared" si="3"/>
        <v>#DIV/0!</v>
      </c>
      <c r="N35" s="448" t="e">
        <f>J35='Rent Roll'!M516+'Rent Roll'!N516</f>
        <v>#DIV/0!</v>
      </c>
      <c r="O35" s="448" t="e">
        <f>K35='Rent Roll'!P516</f>
        <v>#DIV/0!</v>
      </c>
      <c r="P35" s="15"/>
      <c r="Q35" s="15"/>
    </row>
    <row r="36" spans="4:17" ht="15" customHeight="1" x14ac:dyDescent="0.25">
      <c r="D36" s="1081" t="s">
        <v>1786</v>
      </c>
      <c r="E36" s="1082"/>
      <c r="F36" s="1082"/>
      <c r="G36" s="1083" t="e">
        <f>SUMPRODUCT(G30:G34,$E$30:$E$34)/$E$35</f>
        <v>#DIV/0!</v>
      </c>
      <c r="H36" s="1084"/>
      <c r="I36" s="1084"/>
      <c r="J36" s="1085" t="e">
        <f>SUMPRODUCT(J30:J34,$E$30:$E$34)/$E$35</f>
        <v>#DIV/0!</v>
      </c>
      <c r="K36" s="1085" t="e">
        <f>SUMPRODUCT(K30:K34,$E$30:$E$34)/$E$35</f>
        <v>#DIV/0!</v>
      </c>
      <c r="N36" s="448" t="e">
        <f>J36='Unit Mix'!J63</f>
        <v>#DIV/0!</v>
      </c>
      <c r="O36" s="448" t="e">
        <f>K36='Unit Mix'!P63</f>
        <v>#DIV/0!</v>
      </c>
      <c r="P36" s="15"/>
      <c r="Q36" s="15"/>
    </row>
    <row r="37" spans="4:17" ht="6.95" customHeight="1" x14ac:dyDescent="0.25">
      <c r="D37" s="1031"/>
      <c r="E37" s="1031"/>
      <c r="F37" s="1031"/>
      <c r="G37" s="1031"/>
      <c r="H37" s="1031"/>
      <c r="I37" s="1031"/>
      <c r="O37" s="1031"/>
      <c r="P37" s="15"/>
      <c r="Q37" s="15"/>
    </row>
    <row r="38" spans="4:17" ht="15" customHeight="1" outlineLevel="1" x14ac:dyDescent="0.25">
      <c r="D38" s="1086" t="s">
        <v>1834</v>
      </c>
      <c r="E38" s="1030"/>
      <c r="F38" s="1030"/>
      <c r="G38" s="1030"/>
      <c r="H38" s="1030"/>
      <c r="I38" s="1030"/>
      <c r="J38" s="1030"/>
      <c r="K38" s="1030"/>
      <c r="O38" s="1031"/>
      <c r="P38" s="15"/>
      <c r="Q38" s="15"/>
    </row>
    <row r="39" spans="4:17" ht="15" customHeight="1" outlineLevel="1" x14ac:dyDescent="0.25">
      <c r="D39" s="1087" t="s">
        <v>53</v>
      </c>
      <c r="E39" s="1088" t="s">
        <v>45</v>
      </c>
      <c r="F39" s="1088" t="s">
        <v>1781</v>
      </c>
      <c r="G39" s="1088" t="s">
        <v>1832</v>
      </c>
      <c r="H39" s="1088" t="s">
        <v>170</v>
      </c>
      <c r="I39" s="1088" t="s">
        <v>1833</v>
      </c>
      <c r="J39" s="1088" t="s">
        <v>1784</v>
      </c>
      <c r="K39" s="1088" t="s">
        <v>157</v>
      </c>
      <c r="N39" s="1089"/>
      <c r="O39" s="1031"/>
      <c r="P39" s="15"/>
      <c r="Q39" s="15"/>
    </row>
    <row r="40" spans="4:17" ht="15" customHeight="1" outlineLevel="1" x14ac:dyDescent="0.25">
      <c r="D40" s="892"/>
      <c r="E40" s="1061"/>
      <c r="F40" s="1062"/>
      <c r="G40" s="1063"/>
      <c r="H40" s="1064"/>
      <c r="I40" s="1064"/>
      <c r="J40" s="1090"/>
      <c r="K40" s="1090"/>
      <c r="N40" s="1006" t="s">
        <v>1871</v>
      </c>
      <c r="O40" s="1031"/>
      <c r="P40" s="15"/>
      <c r="Q40" s="15"/>
    </row>
    <row r="41" spans="4:17" ht="15" customHeight="1" outlineLevel="1" x14ac:dyDescent="0.25">
      <c r="D41" s="685"/>
      <c r="E41" s="1067"/>
      <c r="F41" s="1068"/>
      <c r="G41" s="1069"/>
      <c r="H41" s="1070"/>
      <c r="I41" s="1070"/>
      <c r="J41" s="1091"/>
      <c r="K41" s="1092"/>
      <c r="N41" s="1073"/>
      <c r="O41" s="1031"/>
      <c r="P41" s="15"/>
      <c r="Q41" s="15"/>
    </row>
    <row r="42" spans="4:17" ht="15" customHeight="1" outlineLevel="1" x14ac:dyDescent="0.25">
      <c r="D42" s="683"/>
      <c r="E42" s="1061"/>
      <c r="F42" s="1062"/>
      <c r="G42" s="1063"/>
      <c r="H42" s="1064"/>
      <c r="I42" s="1064"/>
      <c r="J42" s="1090"/>
      <c r="K42" s="1090"/>
      <c r="N42" s="1066"/>
      <c r="O42" s="1031"/>
      <c r="P42" s="15"/>
      <c r="Q42" s="15"/>
    </row>
    <row r="43" spans="4:17" ht="15" customHeight="1" outlineLevel="1" x14ac:dyDescent="0.25">
      <c r="D43" s="685"/>
      <c r="E43" s="1067"/>
      <c r="F43" s="1068"/>
      <c r="G43" s="1069"/>
      <c r="H43" s="1070"/>
      <c r="I43" s="1070"/>
      <c r="J43" s="1091"/>
      <c r="K43" s="1091"/>
      <c r="N43" s="1073"/>
      <c r="O43" s="1031"/>
      <c r="P43" s="15"/>
      <c r="Q43" s="15"/>
    </row>
    <row r="44" spans="4:17" ht="15" customHeight="1" outlineLevel="1" x14ac:dyDescent="0.25">
      <c r="D44" s="683"/>
      <c r="E44" s="1061"/>
      <c r="F44" s="1062"/>
      <c r="G44" s="1063"/>
      <c r="H44" s="1064"/>
      <c r="I44" s="1064"/>
      <c r="J44" s="1090"/>
      <c r="K44" s="1090"/>
      <c r="N44" s="1066"/>
      <c r="O44" s="1031"/>
      <c r="P44" s="15"/>
      <c r="Q44" s="15"/>
    </row>
    <row r="45" spans="4:17" ht="15" customHeight="1" outlineLevel="1" x14ac:dyDescent="0.25">
      <c r="D45" s="1074" t="s">
        <v>21</v>
      </c>
      <c r="E45" s="1075"/>
      <c r="F45" s="1076"/>
      <c r="G45" s="1077"/>
      <c r="H45" s="1078"/>
      <c r="I45" s="1078"/>
      <c r="J45" s="1079">
        <f>SUM(J40:J44)</f>
        <v>0</v>
      </c>
      <c r="K45" s="1079">
        <f>SUM(K40:K44)</f>
        <v>0</v>
      </c>
      <c r="N45" s="1080"/>
      <c r="O45" s="1031"/>
      <c r="P45" s="15"/>
      <c r="Q45" s="15"/>
    </row>
    <row r="46" spans="4:17" ht="6.95" customHeight="1" x14ac:dyDescent="0.25">
      <c r="O46" s="15"/>
      <c r="P46" s="15"/>
      <c r="Q46" s="15"/>
    </row>
    <row r="47" spans="4:17" ht="14.1" customHeight="1" x14ac:dyDescent="0.25">
      <c r="K47" s="15"/>
      <c r="O47" s="15"/>
      <c r="P47" s="15"/>
      <c r="Q47" s="15"/>
    </row>
    <row r="48" spans="4:17" ht="14.1" customHeight="1" x14ac:dyDescent="0.25">
      <c r="M48" s="85"/>
      <c r="O48" s="15"/>
      <c r="P48" s="15"/>
      <c r="Q48" s="15"/>
    </row>
    <row r="49" spans="4:27" s="16" customFormat="1" ht="14.1" customHeight="1" x14ac:dyDescent="0.25">
      <c r="M49" s="86"/>
      <c r="N49" s="17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4:27" s="16" customFormat="1" ht="14.1" customHeight="1" x14ac:dyDescent="0.25">
      <c r="M50" s="86"/>
      <c r="N50" s="1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4:27" ht="14.1" customHeight="1" x14ac:dyDescent="0.25">
      <c r="M51" s="85"/>
      <c r="O51" s="15"/>
      <c r="P51" s="15"/>
      <c r="Q51" s="15"/>
    </row>
    <row r="52" spans="4:27" ht="14.1" customHeight="1" x14ac:dyDescent="0.25">
      <c r="D52" s="16"/>
      <c r="E52" s="16"/>
      <c r="F52" s="16"/>
      <c r="G52" s="16"/>
      <c r="H52" s="16"/>
      <c r="I52" s="16"/>
      <c r="J52" s="649"/>
      <c r="K52" s="16"/>
      <c r="M52" s="85"/>
      <c r="O52" s="15"/>
      <c r="P52" s="15"/>
      <c r="Q52" s="15"/>
    </row>
    <row r="53" spans="4:27" ht="14.1" customHeight="1" x14ac:dyDescent="0.25">
      <c r="D53" s="16"/>
      <c r="E53" s="16"/>
      <c r="F53" s="16"/>
      <c r="G53" s="16"/>
      <c r="H53" s="16"/>
      <c r="I53" s="16"/>
      <c r="J53" s="649"/>
      <c r="K53" s="649"/>
      <c r="M53" s="85"/>
      <c r="O53" s="15"/>
      <c r="P53" s="15"/>
      <c r="Q53" s="15"/>
    </row>
    <row r="54" spans="4:27" ht="14.1" customHeight="1" x14ac:dyDescent="0.25">
      <c r="D54" s="16"/>
      <c r="E54" s="16"/>
      <c r="F54" s="16"/>
      <c r="G54" s="16"/>
      <c r="H54" s="16"/>
      <c r="I54" s="650"/>
      <c r="J54" s="649"/>
      <c r="K54" s="649"/>
      <c r="M54" s="85"/>
      <c r="O54" s="15"/>
      <c r="P54" s="15"/>
      <c r="Q54" s="15"/>
    </row>
    <row r="55" spans="4:27" ht="14.1" customHeight="1" x14ac:dyDescent="0.25">
      <c r="D55" s="16"/>
      <c r="E55" s="16"/>
      <c r="F55" s="16"/>
      <c r="G55" s="16"/>
      <c r="H55" s="651"/>
      <c r="I55" s="650"/>
      <c r="J55" s="649"/>
      <c r="K55" s="649"/>
      <c r="M55" s="85"/>
      <c r="O55" s="15"/>
      <c r="P55" s="15"/>
      <c r="Q55" s="15"/>
    </row>
    <row r="56" spans="4:27" ht="14.1" customHeight="1" x14ac:dyDescent="0.25">
      <c r="D56" s="16"/>
      <c r="E56" s="16"/>
      <c r="F56" s="16"/>
      <c r="G56" s="16"/>
      <c r="H56" s="16"/>
      <c r="I56" s="650"/>
      <c r="J56" s="649"/>
      <c r="K56" s="649"/>
      <c r="M56" s="85"/>
      <c r="N56" s="81"/>
      <c r="O56" s="83"/>
      <c r="P56" s="15"/>
      <c r="Q56" s="15"/>
    </row>
    <row r="57" spans="4:27" ht="14.1" customHeight="1" x14ac:dyDescent="0.25">
      <c r="D57" s="16"/>
      <c r="E57" s="16"/>
      <c r="F57" s="16"/>
      <c r="G57" s="16"/>
      <c r="H57" s="16"/>
      <c r="I57" s="16"/>
      <c r="J57" s="649"/>
      <c r="K57" s="649"/>
      <c r="L57" s="15"/>
      <c r="M57" s="87"/>
      <c r="N57" s="84"/>
      <c r="O57" s="82"/>
      <c r="P57" s="15"/>
      <c r="Q57" s="15"/>
    </row>
    <row r="58" spans="4:27" x14ac:dyDescent="0.25">
      <c r="D58" s="16"/>
      <c r="E58" s="16"/>
      <c r="F58" s="16"/>
      <c r="G58" s="16"/>
    </row>
    <row r="59" spans="4:27" x14ac:dyDescent="0.25">
      <c r="D59" s="16"/>
      <c r="E59" s="16"/>
      <c r="F59" s="16"/>
      <c r="G59" s="16"/>
    </row>
    <row r="60" spans="4:27" x14ac:dyDescent="0.25">
      <c r="D60" s="16"/>
      <c r="E60" s="16"/>
      <c r="F60" s="16"/>
      <c r="G60" s="16"/>
    </row>
  </sheetData>
  <protectedRanges>
    <protectedRange sqref="F6:F8 J18:K18 F14:F16 F27:H27 F18:H18 F23:H23" name="Range3"/>
    <protectedRange sqref="G25" name="Range2"/>
  </protectedRanges>
  <conditionalFormatting sqref="H7:H14 K19:K21">
    <cfRule type="expression" dxfId="14" priority="2">
      <formula>#REF!="Yes"</formula>
    </cfRule>
  </conditionalFormatting>
  <conditionalFormatting sqref="J24:K24 E24:E26">
    <cfRule type="expression" dxfId="13" priority="156">
      <formula>#REF!="No"</formula>
    </cfRule>
  </conditionalFormatting>
  <dataValidations disablePrompts="1" count="1">
    <dataValidation type="list" allowBlank="1" showInputMessage="1" showErrorMessage="1" sqref="H10" xr:uid="{3DE9F7B8-0C08-482A-8DE0-3286D199DDC2}">
      <formula1>"Yes,No"</formula1>
    </dataValidation>
  </dataValidations>
  <hyperlinks>
    <hyperlink ref="F13" r:id="rId1" xr:uid="{87F0340E-786F-4418-BE62-2594F8B0A1B1}"/>
  </hyperlinks>
  <pageMargins left="0.4" right="0.4" top="0.4" bottom="0.3" header="0.05" footer="0.05"/>
  <pageSetup scale="8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AFF-3A90-4389-AACE-DD817246CA64}">
  <sheetPr codeName="Sheet16">
    <tabColor theme="8" tint="0.39997558519241921"/>
    <pageSetUpPr fitToPage="1"/>
  </sheetPr>
  <dimension ref="A1:AQ166"/>
  <sheetViews>
    <sheetView showGridLines="0" view="pageBreakPreview" zoomScale="85" zoomScaleNormal="100" zoomScaleSheetLayoutView="85" workbookViewId="0">
      <pane xSplit="4" ySplit="6" topLeftCell="E7" activePane="bottomRight" state="frozen"/>
      <selection activeCell="E39" sqref="E39"/>
      <selection pane="topRight" activeCell="E39" sqref="E39"/>
      <selection pane="bottomLeft" activeCell="E39" sqref="E39"/>
      <selection pane="bottomRight" activeCell="AA3" sqref="AA3"/>
    </sheetView>
  </sheetViews>
  <sheetFormatPr defaultColWidth="9.42578125" defaultRowHeight="15" outlineLevelRow="1" outlineLevelCol="2" x14ac:dyDescent="0.25"/>
  <cols>
    <col min="1" max="2" width="1" customWidth="1"/>
    <col min="3" max="3" width="0.42578125" customWidth="1"/>
    <col min="4" max="4" width="35.85546875" customWidth="1"/>
    <col min="5" max="7" width="13.85546875" hidden="1" customWidth="1" outlineLevel="2"/>
    <col min="8" max="8" width="11.85546875" customWidth="1" collapsed="1"/>
    <col min="9" max="9" width="13.85546875" customWidth="1"/>
    <col min="10" max="13" width="13.85546875" hidden="1" customWidth="1" outlineLevel="2"/>
    <col min="14" max="14" width="1.85546875" customWidth="1" collapsed="1"/>
    <col min="15" max="15" width="11.85546875" style="485" hidden="1" customWidth="1" outlineLevel="1"/>
    <col min="16" max="16" width="13.85546875" hidden="1" customWidth="1" outlineLevel="1"/>
    <col min="17" max="17" width="1.85546875" hidden="1" customWidth="1" outlineLevel="1"/>
    <col min="18" max="18" width="11.85546875" style="485" customWidth="1" collapsed="1"/>
    <col min="19" max="19" width="13.85546875" customWidth="1"/>
    <col min="20" max="20" width="1.85546875" customWidth="1"/>
    <col min="21" max="21" width="11.85546875" style="485" customWidth="1"/>
    <col min="22" max="22" width="13.85546875" customWidth="1"/>
    <col min="23" max="23" width="1" customWidth="1"/>
    <col min="24" max="24" width="35.85546875" customWidth="1"/>
    <col min="25" max="26" width="1" customWidth="1"/>
    <col min="27" max="27" width="15.140625" bestFit="1" customWidth="1"/>
    <col min="28" max="29" width="10.85546875" customWidth="1"/>
    <col min="30" max="30" width="15.85546875" customWidth="1"/>
    <col min="31" max="31" width="10.85546875" customWidth="1"/>
    <col min="32" max="32" width="8.5703125" bestFit="1" customWidth="1"/>
    <col min="33" max="33" width="6.42578125" bestFit="1" customWidth="1"/>
    <col min="34" max="34" width="11" bestFit="1" customWidth="1"/>
    <col min="35" max="35" width="15.85546875" bestFit="1" customWidth="1"/>
    <col min="36" max="36" width="16" bestFit="1" customWidth="1"/>
    <col min="37" max="37" width="15.140625" bestFit="1" customWidth="1"/>
    <col min="38" max="38" width="11.140625" bestFit="1" customWidth="1"/>
  </cols>
  <sheetData>
    <row r="1" spans="1:41" s="23" customFormat="1" ht="5.0999999999999996" customHeight="1" x14ac:dyDescent="0.25">
      <c r="H1" s="505"/>
      <c r="I1" s="505"/>
      <c r="O1" s="472"/>
      <c r="P1" s="505"/>
      <c r="R1" s="472"/>
      <c r="U1" s="472"/>
    </row>
    <row r="2" spans="1:41" s="23" customFormat="1" ht="5.0999999999999996" customHeight="1" x14ac:dyDescent="0.25">
      <c r="H2" s="505"/>
      <c r="I2" s="505"/>
      <c r="O2" s="472"/>
      <c r="P2" s="505"/>
      <c r="R2" s="472"/>
      <c r="U2" s="472"/>
    </row>
    <row r="3" spans="1:41" s="23" customFormat="1" ht="24" customHeight="1" thickBot="1" x14ac:dyDescent="0.35">
      <c r="B3" s="24">
        <v>0</v>
      </c>
      <c r="C3" s="5" t="s">
        <v>220</v>
      </c>
      <c r="D3" s="4"/>
      <c r="E3" s="6"/>
      <c r="F3" s="6"/>
      <c r="G3" s="6"/>
      <c r="H3" s="1"/>
      <c r="I3" s="1"/>
      <c r="J3" s="6"/>
      <c r="K3" s="6"/>
      <c r="L3" s="6"/>
      <c r="M3" s="6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205" t="str">
        <f>'Exec Summ'!$F$6</f>
        <v>Hudson View Park</v>
      </c>
      <c r="Z3" s="11"/>
      <c r="AA3" s="285">
        <f>'Exec Summ'!$F$10+'Exec Summ'!$E$10</f>
        <v>0</v>
      </c>
      <c r="AB3" s="287" t="str">
        <f>IF(COUNTIF(H61:V63,"False")=0,"OK","ERROR")</f>
        <v>OK</v>
      </c>
      <c r="AJ3" s="25"/>
      <c r="AK3" s="25"/>
      <c r="AL3" s="25"/>
      <c r="AM3" s="26"/>
      <c r="AN3" s="26"/>
      <c r="AO3" s="26"/>
    </row>
    <row r="4" spans="1:41" s="28" customFormat="1" ht="24.95" customHeight="1" thickTop="1" x14ac:dyDescent="0.4">
      <c r="A4" s="27"/>
      <c r="B4" s="27"/>
      <c r="C4" s="27"/>
      <c r="D4" s="759" t="s">
        <v>1806</v>
      </c>
      <c r="E4" s="749"/>
      <c r="F4" s="749"/>
      <c r="G4" s="749"/>
      <c r="H4" s="750" t="s">
        <v>1790</v>
      </c>
      <c r="I4" s="751"/>
      <c r="J4" s="752"/>
      <c r="K4" s="752"/>
      <c r="L4" s="752"/>
      <c r="M4" s="752"/>
      <c r="N4" s="753"/>
      <c r="O4" s="750" t="s">
        <v>1790</v>
      </c>
      <c r="P4" s="751"/>
      <c r="Q4" s="753"/>
      <c r="R4" s="750" t="s">
        <v>1791</v>
      </c>
      <c r="S4" s="751"/>
      <c r="T4" s="753"/>
      <c r="U4" s="750" t="s">
        <v>1791</v>
      </c>
      <c r="V4" s="729"/>
      <c r="W4" s="647"/>
      <c r="X4" s="473"/>
      <c r="Y4" s="473"/>
      <c r="Z4" s="29"/>
      <c r="AA4" s="30" t="s">
        <v>31</v>
      </c>
      <c r="AB4" s="31"/>
      <c r="AJ4" s="33"/>
      <c r="AK4" s="34"/>
      <c r="AL4" s="35"/>
      <c r="AM4" s="25"/>
      <c r="AN4" s="25"/>
      <c r="AO4" s="25"/>
    </row>
    <row r="5" spans="1:41" s="38" customFormat="1" ht="39.950000000000003" customHeight="1" x14ac:dyDescent="0.4">
      <c r="A5" s="36"/>
      <c r="B5" s="36"/>
      <c r="C5" s="215"/>
      <c r="D5" s="517"/>
      <c r="E5" s="518" t="str">
        <f>'P&amp;Ls Detailed'!T5</f>
        <v>YE 2022</v>
      </c>
      <c r="F5" s="518" t="str">
        <f>'P&amp;Ls Detailed'!U5</f>
        <v>YE 2023</v>
      </c>
      <c r="G5" s="518" t="str">
        <f>'P&amp;Ls Detailed'!V5</f>
        <v>YE 2024</v>
      </c>
      <c r="H5" s="519" t="str">
        <f>'P&amp;Ls Detailed'!W5</f>
        <v>T-12
(05.24-04.25)</v>
      </c>
      <c r="I5" s="520"/>
      <c r="J5" s="760" t="str">
        <f>'P&amp;Ls Detailed'!X5</f>
        <v>T-9 Ann.
(08.24-04.25)</v>
      </c>
      <c r="K5" s="761" t="str">
        <f>'P&amp;Ls Detailed'!Y5</f>
        <v>T-6 Ann.
(11.24-04.25)</v>
      </c>
      <c r="L5" s="761" t="str">
        <f>'P&amp;Ls Detailed'!Z5</f>
        <v>T-3 Ann.
(02.25-04.25)</v>
      </c>
      <c r="M5" s="762" t="str">
        <f>'P&amp;Ls Detailed'!AA5</f>
        <v>T-1 Ann.
(04.25-04.25)</v>
      </c>
      <c r="N5" s="525"/>
      <c r="O5" s="519" t="s">
        <v>1807</v>
      </c>
      <c r="P5" s="520"/>
      <c r="Q5" s="525"/>
      <c r="R5" s="519" t="s">
        <v>239</v>
      </c>
      <c r="S5" s="520"/>
      <c r="T5" s="525"/>
      <c r="U5" s="519" t="s">
        <v>1768</v>
      </c>
      <c r="V5" s="520"/>
      <c r="W5" s="525"/>
      <c r="X5" s="523" t="s">
        <v>221</v>
      </c>
      <c r="AA5" s="715">
        <v>0</v>
      </c>
      <c r="AB5" s="716" t="s">
        <v>32</v>
      </c>
      <c r="AC5" s="716" t="s">
        <v>33</v>
      </c>
      <c r="AD5" s="718" t="s">
        <v>34</v>
      </c>
      <c r="AE5" s="558"/>
      <c r="AF5" s="559"/>
      <c r="AG5" s="559"/>
    </row>
    <row r="6" spans="1:41" s="38" customFormat="1" ht="21" x14ac:dyDescent="0.4">
      <c r="A6" s="36"/>
      <c r="B6" s="36"/>
      <c r="C6" s="37"/>
      <c r="D6" s="517"/>
      <c r="E6" s="518"/>
      <c r="F6" s="518"/>
      <c r="G6" s="518"/>
      <c r="H6" s="521" t="s">
        <v>223</v>
      </c>
      <c r="I6" s="522" t="s">
        <v>222</v>
      </c>
      <c r="J6" s="763"/>
      <c r="K6" s="518"/>
      <c r="L6" s="518"/>
      <c r="M6" s="522"/>
      <c r="N6" s="525"/>
      <c r="O6" s="521" t="s">
        <v>223</v>
      </c>
      <c r="P6" s="522" t="s">
        <v>222</v>
      </c>
      <c r="Q6" s="525"/>
      <c r="R6" s="521" t="s">
        <v>223</v>
      </c>
      <c r="S6" s="522" t="s">
        <v>222</v>
      </c>
      <c r="T6" s="525"/>
      <c r="U6" s="521" t="s">
        <v>223</v>
      </c>
      <c r="V6" s="522" t="s">
        <v>222</v>
      </c>
      <c r="W6" s="525"/>
      <c r="X6" s="524"/>
      <c r="AA6" s="39"/>
      <c r="AB6" s="32"/>
      <c r="AC6" s="32"/>
      <c r="AD6" s="719"/>
      <c r="AE6" s="559"/>
      <c r="AF6" s="559"/>
      <c r="AG6" s="559"/>
    </row>
    <row r="7" spans="1:41" s="38" customFormat="1" ht="14.1" customHeight="1" x14ac:dyDescent="0.35">
      <c r="A7" s="36"/>
      <c r="B7" s="36"/>
      <c r="C7" s="36"/>
      <c r="D7" s="36"/>
      <c r="E7" s="40"/>
      <c r="F7" s="40"/>
      <c r="G7" s="40"/>
      <c r="H7" s="474"/>
      <c r="I7" s="206"/>
      <c r="J7" s="764"/>
      <c r="K7" s="40"/>
      <c r="L7" s="40"/>
      <c r="M7" s="765"/>
      <c r="O7" s="474"/>
      <c r="P7" s="206"/>
      <c r="R7" s="474"/>
      <c r="S7" s="206"/>
      <c r="U7" s="474"/>
      <c r="V7" s="206"/>
      <c r="X7" s="209"/>
      <c r="AA7" s="41" t="s">
        <v>35</v>
      </c>
      <c r="AB7" s="42"/>
      <c r="AC7" s="42"/>
      <c r="AD7" s="720"/>
      <c r="AE7" s="559"/>
      <c r="AF7" s="559"/>
      <c r="AG7" s="559"/>
      <c r="AJ7" s="44"/>
    </row>
    <row r="8" spans="1:41" s="44" customFormat="1" ht="14.1" customHeight="1" x14ac:dyDescent="0.3">
      <c r="A8" s="43"/>
      <c r="B8" s="43"/>
      <c r="D8" s="45" t="s">
        <v>50</v>
      </c>
      <c r="E8" s="46"/>
      <c r="F8" s="46"/>
      <c r="G8" s="46"/>
      <c r="H8" s="475"/>
      <c r="I8" s="207"/>
      <c r="J8" s="766"/>
      <c r="K8" s="46"/>
      <c r="L8" s="46"/>
      <c r="M8" s="206"/>
      <c r="O8" s="475"/>
      <c r="P8" s="207"/>
      <c r="R8" s="475"/>
      <c r="S8" s="512"/>
      <c r="U8" s="475"/>
      <c r="V8" s="512"/>
      <c r="X8" s="210"/>
      <c r="AA8" s="47">
        <v>1</v>
      </c>
      <c r="AB8" s="48">
        <v>2</v>
      </c>
      <c r="AC8" s="717" t="s">
        <v>1789</v>
      </c>
      <c r="AD8" s="721"/>
      <c r="AE8" s="462"/>
      <c r="AF8" s="462"/>
      <c r="AG8" s="462"/>
      <c r="AJ8" s="38"/>
    </row>
    <row r="9" spans="1:41" s="44" customFormat="1" ht="14.1" customHeight="1" x14ac:dyDescent="0.3">
      <c r="A9" s="43"/>
      <c r="B9" s="43"/>
      <c r="D9" s="49" t="s">
        <v>48</v>
      </c>
      <c r="E9" s="50"/>
      <c r="F9" s="50"/>
      <c r="G9" s="50"/>
      <c r="H9" s="476" t="e">
        <f t="shared" ref="H9:H23" si="0">I9/$AA$3</f>
        <v>#DIV/0!</v>
      </c>
      <c r="I9" s="465">
        <f>SUMIFS('P&amp;Ls Detailed'!W:W,'P&amp;Ls Detailed'!$E:$E,'P&amp;Ls Summary'!$D9,'P&amp;Ls Detailed'!$D:$D,'P&amp;Ls Summary'!$Y$3)</f>
        <v>12277196.83</v>
      </c>
      <c r="J9" s="767">
        <f>SUMIFS('P&amp;Ls Detailed'!X:X,'P&amp;Ls Detailed'!$E:$E,'P&amp;Ls Summary'!$D9,'P&amp;Ls Detailed'!$D:$D,'P&amp;Ls Summary'!$Y$3)</f>
        <v>12312906.466666667</v>
      </c>
      <c r="K9" s="768">
        <f>SUMIFS('P&amp;Ls Detailed'!Y:Y,'P&amp;Ls Detailed'!$E:$E,'P&amp;Ls Summary'!$D9,'P&amp;Ls Detailed'!$D:$D,'P&amp;Ls Summary'!$Y$3)</f>
        <v>12332017.640000001</v>
      </c>
      <c r="L9" s="768">
        <f>SUMIFS('P&amp;Ls Detailed'!Z:Z,'P&amp;Ls Detailed'!$E:$E,'P&amp;Ls Summary'!$D9,'P&amp;Ls Detailed'!$D:$D,'P&amp;Ls Summary'!$Y$3)</f>
        <v>12350081.960000001</v>
      </c>
      <c r="M9" s="465">
        <f>SUMIFS('P&amp;Ls Detailed'!AA:AA,'P&amp;Ls Detailed'!$E:$E,'P&amp;Ls Summary'!$D9,'P&amp;Ls Detailed'!$D:$D,'P&amp;Ls Summary'!$Y$3)</f>
        <v>12369475.92</v>
      </c>
      <c r="N9" s="1110"/>
      <c r="O9" s="476"/>
      <c r="P9" s="465"/>
      <c r="Q9" s="1110"/>
      <c r="R9" s="476" t="e">
        <f>S9/$AA$3</f>
        <v>#DIV/0!</v>
      </c>
      <c r="S9" s="465" t="e">
        <f>'Exec Summ'!K36*'Exec Summ'!E35*12</f>
        <v>#DIV/0!</v>
      </c>
      <c r="T9" s="1110"/>
      <c r="U9" s="476" t="e">
        <f t="shared" ref="U9:U11" si="1">V9/$AA$3</f>
        <v>#DIV/0!</v>
      </c>
      <c r="V9" s="465" t="e">
        <f>S9*(1+$V$42)</f>
        <v>#DIV/0!</v>
      </c>
      <c r="X9" s="211" t="s">
        <v>228</v>
      </c>
      <c r="AA9" s="50"/>
      <c r="AB9" s="50"/>
      <c r="AC9" s="54"/>
      <c r="AD9" s="722"/>
      <c r="AE9" s="462"/>
      <c r="AF9" s="462"/>
      <c r="AG9" s="462"/>
    </row>
    <row r="10" spans="1:41" s="44" customFormat="1" ht="14.1" customHeight="1" x14ac:dyDescent="0.3">
      <c r="A10" s="43"/>
      <c r="B10" s="43"/>
      <c r="C10" s="51"/>
      <c r="D10" s="49" t="s">
        <v>224</v>
      </c>
      <c r="E10" s="53"/>
      <c r="F10" s="53"/>
      <c r="G10" s="53"/>
      <c r="H10" s="477" t="e">
        <f t="shared" si="0"/>
        <v>#DIV/0!</v>
      </c>
      <c r="I10" s="464">
        <f>SUMIFS('P&amp;Ls Detailed'!W:W,'P&amp;Ls Detailed'!$E:$E,'P&amp;Ls Summary'!$D10,'P&amp;Ls Detailed'!$D:$D,'P&amp;Ls Summary'!$Y$3)</f>
        <v>-804454.39</v>
      </c>
      <c r="J10" s="769">
        <f>SUMIFS('P&amp;Ls Detailed'!X:X,'P&amp;Ls Detailed'!$E:$E,'P&amp;Ls Summary'!$D10,'P&amp;Ls Detailed'!$D:$D,'P&amp;Ls Summary'!$Y$3)</f>
        <v>-672299.33333333326</v>
      </c>
      <c r="K10" s="770">
        <f>SUMIFS('P&amp;Ls Detailed'!Y:Y,'P&amp;Ls Detailed'!$E:$E,'P&amp;Ls Summary'!$D10,'P&amp;Ls Detailed'!$D:$D,'P&amp;Ls Summary'!$Y$3)</f>
        <v>-531451.14</v>
      </c>
      <c r="L10" s="770">
        <f>SUMIFS('P&amp;Ls Detailed'!Z:Z,'P&amp;Ls Detailed'!$E:$E,'P&amp;Ls Summary'!$D10,'P&amp;Ls Detailed'!$D:$D,'P&amp;Ls Summary'!$Y$3)</f>
        <v>-418531.12</v>
      </c>
      <c r="M10" s="464">
        <f>SUMIFS('P&amp;Ls Detailed'!AA:AA,'P&amp;Ls Detailed'!$E:$E,'P&amp;Ls Summary'!$D10,'P&amp;Ls Detailed'!$D:$D,'P&amp;Ls Summary'!$Y$3)</f>
        <v>-344011.92</v>
      </c>
      <c r="N10" s="1110"/>
      <c r="O10" s="477"/>
      <c r="P10" s="464"/>
      <c r="Q10" s="1110"/>
      <c r="R10" s="477" t="e">
        <f>S10/$AA$3</f>
        <v>#DIV/0!</v>
      </c>
      <c r="S10" s="464" t="e">
        <f>S11-S9</f>
        <v>#DIV/0!</v>
      </c>
      <c r="T10" s="1110"/>
      <c r="U10" s="477" t="e">
        <f t="shared" si="1"/>
        <v>#DIV/0!</v>
      </c>
      <c r="V10" s="464" t="e">
        <f>-$AC$10*V9</f>
        <v>#DIV/0!</v>
      </c>
      <c r="X10" s="212" t="s">
        <v>1760</v>
      </c>
      <c r="AA10" s="741">
        <f t="shared" ref="AA10:AA22" si="2">O10*(1+$AA$5)</f>
        <v>0</v>
      </c>
      <c r="AB10" s="734" t="str">
        <f>IFERROR(S10/$AA$3,"n/a")</f>
        <v>n/a</v>
      </c>
      <c r="AC10" s="648"/>
      <c r="AD10" s="722"/>
      <c r="AE10" s="789"/>
      <c r="AI10" s="449"/>
    </row>
    <row r="11" spans="1:41" s="44" customFormat="1" ht="14.1" customHeight="1" x14ac:dyDescent="0.3">
      <c r="A11" s="43"/>
      <c r="B11" s="43"/>
      <c r="C11" s="51"/>
      <c r="D11" s="486" t="s">
        <v>225</v>
      </c>
      <c r="E11" s="53"/>
      <c r="F11" s="53"/>
      <c r="G11" s="53"/>
      <c r="H11" s="478" t="e">
        <f t="shared" si="0"/>
        <v>#DIV/0!</v>
      </c>
      <c r="I11" s="471">
        <f>SUM(I9:I10)</f>
        <v>11472742.439999999</v>
      </c>
      <c r="J11" s="507">
        <f t="shared" ref="J11:M11" si="3">SUM(J9:J10)</f>
        <v>11640607.133333333</v>
      </c>
      <c r="K11" s="508">
        <f t="shared" si="3"/>
        <v>11800566.5</v>
      </c>
      <c r="L11" s="508">
        <f t="shared" si="3"/>
        <v>11931550.840000002</v>
      </c>
      <c r="M11" s="771">
        <f t="shared" si="3"/>
        <v>12025464</v>
      </c>
      <c r="N11" s="1110"/>
      <c r="O11" s="478" t="e">
        <f t="shared" ref="O11:O23" si="4">P11/$AA$3</f>
        <v>#DIV/0!</v>
      </c>
      <c r="P11" s="471">
        <f>'Unit Mix'!G80</f>
        <v>0</v>
      </c>
      <c r="Q11" s="1110"/>
      <c r="R11" s="478" t="e">
        <f t="shared" ref="R11:R14" si="5">S11/$AA$3</f>
        <v>#DIV/0!</v>
      </c>
      <c r="S11" s="471">
        <f>('Rent Roll'!M516+'Rent Roll'!N516)*12*(1+$S$42)</f>
        <v>0</v>
      </c>
      <c r="T11" s="1110"/>
      <c r="U11" s="478" t="e">
        <f t="shared" si="1"/>
        <v>#DIV/0!</v>
      </c>
      <c r="V11" s="471" t="e">
        <f>SUM(V9:V10)</f>
        <v>#DIV/0!</v>
      </c>
      <c r="X11" s="211"/>
      <c r="AA11" s="741"/>
      <c r="AB11" s="734"/>
      <c r="AC11" s="54"/>
      <c r="AD11" s="722"/>
      <c r="AE11" s="790"/>
      <c r="AI11" s="449"/>
    </row>
    <row r="12" spans="1:41" s="44" customFormat="1" ht="14.1" customHeight="1" x14ac:dyDescent="0.3">
      <c r="A12" s="43"/>
      <c r="B12" s="43"/>
      <c r="C12" s="51"/>
      <c r="D12" s="49" t="s">
        <v>217</v>
      </c>
      <c r="E12" s="53"/>
      <c r="F12" s="53"/>
      <c r="G12" s="53"/>
      <c r="H12" s="477" t="e">
        <f t="shared" si="0"/>
        <v>#DIV/0!</v>
      </c>
      <c r="I12" s="464">
        <f>SUMIFS('P&amp;Ls Detailed'!W:W,'P&amp;Ls Detailed'!$E:$E,'P&amp;Ls Summary'!$D12,'P&amp;Ls Detailed'!$D:$D,'P&amp;Ls Summary'!$Y$3)</f>
        <v>-193440.84999999998</v>
      </c>
      <c r="J12" s="769">
        <f>SUMIFS('P&amp;Ls Detailed'!X:X,'P&amp;Ls Detailed'!$E:$E,'P&amp;Ls Summary'!$D12,'P&amp;Ls Detailed'!$D:$D,'P&amp;Ls Summary'!$Y$3)</f>
        <v>-181087.94666666666</v>
      </c>
      <c r="K12" s="770">
        <f>SUMIFS('P&amp;Ls Detailed'!Y:Y,'P&amp;Ls Detailed'!$E:$E,'P&amp;Ls Summary'!$D12,'P&amp;Ls Detailed'!$D:$D,'P&amp;Ls Summary'!$Y$3)</f>
        <v>-178731.9</v>
      </c>
      <c r="L12" s="770">
        <f>SUMIFS('P&amp;Ls Detailed'!Z:Z,'P&amp;Ls Detailed'!$E:$E,'P&amp;Ls Summary'!$D12,'P&amp;Ls Detailed'!$D:$D,'P&amp;Ls Summary'!$Y$3)</f>
        <v>-126680</v>
      </c>
      <c r="M12" s="464">
        <f>SUMIFS('P&amp;Ls Detailed'!AA:AA,'P&amp;Ls Detailed'!$E:$E,'P&amp;Ls Summary'!$D12,'P&amp;Ls Detailed'!$D:$D,'P&amp;Ls Summary'!$Y$3)</f>
        <v>-96843.959999999992</v>
      </c>
      <c r="N12" s="1110"/>
      <c r="O12" s="477" t="e">
        <f t="shared" si="4"/>
        <v>#DIV/0!</v>
      </c>
      <c r="P12" s="464">
        <f>SUMIFS('P&amp;Ls Detailed'!W:W,'P&amp;Ls Detailed'!$E:$E,'P&amp;Ls Summary'!$D12,'P&amp;Ls Detailed'!$D:$D,'P&amp;Ls Summary'!$Y$3)-SUMIFS('P&amp;Ls Detailed'!W:W,'P&amp;Ls Detailed'!$E:$E,'P&amp;Ls Summary'!$D12,'P&amp;Ls Detailed'!$D:$D,'P&amp;Ls Summary'!$Y$3,'P&amp;Ls Detailed'!$F:$F,"Exclude")</f>
        <v>0</v>
      </c>
      <c r="Q12" s="1110"/>
      <c r="R12" s="477" t="e">
        <f t="shared" si="5"/>
        <v>#DIV/0!</v>
      </c>
      <c r="S12" s="464">
        <f>-$S$11*AC12</f>
        <v>0</v>
      </c>
      <c r="T12" s="1110"/>
      <c r="U12" s="477" t="e">
        <f t="shared" ref="U12:U23" si="6">V12/$AA$3</f>
        <v>#DIV/0!</v>
      </c>
      <c r="V12" s="464" t="e">
        <f>-$V$11*AC12</f>
        <v>#DIV/0!</v>
      </c>
      <c r="X12" s="212" t="str">
        <f>TEXT(AC12,"#0.0%")&amp;" of Gross Rental Income"</f>
        <v>3.0% of Gross Rental Income</v>
      </c>
      <c r="AA12" s="741" t="e">
        <f t="shared" si="2"/>
        <v>#DIV/0!</v>
      </c>
      <c r="AB12" s="734" t="str">
        <f>IFERROR(S12/$AA$3,"n/a")</f>
        <v>n/a</v>
      </c>
      <c r="AC12" s="648">
        <v>0.03</v>
      </c>
      <c r="AD12" s="723"/>
      <c r="AE12" s="789" t="s">
        <v>1811</v>
      </c>
      <c r="AG12" s="328"/>
      <c r="AI12" s="449"/>
    </row>
    <row r="13" spans="1:41" s="44" customFormat="1" ht="14.1" customHeight="1" x14ac:dyDescent="0.3">
      <c r="A13" s="43"/>
      <c r="B13" s="43"/>
      <c r="C13" s="51"/>
      <c r="D13" s="49" t="s">
        <v>195</v>
      </c>
      <c r="E13" s="53"/>
      <c r="F13" s="53"/>
      <c r="G13" s="53"/>
      <c r="H13" s="477" t="e">
        <f t="shared" si="0"/>
        <v>#DIV/0!</v>
      </c>
      <c r="I13" s="464">
        <f>SUMIFS('P&amp;Ls Detailed'!W:W,'P&amp;Ls Detailed'!$E:$E,'P&amp;Ls Summary'!$D13,'P&amp;Ls Detailed'!$D:$D,'P&amp;Ls Summary'!$Y$3)</f>
        <v>-67386.310000000012</v>
      </c>
      <c r="J13" s="769">
        <f>SUMIFS('P&amp;Ls Detailed'!X:X,'P&amp;Ls Detailed'!$E:$E,'P&amp;Ls Summary'!$D13,'P&amp;Ls Detailed'!$D:$D,'P&amp;Ls Summary'!$Y$3)</f>
        <v>-68301.600000000006</v>
      </c>
      <c r="K13" s="770">
        <f>SUMIFS('P&amp;Ls Detailed'!Y:Y,'P&amp;Ls Detailed'!$E:$E,'P&amp;Ls Summary'!$D13,'P&amp;Ls Detailed'!$D:$D,'P&amp;Ls Summary'!$Y$3)</f>
        <v>-69410.44</v>
      </c>
      <c r="L13" s="770">
        <f>SUMIFS('P&amp;Ls Detailed'!Z:Z,'P&amp;Ls Detailed'!$E:$E,'P&amp;Ls Summary'!$D13,'P&amp;Ls Detailed'!$D:$D,'P&amp;Ls Summary'!$Y$3)</f>
        <v>-71905.440000000002</v>
      </c>
      <c r="M13" s="464">
        <f>SUMIFS('P&amp;Ls Detailed'!AA:AA,'P&amp;Ls Detailed'!$E:$E,'P&amp;Ls Summary'!$D13,'P&amp;Ls Detailed'!$D:$D,'P&amp;Ls Summary'!$Y$3)</f>
        <v>-71905.440000000002</v>
      </c>
      <c r="N13" s="1110"/>
      <c r="O13" s="477" t="e">
        <f t="shared" si="4"/>
        <v>#DIV/0!</v>
      </c>
      <c r="P13" s="464">
        <f>SUMIFS('P&amp;Ls Detailed'!W:W,'P&amp;Ls Detailed'!$E:$E,'P&amp;Ls Summary'!$D13,'P&amp;Ls Detailed'!$D:$D,'P&amp;Ls Summary'!$Y$3)-SUMIFS('P&amp;Ls Detailed'!W:W,'P&amp;Ls Detailed'!$E:$E,'P&amp;Ls Summary'!$D13,'P&amp;Ls Detailed'!$D:$D,'P&amp;Ls Summary'!$Y$3,'P&amp;Ls Detailed'!$F:$F,"Exclude")</f>
        <v>0</v>
      </c>
      <c r="Q13" s="1110"/>
      <c r="R13" s="477" t="e">
        <f t="shared" si="5"/>
        <v>#DIV/0!</v>
      </c>
      <c r="S13" s="464">
        <f t="shared" ref="S13:S14" si="7">-$S$11*AC13</f>
        <v>0</v>
      </c>
      <c r="T13" s="1110"/>
      <c r="U13" s="477" t="e">
        <f t="shared" si="6"/>
        <v>#DIV/0!</v>
      </c>
      <c r="V13" s="464" t="e">
        <f t="shared" ref="V13:V14" si="8">-$V$11*AC13</f>
        <v>#DIV/0!</v>
      </c>
      <c r="X13" s="212" t="str">
        <f>TEXT(AC13,"#0.0%")&amp;" of Gross Rental Income"</f>
        <v>0.0% of Gross Rental Income</v>
      </c>
      <c r="AA13" s="741" t="e">
        <f t="shared" si="2"/>
        <v>#DIV/0!</v>
      </c>
      <c r="AB13" s="734" t="str">
        <f>IFERROR(S13/$AA$3,"n/a")</f>
        <v>n/a</v>
      </c>
      <c r="AC13" s="54">
        <v>0</v>
      </c>
      <c r="AD13" s="722"/>
      <c r="AE13" s="791"/>
    </row>
    <row r="14" spans="1:41" s="44" customFormat="1" ht="14.1" customHeight="1" collapsed="1" x14ac:dyDescent="0.3">
      <c r="A14" s="43"/>
      <c r="B14" s="43"/>
      <c r="C14" s="51"/>
      <c r="D14" s="49" t="s">
        <v>193</v>
      </c>
      <c r="E14" s="53"/>
      <c r="F14" s="53"/>
      <c r="G14" s="53"/>
      <c r="H14" s="477" t="e">
        <f t="shared" si="0"/>
        <v>#DIV/0!</v>
      </c>
      <c r="I14" s="464">
        <f>SUMIFS('P&amp;Ls Detailed'!W:W,'P&amp;Ls Detailed'!$E:$E,'P&amp;Ls Summary'!$D14,'P&amp;Ls Detailed'!$D:$D,'P&amp;Ls Summary'!$Y$3)</f>
        <v>-280.8900000000001</v>
      </c>
      <c r="J14" s="769">
        <f>SUMIFS('P&amp;Ls Detailed'!X:X,'P&amp;Ls Detailed'!$E:$E,'P&amp;Ls Summary'!$D14,'P&amp;Ls Detailed'!$D:$D,'P&amp;Ls Summary'!$Y$3)</f>
        <v>-675.61333333333334</v>
      </c>
      <c r="K14" s="770">
        <f>SUMIFS('P&amp;Ls Detailed'!Y:Y,'P&amp;Ls Detailed'!$E:$E,'P&amp;Ls Summary'!$D14,'P&amp;Ls Detailed'!$D:$D,'P&amp;Ls Summary'!$Y$3)</f>
        <v>-1013.4200000000001</v>
      </c>
      <c r="L14" s="770">
        <f>SUMIFS('P&amp;Ls Detailed'!Z:Z,'P&amp;Ls Detailed'!$E:$E,'P&amp;Ls Summary'!$D14,'P&amp;Ls Detailed'!$D:$D,'P&amp;Ls Summary'!$Y$3)</f>
        <v>1780.92</v>
      </c>
      <c r="M14" s="464">
        <f>SUMIFS('P&amp;Ls Detailed'!AA:AA,'P&amp;Ls Detailed'!$E:$E,'P&amp;Ls Summary'!$D14,'P&amp;Ls Detailed'!$D:$D,'P&amp;Ls Summary'!$Y$3)</f>
        <v>0</v>
      </c>
      <c r="N14" s="1110"/>
      <c r="O14" s="477" t="e">
        <f t="shared" si="4"/>
        <v>#DIV/0!</v>
      </c>
      <c r="P14" s="464">
        <f>SUMIFS('P&amp;Ls Detailed'!W:W,'P&amp;Ls Detailed'!$E:$E,'P&amp;Ls Summary'!$D14,'P&amp;Ls Detailed'!$D:$D,'P&amp;Ls Summary'!$Y$3)-SUMIFS('P&amp;Ls Detailed'!W:W,'P&amp;Ls Detailed'!$E:$E,'P&amp;Ls Summary'!$D14,'P&amp;Ls Detailed'!$D:$D,'P&amp;Ls Summary'!$Y$3,'P&amp;Ls Detailed'!$F:$F,"Exclude")</f>
        <v>0</v>
      </c>
      <c r="Q14" s="1110"/>
      <c r="R14" s="477" t="e">
        <f t="shared" si="5"/>
        <v>#DIV/0!</v>
      </c>
      <c r="S14" s="464">
        <f t="shared" si="7"/>
        <v>0</v>
      </c>
      <c r="T14" s="1110"/>
      <c r="U14" s="477" t="e">
        <f t="shared" si="6"/>
        <v>#DIV/0!</v>
      </c>
      <c r="V14" s="464" t="e">
        <f t="shared" si="8"/>
        <v>#DIV/0!</v>
      </c>
      <c r="X14" s="212" t="str">
        <f>TEXT(AC14,"#0.0%")&amp;" of Gross Rental Income"</f>
        <v>0.0% of Gross Rental Income</v>
      </c>
      <c r="AA14" s="741" t="e">
        <f t="shared" si="2"/>
        <v>#DIV/0!</v>
      </c>
      <c r="AB14" s="734" t="str">
        <f>IFERROR(S14/$AA$3,"n/a")</f>
        <v>n/a</v>
      </c>
      <c r="AC14" s="54">
        <v>0</v>
      </c>
      <c r="AD14" s="722"/>
      <c r="AE14" s="791"/>
    </row>
    <row r="15" spans="1:41" s="44" customFormat="1" ht="14.1" customHeight="1" x14ac:dyDescent="0.3">
      <c r="A15" s="43"/>
      <c r="B15" s="43"/>
      <c r="C15" s="51"/>
      <c r="D15" s="49" t="s">
        <v>36</v>
      </c>
      <c r="E15" s="53"/>
      <c r="F15" s="53"/>
      <c r="G15" s="53"/>
      <c r="H15" s="477" t="e">
        <f t="shared" si="0"/>
        <v>#DIV/0!</v>
      </c>
      <c r="I15" s="464">
        <f>SUMIFS('P&amp;Ls Detailed'!W:W,'P&amp;Ls Detailed'!$E:$E,'P&amp;Ls Summary'!$D15,'P&amp;Ls Detailed'!$D:$D,'P&amp;Ls Summary'!$Y$3)</f>
        <v>87864.1</v>
      </c>
      <c r="J15" s="769">
        <f>SUMIFS('P&amp;Ls Detailed'!X:X,'P&amp;Ls Detailed'!$E:$E,'P&amp;Ls Summary'!$D15,'P&amp;Ls Detailed'!$D:$D,'P&amp;Ls Summary'!$Y$3)</f>
        <v>86877.08</v>
      </c>
      <c r="K15" s="770">
        <f>SUMIFS('P&amp;Ls Detailed'!Y:Y,'P&amp;Ls Detailed'!$E:$E,'P&amp;Ls Summary'!$D15,'P&amp;Ls Detailed'!$D:$D,'P&amp;Ls Summary'!$Y$3)</f>
        <v>83124.799999999988</v>
      </c>
      <c r="L15" s="770">
        <f>SUMIFS('P&amp;Ls Detailed'!Z:Z,'P&amp;Ls Detailed'!$E:$E,'P&amp;Ls Summary'!$D15,'P&amp;Ls Detailed'!$D:$D,'P&amp;Ls Summary'!$Y$3)</f>
        <v>81165.119999999995</v>
      </c>
      <c r="M15" s="464">
        <f>SUMIFS('P&amp;Ls Detailed'!AA:AA,'P&amp;Ls Detailed'!$E:$E,'P&amp;Ls Summary'!$D15,'P&amp;Ls Detailed'!$D:$D,'P&amp;Ls Summary'!$Y$3)</f>
        <v>76110</v>
      </c>
      <c r="N15" s="1110"/>
      <c r="O15" s="477" t="e">
        <f t="shared" si="4"/>
        <v>#DIV/0!</v>
      </c>
      <c r="P15" s="464">
        <f>SUMIFS('P&amp;Ls Detailed'!W:W,'P&amp;Ls Detailed'!$E:$E,'P&amp;Ls Summary'!$D15,'P&amp;Ls Detailed'!$D:$D,'P&amp;Ls Summary'!$Y$3)-SUMIFS('P&amp;Ls Detailed'!W:W,'P&amp;Ls Detailed'!$E:$E,'P&amp;Ls Summary'!$D15,'P&amp;Ls Detailed'!$D:$D,'P&amp;Ls Summary'!$Y$3,'P&amp;Ls Detailed'!$F:$F,"Exclude")</f>
        <v>87864.1</v>
      </c>
      <c r="Q15" s="1110"/>
      <c r="R15" s="477" t="e">
        <f>AD15</f>
        <v>#DIV/0!</v>
      </c>
      <c r="S15" s="464" t="e">
        <f t="shared" ref="S15:S20" si="9">R15*$AA$3</f>
        <v>#DIV/0!</v>
      </c>
      <c r="T15" s="1110"/>
      <c r="U15" s="477" t="e">
        <f t="shared" si="6"/>
        <v>#DIV/0!</v>
      </c>
      <c r="V15" s="464" t="e">
        <f t="shared" ref="V15:V20" si="10">S15*(1+$V$43)</f>
        <v>#DIV/0!</v>
      </c>
      <c r="X15" s="516" t="str">
        <f t="shared" ref="X15:X17" si="11">IF(AC15=1, IF(AND($AA$5=0,AC15=1),"T12","T12 + "&amp;TEXT($AA$5,"0.0%")),TEXT(AB15,"$##,##0")&amp;"/unit")</f>
        <v>T12</v>
      </c>
      <c r="AA15" s="741" t="e">
        <f t="shared" si="2"/>
        <v>#DIV/0!</v>
      </c>
      <c r="AB15" s="1120">
        <v>0</v>
      </c>
      <c r="AC15" s="55">
        <v>1</v>
      </c>
      <c r="AD15" s="724" t="e">
        <f>CHOOSE(AC15,AA15,AB15)</f>
        <v>#DIV/0!</v>
      </c>
      <c r="AE15" s="791"/>
    </row>
    <row r="16" spans="1:41" s="44" customFormat="1" ht="14.1" customHeight="1" x14ac:dyDescent="0.3">
      <c r="A16" s="43"/>
      <c r="B16" s="43"/>
      <c r="C16" s="51"/>
      <c r="D16" s="49" t="s">
        <v>175</v>
      </c>
      <c r="E16" s="53"/>
      <c r="F16" s="53"/>
      <c r="G16" s="53"/>
      <c r="H16" s="477" t="e">
        <f t="shared" si="0"/>
        <v>#DIV/0!</v>
      </c>
      <c r="I16" s="464">
        <f>SUMIFS('P&amp;Ls Detailed'!W:W,'P&amp;Ls Detailed'!$E:$E,'P&amp;Ls Summary'!$D16,'P&amp;Ls Detailed'!$D:$D,'P&amp;Ls Summary'!$Y$3)</f>
        <v>133399.46000000002</v>
      </c>
      <c r="J16" s="769">
        <f>SUMIFS('P&amp;Ls Detailed'!X:X,'P&amp;Ls Detailed'!$E:$E,'P&amp;Ls Summary'!$D16,'P&amp;Ls Detailed'!$D:$D,'P&amp;Ls Summary'!$Y$3)</f>
        <v>134801.48000000001</v>
      </c>
      <c r="K16" s="770">
        <f>SUMIFS('P&amp;Ls Detailed'!Y:Y,'P&amp;Ls Detailed'!$E:$E,'P&amp;Ls Summary'!$D16,'P&amp;Ls Detailed'!$D:$D,'P&amp;Ls Summary'!$Y$3)</f>
        <v>134453.06</v>
      </c>
      <c r="L16" s="770">
        <f>SUMIFS('P&amp;Ls Detailed'!Z:Z,'P&amp;Ls Detailed'!$E:$E,'P&amp;Ls Summary'!$D16,'P&amp;Ls Detailed'!$D:$D,'P&amp;Ls Summary'!$Y$3)</f>
        <v>140316.32</v>
      </c>
      <c r="M16" s="464">
        <f>SUMIFS('P&amp;Ls Detailed'!AA:AA,'P&amp;Ls Detailed'!$E:$E,'P&amp;Ls Summary'!$D16,'P&amp;Ls Detailed'!$D:$D,'P&amp;Ls Summary'!$Y$3)</f>
        <v>132407.76</v>
      </c>
      <c r="N16" s="1110"/>
      <c r="O16" s="477" t="e">
        <f t="shared" si="4"/>
        <v>#DIV/0!</v>
      </c>
      <c r="P16" s="464">
        <f>SUMIFS('P&amp;Ls Detailed'!W:W,'P&amp;Ls Detailed'!$E:$E,'P&amp;Ls Summary'!$D16,'P&amp;Ls Detailed'!$D:$D,'P&amp;Ls Summary'!$Y$3)-SUMIFS('P&amp;Ls Detailed'!W:W,'P&amp;Ls Detailed'!$E:$E,'P&amp;Ls Summary'!$D16,'P&amp;Ls Detailed'!$D:$D,'P&amp;Ls Summary'!$Y$3,'P&amp;Ls Detailed'!$F:$F,"Exclude")</f>
        <v>133399.46000000002</v>
      </c>
      <c r="Q16" s="1110"/>
      <c r="R16" s="477" t="e">
        <f t="shared" ref="R16:R20" si="12">AD16</f>
        <v>#DIV/0!</v>
      </c>
      <c r="S16" s="464" t="e">
        <f t="shared" si="9"/>
        <v>#DIV/0!</v>
      </c>
      <c r="T16" s="1110"/>
      <c r="U16" s="477" t="e">
        <f t="shared" si="6"/>
        <v>#DIV/0!</v>
      </c>
      <c r="V16" s="464" t="e">
        <f t="shared" si="10"/>
        <v>#DIV/0!</v>
      </c>
      <c r="X16" s="516" t="str">
        <f t="shared" si="11"/>
        <v>T12</v>
      </c>
      <c r="AA16" s="741" t="e">
        <f t="shared" si="2"/>
        <v>#DIV/0!</v>
      </c>
      <c r="AB16" s="1120">
        <v>0</v>
      </c>
      <c r="AC16" s="55">
        <v>1</v>
      </c>
      <c r="AD16" s="724" t="e">
        <f t="shared" ref="AD16:AD19" si="13">CHOOSE(AC16,AA16,AB16)</f>
        <v>#DIV/0!</v>
      </c>
      <c r="AE16" s="791"/>
    </row>
    <row r="17" spans="1:43" s="44" customFormat="1" ht="14.1" customHeight="1" x14ac:dyDescent="0.3">
      <c r="A17" s="43"/>
      <c r="B17" s="43"/>
      <c r="C17" s="51"/>
      <c r="D17" s="49" t="s">
        <v>1759</v>
      </c>
      <c r="E17" s="53"/>
      <c r="F17" s="53"/>
      <c r="G17" s="53"/>
      <c r="H17" s="477" t="e">
        <f t="shared" si="0"/>
        <v>#DIV/0!</v>
      </c>
      <c r="I17" s="464">
        <f>SUMIFS('P&amp;Ls Detailed'!W:W,'P&amp;Ls Detailed'!$E:$E,'P&amp;Ls Summary'!$D17,'P&amp;Ls Detailed'!$D:$D,'P&amp;Ls Summary'!$Y$3)</f>
        <v>0</v>
      </c>
      <c r="J17" s="769">
        <f>SUMIFS('P&amp;Ls Detailed'!X:X,'P&amp;Ls Detailed'!$E:$E,'P&amp;Ls Summary'!$D17,'P&amp;Ls Detailed'!$D:$D,'P&amp;Ls Summary'!$Y$3)</f>
        <v>0</v>
      </c>
      <c r="K17" s="770">
        <f>SUMIFS('P&amp;Ls Detailed'!Y:Y,'P&amp;Ls Detailed'!$E:$E,'P&amp;Ls Summary'!$D17,'P&amp;Ls Detailed'!$D:$D,'P&amp;Ls Summary'!$Y$3)</f>
        <v>0</v>
      </c>
      <c r="L17" s="770">
        <f>SUMIFS('P&amp;Ls Detailed'!Z:Z,'P&amp;Ls Detailed'!$E:$E,'P&amp;Ls Summary'!$D17,'P&amp;Ls Detailed'!$D:$D,'P&amp;Ls Summary'!$Y$3)</f>
        <v>0</v>
      </c>
      <c r="M17" s="464">
        <f>SUMIFS('P&amp;Ls Detailed'!AA:AA,'P&amp;Ls Detailed'!$E:$E,'P&amp;Ls Summary'!$D17,'P&amp;Ls Detailed'!$D:$D,'P&amp;Ls Summary'!$Y$3)</f>
        <v>0</v>
      </c>
      <c r="N17" s="1110"/>
      <c r="O17" s="477" t="e">
        <f t="shared" si="4"/>
        <v>#DIV/0!</v>
      </c>
      <c r="P17" s="464">
        <f>SUMIFS('P&amp;Ls Detailed'!W:W,'P&amp;Ls Detailed'!$E:$E,'P&amp;Ls Summary'!$D17,'P&amp;Ls Detailed'!$D:$D,'P&amp;Ls Summary'!$Y$3)-SUMIFS('P&amp;Ls Detailed'!W:W,'P&amp;Ls Detailed'!$E:$E,'P&amp;Ls Summary'!$D17,'P&amp;Ls Detailed'!$D:$D,'P&amp;Ls Summary'!$Y$3,'P&amp;Ls Detailed'!$F:$F,"Exclude")</f>
        <v>0</v>
      </c>
      <c r="Q17" s="1110"/>
      <c r="R17" s="477" t="e">
        <f t="shared" si="12"/>
        <v>#DIV/0!</v>
      </c>
      <c r="S17" s="464" t="e">
        <f t="shared" si="9"/>
        <v>#DIV/0!</v>
      </c>
      <c r="T17" s="1110"/>
      <c r="U17" s="477" t="e">
        <f t="shared" si="6"/>
        <v>#DIV/0!</v>
      </c>
      <c r="V17" s="464" t="e">
        <f t="shared" si="10"/>
        <v>#DIV/0!</v>
      </c>
      <c r="X17" s="516" t="str">
        <f t="shared" si="11"/>
        <v>T12</v>
      </c>
      <c r="AA17" s="741" t="e">
        <f t="shared" si="2"/>
        <v>#DIV/0!</v>
      </c>
      <c r="AB17" s="1120">
        <v>0</v>
      </c>
      <c r="AC17" s="55">
        <v>1</v>
      </c>
      <c r="AD17" s="724" t="e">
        <f t="shared" ref="AD17" si="14">CHOOSE(AC17,AA17,AB17)</f>
        <v>#DIV/0!</v>
      </c>
      <c r="AE17" s="791"/>
    </row>
    <row r="18" spans="1:43" s="44" customFormat="1" ht="14.1" customHeight="1" x14ac:dyDescent="0.3">
      <c r="A18" s="43"/>
      <c r="B18" s="43"/>
      <c r="C18" s="51"/>
      <c r="D18" s="49" t="s">
        <v>1884</v>
      </c>
      <c r="E18" s="53"/>
      <c r="F18" s="53"/>
      <c r="G18" s="53"/>
      <c r="H18" s="477" t="e">
        <f t="shared" ref="H18" si="15">I18/$AA$3</f>
        <v>#DIV/0!</v>
      </c>
      <c r="I18" s="464">
        <f>SUMIFS('P&amp;Ls Detailed'!W:W,'P&amp;Ls Detailed'!$E:$E,'P&amp;Ls Summary'!$D18,'P&amp;Ls Detailed'!$D:$D,'P&amp;Ls Summary'!$Y$3)</f>
        <v>0</v>
      </c>
      <c r="J18" s="769">
        <f>SUMIFS('P&amp;Ls Detailed'!X:X,'P&amp;Ls Detailed'!$E:$E,'P&amp;Ls Summary'!$D18,'P&amp;Ls Detailed'!$D:$D,'P&amp;Ls Summary'!$Y$3)</f>
        <v>0</v>
      </c>
      <c r="K18" s="770">
        <f>SUMIFS('P&amp;Ls Detailed'!Y:Y,'P&amp;Ls Detailed'!$E:$E,'P&amp;Ls Summary'!$D18,'P&amp;Ls Detailed'!$D:$D,'P&amp;Ls Summary'!$Y$3)</f>
        <v>0</v>
      </c>
      <c r="L18" s="770">
        <f>SUMIFS('P&amp;Ls Detailed'!Z:Z,'P&amp;Ls Detailed'!$E:$E,'P&amp;Ls Summary'!$D18,'P&amp;Ls Detailed'!$D:$D,'P&amp;Ls Summary'!$Y$3)</f>
        <v>0</v>
      </c>
      <c r="M18" s="464">
        <f>SUMIFS('P&amp;Ls Detailed'!AA:AA,'P&amp;Ls Detailed'!$E:$E,'P&amp;Ls Summary'!$D18,'P&amp;Ls Detailed'!$D:$D,'P&amp;Ls Summary'!$Y$3)</f>
        <v>0</v>
      </c>
      <c r="N18" s="1110"/>
      <c r="O18" s="477" t="e">
        <f t="shared" ref="O18" si="16">P18/$AA$3</f>
        <v>#DIV/0!</v>
      </c>
      <c r="P18" s="464">
        <f>SUMIFS('P&amp;Ls Detailed'!W:W,'P&amp;Ls Detailed'!$E:$E,'P&amp;Ls Summary'!$D18,'P&amp;Ls Detailed'!$D:$D,'P&amp;Ls Summary'!$Y$3)-SUMIFS('P&amp;Ls Detailed'!W:W,'P&amp;Ls Detailed'!$E:$E,'P&amp;Ls Summary'!$D18,'P&amp;Ls Detailed'!$D:$D,'P&amp;Ls Summary'!$Y$3,'P&amp;Ls Detailed'!$F:$F,"Exclude")</f>
        <v>0</v>
      </c>
      <c r="Q18" s="1110"/>
      <c r="R18" s="477" t="e">
        <f t="shared" ref="R18" si="17">AD18</f>
        <v>#DIV/0!</v>
      </c>
      <c r="S18" s="464" t="e">
        <f t="shared" ref="S18" si="18">R18*$AA$3</f>
        <v>#DIV/0!</v>
      </c>
      <c r="T18" s="1110"/>
      <c r="U18" s="477" t="e">
        <f t="shared" ref="U18" si="19">V18/$AA$3</f>
        <v>#DIV/0!</v>
      </c>
      <c r="V18" s="464" t="e">
        <f t="shared" si="10"/>
        <v>#DIV/0!</v>
      </c>
      <c r="X18" s="516" t="str">
        <f t="shared" ref="X18" si="20">IF(AC18=1, IF(AND($AA$5=0,AC18=1),"T12","T12 + "&amp;TEXT($AA$5,"0.0%")),TEXT(AB18,"$##,##0")&amp;"/unit")</f>
        <v>T12</v>
      </c>
      <c r="AA18" s="741" t="e">
        <f t="shared" ref="AA18" si="21">O18*(1+$AA$5)</f>
        <v>#DIV/0!</v>
      </c>
      <c r="AB18" s="1120">
        <v>0</v>
      </c>
      <c r="AC18" s="55">
        <v>1</v>
      </c>
      <c r="AD18" s="724" t="e">
        <f t="shared" ref="AD18" si="22">CHOOSE(AC18,AA18,AB18)</f>
        <v>#DIV/0!</v>
      </c>
      <c r="AE18" s="791"/>
    </row>
    <row r="19" spans="1:43" s="44" customFormat="1" ht="14.1" customHeight="1" x14ac:dyDescent="0.3">
      <c r="A19" s="43"/>
      <c r="B19" s="43"/>
      <c r="C19" s="51"/>
      <c r="D19" s="49" t="s">
        <v>194</v>
      </c>
      <c r="E19" s="53"/>
      <c r="F19" s="53"/>
      <c r="G19" s="53"/>
      <c r="H19" s="477" t="e">
        <f t="shared" si="0"/>
        <v>#DIV/0!</v>
      </c>
      <c r="I19" s="464">
        <f>SUMIFS('P&amp;Ls Detailed'!W:W,'P&amp;Ls Detailed'!$E:$E,'P&amp;Ls Summary'!$D19,'P&amp;Ls Detailed'!$D:$D,'P&amp;Ls Summary'!$Y$3)</f>
        <v>17248.349999999999</v>
      </c>
      <c r="J19" s="769">
        <f>SUMIFS('P&amp;Ls Detailed'!X:X,'P&amp;Ls Detailed'!$E:$E,'P&amp;Ls Summary'!$D19,'P&amp;Ls Detailed'!$D:$D,'P&amp;Ls Summary'!$Y$3)</f>
        <v>17379.733333333334</v>
      </c>
      <c r="K19" s="770">
        <f>SUMIFS('P&amp;Ls Detailed'!Y:Y,'P&amp;Ls Detailed'!$E:$E,'P&amp;Ls Summary'!$D19,'P&amp;Ls Detailed'!$D:$D,'P&amp;Ls Summary'!$Y$3)</f>
        <v>17507.34</v>
      </c>
      <c r="L19" s="770">
        <f>SUMIFS('P&amp;Ls Detailed'!Z:Z,'P&amp;Ls Detailed'!$E:$E,'P&amp;Ls Summary'!$D19,'P&amp;Ls Detailed'!$D:$D,'P&amp;Ls Summary'!$Y$3)</f>
        <v>17839.2</v>
      </c>
      <c r="M19" s="464">
        <f>SUMIFS('P&amp;Ls Detailed'!AA:AA,'P&amp;Ls Detailed'!$E:$E,'P&amp;Ls Summary'!$D19,'P&amp;Ls Detailed'!$D:$D,'P&amp;Ls Summary'!$Y$3)</f>
        <v>18000</v>
      </c>
      <c r="N19" s="1110"/>
      <c r="O19" s="477" t="e">
        <f t="shared" si="4"/>
        <v>#DIV/0!</v>
      </c>
      <c r="P19" s="464">
        <f>SUMIFS('P&amp;Ls Detailed'!W:W,'P&amp;Ls Detailed'!$E:$E,'P&amp;Ls Summary'!$D19,'P&amp;Ls Detailed'!$D:$D,'P&amp;Ls Summary'!$Y$3)-SUMIFS('P&amp;Ls Detailed'!W:W,'P&amp;Ls Detailed'!$E:$E,'P&amp;Ls Summary'!$D19,'P&amp;Ls Detailed'!$D:$D,'P&amp;Ls Summary'!$Y$3,'P&amp;Ls Detailed'!$F:$F,"Exclude")</f>
        <v>17248.349999999999</v>
      </c>
      <c r="Q19" s="1110"/>
      <c r="R19" s="477" t="e">
        <f t="shared" si="12"/>
        <v>#DIV/0!</v>
      </c>
      <c r="S19" s="464" t="e">
        <f t="shared" si="9"/>
        <v>#DIV/0!</v>
      </c>
      <c r="T19" s="1110"/>
      <c r="U19" s="477" t="e">
        <f t="shared" si="6"/>
        <v>#DIV/0!</v>
      </c>
      <c r="V19" s="464" t="e">
        <f t="shared" si="10"/>
        <v>#DIV/0!</v>
      </c>
      <c r="X19" s="516" t="str">
        <f t="shared" ref="X19:X20" si="23">IF(AC19=1, IF(AND($AA$5=0,AC19=1),"T12","T12 + "&amp;TEXT($AA$5,"0.0%")),TEXT(AB19,"$##,##0")&amp;"/unit")</f>
        <v>T12</v>
      </c>
      <c r="AA19" s="741" t="e">
        <f t="shared" si="2"/>
        <v>#DIV/0!</v>
      </c>
      <c r="AB19" s="1120">
        <v>0</v>
      </c>
      <c r="AC19" s="55">
        <v>1</v>
      </c>
      <c r="AD19" s="724" t="e">
        <f t="shared" si="13"/>
        <v>#DIV/0!</v>
      </c>
      <c r="AE19" s="791"/>
    </row>
    <row r="20" spans="1:43" s="44" customFormat="1" ht="14.1" customHeight="1" x14ac:dyDescent="0.3">
      <c r="A20" s="43"/>
      <c r="B20" s="43"/>
      <c r="C20" s="51"/>
      <c r="D20" s="49" t="s">
        <v>4</v>
      </c>
      <c r="E20" s="53"/>
      <c r="F20" s="53"/>
      <c r="G20" s="53"/>
      <c r="H20" s="477" t="e">
        <f t="shared" si="0"/>
        <v>#DIV/0!</v>
      </c>
      <c r="I20" s="464">
        <f>SUMIFS('P&amp;Ls Detailed'!W:W,'P&amp;Ls Detailed'!$E:$E,'P&amp;Ls Summary'!$D20,'P&amp;Ls Detailed'!$D:$D,'P&amp;Ls Summary'!$Y$3)</f>
        <v>367295.05000000005</v>
      </c>
      <c r="J20" s="769">
        <f>SUMIFS('P&amp;Ls Detailed'!X:X,'P&amp;Ls Detailed'!$E:$E,'P&amp;Ls Summary'!$D20,'P&amp;Ls Detailed'!$D:$D,'P&amp;Ls Summary'!$Y$3)</f>
        <v>300617.01333333337</v>
      </c>
      <c r="K20" s="770">
        <f>SUMIFS('P&amp;Ls Detailed'!Y:Y,'P&amp;Ls Detailed'!$E:$E,'P&amp;Ls Summary'!$D20,'P&amp;Ls Detailed'!$D:$D,'P&amp;Ls Summary'!$Y$3)</f>
        <v>244740.24000000002</v>
      </c>
      <c r="L20" s="770">
        <f>SUMIFS('P&amp;Ls Detailed'!Z:Z,'P&amp;Ls Detailed'!$E:$E,'P&amp;Ls Summary'!$D20,'P&amp;Ls Detailed'!$D:$D,'P&amp;Ls Summary'!$Y$3)</f>
        <v>167834.28</v>
      </c>
      <c r="M20" s="464">
        <f>SUMIFS('P&amp;Ls Detailed'!AA:AA,'P&amp;Ls Detailed'!$E:$E,'P&amp;Ls Summary'!$D20,'P&amp;Ls Detailed'!$D:$D,'P&amp;Ls Summary'!$Y$3)</f>
        <v>110008.56</v>
      </c>
      <c r="N20" s="1110"/>
      <c r="O20" s="477" t="e">
        <f t="shared" si="4"/>
        <v>#DIV/0!</v>
      </c>
      <c r="P20" s="464">
        <f>SUMIFS('P&amp;Ls Detailed'!W:W,'P&amp;Ls Detailed'!$E:$E,'P&amp;Ls Summary'!$D20,'P&amp;Ls Detailed'!$D:$D,'P&amp;Ls Summary'!$Y$3)-SUMIFS('P&amp;Ls Detailed'!W:W,'P&amp;Ls Detailed'!$E:$E,'P&amp;Ls Summary'!$D20,'P&amp;Ls Detailed'!$D:$D,'P&amp;Ls Summary'!$Y$3,'P&amp;Ls Detailed'!$F:$F,"Exclude")</f>
        <v>367295.05000000005</v>
      </c>
      <c r="Q20" s="1110"/>
      <c r="R20" s="477" t="e">
        <f t="shared" si="12"/>
        <v>#DIV/0!</v>
      </c>
      <c r="S20" s="464" t="e">
        <f t="shared" si="9"/>
        <v>#DIV/0!</v>
      </c>
      <c r="T20" s="1110"/>
      <c r="U20" s="477" t="e">
        <f t="shared" si="6"/>
        <v>#DIV/0!</v>
      </c>
      <c r="V20" s="464" t="e">
        <f t="shared" si="10"/>
        <v>#DIV/0!</v>
      </c>
      <c r="X20" s="516" t="str">
        <f t="shared" si="23"/>
        <v>T12</v>
      </c>
      <c r="AA20" s="741" t="e">
        <f t="shared" si="2"/>
        <v>#DIV/0!</v>
      </c>
      <c r="AB20" s="1120">
        <v>0</v>
      </c>
      <c r="AC20" s="55">
        <v>1</v>
      </c>
      <c r="AD20" s="724" t="e">
        <f t="shared" ref="AD20" si="24">CHOOSE(AC20,AA20,AB20)</f>
        <v>#DIV/0!</v>
      </c>
      <c r="AE20" s="791"/>
    </row>
    <row r="21" spans="1:43" s="44" customFormat="1" ht="14.1" customHeight="1" x14ac:dyDescent="0.3">
      <c r="A21" s="43"/>
      <c r="B21" s="43"/>
      <c r="C21" s="51"/>
      <c r="D21" s="49" t="s">
        <v>1835</v>
      </c>
      <c r="E21" s="53"/>
      <c r="F21" s="53"/>
      <c r="G21" s="53"/>
      <c r="H21" s="477" t="e">
        <f t="shared" si="0"/>
        <v>#DIV/0!</v>
      </c>
      <c r="I21" s="464">
        <f>SUMIFS('P&amp;Ls Detailed'!W:W,'P&amp;Ls Detailed'!$E:$E,'P&amp;Ls Summary'!$D21,'P&amp;Ls Detailed'!$D:$D,'P&amp;Ls Summary'!$Y$3)</f>
        <v>0</v>
      </c>
      <c r="J21" s="769">
        <f>SUMIFS('P&amp;Ls Detailed'!X:X,'P&amp;Ls Detailed'!$E:$E,'P&amp;Ls Summary'!$D21,'P&amp;Ls Detailed'!$D:$D,'P&amp;Ls Summary'!$Y$3)</f>
        <v>0</v>
      </c>
      <c r="K21" s="770">
        <f>SUMIFS('P&amp;Ls Detailed'!Y:Y,'P&amp;Ls Detailed'!$E:$E,'P&amp;Ls Summary'!$D21,'P&amp;Ls Detailed'!$D:$D,'P&amp;Ls Summary'!$Y$3)</f>
        <v>0</v>
      </c>
      <c r="L21" s="770">
        <f>SUMIFS('P&amp;Ls Detailed'!Z:Z,'P&amp;Ls Detailed'!$E:$E,'P&amp;Ls Summary'!$D21,'P&amp;Ls Detailed'!$D:$D,'P&amp;Ls Summary'!$Y$3)</f>
        <v>0</v>
      </c>
      <c r="M21" s="464">
        <f>SUMIFS('P&amp;Ls Detailed'!AA:AA,'P&amp;Ls Detailed'!$E:$E,'P&amp;Ls Summary'!$D21,'P&amp;Ls Detailed'!$D:$D,'P&amp;Ls Summary'!$Y$3)</f>
        <v>0</v>
      </c>
      <c r="N21" s="1110"/>
      <c r="O21" s="477" t="e">
        <f t="shared" si="4"/>
        <v>#DIV/0!</v>
      </c>
      <c r="P21" s="464">
        <f>SUMIFS('P&amp;Ls Detailed'!W:W,'P&amp;Ls Detailed'!$E:$E,'P&amp;Ls Summary'!$D21,'P&amp;Ls Detailed'!$D:$D,'P&amp;Ls Summary'!$Y$3)-SUMIFS('P&amp;Ls Detailed'!W:W,'P&amp;Ls Detailed'!$E:$E,'P&amp;Ls Summary'!$D21,'P&amp;Ls Detailed'!$D:$D,'P&amp;Ls Summary'!$Y$3,'P&amp;Ls Detailed'!$F:$F,"Exclude")</f>
        <v>0</v>
      </c>
      <c r="Q21" s="1110"/>
      <c r="R21" s="477" t="e">
        <f t="shared" ref="R21:R22" si="25">S21/$AA$3</f>
        <v>#DIV/0!</v>
      </c>
      <c r="S21" s="1097">
        <f>'Exec Summ'!J45*12</f>
        <v>0</v>
      </c>
      <c r="T21" s="1110"/>
      <c r="U21" s="477" t="e">
        <f t="shared" si="6"/>
        <v>#DIV/0!</v>
      </c>
      <c r="V21" s="1097">
        <f>'Exec Summ'!K45*12</f>
        <v>0</v>
      </c>
      <c r="X21" s="211" t="s">
        <v>1874</v>
      </c>
      <c r="AA21" s="741" t="e">
        <f t="shared" si="2"/>
        <v>#DIV/0!</v>
      </c>
      <c r="AB21" s="734" t="str">
        <f>IFERROR(S21/$AA$3,"n/a")</f>
        <v>n/a</v>
      </c>
      <c r="AC21" s="55"/>
      <c r="AD21" s="724"/>
      <c r="AE21" s="791"/>
    </row>
    <row r="22" spans="1:43" s="44" customFormat="1" ht="14.1" customHeight="1" x14ac:dyDescent="0.3">
      <c r="A22" s="43"/>
      <c r="B22" s="43"/>
      <c r="C22" s="51"/>
      <c r="D22" s="52" t="s">
        <v>1836</v>
      </c>
      <c r="E22" s="53"/>
      <c r="F22" s="53"/>
      <c r="G22" s="53"/>
      <c r="H22" s="477" t="e">
        <f t="shared" si="0"/>
        <v>#DIV/0!</v>
      </c>
      <c r="I22" s="464">
        <f>SUMIFS('P&amp;Ls Detailed'!W:W,'P&amp;Ls Detailed'!$E:$E,'P&amp;Ls Summary'!$D22,'P&amp;Ls Detailed'!$D:$D,'P&amp;Ls Summary'!$Y$3)</f>
        <v>0</v>
      </c>
      <c r="J22" s="769">
        <f>SUMIFS('P&amp;Ls Detailed'!X:X,'P&amp;Ls Detailed'!$E:$E,'P&amp;Ls Summary'!$D22,'P&amp;Ls Detailed'!$D:$D,'P&amp;Ls Summary'!$Y$3)</f>
        <v>0</v>
      </c>
      <c r="K22" s="770">
        <f>SUMIFS('P&amp;Ls Detailed'!Y:Y,'P&amp;Ls Detailed'!$E:$E,'P&amp;Ls Summary'!$D22,'P&amp;Ls Detailed'!$D:$D,'P&amp;Ls Summary'!$Y$3)</f>
        <v>0</v>
      </c>
      <c r="L22" s="770">
        <f>SUMIFS('P&amp;Ls Detailed'!Z:Z,'P&amp;Ls Detailed'!$E:$E,'P&amp;Ls Summary'!$D22,'P&amp;Ls Detailed'!$D:$D,'P&amp;Ls Summary'!$Y$3)</f>
        <v>0</v>
      </c>
      <c r="M22" s="464">
        <f>SUMIFS('P&amp;Ls Detailed'!AA:AA,'P&amp;Ls Detailed'!$E:$E,'P&amp;Ls Summary'!$D22,'P&amp;Ls Detailed'!$D:$D,'P&amp;Ls Summary'!$Y$3)</f>
        <v>0</v>
      </c>
      <c r="N22" s="1110"/>
      <c r="O22" s="477" t="e">
        <f t="shared" si="4"/>
        <v>#DIV/0!</v>
      </c>
      <c r="P22" s="464">
        <f>SUMIFS('P&amp;Ls Detailed'!W:W,'P&amp;Ls Detailed'!$E:$E,'P&amp;Ls Summary'!$D22,'P&amp;Ls Detailed'!$D:$D,'P&amp;Ls Summary'!$Y$3)-SUMIFS('P&amp;Ls Detailed'!W:W,'P&amp;Ls Detailed'!$E:$E,'P&amp;Ls Summary'!$D22,'P&amp;Ls Detailed'!$D:$D,'P&amp;Ls Summary'!$Y$3,'P&amp;Ls Detailed'!$F:$F,"Exclude")</f>
        <v>0</v>
      </c>
      <c r="Q22" s="1110"/>
      <c r="R22" s="477" t="e">
        <f t="shared" si="25"/>
        <v>#DIV/0!</v>
      </c>
      <c r="S22" s="464">
        <f>-$S$21*AC22</f>
        <v>0</v>
      </c>
      <c r="T22" s="1110"/>
      <c r="U22" s="477" t="e">
        <f t="shared" si="6"/>
        <v>#DIV/0!</v>
      </c>
      <c r="V22" s="464">
        <f>-$V$21*AC22</f>
        <v>0</v>
      </c>
      <c r="X22" s="212" t="str">
        <f>TEXT(AC22,"#0.0%")&amp;" of Retail Income"</f>
        <v>5.0% of Retail Income</v>
      </c>
      <c r="AA22" s="741" t="e">
        <f t="shared" si="2"/>
        <v>#DIV/0!</v>
      </c>
      <c r="AB22" s="734" t="str">
        <f>IFERROR(S22/$AA$3,"n/a")</f>
        <v>n/a</v>
      </c>
      <c r="AC22" s="54">
        <v>0.05</v>
      </c>
      <c r="AD22" s="724"/>
      <c r="AE22" s="791"/>
    </row>
    <row r="23" spans="1:43" s="44" customFormat="1" ht="14.1" customHeight="1" x14ac:dyDescent="0.3">
      <c r="A23" s="43"/>
      <c r="B23" s="43"/>
      <c r="C23" s="36"/>
      <c r="D23" s="56" t="s">
        <v>29</v>
      </c>
      <c r="E23" s="57">
        <f>SUM(E9:E22)</f>
        <v>0</v>
      </c>
      <c r="F23" s="57">
        <f>SUM(F9:F22)</f>
        <v>0</v>
      </c>
      <c r="G23" s="57">
        <f>SUM(G9:G22)</f>
        <v>0</v>
      </c>
      <c r="H23" s="479" t="e">
        <f t="shared" si="0"/>
        <v>#DIV/0!</v>
      </c>
      <c r="I23" s="466">
        <f>SUM(I11:I22)</f>
        <v>11817441.35</v>
      </c>
      <c r="J23" s="772">
        <f>SUM(J11:J22)</f>
        <v>11930217.279999999</v>
      </c>
      <c r="K23" s="57">
        <f>SUM(K11:K22)</f>
        <v>12031236.180000002</v>
      </c>
      <c r="L23" s="57">
        <f>SUM(L11:L22)</f>
        <v>12141901.24</v>
      </c>
      <c r="M23" s="773">
        <f>SUM(M11:M22)</f>
        <v>12193240.92</v>
      </c>
      <c r="N23" s="1110"/>
      <c r="O23" s="479" t="e">
        <f t="shared" si="4"/>
        <v>#DIV/0!</v>
      </c>
      <c r="P23" s="466">
        <f>SUM(P11:P22)</f>
        <v>605806.96000000008</v>
      </c>
      <c r="Q23" s="1110"/>
      <c r="R23" s="479" t="e">
        <f>S23/$AA$3</f>
        <v>#DIV/0!</v>
      </c>
      <c r="S23" s="466" t="e">
        <f>SUM(S11:S22)</f>
        <v>#DIV/0!</v>
      </c>
      <c r="T23" s="1110"/>
      <c r="U23" s="479" t="e">
        <f t="shared" si="6"/>
        <v>#DIV/0!</v>
      </c>
      <c r="V23" s="466" t="e">
        <f>SUM(V11:V22)</f>
        <v>#DIV/0!</v>
      </c>
      <c r="X23" s="213"/>
      <c r="AA23" s="742"/>
      <c r="AB23" s="736"/>
      <c r="AC23" s="202"/>
      <c r="AD23" s="725"/>
      <c r="AE23" s="791"/>
    </row>
    <row r="24" spans="1:43" s="44" customFormat="1" ht="14.1" customHeight="1" x14ac:dyDescent="0.3">
      <c r="A24" s="43"/>
      <c r="B24" s="43"/>
      <c r="C24" s="51"/>
      <c r="D24" s="58"/>
      <c r="E24" s="59"/>
      <c r="F24" s="59"/>
      <c r="G24" s="59"/>
      <c r="H24" s="480"/>
      <c r="I24" s="208"/>
      <c r="J24" s="774"/>
      <c r="K24" s="775"/>
      <c r="L24" s="775"/>
      <c r="M24" s="776"/>
      <c r="N24" s="1110"/>
      <c r="O24" s="480"/>
      <c r="P24" s="208"/>
      <c r="Q24" s="1110"/>
      <c r="R24" s="480"/>
      <c r="S24" s="208"/>
      <c r="T24" s="1110"/>
      <c r="U24" s="480"/>
      <c r="V24" s="208"/>
      <c r="X24" s="214"/>
      <c r="AA24" s="743"/>
      <c r="AB24" s="737"/>
      <c r="AC24" s="203"/>
      <c r="AD24" s="726"/>
      <c r="AE24" s="791"/>
    </row>
    <row r="25" spans="1:43" s="44" customFormat="1" ht="14.1" customHeight="1" x14ac:dyDescent="0.4">
      <c r="A25" s="43"/>
      <c r="B25" s="43"/>
      <c r="D25" s="60" t="s">
        <v>51</v>
      </c>
      <c r="E25" s="61"/>
      <c r="F25" s="61"/>
      <c r="G25" s="61"/>
      <c r="H25" s="480"/>
      <c r="I25" s="208"/>
      <c r="J25" s="774"/>
      <c r="K25" s="775"/>
      <c r="L25" s="775"/>
      <c r="M25" s="776"/>
      <c r="N25" s="1110"/>
      <c r="O25" s="480"/>
      <c r="P25" s="208"/>
      <c r="Q25" s="1110"/>
      <c r="R25" s="480"/>
      <c r="S25" s="208"/>
      <c r="T25" s="1110"/>
      <c r="U25" s="480"/>
      <c r="V25" s="208"/>
      <c r="X25" s="214"/>
      <c r="AA25" s="744"/>
      <c r="AB25" s="738"/>
      <c r="AC25" s="204"/>
      <c r="AD25" s="727"/>
      <c r="AE25" s="791"/>
    </row>
    <row r="26" spans="1:43" s="44" customFormat="1" ht="14.1" customHeight="1" x14ac:dyDescent="0.3">
      <c r="A26" s="43"/>
      <c r="B26" s="43"/>
      <c r="C26" s="43"/>
      <c r="D26" s="49" t="s">
        <v>52</v>
      </c>
      <c r="E26" s="50"/>
      <c r="F26" s="50"/>
      <c r="G26" s="50"/>
      <c r="H26" s="476" t="e">
        <f t="shared" ref="H26:H40" si="26">I26/$AA$3</f>
        <v>#DIV/0!</v>
      </c>
      <c r="I26" s="465">
        <f>SUMIFS('P&amp;Ls Detailed'!W:W,'P&amp;Ls Detailed'!$E:$E,'P&amp;Ls Summary'!$D26,'P&amp;Ls Detailed'!$D:$D,'P&amp;Ls Summary'!$Y$3)</f>
        <v>1218605.5</v>
      </c>
      <c r="J26" s="777">
        <f>SUMIFS('P&amp;Ls Detailed'!X:X,'P&amp;Ls Detailed'!$E:$E,'P&amp;Ls Summary'!$D26,'P&amp;Ls Detailed'!$D:$D,'P&amp;Ls Summary'!$Y$3)</f>
        <v>1229186.28</v>
      </c>
      <c r="K26" s="778">
        <f>SUMIFS('P&amp;Ls Detailed'!Y:Y,'P&amp;Ls Detailed'!$E:$E,'P&amp;Ls Summary'!$D26,'P&amp;Ls Detailed'!$D:$D,'P&amp;Ls Summary'!$Y$3)</f>
        <v>1241705.8800000001</v>
      </c>
      <c r="L26" s="778">
        <f>SUMIFS('P&amp;Ls Detailed'!Z:Z,'P&amp;Ls Detailed'!$E:$E,'P&amp;Ls Summary'!$D26,'P&amp;Ls Detailed'!$D:$D,'P&amp;Ls Summary'!$Y$3)</f>
        <v>1260485.1599999999</v>
      </c>
      <c r="M26" s="779">
        <f>SUMIFS('P&amp;Ls Detailed'!AA:AA,'P&amp;Ls Detailed'!$E:$E,'P&amp;Ls Summary'!$D26,'P&amp;Ls Detailed'!$D:$D,'P&amp;Ls Summary'!$Y$3)</f>
        <v>1260485.1599999999</v>
      </c>
      <c r="N26" s="1110"/>
      <c r="O26" s="476" t="e">
        <f t="shared" ref="O26:O40" si="27">P26/$AA$3</f>
        <v>#DIV/0!</v>
      </c>
      <c r="P26" s="465">
        <f>SUMIFS('P&amp;Ls Detailed'!W:W,'P&amp;Ls Detailed'!$E:$E,'P&amp;Ls Summary'!$D26,'P&amp;Ls Detailed'!$D:$D,'P&amp;Ls Summary'!$Y$3)-SUMIFS('P&amp;Ls Detailed'!W:W,'P&amp;Ls Detailed'!$E:$E,'P&amp;Ls Summary'!$D26,'P&amp;Ls Detailed'!$D:$D,'P&amp;Ls Summary'!$Y$3,'P&amp;Ls Detailed'!$F:$F,"Exclude")</f>
        <v>1218605.5</v>
      </c>
      <c r="Q26" s="1110"/>
      <c r="R26" s="476" t="e">
        <f t="shared" ref="R26:R36" si="28">AD26</f>
        <v>#DIV/0!</v>
      </c>
      <c r="S26" s="465" t="e">
        <f>R26*$AA$3</f>
        <v>#DIV/0!</v>
      </c>
      <c r="T26" s="1110"/>
      <c r="U26" s="476" t="e">
        <f t="shared" ref="U26:U36" si="29">V26/$AA$3</f>
        <v>#DIV/0!</v>
      </c>
      <c r="V26" s="465" t="e">
        <f t="shared" ref="V26:V36" si="30">S26*(1+$V$43)</f>
        <v>#DIV/0!</v>
      </c>
      <c r="X26" s="516" t="str">
        <f>IF(AC26=1, IF(AND($AA$5=0,AC26=1),"T12","T12 + "&amp;TEXT($AA$5,"0.0%")),"Actual Tax")</f>
        <v>T12</v>
      </c>
      <c r="AA26" s="745" t="e">
        <f t="shared" ref="AA26:AA38" si="31">O26*(1+$AA$5)</f>
        <v>#DIV/0!</v>
      </c>
      <c r="AB26" s="735" t="e">
        <f>'Tax-Assessor Info'!O16/'P&amp;Ls Summary'!AA3</f>
        <v>#DIV/0!</v>
      </c>
      <c r="AC26" s="55">
        <v>1</v>
      </c>
      <c r="AD26" s="724" t="e">
        <f>CHOOSE(AC26,AA26,AB26)</f>
        <v>#DIV/0!</v>
      </c>
      <c r="AE26" s="789" t="s">
        <v>1812</v>
      </c>
    </row>
    <row r="27" spans="1:43" s="44" customFormat="1" ht="14.1" customHeight="1" x14ac:dyDescent="0.3">
      <c r="A27" s="43"/>
      <c r="B27" s="43"/>
      <c r="C27" s="43"/>
      <c r="D27" s="49" t="s">
        <v>10</v>
      </c>
      <c r="E27" s="50"/>
      <c r="F27" s="50"/>
      <c r="G27" s="50"/>
      <c r="H27" s="477" t="e">
        <f t="shared" si="26"/>
        <v>#DIV/0!</v>
      </c>
      <c r="I27" s="464">
        <f>SUMIFS('P&amp;Ls Detailed'!W:W,'P&amp;Ls Detailed'!$E:$E,'P&amp;Ls Summary'!$D27,'P&amp;Ls Detailed'!$D:$D,'P&amp;Ls Summary'!$Y$3)</f>
        <v>369668.22000000003</v>
      </c>
      <c r="J27" s="777">
        <f>SUMIFS('P&amp;Ls Detailed'!X:X,'P&amp;Ls Detailed'!$E:$E,'P&amp;Ls Summary'!$D27,'P&amp;Ls Detailed'!$D:$D,'P&amp;Ls Summary'!$Y$3)</f>
        <v>377159.94666666677</v>
      </c>
      <c r="K27" s="778">
        <f>SUMIFS('P&amp;Ls Detailed'!Y:Y,'P&amp;Ls Detailed'!$E:$E,'P&amp;Ls Summary'!$D27,'P&amp;Ls Detailed'!$D:$D,'P&amp;Ls Summary'!$Y$3)</f>
        <v>380028.07999999996</v>
      </c>
      <c r="L27" s="778">
        <f>SUMIFS('P&amp;Ls Detailed'!Z:Z,'P&amp;Ls Detailed'!$E:$E,'P&amp;Ls Summary'!$D27,'P&amp;Ls Detailed'!$D:$D,'P&amp;Ls Summary'!$Y$3)</f>
        <v>378922.68000000005</v>
      </c>
      <c r="M27" s="779">
        <f>SUMIFS('P&amp;Ls Detailed'!AA:AA,'P&amp;Ls Detailed'!$E:$E,'P&amp;Ls Summary'!$D27,'P&amp;Ls Detailed'!$D:$D,'P&amp;Ls Summary'!$Y$3)</f>
        <v>378922.68000000005</v>
      </c>
      <c r="N27" s="1110"/>
      <c r="O27" s="477" t="e">
        <f t="shared" si="27"/>
        <v>#DIV/0!</v>
      </c>
      <c r="P27" s="464">
        <f>SUMIFS('P&amp;Ls Detailed'!W:W,'P&amp;Ls Detailed'!$E:$E,'P&amp;Ls Summary'!$D27,'P&amp;Ls Detailed'!$D:$D,'P&amp;Ls Summary'!$Y$3)-SUMIFS('P&amp;Ls Detailed'!W:W,'P&amp;Ls Detailed'!$E:$E,'P&amp;Ls Summary'!$D27,'P&amp;Ls Detailed'!$D:$D,'P&amp;Ls Summary'!$Y$3,'P&amp;Ls Detailed'!$F:$F,"Exclude")</f>
        <v>369668.22000000003</v>
      </c>
      <c r="Q27" s="1110"/>
      <c r="R27" s="477" t="e">
        <f t="shared" si="28"/>
        <v>#DIV/0!</v>
      </c>
      <c r="S27" s="464" t="e">
        <f t="shared" ref="S27:S36" si="32">R27*$AA$3</f>
        <v>#DIV/0!</v>
      </c>
      <c r="T27" s="1110"/>
      <c r="U27" s="477" t="e">
        <f t="shared" si="29"/>
        <v>#DIV/0!</v>
      </c>
      <c r="V27" s="464" t="e">
        <f t="shared" si="30"/>
        <v>#DIV/0!</v>
      </c>
      <c r="X27" s="516" t="str">
        <f t="shared" ref="X27:X38" si="33">IF(AC27=1, IF(AND($AA$5=0,AC27=1),"T12","T12 + "&amp;TEXT($AA$5,"0.0%")),TEXT(AB27,"$##,##0")&amp;"/unit")</f>
        <v>T12</v>
      </c>
      <c r="AA27" s="746" t="e">
        <f t="shared" si="31"/>
        <v>#DIV/0!</v>
      </c>
      <c r="AB27" s="1120">
        <v>600</v>
      </c>
      <c r="AC27" s="55">
        <v>1</v>
      </c>
      <c r="AD27" s="724" t="e">
        <f t="shared" ref="AD27:AD36" si="34">CHOOSE(AC27,AA27,AB27)</f>
        <v>#DIV/0!</v>
      </c>
      <c r="AE27" s="791"/>
    </row>
    <row r="28" spans="1:43" s="44" customFormat="1" ht="14.1" customHeight="1" x14ac:dyDescent="0.3">
      <c r="A28" s="43"/>
      <c r="B28" s="43"/>
      <c r="C28" s="43"/>
      <c r="D28" s="49" t="s">
        <v>1869</v>
      </c>
      <c r="E28" s="50"/>
      <c r="F28" s="50"/>
      <c r="G28" s="50"/>
      <c r="H28" s="477" t="e">
        <f>I28/$AA$3</f>
        <v>#DIV/0!</v>
      </c>
      <c r="I28" s="464">
        <f>SUMIFS('P&amp;Ls Detailed'!W:W,'P&amp;Ls Detailed'!$E:$E,'P&amp;Ls Summary'!$D28,'P&amp;Ls Detailed'!$D:$D,'P&amp;Ls Summary'!$Y$3)</f>
        <v>0</v>
      </c>
      <c r="J28" s="777">
        <f>SUMIFS('P&amp;Ls Detailed'!X:X,'P&amp;Ls Detailed'!$E:$E,'P&amp;Ls Summary'!$D28,'P&amp;Ls Detailed'!$D:$D,'P&amp;Ls Summary'!$Y$3)</f>
        <v>0</v>
      </c>
      <c r="K28" s="778">
        <f>SUMIFS('P&amp;Ls Detailed'!Y:Y,'P&amp;Ls Detailed'!$E:$E,'P&amp;Ls Summary'!$D28,'P&amp;Ls Detailed'!$D:$D,'P&amp;Ls Summary'!$Y$3)</f>
        <v>0</v>
      </c>
      <c r="L28" s="778">
        <f>SUMIFS('P&amp;Ls Detailed'!Z:Z,'P&amp;Ls Detailed'!$E:$E,'P&amp;Ls Summary'!$D28,'P&amp;Ls Detailed'!$D:$D,'P&amp;Ls Summary'!$Y$3)</f>
        <v>0</v>
      </c>
      <c r="M28" s="779">
        <f>SUMIFS('P&amp;Ls Detailed'!AA:AA,'P&amp;Ls Detailed'!$E:$E,'P&amp;Ls Summary'!$D28,'P&amp;Ls Detailed'!$D:$D,'P&amp;Ls Summary'!$Y$3)</f>
        <v>0</v>
      </c>
      <c r="N28" s="1111"/>
      <c r="O28" s="477" t="e">
        <f>P28/$AA$3</f>
        <v>#DIV/0!</v>
      </c>
      <c r="P28" s="464">
        <f>SUMIFS('P&amp;Ls Detailed'!W:W,'P&amp;Ls Detailed'!$E:$E,'P&amp;Ls Summary'!$D28,'P&amp;Ls Detailed'!$D:$D,'P&amp;Ls Summary'!$Y$3)-SUMIFS('P&amp;Ls Detailed'!W:W,'P&amp;Ls Detailed'!$E:$E,'P&amp;Ls Summary'!$D28,'P&amp;Ls Detailed'!$D:$D,'P&amp;Ls Summary'!$Y$3,'P&amp;Ls Detailed'!$F:$F,"Exclude")</f>
        <v>0</v>
      </c>
      <c r="Q28" s="1111"/>
      <c r="R28" s="477" t="e">
        <f>AD28</f>
        <v>#DIV/0!</v>
      </c>
      <c r="S28" s="464" t="e">
        <f>R28*$AA$3</f>
        <v>#DIV/0!</v>
      </c>
      <c r="T28" s="1111"/>
      <c r="U28" s="477" t="e">
        <f>V28/$AA$3</f>
        <v>#DIV/0!</v>
      </c>
      <c r="V28" s="464" t="e">
        <f t="shared" si="30"/>
        <v>#DIV/0!</v>
      </c>
      <c r="W28" s="1093"/>
      <c r="X28" s="516" t="str">
        <f>IF(AC28=1, IF(AND($AA$5=0,AC28=1),"T12","T12 + "&amp;TEXT($AA$5,"0.0%")),TEXT(AB28,"$##,##0")&amp;"/unit")</f>
        <v>T12</v>
      </c>
      <c r="Y28" s="1093"/>
      <c r="Z28" s="1093"/>
      <c r="AA28" s="746" t="e">
        <f>O28*(1+$AA$5)</f>
        <v>#DIV/0!</v>
      </c>
      <c r="AB28" s="1120">
        <v>0</v>
      </c>
      <c r="AC28" s="1094">
        <v>1</v>
      </c>
      <c r="AD28" s="724" t="e">
        <f>CHOOSE(AC28,AA28,AB28)</f>
        <v>#DIV/0!</v>
      </c>
      <c r="AE28" s="789" t="s">
        <v>1870</v>
      </c>
      <c r="AF28" s="1093"/>
      <c r="AG28" s="1093"/>
      <c r="AH28" s="1093"/>
      <c r="AI28" s="1093"/>
      <c r="AJ28" s="1093"/>
      <c r="AK28" s="1093"/>
      <c r="AL28" s="1093"/>
      <c r="AM28" s="1093"/>
      <c r="AN28" s="1093"/>
      <c r="AO28" s="1093"/>
      <c r="AP28" s="1093"/>
      <c r="AQ28" s="1093"/>
    </row>
    <row r="29" spans="1:43" s="44" customFormat="1" ht="14.1" customHeight="1" x14ac:dyDescent="0.3">
      <c r="A29" s="43"/>
      <c r="B29" s="43"/>
      <c r="C29" s="43"/>
      <c r="D29" s="49" t="s">
        <v>38</v>
      </c>
      <c r="E29" s="50"/>
      <c r="F29" s="50"/>
      <c r="G29" s="50"/>
      <c r="H29" s="477" t="e">
        <f t="shared" si="26"/>
        <v>#DIV/0!</v>
      </c>
      <c r="I29" s="464">
        <f>SUMIFS('P&amp;Ls Detailed'!W:W,'P&amp;Ls Detailed'!$E:$E,'P&amp;Ls Summary'!$D29,'P&amp;Ls Detailed'!$D:$D,'P&amp;Ls Summary'!$Y$3)</f>
        <v>220163.19</v>
      </c>
      <c r="J29" s="777">
        <f>SUMIFS('P&amp;Ls Detailed'!X:X,'P&amp;Ls Detailed'!$E:$E,'P&amp;Ls Summary'!$D29,'P&amp;Ls Detailed'!$D:$D,'P&amp;Ls Summary'!$Y$3)</f>
        <v>216784.00000000003</v>
      </c>
      <c r="K29" s="778">
        <f>SUMIFS('P&amp;Ls Detailed'!Y:Y,'P&amp;Ls Detailed'!$E:$E,'P&amp;Ls Summary'!$D29,'P&amp;Ls Detailed'!$D:$D,'P&amp;Ls Summary'!$Y$3)</f>
        <v>212497.32</v>
      </c>
      <c r="L29" s="778">
        <f>SUMIFS('P&amp;Ls Detailed'!Z:Z,'P&amp;Ls Detailed'!$E:$E,'P&amp;Ls Summary'!$D29,'P&amp;Ls Detailed'!$D:$D,'P&amp;Ls Summary'!$Y$3)</f>
        <v>217894.72</v>
      </c>
      <c r="M29" s="779">
        <f>SUMIFS('P&amp;Ls Detailed'!AA:AA,'P&amp;Ls Detailed'!$E:$E,'P&amp;Ls Summary'!$D29,'P&amp;Ls Detailed'!$D:$D,'P&amp;Ls Summary'!$Y$3)</f>
        <v>217200</v>
      </c>
      <c r="N29" s="1110"/>
      <c r="O29" s="477" t="e">
        <f t="shared" si="27"/>
        <v>#DIV/0!</v>
      </c>
      <c r="P29" s="464">
        <f>SUMIFS('P&amp;Ls Detailed'!W:W,'P&amp;Ls Detailed'!$E:$E,'P&amp;Ls Summary'!$D29,'P&amp;Ls Detailed'!$D:$D,'P&amp;Ls Summary'!$Y$3)-SUMIFS('P&amp;Ls Detailed'!W:W,'P&amp;Ls Detailed'!$E:$E,'P&amp;Ls Summary'!$D29,'P&amp;Ls Detailed'!$D:$D,'P&amp;Ls Summary'!$Y$3,'P&amp;Ls Detailed'!$F:$F,"Exclude")</f>
        <v>220163.19</v>
      </c>
      <c r="Q29" s="1110"/>
      <c r="R29" s="477" t="e">
        <f t="shared" si="28"/>
        <v>#DIV/0!</v>
      </c>
      <c r="S29" s="464" t="e">
        <f t="shared" si="32"/>
        <v>#DIV/0!</v>
      </c>
      <c r="T29" s="1110"/>
      <c r="U29" s="477" t="e">
        <f t="shared" si="29"/>
        <v>#DIV/0!</v>
      </c>
      <c r="V29" s="464" t="e">
        <f t="shared" si="30"/>
        <v>#DIV/0!</v>
      </c>
      <c r="X29" s="516" t="str">
        <f t="shared" si="33"/>
        <v>T12</v>
      </c>
      <c r="AA29" s="746" t="e">
        <f t="shared" si="31"/>
        <v>#DIV/0!</v>
      </c>
      <c r="AB29" s="1120">
        <v>0</v>
      </c>
      <c r="AC29" s="55">
        <v>1</v>
      </c>
      <c r="AD29" s="724" t="e">
        <f t="shared" si="34"/>
        <v>#DIV/0!</v>
      </c>
      <c r="AE29" s="791"/>
    </row>
    <row r="30" spans="1:43" s="44" customFormat="1" ht="14.1" customHeight="1" x14ac:dyDescent="0.3">
      <c r="A30" s="43"/>
      <c r="B30" s="43"/>
      <c r="C30" s="43"/>
      <c r="D30" s="49" t="s">
        <v>39</v>
      </c>
      <c r="E30" s="50"/>
      <c r="F30" s="50"/>
      <c r="G30" s="50"/>
      <c r="H30" s="477" t="e">
        <f t="shared" si="26"/>
        <v>#DIV/0!</v>
      </c>
      <c r="I30" s="464">
        <f>SUMIFS('P&amp;Ls Detailed'!W:W,'P&amp;Ls Detailed'!$E:$E,'P&amp;Ls Summary'!$D30,'P&amp;Ls Detailed'!$D:$D,'P&amp;Ls Summary'!$Y$3)</f>
        <v>282912.28000000003</v>
      </c>
      <c r="J30" s="777">
        <f>SUMIFS('P&amp;Ls Detailed'!X:X,'P&amp;Ls Detailed'!$E:$E,'P&amp;Ls Summary'!$D30,'P&amp;Ls Detailed'!$D:$D,'P&amp;Ls Summary'!$Y$3)</f>
        <v>330328.85333333333</v>
      </c>
      <c r="K30" s="778">
        <f>SUMIFS('P&amp;Ls Detailed'!Y:Y,'P&amp;Ls Detailed'!$E:$E,'P&amp;Ls Summary'!$D30,'P&amp;Ls Detailed'!$D:$D,'P&amp;Ls Summary'!$Y$3)</f>
        <v>415231.80000000005</v>
      </c>
      <c r="L30" s="778">
        <f>SUMIFS('P&amp;Ls Detailed'!Z:Z,'P&amp;Ls Detailed'!$E:$E,'P&amp;Ls Summary'!$D30,'P&amp;Ls Detailed'!$D:$D,'P&amp;Ls Summary'!$Y$3)</f>
        <v>382871.79999999993</v>
      </c>
      <c r="M30" s="779">
        <f>SUMIFS('P&amp;Ls Detailed'!AA:AA,'P&amp;Ls Detailed'!$E:$E,'P&amp;Ls Summary'!$D30,'P&amp;Ls Detailed'!$D:$D,'P&amp;Ls Summary'!$Y$3)</f>
        <v>309325.08</v>
      </c>
      <c r="N30" s="1110"/>
      <c r="O30" s="477" t="e">
        <f t="shared" si="27"/>
        <v>#DIV/0!</v>
      </c>
      <c r="P30" s="464">
        <f>SUMIFS('P&amp;Ls Detailed'!W:W,'P&amp;Ls Detailed'!$E:$E,'P&amp;Ls Summary'!$D30,'P&amp;Ls Detailed'!$D:$D,'P&amp;Ls Summary'!$Y$3)-SUMIFS('P&amp;Ls Detailed'!W:W,'P&amp;Ls Detailed'!$E:$E,'P&amp;Ls Summary'!$D30,'P&amp;Ls Detailed'!$D:$D,'P&amp;Ls Summary'!$Y$3,'P&amp;Ls Detailed'!$F:$F,"Exclude")</f>
        <v>282912.28000000003</v>
      </c>
      <c r="Q30" s="1110"/>
      <c r="R30" s="477" t="e">
        <f t="shared" si="28"/>
        <v>#DIV/0!</v>
      </c>
      <c r="S30" s="464" t="e">
        <f t="shared" si="32"/>
        <v>#DIV/0!</v>
      </c>
      <c r="T30" s="1110"/>
      <c r="U30" s="477" t="e">
        <f t="shared" si="29"/>
        <v>#DIV/0!</v>
      </c>
      <c r="V30" s="464" t="e">
        <f t="shared" si="30"/>
        <v>#DIV/0!</v>
      </c>
      <c r="X30" s="516" t="str">
        <f t="shared" si="33"/>
        <v>T12</v>
      </c>
      <c r="AA30" s="746" t="e">
        <f t="shared" si="31"/>
        <v>#DIV/0!</v>
      </c>
      <c r="AB30" s="1120">
        <v>0</v>
      </c>
      <c r="AC30" s="55">
        <v>1</v>
      </c>
      <c r="AD30" s="724" t="e">
        <f t="shared" si="34"/>
        <v>#DIV/0!</v>
      </c>
      <c r="AE30" s="791"/>
    </row>
    <row r="31" spans="1:43" s="44" customFormat="1" ht="14.1" customHeight="1" x14ac:dyDescent="0.3">
      <c r="A31" s="43"/>
      <c r="B31" s="43"/>
      <c r="C31" s="43"/>
      <c r="D31" s="49" t="s">
        <v>40</v>
      </c>
      <c r="E31" s="50"/>
      <c r="F31" s="50"/>
      <c r="G31" s="50"/>
      <c r="H31" s="477" t="e">
        <f t="shared" si="26"/>
        <v>#DIV/0!</v>
      </c>
      <c r="I31" s="464">
        <f>SUMIFS('P&amp;Ls Detailed'!W:W,'P&amp;Ls Detailed'!$E:$E,'P&amp;Ls Summary'!$D31,'P&amp;Ls Detailed'!$D:$D,'P&amp;Ls Summary'!$Y$3)</f>
        <v>83165.2</v>
      </c>
      <c r="J31" s="777">
        <f>SUMIFS('P&amp;Ls Detailed'!X:X,'P&amp;Ls Detailed'!$E:$E,'P&amp;Ls Summary'!$D31,'P&amp;Ls Detailed'!$D:$D,'P&amp;Ls Summary'!$Y$3)</f>
        <v>89129.066666666651</v>
      </c>
      <c r="K31" s="778">
        <f>SUMIFS('P&amp;Ls Detailed'!Y:Y,'P&amp;Ls Detailed'!$E:$E,'P&amp;Ls Summary'!$D31,'P&amp;Ls Detailed'!$D:$D,'P&amp;Ls Summary'!$Y$3)</f>
        <v>92464.12000000001</v>
      </c>
      <c r="L31" s="778">
        <f>SUMIFS('P&amp;Ls Detailed'!Z:Z,'P&amp;Ls Detailed'!$E:$E,'P&amp;Ls Summary'!$D31,'P&amp;Ls Detailed'!$D:$D,'P&amp;Ls Summary'!$Y$3)</f>
        <v>85245.64</v>
      </c>
      <c r="M31" s="779">
        <f>SUMIFS('P&amp;Ls Detailed'!AA:AA,'P&amp;Ls Detailed'!$E:$E,'P&amp;Ls Summary'!$D31,'P&amp;Ls Detailed'!$D:$D,'P&amp;Ls Summary'!$Y$3)</f>
        <v>88002.48</v>
      </c>
      <c r="N31" s="1110"/>
      <c r="O31" s="477" t="e">
        <f t="shared" si="27"/>
        <v>#DIV/0!</v>
      </c>
      <c r="P31" s="464">
        <f>SUMIFS('P&amp;Ls Detailed'!W:W,'P&amp;Ls Detailed'!$E:$E,'P&amp;Ls Summary'!$D31,'P&amp;Ls Detailed'!$D:$D,'P&amp;Ls Summary'!$Y$3)-SUMIFS('P&amp;Ls Detailed'!W:W,'P&amp;Ls Detailed'!$E:$E,'P&amp;Ls Summary'!$D31,'P&amp;Ls Detailed'!$D:$D,'P&amp;Ls Summary'!$Y$3,'P&amp;Ls Detailed'!$F:$F,"Exclude")</f>
        <v>83165.2</v>
      </c>
      <c r="Q31" s="1110"/>
      <c r="R31" s="477" t="e">
        <f t="shared" si="28"/>
        <v>#DIV/0!</v>
      </c>
      <c r="S31" s="464" t="e">
        <f t="shared" si="32"/>
        <v>#DIV/0!</v>
      </c>
      <c r="T31" s="1110"/>
      <c r="U31" s="477" t="e">
        <f t="shared" si="29"/>
        <v>#DIV/0!</v>
      </c>
      <c r="V31" s="464" t="e">
        <f t="shared" si="30"/>
        <v>#DIV/0!</v>
      </c>
      <c r="X31" s="516" t="str">
        <f t="shared" si="33"/>
        <v>T12</v>
      </c>
      <c r="AA31" s="746" t="e">
        <f t="shared" si="31"/>
        <v>#DIV/0!</v>
      </c>
      <c r="AB31" s="1120">
        <v>0</v>
      </c>
      <c r="AC31" s="55">
        <v>1</v>
      </c>
      <c r="AD31" s="724" t="e">
        <f t="shared" si="34"/>
        <v>#DIV/0!</v>
      </c>
      <c r="AE31" s="791"/>
    </row>
    <row r="32" spans="1:43" s="44" customFormat="1" ht="14.1" customHeight="1" x14ac:dyDescent="0.3">
      <c r="A32" s="43"/>
      <c r="B32" s="43"/>
      <c r="C32" s="43"/>
      <c r="D32" s="49" t="s">
        <v>41</v>
      </c>
      <c r="E32" s="50"/>
      <c r="F32" s="50"/>
      <c r="G32" s="50"/>
      <c r="H32" s="477" t="e">
        <f t="shared" si="26"/>
        <v>#DIV/0!</v>
      </c>
      <c r="I32" s="464">
        <f>SUMIFS('P&amp;Ls Detailed'!W:W,'P&amp;Ls Detailed'!$E:$E,'P&amp;Ls Summary'!$D32,'P&amp;Ls Detailed'!$D:$D,'P&amp;Ls Summary'!$Y$3)</f>
        <v>508962.4800000001</v>
      </c>
      <c r="J32" s="777">
        <f>SUMIFS('P&amp;Ls Detailed'!X:X,'P&amp;Ls Detailed'!$E:$E,'P&amp;Ls Summary'!$D32,'P&amp;Ls Detailed'!$D:$D,'P&amp;Ls Summary'!$Y$3)</f>
        <v>491326.82666666666</v>
      </c>
      <c r="K32" s="778">
        <f>SUMIFS('P&amp;Ls Detailed'!Y:Y,'P&amp;Ls Detailed'!$E:$E,'P&amp;Ls Summary'!$D32,'P&amp;Ls Detailed'!$D:$D,'P&amp;Ls Summary'!$Y$3)</f>
        <v>447983.62</v>
      </c>
      <c r="L32" s="778">
        <f>SUMIFS('P&amp;Ls Detailed'!Z:Z,'P&amp;Ls Detailed'!$E:$E,'P&amp;Ls Summary'!$D32,'P&amp;Ls Detailed'!$D:$D,'P&amp;Ls Summary'!$Y$3)</f>
        <v>406646.92</v>
      </c>
      <c r="M32" s="779">
        <f>SUMIFS('P&amp;Ls Detailed'!AA:AA,'P&amp;Ls Detailed'!$E:$E,'P&amp;Ls Summary'!$D32,'P&amp;Ls Detailed'!$D:$D,'P&amp;Ls Summary'!$Y$3)</f>
        <v>454985.16000000003</v>
      </c>
      <c r="N32" s="1110"/>
      <c r="O32" s="477" t="e">
        <f t="shared" si="27"/>
        <v>#DIV/0!</v>
      </c>
      <c r="P32" s="464">
        <f>SUMIFS('P&amp;Ls Detailed'!W:W,'P&amp;Ls Detailed'!$E:$E,'P&amp;Ls Summary'!$D32,'P&amp;Ls Detailed'!$D:$D,'P&amp;Ls Summary'!$Y$3)-SUMIFS('P&amp;Ls Detailed'!W:W,'P&amp;Ls Detailed'!$E:$E,'P&amp;Ls Summary'!$D32,'P&amp;Ls Detailed'!$D:$D,'P&amp;Ls Summary'!$Y$3,'P&amp;Ls Detailed'!$F:$F,"Exclude")</f>
        <v>508962.4800000001</v>
      </c>
      <c r="Q32" s="1110"/>
      <c r="R32" s="477" t="e">
        <f t="shared" si="28"/>
        <v>#DIV/0!</v>
      </c>
      <c r="S32" s="464" t="e">
        <f t="shared" si="32"/>
        <v>#DIV/0!</v>
      </c>
      <c r="T32" s="1110"/>
      <c r="U32" s="477" t="e">
        <f t="shared" si="29"/>
        <v>#DIV/0!</v>
      </c>
      <c r="V32" s="464" t="e">
        <f t="shared" si="30"/>
        <v>#DIV/0!</v>
      </c>
      <c r="X32" s="516" t="str">
        <f t="shared" si="33"/>
        <v>T12</v>
      </c>
      <c r="AA32" s="746" t="e">
        <f t="shared" si="31"/>
        <v>#DIV/0!</v>
      </c>
      <c r="AB32" s="1120">
        <v>0</v>
      </c>
      <c r="AC32" s="55">
        <v>1</v>
      </c>
      <c r="AD32" s="724" t="e">
        <f t="shared" si="34"/>
        <v>#DIV/0!</v>
      </c>
      <c r="AE32" s="791"/>
    </row>
    <row r="33" spans="1:31" s="44" customFormat="1" ht="14.1" customHeight="1" x14ac:dyDescent="0.3">
      <c r="A33" s="43"/>
      <c r="B33" s="43"/>
      <c r="C33" s="43"/>
      <c r="D33" s="49" t="s">
        <v>9</v>
      </c>
      <c r="E33" s="50"/>
      <c r="F33" s="50"/>
      <c r="G33" s="50"/>
      <c r="H33" s="477" t="e">
        <f t="shared" si="26"/>
        <v>#DIV/0!</v>
      </c>
      <c r="I33" s="464">
        <f>SUMIFS('P&amp;Ls Detailed'!W:W,'P&amp;Ls Detailed'!$E:$E,'P&amp;Ls Summary'!$D33,'P&amp;Ls Detailed'!$D:$D,'P&amp;Ls Summary'!$Y$3)</f>
        <v>666619.11</v>
      </c>
      <c r="J33" s="777">
        <f>SUMIFS('P&amp;Ls Detailed'!X:X,'P&amp;Ls Detailed'!$E:$E,'P&amp;Ls Summary'!$D33,'P&amp;Ls Detailed'!$D:$D,'P&amp;Ls Summary'!$Y$3)</f>
        <v>650416.34666666668</v>
      </c>
      <c r="K33" s="778">
        <f>SUMIFS('P&amp;Ls Detailed'!Y:Y,'P&amp;Ls Detailed'!$E:$E,'P&amp;Ls Summary'!$D33,'P&amp;Ls Detailed'!$D:$D,'P&amp;Ls Summary'!$Y$3)</f>
        <v>586004.46</v>
      </c>
      <c r="L33" s="778">
        <f>SUMIFS('P&amp;Ls Detailed'!Z:Z,'P&amp;Ls Detailed'!$E:$E,'P&amp;Ls Summary'!$D33,'P&amp;Ls Detailed'!$D:$D,'P&amp;Ls Summary'!$Y$3)</f>
        <v>571757.16</v>
      </c>
      <c r="M33" s="779">
        <f>SUMIFS('P&amp;Ls Detailed'!AA:AA,'P&amp;Ls Detailed'!$E:$E,'P&amp;Ls Summary'!$D33,'P&amp;Ls Detailed'!$D:$D,'P&amp;Ls Summary'!$Y$3)</f>
        <v>603813.72</v>
      </c>
      <c r="N33" s="1110"/>
      <c r="O33" s="477" t="e">
        <f t="shared" si="27"/>
        <v>#DIV/0!</v>
      </c>
      <c r="P33" s="464">
        <f>SUMIFS('P&amp;Ls Detailed'!W:W,'P&amp;Ls Detailed'!$E:$E,'P&amp;Ls Summary'!$D33,'P&amp;Ls Detailed'!$D:$D,'P&amp;Ls Summary'!$Y$3)-SUMIFS('P&amp;Ls Detailed'!W:W,'P&amp;Ls Detailed'!$E:$E,'P&amp;Ls Summary'!$D33,'P&amp;Ls Detailed'!$D:$D,'P&amp;Ls Summary'!$Y$3,'P&amp;Ls Detailed'!$F:$F,"Exclude")</f>
        <v>666619.11</v>
      </c>
      <c r="Q33" s="1110"/>
      <c r="R33" s="477" t="e">
        <f t="shared" si="28"/>
        <v>#DIV/0!</v>
      </c>
      <c r="S33" s="464" t="e">
        <f t="shared" si="32"/>
        <v>#DIV/0!</v>
      </c>
      <c r="T33" s="1110"/>
      <c r="U33" s="477" t="e">
        <f t="shared" si="29"/>
        <v>#DIV/0!</v>
      </c>
      <c r="V33" s="464" t="e">
        <f t="shared" si="30"/>
        <v>#DIV/0!</v>
      </c>
      <c r="X33" s="516" t="str">
        <f t="shared" si="33"/>
        <v>T12</v>
      </c>
      <c r="AA33" s="746" t="e">
        <f t="shared" si="31"/>
        <v>#DIV/0!</v>
      </c>
      <c r="AB33" s="1120">
        <v>0</v>
      </c>
      <c r="AC33" s="55">
        <v>1</v>
      </c>
      <c r="AD33" s="724" t="e">
        <f t="shared" si="34"/>
        <v>#DIV/0!</v>
      </c>
      <c r="AE33" s="791"/>
    </row>
    <row r="34" spans="1:31" s="44" customFormat="1" ht="14.1" customHeight="1" x14ac:dyDescent="0.3">
      <c r="A34" s="43"/>
      <c r="B34" s="43"/>
      <c r="C34" s="43"/>
      <c r="D34" s="49" t="s">
        <v>7</v>
      </c>
      <c r="E34" s="50"/>
      <c r="F34" s="50"/>
      <c r="G34" s="50"/>
      <c r="H34" s="477" t="e">
        <f t="shared" si="26"/>
        <v>#DIV/0!</v>
      </c>
      <c r="I34" s="464">
        <f>SUMIFS('P&amp;Ls Detailed'!W:W,'P&amp;Ls Detailed'!$E:$E,'P&amp;Ls Summary'!$D34,'P&amp;Ls Detailed'!$D:$D,'P&amp;Ls Summary'!$Y$3)</f>
        <v>239070.86</v>
      </c>
      <c r="J34" s="777">
        <f>SUMIFS('P&amp;Ls Detailed'!X:X,'P&amp;Ls Detailed'!$E:$E,'P&amp;Ls Summary'!$D34,'P&amp;Ls Detailed'!$D:$D,'P&amp;Ls Summary'!$Y$3)</f>
        <v>234530.68000000005</v>
      </c>
      <c r="K34" s="778">
        <f>SUMIFS('P&amp;Ls Detailed'!Y:Y,'P&amp;Ls Detailed'!$E:$E,'P&amp;Ls Summary'!$D34,'P&amp;Ls Detailed'!$D:$D,'P&amp;Ls Summary'!$Y$3)</f>
        <v>222801.19999999998</v>
      </c>
      <c r="L34" s="778">
        <f>SUMIFS('P&amp;Ls Detailed'!Z:Z,'P&amp;Ls Detailed'!$E:$E,'P&amp;Ls Summary'!$D34,'P&amp;Ls Detailed'!$D:$D,'P&amp;Ls Summary'!$Y$3)</f>
        <v>206203.96000000002</v>
      </c>
      <c r="M34" s="779">
        <f>SUMIFS('P&amp;Ls Detailed'!AA:AA,'P&amp;Ls Detailed'!$E:$E,'P&amp;Ls Summary'!$D34,'P&amp;Ls Detailed'!$D:$D,'P&amp;Ls Summary'!$Y$3)</f>
        <v>171118.67999999996</v>
      </c>
      <c r="N34" s="1110"/>
      <c r="O34" s="477" t="e">
        <f t="shared" si="27"/>
        <v>#DIV/0!</v>
      </c>
      <c r="P34" s="464">
        <f>SUMIFS('P&amp;Ls Detailed'!W:W,'P&amp;Ls Detailed'!$E:$E,'P&amp;Ls Summary'!$D34,'P&amp;Ls Detailed'!$D:$D,'P&amp;Ls Summary'!$Y$3)-SUMIFS('P&amp;Ls Detailed'!W:W,'P&amp;Ls Detailed'!$E:$E,'P&amp;Ls Summary'!$D34,'P&amp;Ls Detailed'!$D:$D,'P&amp;Ls Summary'!$Y$3,'P&amp;Ls Detailed'!$F:$F,"Exclude")</f>
        <v>239070.86</v>
      </c>
      <c r="Q34" s="1110"/>
      <c r="R34" s="477" t="e">
        <f t="shared" si="28"/>
        <v>#DIV/0!</v>
      </c>
      <c r="S34" s="464" t="e">
        <f t="shared" si="32"/>
        <v>#DIV/0!</v>
      </c>
      <c r="T34" s="1110"/>
      <c r="U34" s="477" t="e">
        <f t="shared" si="29"/>
        <v>#DIV/0!</v>
      </c>
      <c r="V34" s="464" t="e">
        <f t="shared" si="30"/>
        <v>#DIV/0!</v>
      </c>
      <c r="X34" s="516" t="str">
        <f t="shared" si="33"/>
        <v>T12</v>
      </c>
      <c r="AA34" s="746" t="e">
        <f t="shared" si="31"/>
        <v>#DIV/0!</v>
      </c>
      <c r="AB34" s="1120">
        <v>0</v>
      </c>
      <c r="AC34" s="55">
        <v>1</v>
      </c>
      <c r="AD34" s="724" t="e">
        <f t="shared" si="34"/>
        <v>#DIV/0!</v>
      </c>
      <c r="AE34" s="791"/>
    </row>
    <row r="35" spans="1:31" s="44" customFormat="1" ht="14.1" customHeight="1" x14ac:dyDescent="0.3">
      <c r="A35" s="43"/>
      <c r="B35" s="43"/>
      <c r="C35" s="43"/>
      <c r="D35" s="49" t="s">
        <v>202</v>
      </c>
      <c r="E35" s="50"/>
      <c r="F35" s="50"/>
      <c r="G35" s="50"/>
      <c r="H35" s="477" t="e">
        <f t="shared" si="26"/>
        <v>#DIV/0!</v>
      </c>
      <c r="I35" s="464">
        <f>SUMIFS('P&amp;Ls Detailed'!W:W,'P&amp;Ls Detailed'!$E:$E,'P&amp;Ls Summary'!$D35,'P&amp;Ls Detailed'!$D:$D,'P&amp;Ls Summary'!$Y$3)</f>
        <v>16948.87</v>
      </c>
      <c r="J35" s="777">
        <f>SUMIFS('P&amp;Ls Detailed'!X:X,'P&amp;Ls Detailed'!$E:$E,'P&amp;Ls Summary'!$D35,'P&amp;Ls Detailed'!$D:$D,'P&amp;Ls Summary'!$Y$3)</f>
        <v>15091.826666666668</v>
      </c>
      <c r="K35" s="778">
        <f>SUMIFS('P&amp;Ls Detailed'!Y:Y,'P&amp;Ls Detailed'!$E:$E,'P&amp;Ls Summary'!$D35,'P&amp;Ls Detailed'!$D:$D,'P&amp;Ls Summary'!$Y$3)</f>
        <v>16140</v>
      </c>
      <c r="L35" s="778">
        <f>SUMIFS('P&amp;Ls Detailed'!Z:Z,'P&amp;Ls Detailed'!$E:$E,'P&amp;Ls Summary'!$D35,'P&amp;Ls Detailed'!$D:$D,'P&amp;Ls Summary'!$Y$3)</f>
        <v>13700</v>
      </c>
      <c r="M35" s="779">
        <f>SUMIFS('P&amp;Ls Detailed'!AA:AA,'P&amp;Ls Detailed'!$E:$E,'P&amp;Ls Summary'!$D35,'P&amp;Ls Detailed'!$D:$D,'P&amp;Ls Summary'!$Y$3)</f>
        <v>10500</v>
      </c>
      <c r="N35" s="1110"/>
      <c r="O35" s="477" t="e">
        <f t="shared" si="27"/>
        <v>#DIV/0!</v>
      </c>
      <c r="P35" s="464">
        <f>SUMIFS('P&amp;Ls Detailed'!W:W,'P&amp;Ls Detailed'!$E:$E,'P&amp;Ls Summary'!$D35,'P&amp;Ls Detailed'!$D:$D,'P&amp;Ls Summary'!$Y$3)-SUMIFS('P&amp;Ls Detailed'!W:W,'P&amp;Ls Detailed'!$E:$E,'P&amp;Ls Summary'!$D35,'P&amp;Ls Detailed'!$D:$D,'P&amp;Ls Summary'!$Y$3,'P&amp;Ls Detailed'!$F:$F,"Exclude")</f>
        <v>16948.87</v>
      </c>
      <c r="Q35" s="1110"/>
      <c r="R35" s="477" t="e">
        <f t="shared" si="28"/>
        <v>#DIV/0!</v>
      </c>
      <c r="S35" s="464" t="e">
        <f t="shared" si="32"/>
        <v>#DIV/0!</v>
      </c>
      <c r="T35" s="1110"/>
      <c r="U35" s="477" t="e">
        <f t="shared" si="29"/>
        <v>#DIV/0!</v>
      </c>
      <c r="V35" s="464" t="e">
        <f t="shared" si="30"/>
        <v>#DIV/0!</v>
      </c>
      <c r="X35" s="516" t="str">
        <f t="shared" si="33"/>
        <v>T12</v>
      </c>
      <c r="AA35" s="746" t="e">
        <f t="shared" si="31"/>
        <v>#DIV/0!</v>
      </c>
      <c r="AB35" s="1120">
        <v>0</v>
      </c>
      <c r="AC35" s="55">
        <v>1</v>
      </c>
      <c r="AD35" s="724" t="e">
        <f t="shared" si="34"/>
        <v>#DIV/0!</v>
      </c>
      <c r="AE35" s="791"/>
    </row>
    <row r="36" spans="1:31" s="44" customFormat="1" ht="14.1" customHeight="1" x14ac:dyDescent="0.3">
      <c r="A36" s="43"/>
      <c r="B36" s="43"/>
      <c r="C36" s="43"/>
      <c r="D36" s="49" t="s">
        <v>37</v>
      </c>
      <c r="E36" s="50"/>
      <c r="F36" s="50"/>
      <c r="G36" s="50"/>
      <c r="H36" s="477" t="e">
        <f t="shared" si="26"/>
        <v>#DIV/0!</v>
      </c>
      <c r="I36" s="464">
        <f>SUMIFS('P&amp;Ls Detailed'!W:W,'P&amp;Ls Detailed'!$E:$E,'P&amp;Ls Summary'!$D36,'P&amp;Ls Detailed'!$D:$D,'P&amp;Ls Summary'!$Y$3)</f>
        <v>1381090.4799999997</v>
      </c>
      <c r="J36" s="780">
        <f>SUMIFS('P&amp;Ls Detailed'!X:X,'P&amp;Ls Detailed'!$E:$E,'P&amp;Ls Summary'!$D36,'P&amp;Ls Detailed'!$D:$D,'P&amp;Ls Summary'!$Y$3)</f>
        <v>1410938.1999999997</v>
      </c>
      <c r="K36" s="781">
        <f>SUMIFS('P&amp;Ls Detailed'!Y:Y,'P&amp;Ls Detailed'!$E:$E,'P&amp;Ls Summary'!$D36,'P&amp;Ls Detailed'!$D:$D,'P&amp;Ls Summary'!$Y$3)</f>
        <v>1423219.6999999995</v>
      </c>
      <c r="L36" s="781">
        <f>SUMIFS('P&amp;Ls Detailed'!Z:Z,'P&amp;Ls Detailed'!$E:$E,'P&amp;Ls Summary'!$D36,'P&amp;Ls Detailed'!$D:$D,'P&amp;Ls Summary'!$Y$3)</f>
        <v>1289361.52</v>
      </c>
      <c r="M36" s="782">
        <f>SUMIFS('P&amp;Ls Detailed'!AA:AA,'P&amp;Ls Detailed'!$E:$E,'P&amp;Ls Summary'!$D36,'P&amp;Ls Detailed'!$D:$D,'P&amp;Ls Summary'!$Y$3)</f>
        <v>1253655.48</v>
      </c>
      <c r="N36" s="1110"/>
      <c r="O36" s="477" t="e">
        <f t="shared" si="27"/>
        <v>#DIV/0!</v>
      </c>
      <c r="P36" s="464">
        <f>SUMIFS('P&amp;Ls Detailed'!W:W,'P&amp;Ls Detailed'!$E:$E,'P&amp;Ls Summary'!$D36,'P&amp;Ls Detailed'!$D:$D,'P&amp;Ls Summary'!$Y$3)-SUMIFS('P&amp;Ls Detailed'!W:W,'P&amp;Ls Detailed'!$E:$E,'P&amp;Ls Summary'!$D36,'P&amp;Ls Detailed'!$D:$D,'P&amp;Ls Summary'!$Y$3,'P&amp;Ls Detailed'!$F:$F,"Exclude")</f>
        <v>512779.59999999986</v>
      </c>
      <c r="Q36" s="1110"/>
      <c r="R36" s="477" t="e">
        <f t="shared" si="28"/>
        <v>#DIV/0!</v>
      </c>
      <c r="S36" s="464" t="e">
        <f t="shared" si="32"/>
        <v>#DIV/0!</v>
      </c>
      <c r="T36" s="1110"/>
      <c r="U36" s="477" t="e">
        <f t="shared" si="29"/>
        <v>#DIV/0!</v>
      </c>
      <c r="V36" s="464" t="e">
        <f t="shared" si="30"/>
        <v>#DIV/0!</v>
      </c>
      <c r="X36" s="516" t="str">
        <f t="shared" si="33"/>
        <v>T12</v>
      </c>
      <c r="AA36" s="746" t="e">
        <f t="shared" si="31"/>
        <v>#DIV/0!</v>
      </c>
      <c r="AB36" s="1120">
        <v>0</v>
      </c>
      <c r="AC36" s="222">
        <v>1</v>
      </c>
      <c r="AD36" s="724" t="e">
        <f t="shared" si="34"/>
        <v>#DIV/0!</v>
      </c>
      <c r="AE36" s="791"/>
    </row>
    <row r="37" spans="1:31" s="44" customFormat="1" ht="14.1" customHeight="1" x14ac:dyDescent="0.3">
      <c r="A37" s="43"/>
      <c r="B37" s="43"/>
      <c r="C37" s="43"/>
      <c r="D37" s="49" t="s">
        <v>8</v>
      </c>
      <c r="E37" s="50"/>
      <c r="F37" s="50"/>
      <c r="G37" s="50"/>
      <c r="H37" s="477" t="e">
        <f t="shared" si="26"/>
        <v>#DIV/0!</v>
      </c>
      <c r="I37" s="464">
        <f>SUMIFS('P&amp;Ls Detailed'!W:W,'P&amp;Ls Detailed'!$E:$E,'P&amp;Ls Summary'!$D37,'P&amp;Ls Detailed'!$D:$D,'P&amp;Ls Summary'!$Y$3)</f>
        <v>530572</v>
      </c>
      <c r="J37" s="777">
        <f>SUMIFS('P&amp;Ls Detailed'!X:X,'P&amp;Ls Detailed'!$E:$E,'P&amp;Ls Summary'!$D37,'P&amp;Ls Detailed'!$D:$D,'P&amp;Ls Summary'!$Y$3)</f>
        <v>537656</v>
      </c>
      <c r="K37" s="778">
        <f>SUMIFS('P&amp;Ls Detailed'!Y:Y,'P&amp;Ls Detailed'!$E:$E,'P&amp;Ls Summary'!$D37,'P&amp;Ls Detailed'!$D:$D,'P&amp;Ls Summary'!$Y$3)</f>
        <v>545684</v>
      </c>
      <c r="L37" s="778">
        <f>SUMIFS('P&amp;Ls Detailed'!Z:Z,'P&amp;Ls Detailed'!$E:$E,'P&amp;Ls Summary'!$D37,'P&amp;Ls Detailed'!$D:$D,'P&amp;Ls Summary'!$Y$3)</f>
        <v>540784</v>
      </c>
      <c r="M37" s="779">
        <f>SUMIFS('P&amp;Ls Detailed'!AA:AA,'P&amp;Ls Detailed'!$E:$E,'P&amp;Ls Summary'!$D37,'P&amp;Ls Detailed'!$D:$D,'P&amp;Ls Summary'!$Y$3)</f>
        <v>542424</v>
      </c>
      <c r="N37" s="1110"/>
      <c r="O37" s="477" t="e">
        <f t="shared" si="27"/>
        <v>#DIV/0!</v>
      </c>
      <c r="P37" s="464">
        <f>SUMIFS('P&amp;Ls Detailed'!W:W,'P&amp;Ls Detailed'!$E:$E,'P&amp;Ls Summary'!$D37,'P&amp;Ls Detailed'!$D:$D,'P&amp;Ls Summary'!$Y$3)-SUMIFS('P&amp;Ls Detailed'!W:W,'P&amp;Ls Detailed'!$E:$E,'P&amp;Ls Summary'!$D37,'P&amp;Ls Detailed'!$D:$D,'P&amp;Ls Summary'!$Y$3,'P&amp;Ls Detailed'!$F:$F,"Exclude")</f>
        <v>530572</v>
      </c>
      <c r="Q37" s="1110"/>
      <c r="R37" s="477" t="e">
        <f>S37/$AA$3</f>
        <v>#DIV/0!</v>
      </c>
      <c r="S37" s="464" t="e">
        <f>$AC$37*S23</f>
        <v>#DIV/0!</v>
      </c>
      <c r="T37" s="1110"/>
      <c r="U37" s="477" t="e">
        <f>V37/$AA$3</f>
        <v>#DIV/0!</v>
      </c>
      <c r="V37" s="464" t="e">
        <f>$AC$37*V23</f>
        <v>#DIV/0!</v>
      </c>
      <c r="X37" s="212" t="str">
        <f>TEXT(AC37,"##.0%")&amp;" of EGI"</f>
        <v>3.0% of EGI</v>
      </c>
      <c r="AA37" s="746" t="e">
        <f t="shared" si="31"/>
        <v>#DIV/0!</v>
      </c>
      <c r="AB37" s="739" t="e">
        <f>S37/'P&amp;Ls Summary'!$AA$3</f>
        <v>#DIV/0!</v>
      </c>
      <c r="AC37" s="54">
        <v>0.03</v>
      </c>
      <c r="AD37" s="724" t="e">
        <f>-AB37</f>
        <v>#DIV/0!</v>
      </c>
      <c r="AE37" s="789" t="s">
        <v>1811</v>
      </c>
    </row>
    <row r="38" spans="1:31" s="44" customFormat="1" ht="14.1" hidden="1" customHeight="1" outlineLevel="1" x14ac:dyDescent="0.3">
      <c r="A38" s="43"/>
      <c r="B38" s="43" t="s">
        <v>80</v>
      </c>
      <c r="C38" s="63"/>
      <c r="D38" s="49" t="s">
        <v>42</v>
      </c>
      <c r="E38" s="50"/>
      <c r="F38" s="50"/>
      <c r="G38" s="50"/>
      <c r="H38" s="477" t="e">
        <f t="shared" si="26"/>
        <v>#DIV/0!</v>
      </c>
      <c r="I38" s="464">
        <f>SUMIFS('P&amp;Ls Detailed'!W:W,'P&amp;Ls Detailed'!$E:$E,'P&amp;Ls Summary'!$D38,'P&amp;Ls Detailed'!$D:$D,'P&amp;Ls Summary'!$Y$3)</f>
        <v>0</v>
      </c>
      <c r="J38" s="777">
        <f>SUMIFS('P&amp;Ls Detailed'!X:X,'P&amp;Ls Detailed'!$E:$E,'P&amp;Ls Summary'!$D38,'P&amp;Ls Detailed'!$D:$D,'P&amp;Ls Summary'!$Y$3)</f>
        <v>0</v>
      </c>
      <c r="K38" s="778">
        <f>SUMIFS('P&amp;Ls Detailed'!Y:Y,'P&amp;Ls Detailed'!$E:$E,'P&amp;Ls Summary'!$D38,'P&amp;Ls Detailed'!$D:$D,'P&amp;Ls Summary'!$Y$3)</f>
        <v>0</v>
      </c>
      <c r="L38" s="778">
        <f>SUMIFS('P&amp;Ls Detailed'!Z:Z,'P&amp;Ls Detailed'!$E:$E,'P&amp;Ls Summary'!$D38,'P&amp;Ls Detailed'!$D:$D,'P&amp;Ls Summary'!$Y$3)</f>
        <v>0</v>
      </c>
      <c r="M38" s="779">
        <f>SUMIFS('P&amp;Ls Detailed'!AA:AA,'P&amp;Ls Detailed'!$E:$E,'P&amp;Ls Summary'!$D38,'P&amp;Ls Detailed'!$D:$D,'P&amp;Ls Summary'!$Y$3)</f>
        <v>0</v>
      </c>
      <c r="N38" s="1110"/>
      <c r="O38" s="477" t="e">
        <f t="shared" si="27"/>
        <v>#DIV/0!</v>
      </c>
      <c r="P38" s="464">
        <f>SUMIFS('P&amp;Ls Detailed'!W:W,'P&amp;Ls Detailed'!$E:$E,'P&amp;Ls Summary'!$D38,'P&amp;Ls Detailed'!$D:$D,'P&amp;Ls Summary'!$Y$3)-SUMIFS('P&amp;Ls Detailed'!W:W,'P&amp;Ls Detailed'!$E:$E,'P&amp;Ls Summary'!$D38,'P&amp;Ls Detailed'!$D:$D,'P&amp;Ls Summary'!$Y$3,'P&amp;Ls Detailed'!$F:$F,"Exclude")</f>
        <v>0</v>
      </c>
      <c r="Q38" s="1110"/>
      <c r="R38" s="477" t="e">
        <f t="shared" ref="R38" si="35">AD38</f>
        <v>#DIV/0!</v>
      </c>
      <c r="S38" s="464" t="e">
        <f>R38*$AA$3</f>
        <v>#DIV/0!</v>
      </c>
      <c r="T38" s="1110"/>
      <c r="U38" s="477" t="e">
        <f t="shared" ref="U38" si="36">V38/$AA$3</f>
        <v>#DIV/0!</v>
      </c>
      <c r="V38" s="464" t="e">
        <f>S38*(1+$V$43)</f>
        <v>#DIV/0!</v>
      </c>
      <c r="X38" s="516" t="str">
        <f t="shared" si="33"/>
        <v>T12</v>
      </c>
      <c r="AA38" s="746" t="e">
        <f t="shared" si="31"/>
        <v>#DIV/0!</v>
      </c>
      <c r="AB38" s="740">
        <v>250</v>
      </c>
      <c r="AC38" s="55">
        <v>1</v>
      </c>
      <c r="AD38" s="728" t="e">
        <f>CHOOSE(AC38,AA38,AB38)</f>
        <v>#DIV/0!</v>
      </c>
      <c r="AE38" s="789" t="s">
        <v>1810</v>
      </c>
    </row>
    <row r="39" spans="1:31" s="44" customFormat="1" ht="14.1" customHeight="1" collapsed="1" x14ac:dyDescent="0.4">
      <c r="A39" s="43"/>
      <c r="B39" s="43"/>
      <c r="C39" s="43"/>
      <c r="D39" s="56" t="s">
        <v>5</v>
      </c>
      <c r="E39" s="57">
        <f>SUM(E26:E38)</f>
        <v>0</v>
      </c>
      <c r="F39" s="57">
        <f>SUM(F26:F38)</f>
        <v>0</v>
      </c>
      <c r="G39" s="57">
        <f>SUM(G26:G38)</f>
        <v>0</v>
      </c>
      <c r="H39" s="479" t="e">
        <f t="shared" si="26"/>
        <v>#DIV/0!</v>
      </c>
      <c r="I39" s="466">
        <f>SUM(I26:I38)</f>
        <v>5517778.1899999995</v>
      </c>
      <c r="J39" s="783">
        <f>SUM(J26:J38)</f>
        <v>5582548.0266666664</v>
      </c>
      <c r="K39" s="784">
        <f>SUM(K26:K38)</f>
        <v>5583760.1799999997</v>
      </c>
      <c r="L39" s="784">
        <f>SUM(L26:L38)</f>
        <v>5353873.5600000005</v>
      </c>
      <c r="M39" s="785">
        <f>SUM(M26:M38)</f>
        <v>5290432.4400000004</v>
      </c>
      <c r="N39" s="1110"/>
      <c r="O39" s="479" t="e">
        <f t="shared" si="27"/>
        <v>#DIV/0!</v>
      </c>
      <c r="P39" s="466">
        <f>SUM(P26:P38)</f>
        <v>4649467.3099999996</v>
      </c>
      <c r="Q39" s="1110"/>
      <c r="R39" s="479" t="e">
        <f>S39/$AA$3</f>
        <v>#DIV/0!</v>
      </c>
      <c r="S39" s="466" t="e">
        <f>SUM(S26:S38)</f>
        <v>#DIV/0!</v>
      </c>
      <c r="T39" s="1110"/>
      <c r="U39" s="479" t="e">
        <f>V39/$AA$3</f>
        <v>#DIV/0!</v>
      </c>
      <c r="V39" s="466" t="e">
        <f>SUM(V26:V38)</f>
        <v>#DIV/0!</v>
      </c>
      <c r="X39" s="57"/>
      <c r="AA39" s="62"/>
      <c r="AB39" s="32"/>
      <c r="AC39" s="204"/>
      <c r="AD39" s="719"/>
    </row>
    <row r="40" spans="1:31" s="44" customFormat="1" ht="14.1" customHeight="1" x14ac:dyDescent="0.4">
      <c r="A40" s="43"/>
      <c r="B40" s="43"/>
      <c r="C40" s="64"/>
      <c r="D40" s="65" t="s">
        <v>6</v>
      </c>
      <c r="E40" s="66">
        <f>E23-E39</f>
        <v>0</v>
      </c>
      <c r="F40" s="66">
        <f>F23-F39</f>
        <v>0</v>
      </c>
      <c r="G40" s="66">
        <f>G23-G39</f>
        <v>0</v>
      </c>
      <c r="H40" s="481" t="e">
        <f t="shared" si="26"/>
        <v>#DIV/0!</v>
      </c>
      <c r="I40" s="467">
        <f>I23-I39</f>
        <v>6299663.1600000001</v>
      </c>
      <c r="J40" s="783">
        <f>J23-J39</f>
        <v>6347669.2533333329</v>
      </c>
      <c r="K40" s="784">
        <f>K23-K39</f>
        <v>6447476.0000000019</v>
      </c>
      <c r="L40" s="784">
        <f>L23-L39</f>
        <v>6788027.6799999997</v>
      </c>
      <c r="M40" s="785">
        <f>M23-M39</f>
        <v>6902808.4799999995</v>
      </c>
      <c r="N40" s="1110"/>
      <c r="O40" s="481" t="e">
        <f t="shared" si="27"/>
        <v>#DIV/0!</v>
      </c>
      <c r="P40" s="467">
        <f>P23-P39</f>
        <v>-4043660.3499999996</v>
      </c>
      <c r="Q40" s="1110"/>
      <c r="R40" s="481" t="e">
        <f>S40/$AA$3</f>
        <v>#DIV/0!</v>
      </c>
      <c r="S40" s="467" t="e">
        <f>S23-S39</f>
        <v>#DIV/0!</v>
      </c>
      <c r="T40" s="1110"/>
      <c r="U40" s="481" t="e">
        <f>V40/$AA$3</f>
        <v>#DIV/0!</v>
      </c>
      <c r="V40" s="467" t="e">
        <f>V23-V39</f>
        <v>#DIV/0!</v>
      </c>
      <c r="X40" s="66"/>
      <c r="AA40" s="62"/>
      <c r="AB40" s="32"/>
      <c r="AC40" s="204"/>
      <c r="AD40" s="792"/>
    </row>
    <row r="41" spans="1:31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9"/>
      <c r="I41" s="69"/>
      <c r="J41" s="69"/>
      <c r="K41" s="69"/>
      <c r="L41" s="69"/>
      <c r="M41" s="69"/>
      <c r="O41" s="482"/>
      <c r="P41" s="68"/>
      <c r="R41" s="482"/>
      <c r="S41" s="68"/>
      <c r="U41" s="482"/>
      <c r="V41" s="68"/>
      <c r="X41" s="68"/>
      <c r="AA41" s="69"/>
      <c r="AB41" s="69"/>
      <c r="AC41" s="70"/>
      <c r="AD41" s="71"/>
    </row>
    <row r="42" spans="1:31" s="28" customFormat="1" ht="15" customHeight="1" x14ac:dyDescent="0.25">
      <c r="A42" s="27"/>
      <c r="B42" s="27"/>
      <c r="C42" s="27"/>
      <c r="D42" s="67"/>
      <c r="E42" s="68"/>
      <c r="F42" s="68"/>
      <c r="G42" s="68"/>
      <c r="H42" s="69"/>
      <c r="I42" s="69"/>
      <c r="J42" s="69"/>
      <c r="K42" s="69"/>
      <c r="L42" s="69"/>
      <c r="M42" s="69"/>
      <c r="O42" s="747" t="s">
        <v>1795</v>
      </c>
      <c r="P42" s="68"/>
      <c r="R42" s="756" t="s">
        <v>1799</v>
      </c>
      <c r="S42" s="757">
        <v>0</v>
      </c>
      <c r="U42" s="713" t="s">
        <v>1808</v>
      </c>
      <c r="V42" s="754">
        <v>0</v>
      </c>
      <c r="X42" s="68"/>
      <c r="AA42" s="69"/>
      <c r="AB42" s="69"/>
      <c r="AC42" s="70"/>
      <c r="AD42" s="71"/>
    </row>
    <row r="43" spans="1:31" s="28" customFormat="1" ht="15" customHeight="1" x14ac:dyDescent="0.25">
      <c r="A43" s="27"/>
      <c r="B43" s="27"/>
      <c r="C43" s="27"/>
      <c r="D43" s="67"/>
      <c r="E43" s="68"/>
      <c r="F43" s="68"/>
      <c r="G43" s="68"/>
      <c r="H43" s="69"/>
      <c r="I43" s="69"/>
      <c r="J43" s="69"/>
      <c r="K43" s="69"/>
      <c r="L43" s="69"/>
      <c r="M43" s="69"/>
      <c r="O43" s="748" t="s">
        <v>1796</v>
      </c>
      <c r="P43" s="68"/>
      <c r="R43" s="747" t="s">
        <v>1809</v>
      </c>
      <c r="S43" s="68"/>
      <c r="U43" s="714" t="s">
        <v>1873</v>
      </c>
      <c r="V43" s="755">
        <v>0</v>
      </c>
      <c r="X43" s="68"/>
      <c r="AA43" s="69"/>
      <c r="AB43" s="69"/>
      <c r="AC43" s="70"/>
      <c r="AD43" s="71"/>
    </row>
    <row r="44" spans="1:31" s="28" customFormat="1" x14ac:dyDescent="0.25">
      <c r="A44" s="27"/>
      <c r="B44" s="27"/>
      <c r="C44" s="27"/>
      <c r="D44" s="27"/>
      <c r="E44" s="27"/>
      <c r="F44" s="27"/>
      <c r="G44" s="27"/>
      <c r="H44" s="73"/>
      <c r="I44" s="73"/>
      <c r="J44" s="73"/>
      <c r="K44" s="73"/>
      <c r="L44" s="73"/>
      <c r="M44" s="73"/>
      <c r="O44" s="748" t="s">
        <v>1797</v>
      </c>
      <c r="P44" s="73"/>
      <c r="R44" s="748" t="s">
        <v>1800</v>
      </c>
      <c r="S44" s="73"/>
      <c r="U44" s="747" t="s">
        <v>1801</v>
      </c>
      <c r="V44" s="73"/>
      <c r="X44" s="27"/>
      <c r="AA44" s="27"/>
      <c r="AB44" s="27"/>
      <c r="AC44" s="72"/>
      <c r="AD44" s="27"/>
    </row>
    <row r="45" spans="1:31" s="28" customFormat="1" x14ac:dyDescent="0.25">
      <c r="A45" s="27"/>
      <c r="B45" s="27"/>
      <c r="C45" s="27"/>
      <c r="D45" s="27"/>
      <c r="E45" s="73"/>
      <c r="F45" s="73"/>
      <c r="G45" s="73"/>
      <c r="N45" s="73"/>
      <c r="Q45" s="73"/>
      <c r="R45" s="748" t="s">
        <v>1798</v>
      </c>
      <c r="T45" s="73"/>
      <c r="U45" s="484" t="s">
        <v>1802</v>
      </c>
      <c r="W45" s="73"/>
      <c r="X45" s="73"/>
      <c r="AA45" s="74"/>
      <c r="AB45" s="73"/>
      <c r="AC45" s="27"/>
      <c r="AD45" s="75"/>
    </row>
    <row r="46" spans="1:31" s="28" customFormat="1" x14ac:dyDescent="0.25">
      <c r="A46" s="27"/>
      <c r="B46" s="27"/>
      <c r="C46" s="27"/>
      <c r="D46" s="509"/>
      <c r="E46" s="73"/>
      <c r="F46" s="73"/>
      <c r="G46" s="73"/>
      <c r="N46" s="73"/>
      <c r="Q46" s="73"/>
      <c r="S46" s="566"/>
      <c r="T46" s="73"/>
      <c r="U46" s="482"/>
      <c r="V46" s="566"/>
      <c r="W46" s="73"/>
      <c r="X46" s="73"/>
      <c r="AA46" s="74"/>
      <c r="AB46" s="73"/>
      <c r="AC46" s="27"/>
      <c r="AD46" s="75"/>
    </row>
    <row r="47" spans="1:31" s="28" customFormat="1" x14ac:dyDescent="0.25">
      <c r="A47" s="27"/>
      <c r="B47" s="27"/>
      <c r="C47" s="27"/>
      <c r="D47" s="509"/>
      <c r="E47" s="73"/>
      <c r="F47" s="73"/>
      <c r="G47" s="73"/>
      <c r="N47" s="73"/>
      <c r="O47" s="482"/>
      <c r="Q47" s="73"/>
      <c r="R47" s="482"/>
      <c r="T47" s="73"/>
      <c r="U47" s="482"/>
      <c r="W47" s="73"/>
      <c r="X47" s="73"/>
      <c r="AA47" s="74"/>
      <c r="AB47" s="73"/>
      <c r="AC47" s="27"/>
      <c r="AD47" s="75"/>
    </row>
    <row r="48" spans="1:31" s="28" customFormat="1" x14ac:dyDescent="0.25">
      <c r="A48" s="27"/>
      <c r="B48" s="27"/>
      <c r="C48" s="27"/>
      <c r="D48" s="27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483"/>
      <c r="P48" s="73"/>
      <c r="Q48" s="73"/>
      <c r="R48" s="483"/>
      <c r="S48" s="73"/>
      <c r="T48" s="73"/>
      <c r="U48" s="483"/>
      <c r="V48" s="73"/>
      <c r="W48" s="73"/>
      <c r="X48" s="73"/>
      <c r="AA48" s="74"/>
      <c r="AB48" s="73"/>
      <c r="AC48" s="27"/>
      <c r="AD48" s="75"/>
    </row>
    <row r="49" spans="1:43" s="28" customFormat="1" x14ac:dyDescent="0.25">
      <c r="A49" s="27"/>
      <c r="B49" s="27"/>
      <c r="C49" s="27"/>
      <c r="N49" s="73"/>
      <c r="Q49" s="73"/>
      <c r="T49" s="73"/>
      <c r="W49" s="73"/>
      <c r="X49" s="73"/>
      <c r="AA49" s="73"/>
      <c r="AB49" s="73"/>
      <c r="AC49" s="73"/>
      <c r="AD49" s="75"/>
    </row>
    <row r="50" spans="1:43" s="28" customFormat="1" x14ac:dyDescent="0.25">
      <c r="A50" s="27"/>
      <c r="B50" s="27"/>
      <c r="C50" s="27"/>
      <c r="N50" s="73"/>
      <c r="Q50" s="73"/>
      <c r="T50" s="73"/>
      <c r="W50" s="73"/>
      <c r="X50" s="73"/>
      <c r="AA50" s="73"/>
      <c r="AB50" s="73"/>
      <c r="AC50" s="73"/>
      <c r="AD50" s="75"/>
      <c r="AM50" s="73"/>
      <c r="AN50" s="219"/>
      <c r="AO50" s="73"/>
      <c r="AP50" s="73"/>
      <c r="AQ50" s="219"/>
    </row>
    <row r="51" spans="1:43" s="27" customFormat="1" x14ac:dyDescent="0.25">
      <c r="N51" s="73"/>
      <c r="Q51" s="73"/>
      <c r="T51" s="73"/>
      <c r="W51" s="73"/>
      <c r="X51" s="73"/>
      <c r="Y51" s="28"/>
      <c r="Z51" s="28"/>
      <c r="AA51" s="74"/>
      <c r="AB51" s="73"/>
      <c r="AC51" s="73"/>
      <c r="AD51" s="75"/>
    </row>
    <row r="52" spans="1:43" s="28" customFormat="1" ht="17.25" x14ac:dyDescent="0.3">
      <c r="A52" s="27"/>
      <c r="B52" s="27"/>
      <c r="C52" s="27"/>
      <c r="D52" s="44"/>
      <c r="E52" s="76"/>
      <c r="F52" s="76"/>
      <c r="G52" s="76"/>
      <c r="H52" s="76"/>
      <c r="I52" s="463"/>
      <c r="J52" s="76"/>
      <c r="K52" s="77"/>
      <c r="L52" s="27"/>
      <c r="M52" s="27"/>
      <c r="O52" s="482"/>
      <c r="P52" s="78"/>
      <c r="R52" s="482"/>
      <c r="S52" s="78"/>
      <c r="U52" s="482"/>
      <c r="V52" s="78"/>
      <c r="X52" s="78"/>
      <c r="AA52" s="77"/>
      <c r="AB52" s="77"/>
      <c r="AC52" s="77"/>
      <c r="AD52" s="77"/>
    </row>
    <row r="53" spans="1:43" s="28" customFormat="1" ht="17.25" x14ac:dyDescent="0.3">
      <c r="A53" s="27"/>
      <c r="B53" s="27"/>
      <c r="C53" s="27"/>
      <c r="D53" s="461"/>
      <c r="E53" s="27"/>
      <c r="F53" s="27"/>
      <c r="G53" s="27"/>
      <c r="H53" s="27"/>
      <c r="I53" s="27"/>
      <c r="J53" s="27"/>
      <c r="K53" s="27"/>
      <c r="L53" s="27"/>
      <c r="M53" s="27"/>
      <c r="O53" s="482"/>
      <c r="P53" s="216"/>
      <c r="R53" s="482"/>
      <c r="S53" s="216"/>
      <c r="U53" s="482"/>
      <c r="V53" s="216"/>
      <c r="X53" s="76"/>
      <c r="AA53" s="27"/>
      <c r="AB53" s="27"/>
      <c r="AC53" s="27"/>
      <c r="AD53" s="27"/>
    </row>
    <row r="54" spans="1:43" s="28" customFormat="1" ht="17.25" x14ac:dyDescent="0.3">
      <c r="A54" s="27"/>
      <c r="B54" s="27"/>
      <c r="C54" s="27"/>
      <c r="D54" s="462"/>
      <c r="E54" s="27"/>
      <c r="F54" s="27"/>
      <c r="G54" s="27"/>
      <c r="H54" s="79"/>
      <c r="I54" s="79"/>
      <c r="J54" s="27"/>
      <c r="K54" s="27"/>
      <c r="L54" s="27"/>
      <c r="M54" s="27"/>
      <c r="O54" s="482"/>
      <c r="P54" s="216"/>
      <c r="R54" s="482"/>
      <c r="S54" s="216"/>
      <c r="U54" s="482"/>
      <c r="V54" s="216"/>
      <c r="X54" s="27"/>
      <c r="AA54" s="27"/>
      <c r="AB54" s="27"/>
      <c r="AC54" s="27"/>
      <c r="AD54" s="27"/>
    </row>
    <row r="55" spans="1:43" s="28" customFormat="1" ht="17.25" x14ac:dyDescent="0.3">
      <c r="A55" s="27"/>
      <c r="B55" s="27"/>
      <c r="C55" s="27"/>
      <c r="D55" s="462"/>
      <c r="E55" s="79"/>
      <c r="F55" s="79"/>
      <c r="G55" s="79"/>
      <c r="H55" s="79"/>
      <c r="I55" s="79"/>
      <c r="J55" s="79"/>
      <c r="K55" s="27"/>
      <c r="L55" s="27"/>
      <c r="M55" s="27"/>
      <c r="O55" s="482"/>
      <c r="P55" s="216"/>
      <c r="R55" s="482"/>
      <c r="S55" s="216"/>
      <c r="U55" s="482"/>
      <c r="V55" s="216"/>
      <c r="X55" s="27"/>
      <c r="AA55" s="27"/>
      <c r="AB55" s="27"/>
      <c r="AC55" s="27"/>
      <c r="AD55" s="27"/>
    </row>
    <row r="56" spans="1:43" s="28" customFormat="1" ht="17.25" x14ac:dyDescent="0.3">
      <c r="A56" s="27"/>
      <c r="B56" s="27"/>
      <c r="C56" s="27"/>
      <c r="D56" s="462"/>
      <c r="E56" s="27"/>
      <c r="F56" s="27"/>
      <c r="G56" s="27"/>
      <c r="H56" s="27"/>
      <c r="I56" s="27"/>
      <c r="J56" s="79"/>
      <c r="K56" s="27"/>
      <c r="L56" s="27"/>
      <c r="M56" s="27"/>
      <c r="O56" s="482"/>
      <c r="P56" s="217"/>
      <c r="R56" s="482"/>
      <c r="S56" s="217"/>
      <c r="U56" s="482"/>
      <c r="V56" s="217"/>
      <c r="X56" s="27"/>
      <c r="AA56" s="27"/>
      <c r="AB56" s="27"/>
      <c r="AC56" s="27"/>
      <c r="AD56" s="27"/>
    </row>
    <row r="57" spans="1:43" s="28" customFormat="1" ht="17.25" x14ac:dyDescent="0.3">
      <c r="A57" s="27"/>
      <c r="B57" s="27"/>
      <c r="C57" s="27"/>
      <c r="D57" s="462"/>
      <c r="E57" s="27"/>
      <c r="F57" s="27"/>
      <c r="G57" s="27"/>
      <c r="H57" s="27"/>
      <c r="I57" s="77"/>
      <c r="J57" s="79"/>
      <c r="K57" s="27"/>
      <c r="L57" s="27"/>
      <c r="M57" s="27"/>
      <c r="O57" s="482"/>
      <c r="P57" s="218"/>
      <c r="R57" s="482"/>
      <c r="S57" s="218"/>
      <c r="U57" s="482"/>
      <c r="V57" s="218"/>
      <c r="X57" s="27"/>
      <c r="AA57" s="27"/>
      <c r="AB57" s="27"/>
      <c r="AC57" s="27"/>
      <c r="AD57" s="27"/>
    </row>
    <row r="58" spans="1:43" s="28" customFormat="1" ht="17.25" x14ac:dyDescent="0.3">
      <c r="A58" s="27"/>
      <c r="B58" s="27"/>
      <c r="C58" s="27"/>
      <c r="D58" s="462"/>
      <c r="E58" s="27"/>
      <c r="F58" s="27"/>
      <c r="G58" s="27"/>
      <c r="H58" s="27"/>
      <c r="I58" s="27"/>
      <c r="J58" s="27"/>
      <c r="K58" s="27"/>
      <c r="L58" s="27"/>
      <c r="M58" s="27"/>
      <c r="O58" s="482"/>
      <c r="P58" s="27"/>
      <c r="R58" s="482"/>
      <c r="S58" s="27"/>
      <c r="U58" s="482"/>
      <c r="V58" s="27"/>
      <c r="X58" s="27"/>
      <c r="AA58" s="27"/>
      <c r="AB58" s="27"/>
      <c r="AC58" s="27"/>
      <c r="AD58" s="27"/>
    </row>
    <row r="59" spans="1:43" s="28" customFormat="1" ht="17.25" x14ac:dyDescent="0.3">
      <c r="A59" s="27"/>
      <c r="B59" s="27"/>
      <c r="C59" s="27"/>
      <c r="D59" s="462"/>
      <c r="E59" s="27"/>
      <c r="F59" s="27"/>
      <c r="G59" s="27"/>
      <c r="H59" s="27"/>
      <c r="I59" s="77"/>
      <c r="J59" s="27"/>
      <c r="K59" s="27"/>
      <c r="L59" s="27"/>
      <c r="M59" s="27"/>
      <c r="O59" s="482"/>
      <c r="P59" s="27"/>
      <c r="R59" s="482"/>
      <c r="S59" s="27"/>
      <c r="U59" s="482"/>
      <c r="V59" s="27"/>
      <c r="X59" s="27"/>
      <c r="AA59" s="27"/>
      <c r="AB59" s="27"/>
      <c r="AC59" s="27"/>
      <c r="AD59" s="27"/>
    </row>
    <row r="60" spans="1:43" s="28" customFormat="1" ht="17.25" x14ac:dyDescent="0.3">
      <c r="A60" s="27"/>
      <c r="B60" s="27"/>
      <c r="C60" s="27"/>
      <c r="D60" s="462"/>
      <c r="E60" s="27"/>
      <c r="F60" s="27"/>
      <c r="G60" s="27"/>
      <c r="H60" s="27"/>
      <c r="I60" s="27"/>
      <c r="J60" s="27"/>
      <c r="K60" s="27"/>
      <c r="L60" s="27"/>
      <c r="M60" s="27"/>
      <c r="O60" s="482"/>
      <c r="P60" s="27"/>
      <c r="R60" s="482"/>
      <c r="S60" s="27"/>
      <c r="U60" s="482"/>
      <c r="V60" s="27"/>
      <c r="X60" s="27"/>
      <c r="AA60" s="27"/>
      <c r="AB60" s="27"/>
      <c r="AC60" s="27"/>
      <c r="AD60" s="27"/>
    </row>
    <row r="61" spans="1:43" s="28" customFormat="1" x14ac:dyDescent="0.25">
      <c r="A61" s="27"/>
      <c r="B61" s="27"/>
      <c r="C61" s="27"/>
      <c r="D61" s="450" t="s">
        <v>50</v>
      </c>
      <c r="E61" s="73"/>
      <c r="F61" s="73"/>
      <c r="G61" s="73"/>
      <c r="I61" s="73" t="b">
        <f>I23='P&amp;Ls Detailed'!W43</f>
        <v>1</v>
      </c>
      <c r="J61" s="73" t="b">
        <f>J23='P&amp;Ls Detailed'!X43</f>
        <v>1</v>
      </c>
      <c r="K61" s="73" t="b">
        <f>K23='P&amp;Ls Detailed'!Y43</f>
        <v>1</v>
      </c>
      <c r="L61" s="73" t="b">
        <f>L23='P&amp;Ls Detailed'!Z43</f>
        <v>1</v>
      </c>
      <c r="M61" s="73" t="b">
        <f>M23='P&amp;Ls Detailed'!AA43</f>
        <v>1</v>
      </c>
      <c r="O61" s="482"/>
      <c r="P61" s="73"/>
      <c r="R61" s="482"/>
      <c r="S61" s="73" t="e">
        <f>S23='External UW'!F22</f>
        <v>#DIV/0!</v>
      </c>
      <c r="U61" s="482"/>
      <c r="V61" s="73" t="e">
        <f>V23='External UW'!I22</f>
        <v>#DIV/0!</v>
      </c>
      <c r="X61" s="27"/>
      <c r="AA61" s="27"/>
      <c r="AB61" s="27"/>
      <c r="AC61" s="27"/>
      <c r="AD61" s="27"/>
    </row>
    <row r="62" spans="1:43" s="28" customFormat="1" x14ac:dyDescent="0.25">
      <c r="A62" s="27"/>
      <c r="B62" s="27"/>
      <c r="C62" s="27"/>
      <c r="D62" s="450" t="s">
        <v>215</v>
      </c>
      <c r="E62" s="73"/>
      <c r="F62" s="73"/>
      <c r="G62" s="73"/>
      <c r="I62" s="73" t="b">
        <f>I39='P&amp;Ls Detailed'!W128</f>
        <v>1</v>
      </c>
      <c r="J62" s="73" t="b">
        <f>J39='P&amp;Ls Detailed'!X128</f>
        <v>1</v>
      </c>
      <c r="K62" s="73" t="b">
        <f>K39='P&amp;Ls Detailed'!Y128</f>
        <v>1</v>
      </c>
      <c r="L62" s="73" t="b">
        <f>L39='P&amp;Ls Detailed'!Z128</f>
        <v>1</v>
      </c>
      <c r="M62" s="73" t="b">
        <f>M39='P&amp;Ls Detailed'!AA128</f>
        <v>1</v>
      </c>
      <c r="O62" s="482"/>
      <c r="P62" s="73"/>
      <c r="R62" s="482"/>
      <c r="S62" s="73" t="e">
        <f>S39='External UW'!F38</f>
        <v>#DIV/0!</v>
      </c>
      <c r="U62" s="482"/>
      <c r="V62" s="73" t="e">
        <f>V39='External UW'!I38</f>
        <v>#DIV/0!</v>
      </c>
      <c r="X62" s="27"/>
      <c r="AA62" s="27"/>
      <c r="AB62" s="27"/>
      <c r="AC62" s="27"/>
      <c r="AD62" s="27"/>
    </row>
    <row r="63" spans="1:43" s="28" customFormat="1" x14ac:dyDescent="0.25">
      <c r="A63" s="27"/>
      <c r="B63" s="27"/>
      <c r="C63" s="27"/>
      <c r="D63" s="450" t="s">
        <v>67</v>
      </c>
      <c r="E63" s="73"/>
      <c r="F63" s="73"/>
      <c r="G63" s="73"/>
      <c r="H63" s="27"/>
      <c r="I63" s="73" t="b">
        <f>I40='P&amp;Ls Detailed'!W129</f>
        <v>1</v>
      </c>
      <c r="J63" s="73" t="b">
        <f>J40='P&amp;Ls Detailed'!X129</f>
        <v>1</v>
      </c>
      <c r="K63" s="73" t="b">
        <f>K40='P&amp;Ls Detailed'!Y129</f>
        <v>1</v>
      </c>
      <c r="L63" s="73" t="b">
        <f>L40='P&amp;Ls Detailed'!Z129</f>
        <v>1</v>
      </c>
      <c r="M63" s="73" t="b">
        <f>M40='P&amp;Ls Detailed'!AA129</f>
        <v>1</v>
      </c>
      <c r="O63" s="484"/>
      <c r="P63" s="73"/>
      <c r="R63" s="484"/>
      <c r="S63" s="73" t="e">
        <f>S40='External UW'!F39</f>
        <v>#DIV/0!</v>
      </c>
      <c r="U63" s="484"/>
      <c r="V63" s="73" t="e">
        <f>V40='External UW'!I39</f>
        <v>#DIV/0!</v>
      </c>
      <c r="X63" s="27"/>
      <c r="AA63" s="27"/>
      <c r="AB63" s="27"/>
      <c r="AC63" s="27"/>
      <c r="AD63" s="27"/>
    </row>
    <row r="64" spans="1:43" s="28" customFormat="1" ht="17.25" x14ac:dyDescent="0.3">
      <c r="A64" s="27"/>
      <c r="B64" s="27"/>
      <c r="C64" s="27"/>
      <c r="D64" s="44"/>
      <c r="E64" s="27"/>
      <c r="F64" s="27"/>
      <c r="G64" s="27"/>
      <c r="H64" s="27"/>
      <c r="I64" s="27"/>
      <c r="J64" s="27"/>
      <c r="K64" s="27"/>
      <c r="L64" s="27"/>
      <c r="M64" s="27"/>
      <c r="O64" s="482"/>
      <c r="P64" s="27"/>
      <c r="R64" s="482"/>
      <c r="S64" s="27"/>
      <c r="U64" s="482"/>
      <c r="V64" s="27"/>
      <c r="X64" s="27"/>
      <c r="AA64" s="27"/>
      <c r="AB64" s="27"/>
      <c r="AC64" s="27"/>
      <c r="AD64" s="27"/>
    </row>
    <row r="65" spans="1:30" s="28" customFormat="1" ht="17.25" x14ac:dyDescent="0.3">
      <c r="A65" s="27"/>
      <c r="B65" s="27"/>
      <c r="C65" s="27"/>
      <c r="D65" s="44"/>
      <c r="E65" s="27"/>
      <c r="F65" s="27"/>
      <c r="G65" s="27"/>
      <c r="H65" s="27"/>
      <c r="I65" s="27"/>
      <c r="J65" s="27"/>
      <c r="K65" s="27"/>
      <c r="L65" s="27"/>
      <c r="M65" s="27"/>
      <c r="O65" s="482"/>
      <c r="P65" s="27"/>
      <c r="R65" s="482"/>
      <c r="S65" s="27"/>
      <c r="U65" s="482"/>
      <c r="V65" s="27"/>
      <c r="X65" s="27"/>
      <c r="AA65" s="27"/>
      <c r="AB65" s="27"/>
      <c r="AC65" s="27"/>
      <c r="AD65" s="27"/>
    </row>
    <row r="66" spans="1:30" s="28" customFormat="1" x14ac:dyDescent="0.25">
      <c r="A66" s="27"/>
      <c r="B66" s="27"/>
      <c r="C66" s="27"/>
      <c r="E66" s="27"/>
      <c r="F66" s="27"/>
      <c r="G66" s="27"/>
      <c r="H66" s="27"/>
      <c r="I66" s="27"/>
      <c r="J66" s="27"/>
      <c r="K66" s="27"/>
      <c r="L66" s="27"/>
      <c r="M66" s="27"/>
      <c r="O66" s="482"/>
      <c r="P66" s="27"/>
      <c r="R66" s="482"/>
      <c r="S66" s="27"/>
      <c r="U66" s="482"/>
      <c r="V66" s="27"/>
      <c r="X66" s="27"/>
      <c r="AA66" s="27"/>
      <c r="AB66" s="27"/>
      <c r="AC66" s="27"/>
      <c r="AD66" s="27"/>
    </row>
    <row r="67" spans="1:30" s="28" customFormat="1" x14ac:dyDescent="0.25">
      <c r="A67" s="27"/>
      <c r="B67" s="27"/>
      <c r="C67" s="27"/>
      <c r="E67" s="27"/>
      <c r="F67" s="27"/>
      <c r="G67" s="27"/>
      <c r="H67" s="27"/>
      <c r="I67" s="27"/>
      <c r="J67" s="27"/>
      <c r="K67" s="27"/>
      <c r="L67" s="27"/>
      <c r="M67" s="27"/>
      <c r="O67" s="482"/>
      <c r="P67" s="27"/>
      <c r="R67" s="482"/>
      <c r="S67" s="27"/>
      <c r="U67" s="482"/>
      <c r="V67" s="27"/>
      <c r="X67" s="27"/>
      <c r="AA67" s="27"/>
      <c r="AB67" s="27"/>
      <c r="AC67" s="27"/>
      <c r="AD67" s="27"/>
    </row>
    <row r="68" spans="1:30" s="28" customForma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O68" s="482"/>
      <c r="P68" s="27"/>
      <c r="R68" s="482"/>
      <c r="S68" s="27"/>
      <c r="U68" s="482"/>
      <c r="V68" s="27"/>
      <c r="X68" s="27"/>
      <c r="AA68" s="27"/>
      <c r="AB68" s="27"/>
      <c r="AC68" s="27"/>
      <c r="AD68" s="27"/>
    </row>
    <row r="69" spans="1:30" s="28" customForma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O69" s="482"/>
      <c r="P69" s="27"/>
      <c r="R69" s="482"/>
      <c r="S69" s="27"/>
      <c r="U69" s="482"/>
      <c r="V69" s="27"/>
      <c r="X69" s="27"/>
      <c r="AA69" s="27"/>
      <c r="AB69" s="27"/>
      <c r="AC69" s="27"/>
      <c r="AD69" s="27"/>
    </row>
    <row r="70" spans="1:30" s="28" customForma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O70" s="482"/>
      <c r="P70" s="27"/>
      <c r="R70" s="482"/>
      <c r="S70" s="27"/>
      <c r="U70" s="482"/>
      <c r="V70" s="27"/>
      <c r="X70" s="27"/>
      <c r="AA70" s="27"/>
      <c r="AB70" s="27"/>
      <c r="AC70" s="27"/>
      <c r="AD70" s="27"/>
    </row>
    <row r="71" spans="1:30" s="28" customForma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O71" s="482"/>
      <c r="P71" s="27"/>
      <c r="R71" s="482"/>
      <c r="S71" s="27"/>
      <c r="U71" s="482"/>
      <c r="V71" s="27"/>
      <c r="X71" s="27"/>
      <c r="AA71" s="27"/>
      <c r="AB71" s="27"/>
      <c r="AC71" s="27"/>
      <c r="AD71" s="27"/>
    </row>
    <row r="72" spans="1:30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O72" s="482"/>
      <c r="P72" s="27"/>
      <c r="R72" s="482"/>
      <c r="S72" s="27"/>
      <c r="U72" s="482"/>
      <c r="V72" s="27"/>
      <c r="X72" s="27"/>
      <c r="AA72" s="27"/>
      <c r="AB72" s="27"/>
      <c r="AC72" s="27"/>
      <c r="AD72" s="27"/>
    </row>
    <row r="73" spans="1:30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O73" s="482"/>
      <c r="P73" s="27"/>
      <c r="R73" s="482"/>
      <c r="S73" s="27"/>
      <c r="U73" s="482"/>
      <c r="V73" s="27"/>
      <c r="X73" s="27"/>
      <c r="AA73" s="27"/>
      <c r="AB73" s="27"/>
      <c r="AC73" s="27"/>
      <c r="AD73" s="27"/>
    </row>
    <row r="74" spans="1:30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O74" s="482"/>
      <c r="P74" s="27"/>
      <c r="R74" s="482"/>
      <c r="S74" s="27"/>
      <c r="U74" s="482"/>
      <c r="V74" s="27"/>
      <c r="X74" s="27"/>
      <c r="AA74" s="27"/>
      <c r="AB74" s="27"/>
      <c r="AC74" s="27"/>
      <c r="AD74" s="27"/>
    </row>
    <row r="75" spans="1:30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O75" s="482"/>
      <c r="P75" s="27"/>
      <c r="R75" s="482"/>
      <c r="S75" s="27"/>
      <c r="U75" s="482"/>
      <c r="V75" s="27"/>
      <c r="X75" s="27"/>
      <c r="AA75" s="27"/>
      <c r="AB75" s="27"/>
      <c r="AC75" s="27"/>
      <c r="AD75" s="27"/>
    </row>
    <row r="76" spans="1:30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O76" s="482"/>
      <c r="P76" s="27"/>
      <c r="R76" s="482"/>
      <c r="S76" s="27"/>
      <c r="U76" s="482"/>
      <c r="V76" s="27"/>
      <c r="X76" s="27"/>
      <c r="AA76" s="27"/>
      <c r="AB76" s="27"/>
      <c r="AC76" s="27"/>
      <c r="AD76" s="27"/>
    </row>
    <row r="77" spans="1:30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O77" s="482"/>
      <c r="P77" s="27"/>
      <c r="R77" s="482"/>
      <c r="S77" s="27"/>
      <c r="U77" s="482"/>
      <c r="V77" s="27"/>
      <c r="X77" s="27"/>
      <c r="AA77" s="27"/>
      <c r="AB77" s="27"/>
      <c r="AC77" s="27"/>
      <c r="AD77" s="27"/>
    </row>
    <row r="78" spans="1:30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O78" s="482"/>
      <c r="P78" s="27"/>
      <c r="R78" s="482"/>
      <c r="S78" s="27"/>
      <c r="U78" s="482"/>
      <c r="V78" s="27"/>
      <c r="X78" s="27"/>
      <c r="AA78" s="27"/>
      <c r="AB78" s="27"/>
      <c r="AC78" s="27"/>
      <c r="AD78" s="27"/>
    </row>
    <row r="79" spans="1:30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O79" s="482"/>
      <c r="P79" s="27"/>
      <c r="R79" s="482"/>
      <c r="S79" s="27"/>
      <c r="U79" s="482"/>
      <c r="V79" s="27"/>
      <c r="X79" s="27"/>
      <c r="AA79" s="27"/>
      <c r="AB79" s="27"/>
      <c r="AC79" s="27"/>
      <c r="AD79" s="27"/>
    </row>
    <row r="80" spans="1:30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O80" s="482"/>
      <c r="P80" s="27"/>
      <c r="R80" s="482"/>
      <c r="S80" s="27"/>
      <c r="U80" s="482"/>
      <c r="V80" s="27"/>
      <c r="X80" s="27"/>
      <c r="AA80" s="27"/>
      <c r="AB80" s="27"/>
      <c r="AC80" s="27"/>
      <c r="AD80" s="27"/>
    </row>
    <row r="81" spans="1:30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O81" s="482"/>
      <c r="P81" s="27"/>
      <c r="R81" s="482"/>
      <c r="S81" s="27"/>
      <c r="U81" s="482"/>
      <c r="V81" s="27"/>
      <c r="X81" s="27"/>
      <c r="AA81" s="27"/>
      <c r="AB81" s="27"/>
      <c r="AC81" s="27"/>
      <c r="AD81" s="27"/>
    </row>
    <row r="82" spans="1:30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O82" s="482"/>
      <c r="P82" s="27"/>
      <c r="R82" s="482"/>
      <c r="S82" s="27"/>
      <c r="U82" s="482"/>
      <c r="V82" s="27"/>
      <c r="X82" s="27"/>
      <c r="AA82" s="27"/>
      <c r="AB82" s="27"/>
      <c r="AC82" s="27"/>
      <c r="AD82" s="27"/>
    </row>
    <row r="83" spans="1:30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O83" s="482"/>
      <c r="P83" s="27"/>
      <c r="R83" s="482"/>
      <c r="S83" s="27"/>
      <c r="U83" s="482"/>
      <c r="V83" s="27"/>
      <c r="X83" s="27"/>
      <c r="AA83" s="27"/>
      <c r="AB83" s="27"/>
      <c r="AC83" s="27"/>
      <c r="AD83" s="27"/>
    </row>
    <row r="84" spans="1:30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O84" s="482"/>
      <c r="P84" s="27"/>
      <c r="R84" s="482"/>
      <c r="S84" s="27"/>
      <c r="U84" s="482"/>
      <c r="V84" s="27"/>
      <c r="X84" s="27"/>
      <c r="AA84" s="27"/>
      <c r="AB84" s="27"/>
      <c r="AC84" s="27"/>
      <c r="AD84" s="27"/>
    </row>
    <row r="85" spans="1:30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O85" s="482"/>
      <c r="P85" s="27"/>
      <c r="R85" s="482"/>
      <c r="S85" s="27"/>
      <c r="U85" s="482"/>
      <c r="V85" s="27"/>
      <c r="X85" s="27"/>
      <c r="AA85" s="27"/>
      <c r="AB85" s="27"/>
      <c r="AC85" s="27"/>
      <c r="AD85" s="27"/>
    </row>
    <row r="86" spans="1:30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O86" s="482"/>
      <c r="P86" s="27"/>
      <c r="R86" s="482"/>
      <c r="S86" s="27"/>
      <c r="U86" s="482"/>
      <c r="V86" s="27"/>
      <c r="X86" s="27"/>
      <c r="AA86" s="27"/>
      <c r="AB86" s="27"/>
      <c r="AC86" s="27"/>
      <c r="AD86" s="27"/>
    </row>
    <row r="87" spans="1:30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O87" s="482"/>
      <c r="P87" s="27"/>
      <c r="R87" s="482"/>
      <c r="S87" s="27"/>
      <c r="U87" s="482"/>
      <c r="V87" s="27"/>
      <c r="X87" s="27"/>
      <c r="AA87" s="27"/>
      <c r="AB87" s="27"/>
      <c r="AC87" s="27"/>
      <c r="AD87" s="27"/>
    </row>
    <row r="88" spans="1:30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O88" s="482"/>
      <c r="P88" s="27"/>
      <c r="R88" s="482"/>
      <c r="S88" s="27"/>
      <c r="U88" s="482"/>
      <c r="V88" s="27"/>
      <c r="X88" s="27"/>
      <c r="AA88" s="27"/>
      <c r="AB88" s="27"/>
      <c r="AC88" s="27"/>
      <c r="AD88" s="27"/>
    </row>
    <row r="89" spans="1:30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O89" s="482"/>
      <c r="P89" s="27"/>
      <c r="R89" s="482"/>
      <c r="S89" s="27"/>
      <c r="U89" s="482"/>
      <c r="V89" s="27"/>
      <c r="X89" s="27"/>
      <c r="AA89" s="27"/>
      <c r="AB89" s="27"/>
      <c r="AC89" s="27"/>
      <c r="AD89" s="27"/>
    </row>
    <row r="90" spans="1:30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O90" s="482"/>
      <c r="P90" s="27"/>
      <c r="R90" s="482"/>
      <c r="S90" s="27"/>
      <c r="U90" s="482"/>
      <c r="V90" s="27"/>
      <c r="X90" s="27"/>
      <c r="AA90" s="27"/>
      <c r="AB90" s="27"/>
      <c r="AC90" s="27"/>
      <c r="AD90" s="27"/>
    </row>
    <row r="91" spans="1:30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O91" s="482"/>
      <c r="P91" s="27"/>
      <c r="R91" s="482"/>
      <c r="S91" s="27"/>
      <c r="U91" s="482"/>
      <c r="V91" s="27"/>
      <c r="X91" s="27"/>
      <c r="AA91" s="27"/>
      <c r="AB91" s="27"/>
      <c r="AC91" s="27"/>
      <c r="AD91" s="27"/>
    </row>
    <row r="92" spans="1:30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O92" s="482"/>
      <c r="P92" s="27"/>
      <c r="R92" s="482"/>
      <c r="S92" s="27"/>
      <c r="U92" s="482"/>
      <c r="V92" s="27"/>
      <c r="X92" s="27"/>
      <c r="AA92" s="27"/>
      <c r="AB92" s="27"/>
      <c r="AC92" s="27"/>
      <c r="AD92" s="27"/>
    </row>
    <row r="93" spans="1:30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O93" s="482"/>
      <c r="P93" s="27"/>
      <c r="R93" s="482"/>
      <c r="S93" s="27"/>
      <c r="U93" s="482"/>
      <c r="V93" s="27"/>
      <c r="X93" s="27"/>
      <c r="AA93" s="27"/>
      <c r="AB93" s="27"/>
      <c r="AC93" s="27"/>
      <c r="AD93" s="27"/>
    </row>
    <row r="94" spans="1:30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O94" s="482"/>
      <c r="P94" s="27"/>
      <c r="R94" s="482"/>
      <c r="S94" s="27"/>
      <c r="U94" s="482"/>
      <c r="V94" s="27"/>
      <c r="X94" s="27"/>
      <c r="AA94" s="27"/>
      <c r="AB94" s="27"/>
      <c r="AC94" s="27"/>
      <c r="AD94" s="27"/>
    </row>
    <row r="95" spans="1:30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O95" s="482"/>
      <c r="P95" s="27"/>
      <c r="R95" s="482"/>
      <c r="S95" s="27"/>
      <c r="U95" s="482"/>
      <c r="V95" s="27"/>
      <c r="X95" s="27"/>
      <c r="AA95" s="27"/>
      <c r="AB95" s="27"/>
      <c r="AC95" s="27"/>
      <c r="AD95" s="27"/>
    </row>
    <row r="96" spans="1:30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O96" s="482"/>
      <c r="P96" s="27"/>
      <c r="R96" s="482"/>
      <c r="S96" s="27"/>
      <c r="U96" s="482"/>
      <c r="V96" s="27"/>
      <c r="X96" s="27"/>
      <c r="AA96" s="27"/>
      <c r="AB96" s="27"/>
      <c r="AC96" s="27"/>
      <c r="AD96" s="27"/>
    </row>
    <row r="97" spans="1:30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O97" s="482"/>
      <c r="P97" s="27"/>
      <c r="R97" s="482"/>
      <c r="S97" s="27"/>
      <c r="U97" s="482"/>
      <c r="V97" s="27"/>
      <c r="X97" s="27"/>
      <c r="AA97" s="27"/>
      <c r="AB97" s="27"/>
      <c r="AC97" s="27"/>
      <c r="AD97" s="27"/>
    </row>
    <row r="98" spans="1:30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O98" s="482"/>
      <c r="P98" s="27"/>
      <c r="R98" s="482"/>
      <c r="S98" s="27"/>
      <c r="U98" s="482"/>
      <c r="V98" s="27"/>
      <c r="X98" s="27"/>
      <c r="AA98" s="27"/>
      <c r="AB98" s="27"/>
      <c r="AC98" s="27"/>
      <c r="AD98" s="27"/>
    </row>
    <row r="99" spans="1:30" s="28" customFormat="1" x14ac:dyDescent="0.25">
      <c r="A99" s="27"/>
      <c r="B99" s="27"/>
      <c r="C99" s="27"/>
      <c r="D99" s="80" t="s">
        <v>43</v>
      </c>
      <c r="E99" s="27"/>
      <c r="F99" s="27"/>
      <c r="G99" s="27"/>
      <c r="H99" s="27"/>
      <c r="I99" s="27"/>
      <c r="J99" s="27"/>
      <c r="K99" s="27"/>
      <c r="L99" s="27"/>
      <c r="M99" s="27"/>
      <c r="O99" s="482"/>
      <c r="P99" s="27"/>
      <c r="R99" s="482"/>
      <c r="S99" s="27"/>
      <c r="U99" s="482"/>
      <c r="V99" s="27"/>
      <c r="X99" s="27"/>
      <c r="AA99" s="27"/>
      <c r="AB99" s="27"/>
      <c r="AC99" s="27"/>
      <c r="AD99" s="27"/>
    </row>
    <row r="100" spans="1:30" s="28" customFormat="1" x14ac:dyDescent="0.25">
      <c r="A100" s="27"/>
      <c r="B100" s="27"/>
      <c r="C100" s="27"/>
      <c r="D100" s="9" t="str">
        <f>D9</f>
        <v>Market Rent</v>
      </c>
      <c r="E100" s="27"/>
      <c r="F100" s="27"/>
      <c r="G100" s="27"/>
      <c r="H100" s="27"/>
      <c r="I100" s="27"/>
      <c r="J100" s="27"/>
      <c r="K100" s="27"/>
      <c r="L100" s="27"/>
      <c r="M100" s="27"/>
      <c r="O100" s="482"/>
      <c r="P100" s="27"/>
      <c r="R100" s="482"/>
      <c r="S100" s="27"/>
      <c r="U100" s="482"/>
      <c r="V100" s="27"/>
      <c r="X100" s="27"/>
      <c r="AA100" s="27"/>
      <c r="AB100" s="27"/>
      <c r="AC100" s="27"/>
      <c r="AD100" s="27"/>
    </row>
    <row r="101" spans="1:30" s="28" customFormat="1" x14ac:dyDescent="0.25">
      <c r="A101" s="27"/>
      <c r="B101" s="27"/>
      <c r="C101" s="27"/>
      <c r="D101" s="9" t="str">
        <f>D10</f>
        <v>Loss to Lease</v>
      </c>
      <c r="E101" s="27"/>
      <c r="F101" s="27"/>
      <c r="G101" s="27"/>
      <c r="H101" s="27"/>
      <c r="I101" s="27"/>
      <c r="J101" s="27"/>
      <c r="K101" s="27"/>
      <c r="L101" s="27"/>
      <c r="M101" s="27"/>
      <c r="O101" s="482"/>
      <c r="P101" s="27"/>
      <c r="R101" s="482"/>
      <c r="S101" s="27"/>
      <c r="U101" s="482"/>
      <c r="V101" s="27"/>
      <c r="X101" s="27"/>
      <c r="AA101" s="27"/>
      <c r="AB101" s="27"/>
      <c r="AC101" s="27"/>
      <c r="AD101" s="27"/>
    </row>
    <row r="102" spans="1:30" s="28" customFormat="1" x14ac:dyDescent="0.25">
      <c r="A102" s="27"/>
      <c r="B102" s="27"/>
      <c r="C102" s="27"/>
      <c r="D102" s="9" t="str">
        <f t="shared" ref="D102:D108" si="37">D12</f>
        <v>Less Vacancy</v>
      </c>
      <c r="E102" s="27"/>
      <c r="F102" s="27"/>
      <c r="G102" s="27"/>
      <c r="H102" s="27"/>
      <c r="I102" s="27"/>
      <c r="J102" s="27"/>
      <c r="K102" s="27"/>
      <c r="L102" s="27"/>
      <c r="M102" s="27"/>
      <c r="O102" s="482"/>
      <c r="P102" s="27"/>
      <c r="R102" s="482"/>
      <c r="S102" s="27"/>
      <c r="U102" s="482"/>
      <c r="V102" s="27"/>
      <c r="X102" s="27"/>
      <c r="AA102" s="27"/>
      <c r="AB102" s="27"/>
      <c r="AC102" s="27"/>
      <c r="AD102" s="27"/>
    </row>
    <row r="103" spans="1:30" s="28" customFormat="1" x14ac:dyDescent="0.25">
      <c r="A103" s="27"/>
      <c r="B103" s="27"/>
      <c r="C103" s="27"/>
      <c r="D103" s="9" t="str">
        <f t="shared" si="37"/>
        <v>Less: Concessions</v>
      </c>
      <c r="E103" s="27"/>
      <c r="F103" s="27"/>
      <c r="G103" s="27"/>
      <c r="H103" s="27"/>
      <c r="I103" s="27"/>
      <c r="J103" s="27"/>
      <c r="K103" s="27"/>
      <c r="L103" s="27"/>
      <c r="M103" s="27"/>
      <c r="O103" s="482"/>
      <c r="P103" s="27"/>
      <c r="R103" s="482"/>
      <c r="S103" s="27"/>
      <c r="U103" s="482"/>
      <c r="V103" s="27"/>
      <c r="X103" s="27"/>
      <c r="AA103" s="27"/>
      <c r="AB103" s="27"/>
      <c r="AC103" s="27"/>
      <c r="AD103" s="27"/>
    </row>
    <row r="104" spans="1:30" s="28" customFormat="1" x14ac:dyDescent="0.25">
      <c r="A104" s="27"/>
      <c r="B104" s="27"/>
      <c r="C104" s="27"/>
      <c r="D104" s="9" t="str">
        <f t="shared" si="37"/>
        <v>Less: Bad Debt/Collection</v>
      </c>
      <c r="E104" s="27"/>
      <c r="F104" s="27"/>
      <c r="G104" s="27"/>
      <c r="H104" s="27"/>
      <c r="I104" s="27"/>
      <c r="J104" s="27"/>
      <c r="K104" s="27"/>
      <c r="L104" s="27"/>
      <c r="M104" s="27"/>
      <c r="O104" s="482"/>
      <c r="P104" s="27"/>
      <c r="R104" s="482"/>
      <c r="S104" s="27"/>
      <c r="U104" s="482"/>
      <c r="V104" s="27"/>
      <c r="X104" s="27"/>
      <c r="AA104" s="27"/>
      <c r="AB104" s="27"/>
      <c r="AC104" s="27"/>
      <c r="AD104" s="27"/>
    </row>
    <row r="105" spans="1:30" s="28" customFormat="1" x14ac:dyDescent="0.25">
      <c r="A105" s="27"/>
      <c r="B105" s="27"/>
      <c r="C105" s="27"/>
      <c r="D105" s="9" t="str">
        <f t="shared" si="37"/>
        <v>Pet Income</v>
      </c>
      <c r="E105" s="27"/>
      <c r="F105" s="27"/>
      <c r="G105" s="27"/>
      <c r="H105" s="27"/>
      <c r="I105" s="27"/>
      <c r="J105" s="27"/>
      <c r="K105" s="27"/>
      <c r="L105" s="27"/>
      <c r="M105" s="27"/>
      <c r="O105" s="482"/>
      <c r="P105" s="27"/>
      <c r="R105" s="482"/>
      <c r="S105" s="27"/>
      <c r="U105" s="482"/>
      <c r="V105" s="27"/>
      <c r="X105" s="27"/>
      <c r="AA105" s="27"/>
      <c r="AB105" s="27"/>
      <c r="AC105" s="27"/>
      <c r="AD105" s="27"/>
    </row>
    <row r="106" spans="1:30" s="28" customFormat="1" x14ac:dyDescent="0.25">
      <c r="A106" s="27"/>
      <c r="B106" s="27"/>
      <c r="C106" s="27"/>
      <c r="D106" s="9" t="str">
        <f t="shared" si="37"/>
        <v>Laundry Income</v>
      </c>
      <c r="E106" s="27"/>
      <c r="F106" s="27"/>
      <c r="G106" s="27"/>
      <c r="H106" s="27"/>
      <c r="I106" s="27"/>
      <c r="J106" s="27"/>
      <c r="K106" s="27"/>
      <c r="L106" s="27"/>
      <c r="M106" s="27"/>
      <c r="O106" s="482"/>
      <c r="P106" s="27"/>
      <c r="R106" s="482"/>
      <c r="S106" s="27"/>
      <c r="U106" s="482"/>
      <c r="V106" s="27"/>
      <c r="X106" s="27"/>
      <c r="AA106" s="27"/>
      <c r="AB106" s="27"/>
      <c r="AC106" s="27"/>
      <c r="AD106" s="27"/>
    </row>
    <row r="107" spans="1:30" s="28" customFormat="1" x14ac:dyDescent="0.25">
      <c r="A107" s="27"/>
      <c r="B107" s="27"/>
      <c r="C107" s="27"/>
      <c r="D107" s="9" t="str">
        <f t="shared" si="37"/>
        <v>Parking Income</v>
      </c>
      <c r="E107" s="27"/>
      <c r="F107" s="27"/>
      <c r="G107" s="27"/>
      <c r="H107" s="27"/>
      <c r="I107" s="27"/>
      <c r="J107" s="27"/>
      <c r="K107" s="27"/>
      <c r="L107" s="27"/>
      <c r="M107" s="27"/>
      <c r="O107" s="482"/>
      <c r="P107" s="27"/>
      <c r="R107" s="482"/>
      <c r="S107" s="27"/>
      <c r="U107" s="482"/>
      <c r="V107" s="27"/>
      <c r="X107" s="27"/>
      <c r="AA107" s="27"/>
      <c r="AB107" s="27"/>
      <c r="AC107" s="27"/>
      <c r="AD107" s="27"/>
    </row>
    <row r="108" spans="1:30" s="28" customFormat="1" x14ac:dyDescent="0.25">
      <c r="A108" s="27"/>
      <c r="B108" s="27"/>
      <c r="C108" s="27"/>
      <c r="D108" s="9" t="str">
        <f t="shared" si="37"/>
        <v>Storage Income</v>
      </c>
      <c r="E108" s="27"/>
      <c r="F108" s="27"/>
      <c r="G108" s="27"/>
      <c r="H108" s="27"/>
      <c r="I108" s="27"/>
      <c r="J108" s="27"/>
      <c r="K108" s="27"/>
      <c r="L108" s="27"/>
      <c r="M108" s="27"/>
      <c r="O108" s="482"/>
      <c r="P108" s="27"/>
      <c r="R108" s="482"/>
      <c r="S108" s="27"/>
      <c r="U108" s="482"/>
      <c r="V108" s="27"/>
      <c r="X108" s="27"/>
      <c r="AA108" s="27"/>
      <c r="AB108" s="27"/>
      <c r="AC108" s="27"/>
      <c r="AD108" s="27"/>
    </row>
    <row r="109" spans="1:30" s="28" customFormat="1" x14ac:dyDescent="0.25">
      <c r="A109" s="27"/>
      <c r="B109" s="27"/>
      <c r="C109" s="27"/>
      <c r="D109" s="9" t="str">
        <f t="shared" ref="D109:D112" si="38">D19</f>
        <v>Utility Reimbursement</v>
      </c>
      <c r="E109" s="27"/>
      <c r="F109" s="27"/>
      <c r="G109" s="27"/>
      <c r="H109" s="27"/>
      <c r="I109" s="27"/>
      <c r="J109" s="27"/>
      <c r="K109" s="27"/>
      <c r="L109" s="27"/>
      <c r="M109" s="27"/>
      <c r="O109" s="482"/>
      <c r="P109" s="27"/>
      <c r="R109" s="482"/>
      <c r="S109" s="27"/>
      <c r="U109" s="482"/>
      <c r="V109" s="27"/>
      <c r="X109" s="27"/>
      <c r="AA109" s="27"/>
      <c r="AB109" s="27"/>
      <c r="AC109" s="27"/>
      <c r="AD109" s="27"/>
    </row>
    <row r="110" spans="1:30" s="28" customFormat="1" x14ac:dyDescent="0.25">
      <c r="A110" s="27"/>
      <c r="B110" s="27"/>
      <c r="C110" s="27"/>
      <c r="D110" s="9" t="str">
        <f t="shared" si="38"/>
        <v>Other Income</v>
      </c>
      <c r="E110" s="27"/>
      <c r="F110" s="27"/>
      <c r="G110" s="27"/>
      <c r="H110" s="27"/>
      <c r="I110" s="27"/>
      <c r="J110" s="27"/>
      <c r="K110" s="27"/>
      <c r="L110" s="27"/>
      <c r="M110" s="27"/>
      <c r="O110" s="482"/>
      <c r="P110" s="27"/>
      <c r="R110" s="482"/>
      <c r="S110" s="27"/>
      <c r="U110" s="482"/>
      <c r="V110" s="27"/>
      <c r="X110" s="27"/>
      <c r="AA110" s="27"/>
      <c r="AB110" s="27"/>
      <c r="AC110" s="27"/>
      <c r="AD110" s="27"/>
    </row>
    <row r="111" spans="1:30" s="28" customFormat="1" x14ac:dyDescent="0.25">
      <c r="A111" s="27"/>
      <c r="B111" s="27"/>
      <c r="C111" s="27"/>
      <c r="D111" s="9" t="str">
        <f t="shared" si="38"/>
        <v>Commercial Income</v>
      </c>
      <c r="E111" s="27"/>
      <c r="F111" s="27"/>
      <c r="G111" s="27"/>
      <c r="H111" s="27"/>
      <c r="I111" s="27"/>
      <c r="J111" s="27"/>
      <c r="K111" s="27"/>
      <c r="L111" s="27"/>
      <c r="M111" s="27"/>
      <c r="O111" s="482"/>
      <c r="P111" s="27"/>
      <c r="R111" s="482"/>
      <c r="S111" s="27"/>
      <c r="U111" s="482"/>
      <c r="V111" s="27"/>
      <c r="X111" s="27"/>
      <c r="AA111" s="27"/>
      <c r="AB111" s="27"/>
      <c r="AC111" s="27"/>
      <c r="AD111" s="27"/>
    </row>
    <row r="112" spans="1:30" s="28" customFormat="1" x14ac:dyDescent="0.25">
      <c r="A112" s="27"/>
      <c r="B112" s="27"/>
      <c r="C112" s="27"/>
      <c r="D112" s="9" t="str">
        <f t="shared" si="38"/>
        <v>Less Commercial Vacancy</v>
      </c>
      <c r="E112" s="27"/>
      <c r="F112" s="27"/>
      <c r="G112" s="27"/>
      <c r="H112" s="27"/>
      <c r="I112" s="27"/>
      <c r="J112" s="27"/>
      <c r="K112" s="27"/>
      <c r="L112" s="27"/>
      <c r="M112" s="27"/>
      <c r="O112" s="482"/>
      <c r="P112" s="27"/>
      <c r="R112" s="482"/>
      <c r="S112" s="27"/>
      <c r="U112" s="482"/>
      <c r="V112" s="27"/>
      <c r="X112" s="27"/>
      <c r="AA112" s="27"/>
      <c r="AB112" s="27"/>
      <c r="AC112" s="27"/>
      <c r="AD112" s="27"/>
    </row>
    <row r="113" spans="1:30" s="28" customFormat="1" x14ac:dyDescent="0.25">
      <c r="A113" s="27"/>
      <c r="B113" s="27"/>
      <c r="C113" s="27"/>
      <c r="D113" s="9"/>
      <c r="E113" s="27"/>
      <c r="F113" s="27"/>
      <c r="G113" s="27"/>
      <c r="H113" s="27"/>
      <c r="I113" s="27"/>
      <c r="J113" s="27"/>
      <c r="K113" s="27"/>
      <c r="L113" s="27"/>
      <c r="M113" s="27"/>
      <c r="O113" s="482"/>
      <c r="P113" s="27"/>
      <c r="R113" s="482"/>
      <c r="S113" s="27"/>
      <c r="U113" s="482"/>
      <c r="V113" s="27"/>
      <c r="X113" s="27"/>
      <c r="AA113" s="27"/>
      <c r="AB113" s="27"/>
      <c r="AC113" s="27"/>
      <c r="AD113" s="27"/>
    </row>
    <row r="114" spans="1:30" s="28" customFormat="1" x14ac:dyDescent="0.25">
      <c r="A114" s="27"/>
      <c r="B114" s="27"/>
      <c r="C114" s="27"/>
      <c r="D114" s="9" t="str">
        <f>D36</f>
        <v>Personnel</v>
      </c>
      <c r="E114" s="27"/>
      <c r="F114" s="27"/>
      <c r="G114" s="27"/>
      <c r="H114" s="27"/>
      <c r="I114" s="27"/>
      <c r="J114" s="27"/>
      <c r="K114" s="27"/>
      <c r="L114" s="27"/>
      <c r="M114" s="27"/>
      <c r="O114" s="482"/>
      <c r="P114" s="27"/>
      <c r="R114" s="482"/>
      <c r="S114" s="27"/>
      <c r="U114" s="482"/>
      <c r="V114" s="27"/>
      <c r="X114" s="27"/>
      <c r="AA114" s="27"/>
      <c r="AB114" s="27"/>
      <c r="AC114" s="27"/>
      <c r="AD114" s="27"/>
    </row>
    <row r="115" spans="1:30" s="28" customFormat="1" x14ac:dyDescent="0.25">
      <c r="A115" s="27"/>
      <c r="B115" s="27"/>
      <c r="C115" s="27"/>
      <c r="D115" s="9" t="str">
        <f>D26</f>
        <v>Property Taxes</v>
      </c>
      <c r="E115" s="27"/>
      <c r="F115" s="27"/>
      <c r="G115" s="27"/>
      <c r="H115" s="27"/>
      <c r="I115" s="27"/>
      <c r="J115" s="27"/>
      <c r="K115" s="27"/>
      <c r="L115" s="27"/>
      <c r="M115" s="27"/>
      <c r="O115" s="482"/>
      <c r="P115" s="27"/>
      <c r="R115" s="482"/>
      <c r="S115" s="27"/>
      <c r="U115" s="482"/>
      <c r="V115" s="27"/>
      <c r="X115" s="27"/>
      <c r="AA115" s="27"/>
      <c r="AB115" s="27"/>
      <c r="AC115" s="27"/>
      <c r="AD115" s="27"/>
    </row>
    <row r="116" spans="1:30" s="28" customFormat="1" x14ac:dyDescent="0.25">
      <c r="A116" s="27"/>
      <c r="B116" s="27"/>
      <c r="C116" s="27"/>
      <c r="D116" s="9" t="str">
        <f>D27</f>
        <v>Insurance</v>
      </c>
      <c r="E116" s="27"/>
      <c r="F116" s="27"/>
      <c r="G116" s="27"/>
      <c r="H116" s="27"/>
      <c r="I116" s="27"/>
      <c r="J116" s="27"/>
      <c r="K116" s="27"/>
      <c r="L116" s="27"/>
      <c r="M116" s="27"/>
      <c r="O116" s="482"/>
      <c r="P116" s="27"/>
      <c r="R116" s="482"/>
      <c r="S116" s="27"/>
      <c r="U116" s="482"/>
      <c r="V116" s="27"/>
      <c r="X116" s="27"/>
      <c r="AA116" s="27"/>
      <c r="AB116" s="27"/>
      <c r="AC116" s="27"/>
      <c r="AD116" s="27"/>
    </row>
    <row r="117" spans="1:30" s="28" customFormat="1" x14ac:dyDescent="0.25">
      <c r="A117" s="27"/>
      <c r="B117" s="27"/>
      <c r="C117" s="27"/>
      <c r="D117" s="9" t="str">
        <f>D28</f>
        <v>Utilities</v>
      </c>
      <c r="E117" s="27"/>
      <c r="F117" s="27"/>
      <c r="G117" s="27"/>
      <c r="H117" s="27"/>
      <c r="I117" s="27"/>
      <c r="J117" s="27"/>
      <c r="K117" s="27"/>
      <c r="L117" s="27"/>
      <c r="M117" s="27"/>
      <c r="O117" s="482"/>
      <c r="P117" s="27"/>
      <c r="R117" s="482"/>
      <c r="S117" s="27"/>
      <c r="U117" s="482"/>
      <c r="V117" s="27"/>
      <c r="X117" s="27"/>
      <c r="AA117" s="27"/>
      <c r="AB117" s="27"/>
      <c r="AC117" s="27"/>
      <c r="AD117" s="27"/>
    </row>
    <row r="118" spans="1:30" s="28" customFormat="1" x14ac:dyDescent="0.25">
      <c r="A118" s="27"/>
      <c r="B118" s="27"/>
      <c r="C118" s="27"/>
      <c r="D118" s="9" t="str">
        <f t="shared" ref="D118:D124" si="39">D29</f>
        <v>Utilities - Sewer &amp; Water</v>
      </c>
      <c r="E118" s="27"/>
      <c r="F118" s="27"/>
      <c r="G118" s="27"/>
      <c r="H118" s="27"/>
      <c r="I118" s="27"/>
      <c r="J118" s="27"/>
      <c r="K118" s="27"/>
      <c r="L118" s="27"/>
      <c r="M118" s="27"/>
      <c r="O118" s="482"/>
      <c r="P118" s="27"/>
      <c r="R118" s="482"/>
      <c r="S118" s="27"/>
      <c r="U118" s="482"/>
      <c r="V118" s="27"/>
      <c r="X118" s="27"/>
      <c r="AA118" s="27"/>
      <c r="AB118" s="27"/>
      <c r="AC118" s="27"/>
      <c r="AD118" s="27"/>
    </row>
    <row r="119" spans="1:30" s="28" customFormat="1" x14ac:dyDescent="0.25">
      <c r="A119" s="27"/>
      <c r="B119" s="27"/>
      <c r="C119" s="27"/>
      <c r="D119" s="9" t="str">
        <f t="shared" si="39"/>
        <v>Utilities - Gas</v>
      </c>
      <c r="E119" s="27"/>
      <c r="F119" s="27"/>
      <c r="G119" s="27"/>
      <c r="H119" s="27"/>
      <c r="I119" s="27"/>
      <c r="J119" s="27"/>
      <c r="K119" s="27"/>
      <c r="L119" s="27"/>
      <c r="M119" s="27"/>
      <c r="O119" s="482"/>
      <c r="P119" s="27"/>
      <c r="R119" s="482"/>
      <c r="S119" s="27"/>
      <c r="U119" s="482"/>
      <c r="V119" s="27"/>
      <c r="X119" s="27"/>
      <c r="AA119" s="27"/>
      <c r="AB119" s="27"/>
      <c r="AC119" s="27"/>
      <c r="AD119" s="27"/>
    </row>
    <row r="120" spans="1:30" s="28" customFormat="1" x14ac:dyDescent="0.25">
      <c r="A120" s="27"/>
      <c r="B120" s="27"/>
      <c r="C120" s="27"/>
      <c r="D120" s="9" t="str">
        <f t="shared" si="39"/>
        <v>Utilities - Electric</v>
      </c>
      <c r="E120" s="27"/>
      <c r="F120" s="27"/>
      <c r="G120" s="27"/>
      <c r="H120" s="27"/>
      <c r="I120" s="27"/>
      <c r="J120" s="27"/>
      <c r="K120" s="27"/>
      <c r="L120" s="27"/>
      <c r="M120" s="27"/>
      <c r="O120" s="482"/>
      <c r="P120" s="27"/>
      <c r="R120" s="482"/>
      <c r="S120" s="27"/>
      <c r="U120" s="482"/>
      <c r="V120" s="27"/>
      <c r="X120" s="27"/>
      <c r="AA120" s="27"/>
      <c r="AB120" s="27"/>
      <c r="AC120" s="27"/>
      <c r="AD120" s="27"/>
    </row>
    <row r="121" spans="1:30" s="28" customFormat="1" x14ac:dyDescent="0.25">
      <c r="A121" s="27"/>
      <c r="B121" s="27"/>
      <c r="C121" s="27"/>
      <c r="D121" s="9" t="str">
        <f t="shared" si="39"/>
        <v>Repairs &amp; Maintenance</v>
      </c>
      <c r="E121" s="27"/>
      <c r="F121" s="27"/>
      <c r="G121" s="27"/>
      <c r="H121" s="27"/>
      <c r="I121" s="27"/>
      <c r="J121" s="27"/>
      <c r="K121" s="27"/>
      <c r="L121" s="27"/>
      <c r="M121" s="27"/>
      <c r="O121" s="482"/>
      <c r="P121" s="27"/>
      <c r="R121" s="482"/>
      <c r="S121" s="27"/>
      <c r="U121" s="482"/>
      <c r="V121" s="27"/>
      <c r="X121" s="27"/>
      <c r="AA121" s="27"/>
      <c r="AB121" s="27"/>
      <c r="AC121" s="27"/>
      <c r="AD121" s="27"/>
    </row>
    <row r="122" spans="1:30" s="28" customFormat="1" x14ac:dyDescent="0.25">
      <c r="A122" s="27"/>
      <c r="B122" s="27"/>
      <c r="C122" s="27"/>
      <c r="D122" s="9" t="str">
        <f t="shared" si="39"/>
        <v>Contract Services</v>
      </c>
      <c r="E122" s="27"/>
      <c r="F122" s="27"/>
      <c r="G122" s="27"/>
      <c r="H122" s="27"/>
      <c r="I122" s="27"/>
      <c r="J122" s="27"/>
      <c r="K122" s="27"/>
      <c r="L122" s="27"/>
      <c r="M122" s="27"/>
      <c r="O122" s="482"/>
      <c r="P122" s="27"/>
      <c r="R122" s="482"/>
      <c r="S122" s="27"/>
      <c r="U122" s="482"/>
      <c r="V122" s="27"/>
      <c r="X122" s="27"/>
      <c r="AA122" s="27"/>
      <c r="AB122" s="27"/>
      <c r="AC122" s="27"/>
      <c r="AD122" s="27"/>
    </row>
    <row r="123" spans="1:30" s="28" customFormat="1" x14ac:dyDescent="0.25">
      <c r="A123" s="27"/>
      <c r="B123" s="27"/>
      <c r="C123" s="27"/>
      <c r="D123" s="9" t="str">
        <f t="shared" si="39"/>
        <v>General &amp; Administrative</v>
      </c>
      <c r="E123" s="27"/>
      <c r="F123" s="27"/>
      <c r="G123" s="27"/>
      <c r="H123" s="27"/>
      <c r="I123" s="27"/>
      <c r="J123" s="27"/>
      <c r="K123" s="27"/>
      <c r="L123" s="27"/>
      <c r="M123" s="27"/>
      <c r="O123" s="482"/>
      <c r="P123" s="27"/>
      <c r="R123" s="482"/>
      <c r="S123" s="27"/>
      <c r="U123" s="482"/>
      <c r="V123" s="27"/>
      <c r="X123" s="27"/>
      <c r="AA123" s="27"/>
      <c r="AB123" s="27"/>
      <c r="AC123" s="27"/>
      <c r="AD123" s="27"/>
    </row>
    <row r="124" spans="1:30" s="28" customFormat="1" x14ac:dyDescent="0.25">
      <c r="A124" s="27"/>
      <c r="B124" s="27"/>
      <c r="C124" s="27"/>
      <c r="D124" s="9" t="str">
        <f t="shared" si="39"/>
        <v>Advertising &amp; Marketing</v>
      </c>
      <c r="E124" s="27"/>
      <c r="F124" s="27"/>
      <c r="G124" s="27"/>
      <c r="H124" s="27"/>
      <c r="I124" s="27"/>
      <c r="J124" s="27"/>
      <c r="K124" s="27"/>
      <c r="L124" s="27"/>
      <c r="M124" s="27"/>
      <c r="O124" s="482"/>
      <c r="P124" s="27"/>
      <c r="R124" s="482"/>
      <c r="S124" s="27"/>
      <c r="U124" s="482"/>
      <c r="V124" s="27"/>
      <c r="X124" s="27"/>
      <c r="AA124" s="27"/>
      <c r="AB124" s="27"/>
      <c r="AC124" s="27"/>
      <c r="AD124" s="27"/>
    </row>
    <row r="125" spans="1:30" s="28" customFormat="1" x14ac:dyDescent="0.25">
      <c r="A125" s="27"/>
      <c r="B125" s="27"/>
      <c r="C125" s="27"/>
      <c r="D125" s="9" t="str">
        <f>D37</f>
        <v>Management Fee</v>
      </c>
      <c r="E125" s="27"/>
      <c r="F125" s="27"/>
      <c r="G125" s="27"/>
      <c r="H125" s="27"/>
      <c r="I125" s="27"/>
      <c r="J125" s="27"/>
      <c r="K125" s="27"/>
      <c r="L125" s="27"/>
      <c r="M125" s="27"/>
      <c r="O125" s="482"/>
      <c r="P125" s="27"/>
      <c r="R125" s="482"/>
      <c r="S125" s="27"/>
      <c r="U125" s="482"/>
      <c r="V125" s="27"/>
      <c r="X125" s="27"/>
      <c r="AA125" s="27"/>
      <c r="AB125" s="27"/>
      <c r="AC125" s="27"/>
      <c r="AD125" s="27"/>
    </row>
    <row r="126" spans="1:30" s="28" customFormat="1" x14ac:dyDescent="0.25">
      <c r="A126" s="27"/>
      <c r="B126" s="27"/>
      <c r="C126" s="27"/>
      <c r="D126" s="9" t="str">
        <f t="shared" ref="D126" si="40">D38</f>
        <v>Replacement Reserves</v>
      </c>
      <c r="E126" s="27"/>
      <c r="F126" s="27"/>
      <c r="G126" s="27"/>
      <c r="H126" s="27"/>
      <c r="I126" s="27"/>
      <c r="J126" s="27"/>
      <c r="K126" s="27"/>
      <c r="L126" s="27"/>
      <c r="M126" s="27"/>
      <c r="O126" s="482"/>
      <c r="P126" s="27"/>
      <c r="R126" s="482"/>
      <c r="S126" s="27"/>
      <c r="U126" s="482"/>
      <c r="V126" s="27"/>
      <c r="X126" s="27"/>
      <c r="AA126" s="27"/>
      <c r="AB126" s="27"/>
      <c r="AC126" s="27"/>
      <c r="AD126" s="27"/>
    </row>
    <row r="127" spans="1:30" s="28" customForma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O127" s="482"/>
      <c r="P127" s="27"/>
      <c r="R127" s="482"/>
      <c r="S127" s="27"/>
      <c r="U127" s="482"/>
      <c r="V127" s="27"/>
      <c r="X127" s="27"/>
      <c r="AA127" s="27"/>
      <c r="AB127" s="27"/>
      <c r="AC127" s="27"/>
      <c r="AD127" s="27"/>
    </row>
    <row r="128" spans="1:30" s="28" customForma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O128" s="482"/>
      <c r="P128" s="27"/>
      <c r="R128" s="482"/>
      <c r="S128" s="27"/>
      <c r="U128" s="482"/>
      <c r="V128" s="27"/>
      <c r="X128" s="27"/>
      <c r="AA128" s="27"/>
      <c r="AB128" s="27"/>
      <c r="AC128" s="27"/>
      <c r="AD128" s="27"/>
    </row>
    <row r="129" spans="1:30" s="28" customForma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O129" s="482"/>
      <c r="P129" s="27"/>
      <c r="R129" s="482"/>
      <c r="S129" s="27"/>
      <c r="U129" s="482"/>
      <c r="V129" s="27"/>
      <c r="X129" s="27"/>
      <c r="AA129" s="27"/>
      <c r="AB129" s="27"/>
      <c r="AC129" s="27"/>
      <c r="AD129" s="27"/>
    </row>
    <row r="130" spans="1:30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O130" s="482"/>
      <c r="P130" s="27"/>
      <c r="R130" s="482"/>
      <c r="S130" s="27"/>
      <c r="U130" s="482"/>
      <c r="V130" s="27"/>
      <c r="X130" s="27"/>
      <c r="AA130" s="27"/>
      <c r="AB130" s="27"/>
      <c r="AC130" s="27"/>
      <c r="AD130" s="27"/>
    </row>
    <row r="131" spans="1:30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O131" s="482"/>
      <c r="P131" s="27"/>
      <c r="R131" s="482"/>
      <c r="S131" s="27"/>
      <c r="U131" s="482"/>
      <c r="V131" s="27"/>
      <c r="X131" s="27"/>
      <c r="AA131" s="27"/>
      <c r="AB131" s="27"/>
      <c r="AC131" s="27"/>
      <c r="AD131" s="27"/>
    </row>
    <row r="132" spans="1:30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O132" s="482"/>
      <c r="P132" s="27"/>
      <c r="R132" s="482"/>
      <c r="S132" s="27"/>
      <c r="U132" s="482"/>
      <c r="V132" s="27"/>
      <c r="X132" s="27"/>
      <c r="AA132" s="27"/>
      <c r="AB132" s="27"/>
      <c r="AC132" s="27"/>
      <c r="AD132" s="27"/>
    </row>
    <row r="133" spans="1:30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O133" s="482"/>
      <c r="P133" s="27"/>
      <c r="R133" s="482"/>
      <c r="S133" s="27"/>
      <c r="U133" s="482"/>
      <c r="V133" s="27"/>
      <c r="X133" s="27"/>
      <c r="AA133" s="27"/>
      <c r="AB133" s="27"/>
      <c r="AC133" s="27"/>
      <c r="AD133" s="27"/>
    </row>
    <row r="134" spans="1:30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O134" s="482"/>
      <c r="P134" s="27"/>
      <c r="R134" s="482"/>
      <c r="S134" s="27"/>
      <c r="U134" s="482"/>
      <c r="V134" s="27"/>
      <c r="X134" s="27"/>
      <c r="AA134" s="27"/>
      <c r="AB134" s="27"/>
      <c r="AC134" s="27"/>
      <c r="AD134" s="27"/>
    </row>
    <row r="135" spans="1:30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O135" s="482"/>
      <c r="P135" s="27"/>
      <c r="R135" s="482"/>
      <c r="S135" s="27"/>
      <c r="U135" s="482"/>
      <c r="V135" s="27"/>
      <c r="X135" s="27"/>
      <c r="AA135" s="27"/>
      <c r="AB135" s="27"/>
      <c r="AC135" s="27"/>
      <c r="AD135" s="27"/>
    </row>
    <row r="136" spans="1:30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O136" s="482"/>
      <c r="P136" s="27"/>
      <c r="R136" s="482"/>
      <c r="S136" s="27"/>
      <c r="U136" s="482"/>
      <c r="V136" s="27"/>
      <c r="X136" s="27"/>
      <c r="AA136" s="27"/>
      <c r="AB136" s="27"/>
      <c r="AC136" s="27"/>
      <c r="AD136" s="27"/>
    </row>
    <row r="137" spans="1:30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O137" s="482"/>
      <c r="P137" s="27"/>
      <c r="R137" s="482"/>
      <c r="S137" s="27"/>
      <c r="U137" s="482"/>
      <c r="V137" s="27"/>
      <c r="X137" s="27"/>
      <c r="AA137" s="27"/>
      <c r="AB137" s="27"/>
      <c r="AC137" s="27"/>
      <c r="AD137" s="27"/>
    </row>
    <row r="138" spans="1:30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O138" s="482"/>
      <c r="P138" s="27"/>
      <c r="R138" s="482"/>
      <c r="S138" s="27"/>
      <c r="U138" s="482"/>
      <c r="V138" s="27"/>
      <c r="X138" s="27"/>
      <c r="AA138" s="27"/>
      <c r="AB138" s="27"/>
      <c r="AC138" s="27"/>
      <c r="AD138" s="27"/>
    </row>
    <row r="139" spans="1:30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O139" s="482"/>
      <c r="P139" s="27"/>
      <c r="R139" s="482"/>
      <c r="S139" s="27"/>
      <c r="U139" s="482"/>
      <c r="V139" s="27"/>
      <c r="X139" s="27"/>
      <c r="AA139" s="27"/>
      <c r="AB139" s="27"/>
      <c r="AC139" s="27"/>
      <c r="AD139" s="27"/>
    </row>
    <row r="140" spans="1:30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O140" s="482"/>
      <c r="P140" s="27"/>
      <c r="R140" s="482"/>
      <c r="S140" s="27"/>
      <c r="U140" s="482"/>
      <c r="V140" s="27"/>
      <c r="X140" s="27"/>
      <c r="AA140" s="27"/>
      <c r="AB140" s="27"/>
      <c r="AC140" s="27"/>
      <c r="AD140" s="27"/>
    </row>
    <row r="141" spans="1:30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O141" s="482"/>
      <c r="P141" s="27"/>
      <c r="R141" s="482"/>
      <c r="S141" s="27"/>
      <c r="U141" s="482"/>
      <c r="V141" s="27"/>
      <c r="X141" s="27"/>
      <c r="AA141" s="27"/>
      <c r="AB141" s="27"/>
      <c r="AC141" s="27"/>
      <c r="AD141" s="27"/>
    </row>
    <row r="142" spans="1:30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O142" s="482"/>
      <c r="P142" s="27"/>
      <c r="R142" s="482"/>
      <c r="S142" s="27"/>
      <c r="U142" s="482"/>
      <c r="V142" s="27"/>
      <c r="X142" s="27"/>
      <c r="AA142" s="27"/>
      <c r="AB142" s="27"/>
      <c r="AC142" s="27"/>
      <c r="AD142" s="27"/>
    </row>
    <row r="143" spans="1:30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O143" s="482"/>
      <c r="P143" s="27"/>
      <c r="R143" s="482"/>
      <c r="S143" s="27"/>
      <c r="U143" s="482"/>
      <c r="V143" s="27"/>
      <c r="X143" s="27"/>
      <c r="AA143" s="27"/>
      <c r="AB143" s="27"/>
      <c r="AC143" s="27"/>
      <c r="AD143" s="27"/>
    </row>
    <row r="144" spans="1:30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O144" s="482"/>
      <c r="P144" s="27"/>
      <c r="R144" s="482"/>
      <c r="S144" s="27"/>
      <c r="U144" s="482"/>
      <c r="V144" s="27"/>
      <c r="X144" s="27"/>
      <c r="AA144" s="27"/>
      <c r="AB144" s="27"/>
      <c r="AC144" s="27"/>
      <c r="AD144" s="27"/>
    </row>
    <row r="145" spans="1:30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O145" s="482"/>
      <c r="P145" s="27"/>
      <c r="R145" s="482"/>
      <c r="S145" s="27"/>
      <c r="U145" s="482"/>
      <c r="V145" s="27"/>
      <c r="X145" s="27"/>
      <c r="AA145" s="27"/>
      <c r="AB145" s="27"/>
      <c r="AC145" s="27"/>
      <c r="AD145" s="27"/>
    </row>
    <row r="146" spans="1:30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O146" s="482"/>
      <c r="P146" s="27"/>
      <c r="R146" s="482"/>
      <c r="S146" s="27"/>
      <c r="U146" s="482"/>
      <c r="V146" s="27"/>
      <c r="X146" s="27"/>
      <c r="AA146" s="27"/>
      <c r="AB146" s="27"/>
      <c r="AC146" s="27"/>
      <c r="AD146" s="27"/>
    </row>
    <row r="147" spans="1:30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O147" s="482"/>
      <c r="P147" s="27"/>
      <c r="R147" s="482"/>
      <c r="S147" s="27"/>
      <c r="U147" s="482"/>
      <c r="V147" s="27"/>
      <c r="X147" s="27"/>
      <c r="AA147" s="27"/>
      <c r="AB147" s="27"/>
      <c r="AC147" s="27"/>
      <c r="AD147" s="27"/>
    </row>
    <row r="148" spans="1:30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O148" s="482"/>
      <c r="P148" s="27"/>
      <c r="R148" s="482"/>
      <c r="S148" s="27"/>
      <c r="U148" s="482"/>
      <c r="V148" s="27"/>
      <c r="X148" s="27"/>
      <c r="AA148" s="27"/>
      <c r="AB148" s="27"/>
      <c r="AC148" s="27"/>
      <c r="AD148" s="27"/>
    </row>
    <row r="149" spans="1:30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O149" s="482"/>
      <c r="P149" s="27"/>
      <c r="R149" s="482"/>
      <c r="S149" s="27"/>
      <c r="U149" s="482"/>
      <c r="V149" s="27"/>
      <c r="X149" s="27"/>
      <c r="AA149" s="27"/>
      <c r="AB149" s="27"/>
      <c r="AC149" s="27"/>
      <c r="AD149" s="27"/>
    </row>
    <row r="150" spans="1:30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O150" s="482"/>
      <c r="P150" s="27"/>
      <c r="R150" s="482"/>
      <c r="S150" s="27"/>
      <c r="U150" s="482"/>
      <c r="V150" s="27"/>
      <c r="X150" s="27"/>
      <c r="AA150" s="27"/>
      <c r="AB150" s="27"/>
      <c r="AC150" s="27"/>
      <c r="AD150" s="27"/>
    </row>
    <row r="151" spans="1:30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O151" s="482"/>
      <c r="P151" s="27"/>
      <c r="R151" s="482"/>
      <c r="S151" s="27"/>
      <c r="U151" s="482"/>
      <c r="V151" s="27"/>
      <c r="X151" s="27"/>
      <c r="AA151" s="27"/>
      <c r="AB151" s="27"/>
      <c r="AC151" s="27"/>
      <c r="AD151" s="27"/>
    </row>
    <row r="152" spans="1:30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O152" s="482"/>
      <c r="P152" s="27"/>
      <c r="R152" s="482"/>
      <c r="S152" s="27"/>
      <c r="U152" s="482"/>
      <c r="V152" s="27"/>
      <c r="X152" s="27"/>
      <c r="AA152" s="27"/>
      <c r="AB152" s="27"/>
      <c r="AC152" s="27"/>
      <c r="AD152" s="27"/>
    </row>
    <row r="153" spans="1:30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O153" s="482"/>
      <c r="P153" s="27"/>
      <c r="R153" s="482"/>
      <c r="S153" s="27"/>
      <c r="U153" s="482"/>
      <c r="V153" s="27"/>
      <c r="X153" s="27"/>
      <c r="AA153" s="27"/>
      <c r="AB153" s="27"/>
      <c r="AC153" s="27"/>
      <c r="AD153" s="27"/>
    </row>
    <row r="154" spans="1:30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O154" s="482"/>
      <c r="P154" s="27"/>
      <c r="R154" s="482"/>
      <c r="S154" s="27"/>
      <c r="U154" s="482"/>
      <c r="V154" s="27"/>
      <c r="X154" s="27"/>
      <c r="AA154" s="27"/>
      <c r="AB154" s="27"/>
      <c r="AC154" s="27"/>
      <c r="AD154" s="27"/>
    </row>
    <row r="155" spans="1:30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O155" s="482"/>
      <c r="P155" s="27"/>
      <c r="R155" s="482"/>
      <c r="S155" s="27"/>
      <c r="U155" s="482"/>
      <c r="V155" s="27"/>
      <c r="X155" s="27"/>
      <c r="AA155" s="27"/>
      <c r="AB155" s="27"/>
      <c r="AC155" s="27"/>
      <c r="AD155" s="27"/>
    </row>
    <row r="156" spans="1:30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O156" s="482"/>
      <c r="P156" s="27"/>
      <c r="R156" s="482"/>
      <c r="S156" s="27"/>
      <c r="U156" s="482"/>
      <c r="V156" s="27"/>
      <c r="X156" s="27"/>
      <c r="AA156" s="27"/>
      <c r="AB156" s="27"/>
      <c r="AC156" s="27"/>
      <c r="AD156" s="27"/>
    </row>
    <row r="157" spans="1:30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O157" s="482"/>
      <c r="P157" s="27"/>
      <c r="R157" s="482"/>
      <c r="S157" s="27"/>
      <c r="U157" s="482"/>
      <c r="V157" s="27"/>
      <c r="X157" s="27"/>
      <c r="AA157" s="27"/>
      <c r="AB157" s="27"/>
      <c r="AC157" s="27"/>
      <c r="AD157" s="27"/>
    </row>
    <row r="158" spans="1:30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O158" s="482"/>
      <c r="P158" s="27"/>
      <c r="R158" s="482"/>
      <c r="S158" s="27"/>
      <c r="U158" s="482"/>
      <c r="V158" s="27"/>
      <c r="X158" s="27"/>
      <c r="AA158" s="27"/>
      <c r="AB158" s="27"/>
      <c r="AC158" s="27"/>
      <c r="AD158" s="27"/>
    </row>
    <row r="159" spans="1:30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O159" s="482"/>
      <c r="P159" s="27"/>
      <c r="R159" s="482"/>
      <c r="S159" s="27"/>
      <c r="U159" s="482"/>
      <c r="V159" s="27"/>
      <c r="X159" s="27"/>
      <c r="AA159" s="27"/>
      <c r="AB159" s="27"/>
      <c r="AC159" s="27"/>
      <c r="AD159" s="27"/>
    </row>
    <row r="160" spans="1:30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O160" s="482"/>
      <c r="P160" s="27"/>
      <c r="R160" s="482"/>
      <c r="S160" s="27"/>
      <c r="U160" s="482"/>
      <c r="V160" s="27"/>
      <c r="X160" s="27"/>
      <c r="AA160" s="27"/>
      <c r="AB160" s="27"/>
      <c r="AC160" s="27"/>
      <c r="AD160" s="27"/>
    </row>
    <row r="161" spans="1:30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O161" s="482"/>
      <c r="P161" s="27"/>
      <c r="R161" s="482"/>
      <c r="S161" s="27"/>
      <c r="U161" s="482"/>
      <c r="V161" s="27"/>
      <c r="X161" s="27"/>
      <c r="AA161" s="27"/>
      <c r="AB161" s="27"/>
      <c r="AC161" s="27"/>
      <c r="AD161" s="27"/>
    </row>
    <row r="162" spans="1:30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O162" s="482"/>
      <c r="P162" s="27"/>
      <c r="R162" s="482"/>
      <c r="S162" s="27"/>
      <c r="U162" s="482"/>
      <c r="V162" s="27"/>
      <c r="X162" s="27"/>
      <c r="AA162" s="27"/>
      <c r="AB162" s="27"/>
      <c r="AC162" s="27"/>
      <c r="AD162" s="27"/>
    </row>
    <row r="163" spans="1:30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O163" s="482"/>
      <c r="P163" s="27"/>
      <c r="R163" s="482"/>
      <c r="S163" s="27"/>
      <c r="U163" s="482"/>
      <c r="V163" s="27"/>
      <c r="X163" s="27"/>
      <c r="AA163" s="27"/>
      <c r="AB163" s="27"/>
      <c r="AC163" s="27"/>
      <c r="AD163" s="27"/>
    </row>
    <row r="164" spans="1:30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O164" s="482"/>
      <c r="P164" s="27"/>
      <c r="R164" s="482"/>
      <c r="S164" s="27"/>
      <c r="U164" s="482"/>
      <c r="V164" s="27"/>
      <c r="X164" s="27"/>
      <c r="AA164" s="27"/>
      <c r="AB164" s="27"/>
      <c r="AC164" s="27"/>
      <c r="AD164" s="27"/>
    </row>
    <row r="165" spans="1:30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O165" s="482"/>
      <c r="P165" s="27"/>
      <c r="R165" s="482"/>
      <c r="S165" s="27"/>
      <c r="U165" s="482"/>
      <c r="V165" s="27"/>
      <c r="X165" s="27"/>
      <c r="AA165" s="27"/>
      <c r="AB165" s="27"/>
      <c r="AC165" s="27"/>
      <c r="AD165" s="27"/>
    </row>
    <row r="166" spans="1:30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O166" s="482"/>
      <c r="P166" s="27"/>
      <c r="R166" s="482"/>
      <c r="S166" s="27"/>
      <c r="U166" s="482"/>
      <c r="V166" s="27"/>
      <c r="X166" s="27"/>
      <c r="AA166" s="27"/>
      <c r="AB166" s="27"/>
      <c r="AC166" s="27"/>
      <c r="AD166" s="27"/>
    </row>
  </sheetData>
  <protectedRanges>
    <protectedRange sqref="AB9:AC18 AB23:AC40 AC19:AC20 AB19:AB21" name="Range2"/>
    <protectedRange sqref="AA5" name="Range1"/>
    <protectedRange sqref="AB22:AC22 AC21" name="Range2_1"/>
  </protectedRanges>
  <dataValidations count="2">
    <dataValidation type="list" allowBlank="1" showInputMessage="1" showErrorMessage="1" sqref="AL4" xr:uid="{FE3A2BCE-499D-4613-BE5E-898DB59AD2FC}">
      <formula1>"T12, Normal"</formula1>
    </dataValidation>
    <dataValidation type="list" allowBlank="1" showInputMessage="1" showErrorMessage="1" sqref="H4:V4" xr:uid="{232DB3A2-803C-42B4-A77D-BF7A710974FC}">
      <formula1>"INCLUDE IN OM,EXCLUDE FROM OM"</formula1>
    </dataValidation>
  </dataValidations>
  <pageMargins left="0.3" right="0.3" top="0.2" bottom="0.2" header="0.3" footer="0.3"/>
  <pageSetup scale="85" fitToHeight="0" orientation="landscape" r:id="rId1"/>
  <ignoredErrors>
    <ignoredError sqref="S24:S25 S23 S39:S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5A6B-6F1A-4FA8-8874-2EF013514015}">
  <sheetPr>
    <tabColor theme="8" tint="0.39997558519241921"/>
    <pageSetUpPr fitToPage="1"/>
  </sheetPr>
  <dimension ref="A1:AF169"/>
  <sheetViews>
    <sheetView showGridLines="0" view="pageBreakPreview" zoomScale="70" zoomScaleNormal="100" zoomScaleSheetLayoutView="70" workbookViewId="0"/>
  </sheetViews>
  <sheetFormatPr defaultColWidth="9.42578125" defaultRowHeight="15" outlineLevelRow="1" x14ac:dyDescent="0.25"/>
  <cols>
    <col min="1" max="2" width="1" customWidth="1"/>
    <col min="3" max="3" width="0.42578125" customWidth="1"/>
    <col min="4" max="4" width="35.85546875" customWidth="1"/>
    <col min="5" max="14" width="15.5703125" customWidth="1"/>
    <col min="15" max="16" width="1" customWidth="1"/>
    <col min="17" max="18" width="10.85546875" customWidth="1"/>
    <col min="19" max="19" width="13.5703125" customWidth="1"/>
    <col min="20" max="20" width="14.42578125" bestFit="1" customWidth="1"/>
    <col min="21" max="21" width="8.5703125" bestFit="1" customWidth="1"/>
    <col min="22" max="22" width="6.42578125" bestFit="1" customWidth="1"/>
    <col min="23" max="23" width="11" bestFit="1" customWidth="1"/>
    <col min="24" max="24" width="15.85546875" bestFit="1" customWidth="1"/>
    <col min="25" max="25" width="16" bestFit="1" customWidth="1"/>
    <col min="26" max="26" width="15.140625" bestFit="1" customWidth="1"/>
    <col min="27" max="27" width="11.140625" bestFit="1" customWidth="1"/>
  </cols>
  <sheetData>
    <row r="1" spans="1:30" s="23" customFormat="1" ht="5.0999999999999996" customHeight="1" x14ac:dyDescent="0.25"/>
    <row r="2" spans="1:30" s="23" customFormat="1" ht="5.0999999999999996" customHeight="1" x14ac:dyDescent="0.25"/>
    <row r="3" spans="1:30" s="23" customFormat="1" ht="24" customHeight="1" thickBot="1" x14ac:dyDescent="0.35">
      <c r="B3" s="24">
        <v>0</v>
      </c>
      <c r="C3" s="5" t="s">
        <v>1875</v>
      </c>
      <c r="D3" s="4"/>
      <c r="E3" s="10"/>
      <c r="F3" s="10"/>
      <c r="G3" s="10"/>
      <c r="H3" s="10"/>
      <c r="I3" s="10"/>
      <c r="J3" s="10"/>
      <c r="K3" s="10"/>
      <c r="L3" s="10"/>
      <c r="M3" s="10"/>
      <c r="N3" s="10"/>
      <c r="O3" s="205" t="str">
        <f>'Exec Summ'!$F$6</f>
        <v>Hudson View Park</v>
      </c>
      <c r="P3" s="11"/>
      <c r="Q3" s="287"/>
      <c r="Y3" s="25"/>
      <c r="Z3" s="25"/>
      <c r="AA3" s="25"/>
      <c r="AB3" s="26"/>
      <c r="AC3" s="26"/>
      <c r="AD3" s="26"/>
    </row>
    <row r="4" spans="1:30" s="28" customFormat="1" ht="11.45" customHeight="1" thickTop="1" x14ac:dyDescent="0.25">
      <c r="A4" s="27"/>
      <c r="B4" s="27"/>
      <c r="C4" s="27"/>
      <c r="D4" s="759"/>
      <c r="E4" s="751"/>
      <c r="F4" s="751"/>
      <c r="G4" s="751"/>
      <c r="H4" s="751"/>
      <c r="I4" s="751"/>
      <c r="J4" s="751"/>
      <c r="K4" s="751"/>
      <c r="L4" s="751"/>
      <c r="M4" s="751"/>
      <c r="N4" s="751"/>
      <c r="O4" s="473"/>
      <c r="P4" s="29"/>
      <c r="Y4" s="33"/>
      <c r="Z4" s="34"/>
      <c r="AA4" s="35"/>
      <c r="AB4" s="25"/>
      <c r="AC4" s="25"/>
      <c r="AD4" s="25"/>
    </row>
    <row r="5" spans="1:30" s="38" customFormat="1" ht="39.950000000000003" customHeight="1" x14ac:dyDescent="0.4">
      <c r="A5" s="36"/>
      <c r="B5" s="36"/>
      <c r="C5" s="215"/>
      <c r="D5" s="517"/>
      <c r="E5" s="1098">
        <v>1</v>
      </c>
      <c r="F5" s="1098">
        <f t="shared" ref="F5:N5" si="0">E5+1</f>
        <v>2</v>
      </c>
      <c r="G5" s="1098">
        <f t="shared" si="0"/>
        <v>3</v>
      </c>
      <c r="H5" s="1098">
        <f t="shared" si="0"/>
        <v>4</v>
      </c>
      <c r="I5" s="1098">
        <f t="shared" si="0"/>
        <v>5</v>
      </c>
      <c r="J5" s="1098">
        <f t="shared" si="0"/>
        <v>6</v>
      </c>
      <c r="K5" s="1098">
        <f t="shared" si="0"/>
        <v>7</v>
      </c>
      <c r="L5" s="1098">
        <f t="shared" si="0"/>
        <v>8</v>
      </c>
      <c r="M5" s="1098">
        <f t="shared" si="0"/>
        <v>9</v>
      </c>
      <c r="N5" s="1098">
        <f t="shared" si="0"/>
        <v>10</v>
      </c>
      <c r="Q5" s="1115" t="s">
        <v>1876</v>
      </c>
      <c r="R5" s="1116"/>
    </row>
    <row r="6" spans="1:30" s="38" customFormat="1" ht="14.1" customHeight="1" x14ac:dyDescent="0.4">
      <c r="A6" s="36"/>
      <c r="B6" s="36"/>
      <c r="C6" s="36"/>
      <c r="D6" s="36"/>
      <c r="E6" s="46"/>
      <c r="F6" s="46"/>
      <c r="G6" s="46"/>
      <c r="H6" s="46"/>
      <c r="I6" s="46"/>
      <c r="J6" s="46"/>
      <c r="K6" s="46"/>
      <c r="L6" s="46"/>
      <c r="M6" s="46"/>
      <c r="N6" s="46"/>
      <c r="Q6" s="32"/>
      <c r="Y6" s="44"/>
    </row>
    <row r="7" spans="1:30" s="44" customFormat="1" ht="14.1" customHeight="1" x14ac:dyDescent="0.3">
      <c r="A7" s="43"/>
      <c r="B7" s="43"/>
      <c r="D7" s="45" t="s">
        <v>50</v>
      </c>
      <c r="E7" s="1099"/>
      <c r="F7" s="1117"/>
      <c r="G7" s="1117"/>
      <c r="H7" s="1117"/>
      <c r="I7" s="1117"/>
      <c r="J7" s="1099"/>
      <c r="K7" s="1099"/>
      <c r="L7" s="1099"/>
      <c r="M7" s="1099"/>
      <c r="N7" s="1099"/>
      <c r="Q7" s="42"/>
      <c r="Y7" s="38"/>
    </row>
    <row r="8" spans="1:30" s="44" customFormat="1" ht="14.1" customHeight="1" x14ac:dyDescent="0.3">
      <c r="A8" s="43"/>
      <c r="B8" s="43"/>
      <c r="D8" s="49" t="s">
        <v>48</v>
      </c>
      <c r="E8" s="768" t="e">
        <f>INDEX('P&amp;Ls Summary'!$S$9:$S$40,MATCH('10-Yr CF'!D8,'P&amp;Ls Summary'!$D$9:$D$40,0))</f>
        <v>#DIV/0!</v>
      </c>
      <c r="F8" s="768" t="e">
        <f>E8*(1+$Q8)</f>
        <v>#DIV/0!</v>
      </c>
      <c r="G8" s="768" t="e">
        <f t="shared" ref="G8:N8" si="1">F8*(1+$Q8)</f>
        <v>#DIV/0!</v>
      </c>
      <c r="H8" s="768" t="e">
        <f t="shared" si="1"/>
        <v>#DIV/0!</v>
      </c>
      <c r="I8" s="768" t="e">
        <f t="shared" si="1"/>
        <v>#DIV/0!</v>
      </c>
      <c r="J8" s="768" t="e">
        <f t="shared" si="1"/>
        <v>#DIV/0!</v>
      </c>
      <c r="K8" s="768" t="e">
        <f t="shared" si="1"/>
        <v>#DIV/0!</v>
      </c>
      <c r="L8" s="768" t="e">
        <f t="shared" si="1"/>
        <v>#DIV/0!</v>
      </c>
      <c r="M8" s="768" t="e">
        <f t="shared" si="1"/>
        <v>#DIV/0!</v>
      </c>
      <c r="N8" s="768" t="e">
        <f t="shared" si="1"/>
        <v>#DIV/0!</v>
      </c>
      <c r="Q8" s="1105">
        <v>0.03</v>
      </c>
      <c r="T8" s="1113" t="s">
        <v>1883</v>
      </c>
    </row>
    <row r="9" spans="1:30" s="44" customFormat="1" ht="14.1" customHeight="1" x14ac:dyDescent="0.3">
      <c r="A9" s="43"/>
      <c r="B9" s="43"/>
      <c r="C9" s="51"/>
      <c r="D9" s="49" t="s">
        <v>224</v>
      </c>
      <c r="E9" s="770" t="e">
        <f>INDEX('P&amp;Ls Summary'!$S$9:$S$40,MATCH('10-Yr CF'!D9,'P&amp;Ls Summary'!$D$9:$D$40,0))</f>
        <v>#DIV/0!</v>
      </c>
      <c r="F9" s="770" t="e">
        <f t="shared" ref="F9:N9" si="2">IF(F5&gt;$T$9,-F8*$Q$9,(1-(E5/$T$9))*$E$9)</f>
        <v>#DIV/0!</v>
      </c>
      <c r="G9" s="770" t="e">
        <f t="shared" si="2"/>
        <v>#DIV/0!</v>
      </c>
      <c r="H9" s="770" t="e">
        <f t="shared" si="2"/>
        <v>#DIV/0!</v>
      </c>
      <c r="I9" s="770" t="e">
        <f t="shared" si="2"/>
        <v>#DIV/0!</v>
      </c>
      <c r="J9" s="770" t="e">
        <f t="shared" si="2"/>
        <v>#DIV/0!</v>
      </c>
      <c r="K9" s="770" t="e">
        <f t="shared" si="2"/>
        <v>#DIV/0!</v>
      </c>
      <c r="L9" s="770" t="e">
        <f t="shared" si="2"/>
        <v>#DIV/0!</v>
      </c>
      <c r="M9" s="770" t="e">
        <f t="shared" si="2"/>
        <v>#DIV/0!</v>
      </c>
      <c r="N9" s="770" t="e">
        <f t="shared" si="2"/>
        <v>#DIV/0!</v>
      </c>
      <c r="Q9" s="1105">
        <v>1.4999999999999999E-2</v>
      </c>
      <c r="R9" s="1109" t="s">
        <v>1882</v>
      </c>
      <c r="T9" s="1114">
        <v>4</v>
      </c>
      <c r="U9" s="1118" t="str">
        <f>"--&gt; after Y"&amp;T9&amp;", LTL will be based on "&amp;TEXT(Q9,"0.0%")&amp;" of Market Rent"</f>
        <v>--&gt; after Y4, LTL will be based on 1.5% of Market Rent</v>
      </c>
      <c r="V9" s="449"/>
      <c r="W9" s="449"/>
      <c r="X9" s="449"/>
    </row>
    <row r="10" spans="1:30" s="44" customFormat="1" ht="14.1" customHeight="1" x14ac:dyDescent="0.3">
      <c r="A10" s="43"/>
      <c r="B10" s="43"/>
      <c r="C10" s="51"/>
      <c r="D10" s="486" t="s">
        <v>225</v>
      </c>
      <c r="E10" s="1103" t="e">
        <f>SUM(E8:E9)</f>
        <v>#DIV/0!</v>
      </c>
      <c r="F10" s="1103" t="e">
        <f t="shared" ref="F10:N10" si="3">SUM(F8:F9)</f>
        <v>#DIV/0!</v>
      </c>
      <c r="G10" s="1103" t="e">
        <f t="shared" si="3"/>
        <v>#DIV/0!</v>
      </c>
      <c r="H10" s="1103" t="e">
        <f t="shared" si="3"/>
        <v>#DIV/0!</v>
      </c>
      <c r="I10" s="1103" t="e">
        <f t="shared" si="3"/>
        <v>#DIV/0!</v>
      </c>
      <c r="J10" s="1103" t="e">
        <f t="shared" si="3"/>
        <v>#DIV/0!</v>
      </c>
      <c r="K10" s="1103" t="e">
        <f t="shared" si="3"/>
        <v>#DIV/0!</v>
      </c>
      <c r="L10" s="1103" t="e">
        <f t="shared" si="3"/>
        <v>#DIV/0!</v>
      </c>
      <c r="M10" s="1103" t="e">
        <f t="shared" si="3"/>
        <v>#DIV/0!</v>
      </c>
      <c r="N10" s="1103" t="e">
        <f t="shared" si="3"/>
        <v>#DIV/0!</v>
      </c>
      <c r="Q10" s="1104"/>
      <c r="R10" s="449"/>
      <c r="S10" s="449"/>
      <c r="T10" s="449"/>
      <c r="U10" s="449"/>
      <c r="V10" s="449"/>
      <c r="W10" s="449"/>
      <c r="X10" s="449"/>
    </row>
    <row r="11" spans="1:30" s="44" customFormat="1" ht="14.1" customHeight="1" x14ac:dyDescent="0.3">
      <c r="A11" s="43"/>
      <c r="B11" s="43"/>
      <c r="C11" s="51"/>
      <c r="D11" s="49" t="s">
        <v>217</v>
      </c>
      <c r="E11" s="770">
        <f>INDEX('P&amp;Ls Summary'!$S$9:$S$40,MATCH('10-Yr CF'!D11,'P&amp;Ls Summary'!$D$9:$D$40,0))</f>
        <v>0</v>
      </c>
      <c r="F11" s="770" t="e">
        <f>-$Q11*F$10</f>
        <v>#DIV/0!</v>
      </c>
      <c r="G11" s="770" t="e">
        <f t="shared" ref="G11:N13" si="4">-$Q11*G$10</f>
        <v>#DIV/0!</v>
      </c>
      <c r="H11" s="770" t="e">
        <f t="shared" si="4"/>
        <v>#DIV/0!</v>
      </c>
      <c r="I11" s="770" t="e">
        <f t="shared" si="4"/>
        <v>#DIV/0!</v>
      </c>
      <c r="J11" s="770" t="e">
        <f t="shared" si="4"/>
        <v>#DIV/0!</v>
      </c>
      <c r="K11" s="770" t="e">
        <f t="shared" si="4"/>
        <v>#DIV/0!</v>
      </c>
      <c r="L11" s="770" t="e">
        <f t="shared" si="4"/>
        <v>#DIV/0!</v>
      </c>
      <c r="M11" s="770" t="e">
        <f t="shared" si="4"/>
        <v>#DIV/0!</v>
      </c>
      <c r="N11" s="770" t="e">
        <f t="shared" si="4"/>
        <v>#DIV/0!</v>
      </c>
      <c r="Q11" s="1104">
        <f>'P&amp;Ls Summary'!AC12</f>
        <v>0.03</v>
      </c>
      <c r="R11" s="1109" t="s">
        <v>1877</v>
      </c>
      <c r="S11" s="449"/>
      <c r="T11" s="449"/>
      <c r="U11" s="449"/>
      <c r="V11" s="449"/>
      <c r="W11" s="449"/>
      <c r="X11" s="449"/>
    </row>
    <row r="12" spans="1:30" s="44" customFormat="1" ht="14.1" customHeight="1" outlineLevel="1" x14ac:dyDescent="0.3">
      <c r="A12" s="43"/>
      <c r="B12" s="43"/>
      <c r="C12" s="51"/>
      <c r="D12" s="49" t="s">
        <v>195</v>
      </c>
      <c r="E12" s="770">
        <f>INDEX('P&amp;Ls Summary'!$S$9:$S$40,MATCH('10-Yr CF'!D12,'P&amp;Ls Summary'!$D$9:$D$40,0))</f>
        <v>0</v>
      </c>
      <c r="F12" s="770" t="e">
        <f t="shared" ref="F12:F13" si="5">-$Q12*F$10</f>
        <v>#DIV/0!</v>
      </c>
      <c r="G12" s="770" t="e">
        <f t="shared" si="4"/>
        <v>#DIV/0!</v>
      </c>
      <c r="H12" s="770" t="e">
        <f t="shared" si="4"/>
        <v>#DIV/0!</v>
      </c>
      <c r="I12" s="770" t="e">
        <f t="shared" si="4"/>
        <v>#DIV/0!</v>
      </c>
      <c r="J12" s="770" t="e">
        <f t="shared" si="4"/>
        <v>#DIV/0!</v>
      </c>
      <c r="K12" s="770" t="e">
        <f t="shared" si="4"/>
        <v>#DIV/0!</v>
      </c>
      <c r="L12" s="770" t="e">
        <f t="shared" si="4"/>
        <v>#DIV/0!</v>
      </c>
      <c r="M12" s="770" t="e">
        <f t="shared" si="4"/>
        <v>#DIV/0!</v>
      </c>
      <c r="N12" s="770" t="e">
        <f t="shared" si="4"/>
        <v>#DIV/0!</v>
      </c>
      <c r="Q12" s="1104">
        <f>'P&amp;Ls Summary'!AC13</f>
        <v>0</v>
      </c>
      <c r="R12" s="1109" t="s">
        <v>1877</v>
      </c>
    </row>
    <row r="13" spans="1:30" s="44" customFormat="1" ht="14.1" customHeight="1" outlineLevel="1" collapsed="1" x14ac:dyDescent="0.3">
      <c r="A13" s="43"/>
      <c r="B13" s="43"/>
      <c r="C13" s="51"/>
      <c r="D13" s="49" t="s">
        <v>193</v>
      </c>
      <c r="E13" s="770">
        <f>INDEX('P&amp;Ls Summary'!$S$9:$S$40,MATCH('10-Yr CF'!D13,'P&amp;Ls Summary'!$D$9:$D$40,0))</f>
        <v>0</v>
      </c>
      <c r="F13" s="770" t="e">
        <f t="shared" si="5"/>
        <v>#DIV/0!</v>
      </c>
      <c r="G13" s="770" t="e">
        <f t="shared" si="4"/>
        <v>#DIV/0!</v>
      </c>
      <c r="H13" s="770" t="e">
        <f t="shared" si="4"/>
        <v>#DIV/0!</v>
      </c>
      <c r="I13" s="770" t="e">
        <f t="shared" si="4"/>
        <v>#DIV/0!</v>
      </c>
      <c r="J13" s="770" t="e">
        <f t="shared" si="4"/>
        <v>#DIV/0!</v>
      </c>
      <c r="K13" s="770" t="e">
        <f t="shared" si="4"/>
        <v>#DIV/0!</v>
      </c>
      <c r="L13" s="770" t="e">
        <f t="shared" si="4"/>
        <v>#DIV/0!</v>
      </c>
      <c r="M13" s="770" t="e">
        <f t="shared" si="4"/>
        <v>#DIV/0!</v>
      </c>
      <c r="N13" s="770" t="e">
        <f t="shared" si="4"/>
        <v>#DIV/0!</v>
      </c>
      <c r="Q13" s="1104">
        <f>'P&amp;Ls Summary'!AC14</f>
        <v>0</v>
      </c>
      <c r="R13" s="1109" t="s">
        <v>1877</v>
      </c>
    </row>
    <row r="14" spans="1:30" s="44" customFormat="1" ht="14.1" customHeight="1" x14ac:dyDescent="0.3">
      <c r="A14" s="43"/>
      <c r="B14" s="43"/>
      <c r="C14" s="51"/>
      <c r="D14" s="49" t="s">
        <v>36</v>
      </c>
      <c r="E14" s="770" t="e">
        <f>INDEX('P&amp;Ls Summary'!$S$9:$S$40,MATCH('10-Yr CF'!D14,'P&amp;Ls Summary'!$D$9:$D$40,0))</f>
        <v>#DIV/0!</v>
      </c>
      <c r="F14" s="770" t="e">
        <f t="shared" ref="F14:N14" si="6">E14*(1+$Q14)</f>
        <v>#DIV/0!</v>
      </c>
      <c r="G14" s="770" t="e">
        <f t="shared" si="6"/>
        <v>#DIV/0!</v>
      </c>
      <c r="H14" s="770" t="e">
        <f t="shared" si="6"/>
        <v>#DIV/0!</v>
      </c>
      <c r="I14" s="770" t="e">
        <f t="shared" si="6"/>
        <v>#DIV/0!</v>
      </c>
      <c r="J14" s="770" t="e">
        <f t="shared" si="6"/>
        <v>#DIV/0!</v>
      </c>
      <c r="K14" s="770" t="e">
        <f t="shared" si="6"/>
        <v>#DIV/0!</v>
      </c>
      <c r="L14" s="770" t="e">
        <f t="shared" si="6"/>
        <v>#DIV/0!</v>
      </c>
      <c r="M14" s="770" t="e">
        <f t="shared" si="6"/>
        <v>#DIV/0!</v>
      </c>
      <c r="N14" s="770" t="e">
        <f t="shared" si="6"/>
        <v>#DIV/0!</v>
      </c>
      <c r="Q14" s="1105">
        <v>2.5000000000000001E-2</v>
      </c>
    </row>
    <row r="15" spans="1:30" s="44" customFormat="1" ht="14.1" customHeight="1" x14ac:dyDescent="0.3">
      <c r="A15" s="43"/>
      <c r="B15" s="43"/>
      <c r="C15" s="51"/>
      <c r="D15" s="49" t="s">
        <v>175</v>
      </c>
      <c r="E15" s="770" t="e">
        <f>INDEX('P&amp;Ls Summary'!$S$9:$S$40,MATCH('10-Yr CF'!D15,'P&amp;Ls Summary'!$D$9:$D$40,0))</f>
        <v>#DIV/0!</v>
      </c>
      <c r="F15" s="770" t="e">
        <f t="shared" ref="F15:N15" si="7">E15*(1+$Q15)</f>
        <v>#DIV/0!</v>
      </c>
      <c r="G15" s="770" t="e">
        <f t="shared" si="7"/>
        <v>#DIV/0!</v>
      </c>
      <c r="H15" s="770" t="e">
        <f t="shared" si="7"/>
        <v>#DIV/0!</v>
      </c>
      <c r="I15" s="770" t="e">
        <f t="shared" si="7"/>
        <v>#DIV/0!</v>
      </c>
      <c r="J15" s="770" t="e">
        <f t="shared" si="7"/>
        <v>#DIV/0!</v>
      </c>
      <c r="K15" s="770" t="e">
        <f t="shared" si="7"/>
        <v>#DIV/0!</v>
      </c>
      <c r="L15" s="770" t="e">
        <f t="shared" si="7"/>
        <v>#DIV/0!</v>
      </c>
      <c r="M15" s="770" t="e">
        <f t="shared" si="7"/>
        <v>#DIV/0!</v>
      </c>
      <c r="N15" s="770" t="e">
        <f t="shared" si="7"/>
        <v>#DIV/0!</v>
      </c>
      <c r="Q15" s="1105">
        <f t="shared" ref="Q15:Q20" si="8">$Q$14</f>
        <v>2.5000000000000001E-2</v>
      </c>
    </row>
    <row r="16" spans="1:30" s="44" customFormat="1" ht="14.1" customHeight="1" x14ac:dyDescent="0.3">
      <c r="A16" s="43"/>
      <c r="B16" s="43"/>
      <c r="C16" s="51"/>
      <c r="D16" s="49" t="s">
        <v>1759</v>
      </c>
      <c r="E16" s="770" t="e">
        <f>INDEX('P&amp;Ls Summary'!$S$9:$S$40,MATCH('10-Yr CF'!D16,'P&amp;Ls Summary'!$D$9:$D$40,0))</f>
        <v>#DIV/0!</v>
      </c>
      <c r="F16" s="770" t="e">
        <f t="shared" ref="F16:N17" si="9">E16*(1+$Q16)</f>
        <v>#DIV/0!</v>
      </c>
      <c r="G16" s="770" t="e">
        <f t="shared" si="9"/>
        <v>#DIV/0!</v>
      </c>
      <c r="H16" s="770" t="e">
        <f t="shared" si="9"/>
        <v>#DIV/0!</v>
      </c>
      <c r="I16" s="770" t="e">
        <f t="shared" si="9"/>
        <v>#DIV/0!</v>
      </c>
      <c r="J16" s="770" t="e">
        <f t="shared" si="9"/>
        <v>#DIV/0!</v>
      </c>
      <c r="K16" s="770" t="e">
        <f t="shared" si="9"/>
        <v>#DIV/0!</v>
      </c>
      <c r="L16" s="770" t="e">
        <f t="shared" si="9"/>
        <v>#DIV/0!</v>
      </c>
      <c r="M16" s="770" t="e">
        <f t="shared" si="9"/>
        <v>#DIV/0!</v>
      </c>
      <c r="N16" s="770" t="e">
        <f t="shared" si="9"/>
        <v>#DIV/0!</v>
      </c>
      <c r="Q16" s="1105">
        <f t="shared" si="8"/>
        <v>2.5000000000000001E-2</v>
      </c>
    </row>
    <row r="17" spans="1:32" s="44" customFormat="1" ht="14.1" customHeight="1" x14ac:dyDescent="0.3">
      <c r="A17" s="43"/>
      <c r="B17" s="43"/>
      <c r="C17" s="51"/>
      <c r="D17" s="49" t="s">
        <v>1884</v>
      </c>
      <c r="E17" s="770" t="e">
        <f>INDEX('P&amp;Ls Summary'!$S$9:$S$40,MATCH('10-Yr CF'!D17,'P&amp;Ls Summary'!$D$9:$D$40,0))</f>
        <v>#DIV/0!</v>
      </c>
      <c r="F17" s="770" t="e">
        <f t="shared" si="9"/>
        <v>#DIV/0!</v>
      </c>
      <c r="G17" s="770" t="e">
        <f t="shared" si="9"/>
        <v>#DIV/0!</v>
      </c>
      <c r="H17" s="770" t="e">
        <f t="shared" si="9"/>
        <v>#DIV/0!</v>
      </c>
      <c r="I17" s="770" t="e">
        <f t="shared" si="9"/>
        <v>#DIV/0!</v>
      </c>
      <c r="J17" s="770" t="e">
        <f t="shared" si="9"/>
        <v>#DIV/0!</v>
      </c>
      <c r="K17" s="770" t="e">
        <f t="shared" si="9"/>
        <v>#DIV/0!</v>
      </c>
      <c r="L17" s="770" t="e">
        <f t="shared" si="9"/>
        <v>#DIV/0!</v>
      </c>
      <c r="M17" s="770" t="e">
        <f t="shared" si="9"/>
        <v>#DIV/0!</v>
      </c>
      <c r="N17" s="770" t="e">
        <f t="shared" si="9"/>
        <v>#DIV/0!</v>
      </c>
      <c r="Q17" s="1105">
        <f t="shared" si="8"/>
        <v>2.5000000000000001E-2</v>
      </c>
    </row>
    <row r="18" spans="1:32" s="44" customFormat="1" ht="14.1" customHeight="1" x14ac:dyDescent="0.3">
      <c r="A18" s="43"/>
      <c r="B18" s="43"/>
      <c r="C18" s="51"/>
      <c r="D18" s="49" t="s">
        <v>194</v>
      </c>
      <c r="E18" s="770" t="e">
        <f>INDEX('P&amp;Ls Summary'!$S$9:$S$40,MATCH('10-Yr CF'!D18,'P&amp;Ls Summary'!$D$9:$D$40,0))</f>
        <v>#DIV/0!</v>
      </c>
      <c r="F18" s="770" t="e">
        <f t="shared" ref="F18:N18" si="10">E18*(1+$Q18)</f>
        <v>#DIV/0!</v>
      </c>
      <c r="G18" s="770" t="e">
        <f t="shared" si="10"/>
        <v>#DIV/0!</v>
      </c>
      <c r="H18" s="770" t="e">
        <f t="shared" si="10"/>
        <v>#DIV/0!</v>
      </c>
      <c r="I18" s="770" t="e">
        <f t="shared" si="10"/>
        <v>#DIV/0!</v>
      </c>
      <c r="J18" s="770" t="e">
        <f t="shared" si="10"/>
        <v>#DIV/0!</v>
      </c>
      <c r="K18" s="770" t="e">
        <f t="shared" si="10"/>
        <v>#DIV/0!</v>
      </c>
      <c r="L18" s="770" t="e">
        <f t="shared" si="10"/>
        <v>#DIV/0!</v>
      </c>
      <c r="M18" s="770" t="e">
        <f t="shared" si="10"/>
        <v>#DIV/0!</v>
      </c>
      <c r="N18" s="770" t="e">
        <f t="shared" si="10"/>
        <v>#DIV/0!</v>
      </c>
      <c r="Q18" s="1105">
        <f t="shared" si="8"/>
        <v>2.5000000000000001E-2</v>
      </c>
    </row>
    <row r="19" spans="1:32" s="44" customFormat="1" ht="14.1" customHeight="1" x14ac:dyDescent="0.3">
      <c r="A19" s="43"/>
      <c r="B19" s="43"/>
      <c r="C19" s="51"/>
      <c r="D19" s="49" t="s">
        <v>4</v>
      </c>
      <c r="E19" s="770" t="e">
        <f>INDEX('P&amp;Ls Summary'!$S$9:$S$40,MATCH('10-Yr CF'!D19,'P&amp;Ls Summary'!$D$9:$D$40,0))</f>
        <v>#DIV/0!</v>
      </c>
      <c r="F19" s="770" t="e">
        <f t="shared" ref="F19:N19" si="11">E19*(1+$Q19)</f>
        <v>#DIV/0!</v>
      </c>
      <c r="G19" s="770" t="e">
        <f t="shared" si="11"/>
        <v>#DIV/0!</v>
      </c>
      <c r="H19" s="770" t="e">
        <f t="shared" si="11"/>
        <v>#DIV/0!</v>
      </c>
      <c r="I19" s="770" t="e">
        <f t="shared" si="11"/>
        <v>#DIV/0!</v>
      </c>
      <c r="J19" s="770" t="e">
        <f t="shared" si="11"/>
        <v>#DIV/0!</v>
      </c>
      <c r="K19" s="770" t="e">
        <f t="shared" si="11"/>
        <v>#DIV/0!</v>
      </c>
      <c r="L19" s="770" t="e">
        <f t="shared" si="11"/>
        <v>#DIV/0!</v>
      </c>
      <c r="M19" s="770" t="e">
        <f t="shared" si="11"/>
        <v>#DIV/0!</v>
      </c>
      <c r="N19" s="770" t="e">
        <f t="shared" si="11"/>
        <v>#DIV/0!</v>
      </c>
      <c r="Q19" s="1105">
        <f t="shared" si="8"/>
        <v>2.5000000000000001E-2</v>
      </c>
    </row>
    <row r="20" spans="1:32" s="44" customFormat="1" ht="14.1" customHeight="1" outlineLevel="1" x14ac:dyDescent="0.3">
      <c r="A20" s="43"/>
      <c r="B20" s="43"/>
      <c r="C20" s="51"/>
      <c r="D20" s="49" t="s">
        <v>1835</v>
      </c>
      <c r="E20" s="770">
        <f>INDEX('P&amp;Ls Summary'!$S$9:$S$40,MATCH('10-Yr CF'!D20,'P&amp;Ls Summary'!$D$9:$D$40,0))</f>
        <v>0</v>
      </c>
      <c r="F20" s="770">
        <f t="shared" ref="F20:N20" si="12">E20*(1+$Q20)</f>
        <v>0</v>
      </c>
      <c r="G20" s="770">
        <f t="shared" si="12"/>
        <v>0</v>
      </c>
      <c r="H20" s="770">
        <f t="shared" si="12"/>
        <v>0</v>
      </c>
      <c r="I20" s="770">
        <f t="shared" si="12"/>
        <v>0</v>
      </c>
      <c r="J20" s="770">
        <f t="shared" si="12"/>
        <v>0</v>
      </c>
      <c r="K20" s="770">
        <f t="shared" si="12"/>
        <v>0</v>
      </c>
      <c r="L20" s="770">
        <f t="shared" si="12"/>
        <v>0</v>
      </c>
      <c r="M20" s="770">
        <f t="shared" si="12"/>
        <v>0</v>
      </c>
      <c r="N20" s="770">
        <f t="shared" si="12"/>
        <v>0</v>
      </c>
      <c r="Q20" s="1105">
        <f t="shared" si="8"/>
        <v>2.5000000000000001E-2</v>
      </c>
    </row>
    <row r="21" spans="1:32" s="44" customFormat="1" ht="14.1" customHeight="1" outlineLevel="1" x14ac:dyDescent="0.3">
      <c r="A21" s="43"/>
      <c r="B21" s="43"/>
      <c r="C21" s="51"/>
      <c r="D21" s="52" t="s">
        <v>1836</v>
      </c>
      <c r="E21" s="770">
        <f>INDEX('P&amp;Ls Summary'!$S$9:$S$40,MATCH('10-Yr CF'!D21,'P&amp;Ls Summary'!$D$9:$D$40,0))</f>
        <v>0</v>
      </c>
      <c r="F21" s="770">
        <f>-$Q21*F$20</f>
        <v>0</v>
      </c>
      <c r="G21" s="770">
        <f t="shared" ref="G21:N21" si="13">-$Q21*G$20</f>
        <v>0</v>
      </c>
      <c r="H21" s="770">
        <f t="shared" si="13"/>
        <v>0</v>
      </c>
      <c r="I21" s="770">
        <f t="shared" si="13"/>
        <v>0</v>
      </c>
      <c r="J21" s="770">
        <f t="shared" si="13"/>
        <v>0</v>
      </c>
      <c r="K21" s="770">
        <f t="shared" si="13"/>
        <v>0</v>
      </c>
      <c r="L21" s="770">
        <f t="shared" si="13"/>
        <v>0</v>
      </c>
      <c r="M21" s="770">
        <f t="shared" si="13"/>
        <v>0</v>
      </c>
      <c r="N21" s="770">
        <f t="shared" si="13"/>
        <v>0</v>
      </c>
      <c r="Q21" s="1104">
        <f>'P&amp;Ls Summary'!AC22</f>
        <v>0.05</v>
      </c>
      <c r="R21" s="1109" t="s">
        <v>1878</v>
      </c>
    </row>
    <row r="22" spans="1:32" s="44" customFormat="1" ht="14.1" customHeight="1" x14ac:dyDescent="0.3">
      <c r="A22" s="43"/>
      <c r="B22" s="43"/>
      <c r="C22" s="36"/>
      <c r="D22" s="56" t="s">
        <v>29</v>
      </c>
      <c r="E22" s="1100" t="e">
        <f t="shared" ref="E22:N22" si="14">SUM(E10:E21)</f>
        <v>#DIV/0!</v>
      </c>
      <c r="F22" s="1100" t="e">
        <f t="shared" si="14"/>
        <v>#DIV/0!</v>
      </c>
      <c r="G22" s="1100" t="e">
        <f t="shared" si="14"/>
        <v>#DIV/0!</v>
      </c>
      <c r="H22" s="1100" t="e">
        <f t="shared" si="14"/>
        <v>#DIV/0!</v>
      </c>
      <c r="I22" s="1100" t="e">
        <f t="shared" si="14"/>
        <v>#DIV/0!</v>
      </c>
      <c r="J22" s="1100" t="e">
        <f t="shared" si="14"/>
        <v>#DIV/0!</v>
      </c>
      <c r="K22" s="1100" t="e">
        <f t="shared" si="14"/>
        <v>#DIV/0!</v>
      </c>
      <c r="L22" s="1100" t="e">
        <f t="shared" si="14"/>
        <v>#DIV/0!</v>
      </c>
      <c r="M22" s="1100" t="e">
        <f t="shared" si="14"/>
        <v>#DIV/0!</v>
      </c>
      <c r="N22" s="1100" t="e">
        <f t="shared" si="14"/>
        <v>#DIV/0!</v>
      </c>
      <c r="Q22" s="1104"/>
    </row>
    <row r="23" spans="1:32" s="44" customFormat="1" ht="14.1" customHeight="1" x14ac:dyDescent="0.3">
      <c r="A23" s="43"/>
      <c r="B23" s="43"/>
      <c r="C23" s="51"/>
      <c r="D23" s="58"/>
      <c r="E23" s="1101"/>
      <c r="F23" s="1101"/>
      <c r="G23" s="1101"/>
      <c r="H23" s="1101"/>
      <c r="I23" s="1101"/>
      <c r="J23" s="1101"/>
      <c r="K23" s="1101"/>
      <c r="L23" s="1101"/>
      <c r="M23" s="1101"/>
      <c r="N23" s="1101"/>
      <c r="Q23" s="1108"/>
    </row>
    <row r="24" spans="1:32" s="44" customFormat="1" ht="14.1" customHeight="1" x14ac:dyDescent="0.3">
      <c r="A24" s="43"/>
      <c r="B24" s="43"/>
      <c r="D24" s="60" t="s">
        <v>51</v>
      </c>
      <c r="E24" s="1101"/>
      <c r="F24" s="1101"/>
      <c r="G24" s="1101"/>
      <c r="H24" s="1101"/>
      <c r="I24" s="1101"/>
      <c r="J24" s="1101"/>
      <c r="K24" s="1101"/>
      <c r="L24" s="1101"/>
      <c r="M24" s="1101"/>
      <c r="N24" s="1101"/>
      <c r="Q24" s="1106"/>
    </row>
    <row r="25" spans="1:32" s="44" customFormat="1" ht="14.1" customHeight="1" x14ac:dyDescent="0.3">
      <c r="A25" s="43"/>
      <c r="B25" s="43"/>
      <c r="C25" s="43"/>
      <c r="D25" s="49" t="s">
        <v>52</v>
      </c>
      <c r="E25" s="768" t="e">
        <f>INDEX('P&amp;Ls Summary'!$S$9:$S$40,MATCH('10-Yr CF'!D25,'P&amp;Ls Summary'!$D$9:$D$40,0))</f>
        <v>#DIV/0!</v>
      </c>
      <c r="F25" s="768" t="e">
        <f t="shared" ref="F25:N25" si="15">E25*(1+$Q25)</f>
        <v>#DIV/0!</v>
      </c>
      <c r="G25" s="768" t="e">
        <f t="shared" si="15"/>
        <v>#DIV/0!</v>
      </c>
      <c r="H25" s="768" t="e">
        <f t="shared" si="15"/>
        <v>#DIV/0!</v>
      </c>
      <c r="I25" s="768" t="e">
        <f t="shared" si="15"/>
        <v>#DIV/0!</v>
      </c>
      <c r="J25" s="768" t="e">
        <f t="shared" si="15"/>
        <v>#DIV/0!</v>
      </c>
      <c r="K25" s="768" t="e">
        <f t="shared" si="15"/>
        <v>#DIV/0!</v>
      </c>
      <c r="L25" s="768" t="e">
        <f t="shared" si="15"/>
        <v>#DIV/0!</v>
      </c>
      <c r="M25" s="768" t="e">
        <f t="shared" si="15"/>
        <v>#DIV/0!</v>
      </c>
      <c r="N25" s="768" t="e">
        <f t="shared" si="15"/>
        <v>#DIV/0!</v>
      </c>
      <c r="Q25" s="1105">
        <f t="shared" ref="Q25:Q35" si="16">$Q$14</f>
        <v>2.5000000000000001E-2</v>
      </c>
    </row>
    <row r="26" spans="1:32" s="44" customFormat="1" ht="14.1" customHeight="1" x14ac:dyDescent="0.3">
      <c r="A26" s="43"/>
      <c r="B26" s="43"/>
      <c r="C26" s="43"/>
      <c r="D26" s="49" t="s">
        <v>10</v>
      </c>
      <c r="E26" s="770" t="e">
        <f>INDEX('P&amp;Ls Summary'!$S$9:$S$40,MATCH('10-Yr CF'!D26,'P&amp;Ls Summary'!$D$9:$D$40,0))</f>
        <v>#DIV/0!</v>
      </c>
      <c r="F26" s="770" t="e">
        <f t="shared" ref="F26:N26" si="17">E26*(1+$Q26)</f>
        <v>#DIV/0!</v>
      </c>
      <c r="G26" s="770" t="e">
        <f t="shared" si="17"/>
        <v>#DIV/0!</v>
      </c>
      <c r="H26" s="770" t="e">
        <f t="shared" si="17"/>
        <v>#DIV/0!</v>
      </c>
      <c r="I26" s="770" t="e">
        <f t="shared" si="17"/>
        <v>#DIV/0!</v>
      </c>
      <c r="J26" s="770" t="e">
        <f t="shared" si="17"/>
        <v>#DIV/0!</v>
      </c>
      <c r="K26" s="770" t="e">
        <f t="shared" si="17"/>
        <v>#DIV/0!</v>
      </c>
      <c r="L26" s="770" t="e">
        <f t="shared" si="17"/>
        <v>#DIV/0!</v>
      </c>
      <c r="M26" s="770" t="e">
        <f t="shared" si="17"/>
        <v>#DIV/0!</v>
      </c>
      <c r="N26" s="770" t="e">
        <f t="shared" si="17"/>
        <v>#DIV/0!</v>
      </c>
      <c r="Q26" s="1105">
        <f t="shared" si="16"/>
        <v>2.5000000000000001E-2</v>
      </c>
    </row>
    <row r="27" spans="1:32" s="44" customFormat="1" ht="14.1" customHeight="1" outlineLevel="1" x14ac:dyDescent="0.3">
      <c r="A27" s="43"/>
      <c r="B27" s="43"/>
      <c r="C27" s="43"/>
      <c r="D27" s="49" t="s">
        <v>1869</v>
      </c>
      <c r="E27" s="770" t="e">
        <f>INDEX('P&amp;Ls Summary'!$S$9:$S$40,MATCH('10-Yr CF'!D27,'P&amp;Ls Summary'!$D$9:$D$40,0))</f>
        <v>#DIV/0!</v>
      </c>
      <c r="F27" s="770" t="e">
        <f t="shared" ref="F27:N27" si="18">E27*(1+$Q27)</f>
        <v>#DIV/0!</v>
      </c>
      <c r="G27" s="770" t="e">
        <f t="shared" si="18"/>
        <v>#DIV/0!</v>
      </c>
      <c r="H27" s="770" t="e">
        <f t="shared" si="18"/>
        <v>#DIV/0!</v>
      </c>
      <c r="I27" s="770" t="e">
        <f t="shared" si="18"/>
        <v>#DIV/0!</v>
      </c>
      <c r="J27" s="770" t="e">
        <f t="shared" si="18"/>
        <v>#DIV/0!</v>
      </c>
      <c r="K27" s="770" t="e">
        <f t="shared" si="18"/>
        <v>#DIV/0!</v>
      </c>
      <c r="L27" s="770" t="e">
        <f t="shared" si="18"/>
        <v>#DIV/0!</v>
      </c>
      <c r="M27" s="770" t="e">
        <f t="shared" si="18"/>
        <v>#DIV/0!</v>
      </c>
      <c r="N27" s="770" t="e">
        <f t="shared" si="18"/>
        <v>#DIV/0!</v>
      </c>
      <c r="O27" s="1093"/>
      <c r="P27" s="1093"/>
      <c r="Q27" s="1105">
        <f t="shared" si="16"/>
        <v>2.5000000000000001E-2</v>
      </c>
      <c r="R27" s="1093"/>
      <c r="S27" s="1093"/>
      <c r="T27" s="1093"/>
      <c r="U27" s="1093"/>
      <c r="V27" s="1093"/>
      <c r="W27" s="1093"/>
      <c r="X27" s="1093"/>
      <c r="Y27" s="1093"/>
      <c r="Z27" s="1093"/>
      <c r="AA27" s="1093"/>
      <c r="AB27" s="1093"/>
      <c r="AC27" s="1093"/>
      <c r="AD27" s="1093"/>
      <c r="AE27" s="1093"/>
      <c r="AF27" s="1093"/>
    </row>
    <row r="28" spans="1:32" s="44" customFormat="1" ht="14.1" customHeight="1" x14ac:dyDescent="0.3">
      <c r="A28" s="43"/>
      <c r="B28" s="43"/>
      <c r="C28" s="43"/>
      <c r="D28" s="49" t="s">
        <v>38</v>
      </c>
      <c r="E28" s="770" t="e">
        <f>INDEX('P&amp;Ls Summary'!$S$9:$S$40,MATCH('10-Yr CF'!D28,'P&amp;Ls Summary'!$D$9:$D$40,0))</f>
        <v>#DIV/0!</v>
      </c>
      <c r="F28" s="770" t="e">
        <f t="shared" ref="F28:N28" si="19">E28*(1+$Q28)</f>
        <v>#DIV/0!</v>
      </c>
      <c r="G28" s="770" t="e">
        <f t="shared" si="19"/>
        <v>#DIV/0!</v>
      </c>
      <c r="H28" s="770" t="e">
        <f t="shared" si="19"/>
        <v>#DIV/0!</v>
      </c>
      <c r="I28" s="770" t="e">
        <f t="shared" si="19"/>
        <v>#DIV/0!</v>
      </c>
      <c r="J28" s="770" t="e">
        <f t="shared" si="19"/>
        <v>#DIV/0!</v>
      </c>
      <c r="K28" s="770" t="e">
        <f t="shared" si="19"/>
        <v>#DIV/0!</v>
      </c>
      <c r="L28" s="770" t="e">
        <f t="shared" si="19"/>
        <v>#DIV/0!</v>
      </c>
      <c r="M28" s="770" t="e">
        <f t="shared" si="19"/>
        <v>#DIV/0!</v>
      </c>
      <c r="N28" s="770" t="e">
        <f t="shared" si="19"/>
        <v>#DIV/0!</v>
      </c>
      <c r="Q28" s="1105">
        <f t="shared" si="16"/>
        <v>2.5000000000000001E-2</v>
      </c>
    </row>
    <row r="29" spans="1:32" s="44" customFormat="1" ht="14.1" customHeight="1" x14ac:dyDescent="0.3">
      <c r="A29" s="43"/>
      <c r="B29" s="43"/>
      <c r="C29" s="43"/>
      <c r="D29" s="49" t="s">
        <v>39</v>
      </c>
      <c r="E29" s="770" t="e">
        <f>INDEX('P&amp;Ls Summary'!$S$9:$S$40,MATCH('10-Yr CF'!D29,'P&amp;Ls Summary'!$D$9:$D$40,0))</f>
        <v>#DIV/0!</v>
      </c>
      <c r="F29" s="770" t="e">
        <f t="shared" ref="F29:N29" si="20">E29*(1+$Q29)</f>
        <v>#DIV/0!</v>
      </c>
      <c r="G29" s="770" t="e">
        <f t="shared" si="20"/>
        <v>#DIV/0!</v>
      </c>
      <c r="H29" s="770" t="e">
        <f t="shared" si="20"/>
        <v>#DIV/0!</v>
      </c>
      <c r="I29" s="770" t="e">
        <f t="shared" si="20"/>
        <v>#DIV/0!</v>
      </c>
      <c r="J29" s="770" t="e">
        <f t="shared" si="20"/>
        <v>#DIV/0!</v>
      </c>
      <c r="K29" s="770" t="e">
        <f t="shared" si="20"/>
        <v>#DIV/0!</v>
      </c>
      <c r="L29" s="770" t="e">
        <f t="shared" si="20"/>
        <v>#DIV/0!</v>
      </c>
      <c r="M29" s="770" t="e">
        <f t="shared" si="20"/>
        <v>#DIV/0!</v>
      </c>
      <c r="N29" s="770" t="e">
        <f t="shared" si="20"/>
        <v>#DIV/0!</v>
      </c>
      <c r="Q29" s="1105">
        <f t="shared" si="16"/>
        <v>2.5000000000000001E-2</v>
      </c>
    </row>
    <row r="30" spans="1:32" s="44" customFormat="1" ht="14.1" customHeight="1" x14ac:dyDescent="0.3">
      <c r="A30" s="43"/>
      <c r="B30" s="43"/>
      <c r="C30" s="43"/>
      <c r="D30" s="49" t="s">
        <v>40</v>
      </c>
      <c r="E30" s="770" t="e">
        <f>INDEX('P&amp;Ls Summary'!$S$9:$S$40,MATCH('10-Yr CF'!D30,'P&amp;Ls Summary'!$D$9:$D$40,0))</f>
        <v>#DIV/0!</v>
      </c>
      <c r="F30" s="770" t="e">
        <f t="shared" ref="F30:N30" si="21">E30*(1+$Q30)</f>
        <v>#DIV/0!</v>
      </c>
      <c r="G30" s="770" t="e">
        <f t="shared" si="21"/>
        <v>#DIV/0!</v>
      </c>
      <c r="H30" s="770" t="e">
        <f t="shared" si="21"/>
        <v>#DIV/0!</v>
      </c>
      <c r="I30" s="770" t="e">
        <f t="shared" si="21"/>
        <v>#DIV/0!</v>
      </c>
      <c r="J30" s="770" t="e">
        <f t="shared" si="21"/>
        <v>#DIV/0!</v>
      </c>
      <c r="K30" s="770" t="e">
        <f t="shared" si="21"/>
        <v>#DIV/0!</v>
      </c>
      <c r="L30" s="770" t="e">
        <f t="shared" si="21"/>
        <v>#DIV/0!</v>
      </c>
      <c r="M30" s="770" t="e">
        <f t="shared" si="21"/>
        <v>#DIV/0!</v>
      </c>
      <c r="N30" s="770" t="e">
        <f t="shared" si="21"/>
        <v>#DIV/0!</v>
      </c>
      <c r="Q30" s="1105">
        <f t="shared" si="16"/>
        <v>2.5000000000000001E-2</v>
      </c>
    </row>
    <row r="31" spans="1:32" s="44" customFormat="1" ht="14.1" customHeight="1" x14ac:dyDescent="0.3">
      <c r="A31" s="43"/>
      <c r="B31" s="43"/>
      <c r="C31" s="43"/>
      <c r="D31" s="49" t="s">
        <v>41</v>
      </c>
      <c r="E31" s="770" t="e">
        <f>INDEX('P&amp;Ls Summary'!$S$9:$S$40,MATCH('10-Yr CF'!D31,'P&amp;Ls Summary'!$D$9:$D$40,0))</f>
        <v>#DIV/0!</v>
      </c>
      <c r="F31" s="770" t="e">
        <f t="shared" ref="F31:N31" si="22">E31*(1+$Q31)</f>
        <v>#DIV/0!</v>
      </c>
      <c r="G31" s="770" t="e">
        <f t="shared" si="22"/>
        <v>#DIV/0!</v>
      </c>
      <c r="H31" s="770" t="e">
        <f t="shared" si="22"/>
        <v>#DIV/0!</v>
      </c>
      <c r="I31" s="770" t="e">
        <f t="shared" si="22"/>
        <v>#DIV/0!</v>
      </c>
      <c r="J31" s="770" t="e">
        <f t="shared" si="22"/>
        <v>#DIV/0!</v>
      </c>
      <c r="K31" s="770" t="e">
        <f t="shared" si="22"/>
        <v>#DIV/0!</v>
      </c>
      <c r="L31" s="770" t="e">
        <f t="shared" si="22"/>
        <v>#DIV/0!</v>
      </c>
      <c r="M31" s="770" t="e">
        <f t="shared" si="22"/>
        <v>#DIV/0!</v>
      </c>
      <c r="N31" s="770" t="e">
        <f t="shared" si="22"/>
        <v>#DIV/0!</v>
      </c>
      <c r="Q31" s="1105">
        <f t="shared" si="16"/>
        <v>2.5000000000000001E-2</v>
      </c>
    </row>
    <row r="32" spans="1:32" s="44" customFormat="1" ht="14.1" customHeight="1" x14ac:dyDescent="0.3">
      <c r="A32" s="43"/>
      <c r="B32" s="43"/>
      <c r="C32" s="43"/>
      <c r="D32" s="49" t="s">
        <v>9</v>
      </c>
      <c r="E32" s="770" t="e">
        <f>INDEX('P&amp;Ls Summary'!$S$9:$S$40,MATCH('10-Yr CF'!D32,'P&amp;Ls Summary'!$D$9:$D$40,0))</f>
        <v>#DIV/0!</v>
      </c>
      <c r="F32" s="770" t="e">
        <f t="shared" ref="F32:N32" si="23">E32*(1+$Q32)</f>
        <v>#DIV/0!</v>
      </c>
      <c r="G32" s="770" t="e">
        <f t="shared" si="23"/>
        <v>#DIV/0!</v>
      </c>
      <c r="H32" s="770" t="e">
        <f t="shared" si="23"/>
        <v>#DIV/0!</v>
      </c>
      <c r="I32" s="770" t="e">
        <f t="shared" si="23"/>
        <v>#DIV/0!</v>
      </c>
      <c r="J32" s="770" t="e">
        <f t="shared" si="23"/>
        <v>#DIV/0!</v>
      </c>
      <c r="K32" s="770" t="e">
        <f t="shared" si="23"/>
        <v>#DIV/0!</v>
      </c>
      <c r="L32" s="770" t="e">
        <f t="shared" si="23"/>
        <v>#DIV/0!</v>
      </c>
      <c r="M32" s="770" t="e">
        <f t="shared" si="23"/>
        <v>#DIV/0!</v>
      </c>
      <c r="N32" s="770" t="e">
        <f t="shared" si="23"/>
        <v>#DIV/0!</v>
      </c>
      <c r="Q32" s="1105">
        <f t="shared" si="16"/>
        <v>2.5000000000000001E-2</v>
      </c>
    </row>
    <row r="33" spans="1:19" s="44" customFormat="1" ht="14.1" customHeight="1" x14ac:dyDescent="0.3">
      <c r="A33" s="43"/>
      <c r="B33" s="43"/>
      <c r="C33" s="43"/>
      <c r="D33" s="49" t="s">
        <v>7</v>
      </c>
      <c r="E33" s="770" t="e">
        <f>INDEX('P&amp;Ls Summary'!$S$9:$S$40,MATCH('10-Yr CF'!D33,'P&amp;Ls Summary'!$D$9:$D$40,0))</f>
        <v>#DIV/0!</v>
      </c>
      <c r="F33" s="770" t="e">
        <f t="shared" ref="F33:N33" si="24">E33*(1+$Q33)</f>
        <v>#DIV/0!</v>
      </c>
      <c r="G33" s="770" t="e">
        <f t="shared" si="24"/>
        <v>#DIV/0!</v>
      </c>
      <c r="H33" s="770" t="e">
        <f t="shared" si="24"/>
        <v>#DIV/0!</v>
      </c>
      <c r="I33" s="770" t="e">
        <f t="shared" si="24"/>
        <v>#DIV/0!</v>
      </c>
      <c r="J33" s="770" t="e">
        <f t="shared" si="24"/>
        <v>#DIV/0!</v>
      </c>
      <c r="K33" s="770" t="e">
        <f t="shared" si="24"/>
        <v>#DIV/0!</v>
      </c>
      <c r="L33" s="770" t="e">
        <f t="shared" si="24"/>
        <v>#DIV/0!</v>
      </c>
      <c r="M33" s="770" t="e">
        <f t="shared" si="24"/>
        <v>#DIV/0!</v>
      </c>
      <c r="N33" s="770" t="e">
        <f t="shared" si="24"/>
        <v>#DIV/0!</v>
      </c>
      <c r="Q33" s="1105">
        <f t="shared" si="16"/>
        <v>2.5000000000000001E-2</v>
      </c>
    </row>
    <row r="34" spans="1:19" s="44" customFormat="1" ht="14.1" customHeight="1" x14ac:dyDescent="0.3">
      <c r="A34" s="43"/>
      <c r="B34" s="43"/>
      <c r="C34" s="43"/>
      <c r="D34" s="49" t="s">
        <v>202</v>
      </c>
      <c r="E34" s="770" t="e">
        <f>INDEX('P&amp;Ls Summary'!$S$9:$S$40,MATCH('10-Yr CF'!D34,'P&amp;Ls Summary'!$D$9:$D$40,0))</f>
        <v>#DIV/0!</v>
      </c>
      <c r="F34" s="770" t="e">
        <f t="shared" ref="F34:N34" si="25">E34*(1+$Q34)</f>
        <v>#DIV/0!</v>
      </c>
      <c r="G34" s="770" t="e">
        <f t="shared" si="25"/>
        <v>#DIV/0!</v>
      </c>
      <c r="H34" s="770" t="e">
        <f t="shared" si="25"/>
        <v>#DIV/0!</v>
      </c>
      <c r="I34" s="770" t="e">
        <f t="shared" si="25"/>
        <v>#DIV/0!</v>
      </c>
      <c r="J34" s="770" t="e">
        <f t="shared" si="25"/>
        <v>#DIV/0!</v>
      </c>
      <c r="K34" s="770" t="e">
        <f t="shared" si="25"/>
        <v>#DIV/0!</v>
      </c>
      <c r="L34" s="770" t="e">
        <f t="shared" si="25"/>
        <v>#DIV/0!</v>
      </c>
      <c r="M34" s="770" t="e">
        <f t="shared" si="25"/>
        <v>#DIV/0!</v>
      </c>
      <c r="N34" s="770" t="e">
        <f t="shared" si="25"/>
        <v>#DIV/0!</v>
      </c>
      <c r="Q34" s="1105">
        <f t="shared" si="16"/>
        <v>2.5000000000000001E-2</v>
      </c>
    </row>
    <row r="35" spans="1:19" s="44" customFormat="1" ht="14.1" customHeight="1" x14ac:dyDescent="0.3">
      <c r="A35" s="43"/>
      <c r="B35" s="43"/>
      <c r="C35" s="43"/>
      <c r="D35" s="49" t="s">
        <v>37</v>
      </c>
      <c r="E35" s="770" t="e">
        <f>INDEX('P&amp;Ls Summary'!$S$9:$S$40,MATCH('10-Yr CF'!D35,'P&amp;Ls Summary'!$D$9:$D$40,0))</f>
        <v>#DIV/0!</v>
      </c>
      <c r="F35" s="770" t="e">
        <f t="shared" ref="F35:N37" si="26">E35*(1+$Q35)</f>
        <v>#DIV/0!</v>
      </c>
      <c r="G35" s="770" t="e">
        <f t="shared" si="26"/>
        <v>#DIV/0!</v>
      </c>
      <c r="H35" s="770" t="e">
        <f t="shared" si="26"/>
        <v>#DIV/0!</v>
      </c>
      <c r="I35" s="770" t="e">
        <f t="shared" si="26"/>
        <v>#DIV/0!</v>
      </c>
      <c r="J35" s="770" t="e">
        <f t="shared" si="26"/>
        <v>#DIV/0!</v>
      </c>
      <c r="K35" s="770" t="e">
        <f t="shared" si="26"/>
        <v>#DIV/0!</v>
      </c>
      <c r="L35" s="770" t="e">
        <f t="shared" si="26"/>
        <v>#DIV/0!</v>
      </c>
      <c r="M35" s="770" t="e">
        <f t="shared" si="26"/>
        <v>#DIV/0!</v>
      </c>
      <c r="N35" s="770" t="e">
        <f t="shared" si="26"/>
        <v>#DIV/0!</v>
      </c>
      <c r="Q35" s="1105">
        <f t="shared" si="16"/>
        <v>2.5000000000000001E-2</v>
      </c>
    </row>
    <row r="36" spans="1:19" s="44" customFormat="1" ht="14.1" customHeight="1" x14ac:dyDescent="0.3">
      <c r="A36" s="43"/>
      <c r="B36" s="43"/>
      <c r="C36" s="43"/>
      <c r="D36" s="49" t="s">
        <v>8</v>
      </c>
      <c r="E36" s="770" t="e">
        <f>INDEX('P&amp;Ls Summary'!$S$9:$S$40,MATCH('10-Yr CF'!D36,'P&amp;Ls Summary'!$D$9:$D$40,0))</f>
        <v>#DIV/0!</v>
      </c>
      <c r="F36" s="770" t="e">
        <f>$Q$36*F22</f>
        <v>#DIV/0!</v>
      </c>
      <c r="G36" s="770" t="e">
        <f t="shared" ref="G36:N36" si="27">$Q$36*G22</f>
        <v>#DIV/0!</v>
      </c>
      <c r="H36" s="770" t="e">
        <f t="shared" si="27"/>
        <v>#DIV/0!</v>
      </c>
      <c r="I36" s="770" t="e">
        <f t="shared" si="27"/>
        <v>#DIV/0!</v>
      </c>
      <c r="J36" s="770" t="e">
        <f t="shared" si="27"/>
        <v>#DIV/0!</v>
      </c>
      <c r="K36" s="770" t="e">
        <f t="shared" si="27"/>
        <v>#DIV/0!</v>
      </c>
      <c r="L36" s="770" t="e">
        <f t="shared" si="27"/>
        <v>#DIV/0!</v>
      </c>
      <c r="M36" s="770" t="e">
        <f t="shared" si="27"/>
        <v>#DIV/0!</v>
      </c>
      <c r="N36" s="770" t="e">
        <f t="shared" si="27"/>
        <v>#DIV/0!</v>
      </c>
      <c r="Q36" s="1104">
        <f>'P&amp;Ls Summary'!AC37</f>
        <v>0.03</v>
      </c>
      <c r="R36" s="1109" t="s">
        <v>1879</v>
      </c>
    </row>
    <row r="37" spans="1:19" s="44" customFormat="1" ht="14.1" customHeight="1" outlineLevel="1" x14ac:dyDescent="0.3">
      <c r="A37" s="43"/>
      <c r="B37" s="43" t="s">
        <v>80</v>
      </c>
      <c r="C37" s="63"/>
      <c r="D37" s="49" t="s">
        <v>42</v>
      </c>
      <c r="E37" s="770" t="e">
        <f>INDEX('P&amp;Ls Summary'!$S$9:$S$40,MATCH('10-Yr CF'!D37,'P&amp;Ls Summary'!$D$9:$D$40,0))</f>
        <v>#DIV/0!</v>
      </c>
      <c r="F37" s="770" t="e">
        <f t="shared" si="26"/>
        <v>#DIV/0!</v>
      </c>
      <c r="G37" s="770" t="e">
        <f t="shared" si="26"/>
        <v>#DIV/0!</v>
      </c>
      <c r="H37" s="770" t="e">
        <f t="shared" si="26"/>
        <v>#DIV/0!</v>
      </c>
      <c r="I37" s="770" t="e">
        <f t="shared" si="26"/>
        <v>#DIV/0!</v>
      </c>
      <c r="J37" s="770" t="e">
        <f t="shared" si="26"/>
        <v>#DIV/0!</v>
      </c>
      <c r="K37" s="770" t="e">
        <f t="shared" si="26"/>
        <v>#DIV/0!</v>
      </c>
      <c r="L37" s="770" t="e">
        <f t="shared" si="26"/>
        <v>#DIV/0!</v>
      </c>
      <c r="M37" s="770" t="e">
        <f t="shared" si="26"/>
        <v>#DIV/0!</v>
      </c>
      <c r="N37" s="770" t="e">
        <f t="shared" si="26"/>
        <v>#DIV/0!</v>
      </c>
      <c r="Q37" s="1119">
        <v>0</v>
      </c>
    </row>
    <row r="38" spans="1:19" s="44" customFormat="1" ht="14.1" customHeight="1" x14ac:dyDescent="0.3">
      <c r="A38" s="43"/>
      <c r="B38" s="43"/>
      <c r="C38" s="43"/>
      <c r="D38" s="56" t="s">
        <v>5</v>
      </c>
      <c r="E38" s="1100" t="e">
        <f t="shared" ref="E38:N38" si="28">SUM(E25:E37)</f>
        <v>#DIV/0!</v>
      </c>
      <c r="F38" s="1100" t="e">
        <f t="shared" si="28"/>
        <v>#DIV/0!</v>
      </c>
      <c r="G38" s="1100" t="e">
        <f t="shared" si="28"/>
        <v>#DIV/0!</v>
      </c>
      <c r="H38" s="1100" t="e">
        <f t="shared" si="28"/>
        <v>#DIV/0!</v>
      </c>
      <c r="I38" s="1100" t="e">
        <f t="shared" si="28"/>
        <v>#DIV/0!</v>
      </c>
      <c r="J38" s="1100" t="e">
        <f t="shared" si="28"/>
        <v>#DIV/0!</v>
      </c>
      <c r="K38" s="1100" t="e">
        <f t="shared" si="28"/>
        <v>#DIV/0!</v>
      </c>
      <c r="L38" s="1100" t="e">
        <f t="shared" si="28"/>
        <v>#DIV/0!</v>
      </c>
      <c r="M38" s="1100" t="e">
        <f t="shared" si="28"/>
        <v>#DIV/0!</v>
      </c>
      <c r="N38" s="1100" t="e">
        <f t="shared" si="28"/>
        <v>#DIV/0!</v>
      </c>
      <c r="Q38" s="1107"/>
    </row>
    <row r="39" spans="1:19" s="44" customFormat="1" ht="14.1" customHeight="1" x14ac:dyDescent="0.3">
      <c r="A39" s="43"/>
      <c r="B39" s="43"/>
      <c r="C39" s="64"/>
      <c r="D39" s="65" t="s">
        <v>6</v>
      </c>
      <c r="E39" s="1102" t="e">
        <f t="shared" ref="E39:N39" si="29">E22-E38</f>
        <v>#DIV/0!</v>
      </c>
      <c r="F39" s="1102" t="e">
        <f t="shared" si="29"/>
        <v>#DIV/0!</v>
      </c>
      <c r="G39" s="1102" t="e">
        <f t="shared" si="29"/>
        <v>#DIV/0!</v>
      </c>
      <c r="H39" s="1102" t="e">
        <f t="shared" si="29"/>
        <v>#DIV/0!</v>
      </c>
      <c r="I39" s="1102" t="e">
        <f t="shared" si="29"/>
        <v>#DIV/0!</v>
      </c>
      <c r="J39" s="1102" t="e">
        <f t="shared" si="29"/>
        <v>#DIV/0!</v>
      </c>
      <c r="K39" s="1102" t="e">
        <f t="shared" si="29"/>
        <v>#DIV/0!</v>
      </c>
      <c r="L39" s="1102" t="e">
        <f t="shared" si="29"/>
        <v>#DIV/0!</v>
      </c>
      <c r="M39" s="1102" t="e">
        <f t="shared" si="29"/>
        <v>#DIV/0!</v>
      </c>
      <c r="N39" s="1102" t="e">
        <f t="shared" si="29"/>
        <v>#DIV/0!</v>
      </c>
      <c r="Q39" s="1107"/>
    </row>
    <row r="40" spans="1:19" s="28" customFormat="1" ht="7.35" customHeight="1" x14ac:dyDescent="0.25">
      <c r="A40" s="27"/>
      <c r="B40" s="27"/>
      <c r="C40" s="27"/>
      <c r="D40" s="67"/>
      <c r="E40" s="68"/>
      <c r="F40" s="68"/>
      <c r="G40" s="68"/>
      <c r="H40" s="68"/>
      <c r="I40" s="68"/>
      <c r="J40" s="68"/>
      <c r="K40" s="68"/>
      <c r="L40" s="68"/>
      <c r="M40" s="68"/>
      <c r="N40" s="68"/>
      <c r="Q40" s="69"/>
      <c r="R40" s="70"/>
      <c r="S40" s="71"/>
    </row>
    <row r="41" spans="1:19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8"/>
      <c r="I41" s="68"/>
      <c r="J41" s="68"/>
      <c r="K41" s="68"/>
      <c r="L41" s="68"/>
      <c r="M41" s="68"/>
      <c r="N41" s="68"/>
      <c r="Q41" s="69"/>
      <c r="R41" s="70"/>
      <c r="S41" s="71"/>
    </row>
    <row r="42" spans="1:19" s="28" customFormat="1" ht="7.35" customHeight="1" x14ac:dyDescent="0.25">
      <c r="A42" s="27"/>
      <c r="B42" s="27"/>
      <c r="C42" s="27"/>
      <c r="D42" s="67"/>
      <c r="E42" s="68"/>
      <c r="F42" s="68"/>
      <c r="G42" s="68"/>
      <c r="H42" s="68"/>
      <c r="I42" s="68"/>
      <c r="J42" s="68"/>
      <c r="K42" s="68"/>
      <c r="L42" s="68"/>
      <c r="M42" s="68"/>
      <c r="N42" s="68"/>
      <c r="Q42" s="69"/>
      <c r="R42" s="70"/>
      <c r="S42" s="71"/>
    </row>
    <row r="43" spans="1:19" s="28" customFormat="1" ht="15" customHeight="1" x14ac:dyDescent="0.25">
      <c r="A43" s="27"/>
      <c r="B43" s="27"/>
      <c r="C43" s="27"/>
      <c r="D43" s="67" t="s">
        <v>48</v>
      </c>
      <c r="E43" s="1112"/>
      <c r="F43" s="1112" t="e">
        <f t="shared" ref="F43:N43" si="30">F8/E8-1</f>
        <v>#DIV/0!</v>
      </c>
      <c r="G43" s="1112" t="e">
        <f t="shared" si="30"/>
        <v>#DIV/0!</v>
      </c>
      <c r="H43" s="1112" t="e">
        <f t="shared" si="30"/>
        <v>#DIV/0!</v>
      </c>
      <c r="I43" s="1112" t="e">
        <f t="shared" si="30"/>
        <v>#DIV/0!</v>
      </c>
      <c r="J43" s="1112" t="e">
        <f t="shared" si="30"/>
        <v>#DIV/0!</v>
      </c>
      <c r="K43" s="1112" t="e">
        <f t="shared" si="30"/>
        <v>#DIV/0!</v>
      </c>
      <c r="L43" s="1112" t="e">
        <f t="shared" si="30"/>
        <v>#DIV/0!</v>
      </c>
      <c r="M43" s="1112" t="e">
        <f t="shared" si="30"/>
        <v>#DIV/0!</v>
      </c>
      <c r="N43" s="1112" t="e">
        <f t="shared" si="30"/>
        <v>#DIV/0!</v>
      </c>
      <c r="Q43" s="69"/>
      <c r="R43" s="70"/>
      <c r="S43" s="71"/>
    </row>
    <row r="44" spans="1:19" s="28" customFormat="1" ht="15" customHeight="1" x14ac:dyDescent="0.25">
      <c r="A44" s="27"/>
      <c r="B44" s="27"/>
      <c r="C44" s="27"/>
      <c r="D44" s="67" t="s">
        <v>1881</v>
      </c>
      <c r="E44" s="1112" t="e">
        <f>IF(E5&gt;$T$9,"",E9/$E$9)</f>
        <v>#DIV/0!</v>
      </c>
      <c r="F44" s="1112" t="e">
        <f>IF(F5&gt;$T$9,"",F9/$E$9)</f>
        <v>#DIV/0!</v>
      </c>
      <c r="G44" s="1112" t="e">
        <f t="shared" ref="G44:N44" si="31">IF(G5&gt;$T$9,"",G9/$E$9)</f>
        <v>#DIV/0!</v>
      </c>
      <c r="H44" s="1112" t="e">
        <f t="shared" si="31"/>
        <v>#DIV/0!</v>
      </c>
      <c r="I44" s="1112" t="str">
        <f t="shared" si="31"/>
        <v/>
      </c>
      <c r="J44" s="1112" t="str">
        <f t="shared" si="31"/>
        <v/>
      </c>
      <c r="K44" s="1112" t="str">
        <f t="shared" si="31"/>
        <v/>
      </c>
      <c r="L44" s="1112" t="str">
        <f t="shared" si="31"/>
        <v/>
      </c>
      <c r="M44" s="1112" t="str">
        <f t="shared" si="31"/>
        <v/>
      </c>
      <c r="N44" s="1112" t="str">
        <f t="shared" si="31"/>
        <v/>
      </c>
      <c r="Q44" s="69"/>
      <c r="R44" s="70"/>
      <c r="S44" s="71"/>
    </row>
    <row r="45" spans="1:19" s="28" customFormat="1" ht="15" customHeight="1" x14ac:dyDescent="0.25">
      <c r="A45" s="27"/>
      <c r="B45" s="27"/>
      <c r="C45" s="27"/>
      <c r="D45" s="67" t="s">
        <v>225</v>
      </c>
      <c r="E45" s="1112"/>
      <c r="F45" s="1112" t="e">
        <f t="shared" ref="F45:N45" si="32">F10/E10-1</f>
        <v>#DIV/0!</v>
      </c>
      <c r="G45" s="1112" t="e">
        <f t="shared" si="32"/>
        <v>#DIV/0!</v>
      </c>
      <c r="H45" s="1112" t="e">
        <f t="shared" si="32"/>
        <v>#DIV/0!</v>
      </c>
      <c r="I45" s="1112" t="e">
        <f t="shared" si="32"/>
        <v>#DIV/0!</v>
      </c>
      <c r="J45" s="1112" t="e">
        <f t="shared" si="32"/>
        <v>#DIV/0!</v>
      </c>
      <c r="K45" s="1112" t="e">
        <f t="shared" si="32"/>
        <v>#DIV/0!</v>
      </c>
      <c r="L45" s="1112" t="e">
        <f t="shared" si="32"/>
        <v>#DIV/0!</v>
      </c>
      <c r="M45" s="1112" t="e">
        <f t="shared" si="32"/>
        <v>#DIV/0!</v>
      </c>
      <c r="N45" s="1112" t="e">
        <f t="shared" si="32"/>
        <v>#DIV/0!</v>
      </c>
      <c r="Q45" s="69"/>
      <c r="R45" s="70"/>
      <c r="S45" s="71"/>
    </row>
    <row r="46" spans="1:19" s="28" customFormat="1" ht="15" customHeight="1" x14ac:dyDescent="0.25">
      <c r="A46" s="27"/>
      <c r="B46" s="27"/>
      <c r="C46" s="27"/>
      <c r="D46" s="67" t="s">
        <v>1880</v>
      </c>
      <c r="E46" s="1112"/>
      <c r="F46" s="1112" t="e">
        <f>F22/E22-1</f>
        <v>#DIV/0!</v>
      </c>
      <c r="G46" s="1112" t="e">
        <f t="shared" ref="G46:N46" si="33">G22/F22-1</f>
        <v>#DIV/0!</v>
      </c>
      <c r="H46" s="1112" t="e">
        <f t="shared" si="33"/>
        <v>#DIV/0!</v>
      </c>
      <c r="I46" s="1112" t="e">
        <f t="shared" si="33"/>
        <v>#DIV/0!</v>
      </c>
      <c r="J46" s="1112" t="e">
        <f t="shared" si="33"/>
        <v>#DIV/0!</v>
      </c>
      <c r="K46" s="1112" t="e">
        <f t="shared" si="33"/>
        <v>#DIV/0!</v>
      </c>
      <c r="L46" s="1112" t="e">
        <f t="shared" si="33"/>
        <v>#DIV/0!</v>
      </c>
      <c r="M46" s="1112" t="e">
        <f t="shared" si="33"/>
        <v>#DIV/0!</v>
      </c>
      <c r="N46" s="1112" t="e">
        <f t="shared" si="33"/>
        <v>#DIV/0!</v>
      </c>
      <c r="Q46" s="69"/>
      <c r="R46" s="70"/>
      <c r="S46" s="71"/>
    </row>
    <row r="47" spans="1:19" s="28" customFormat="1" ht="15" customHeight="1" x14ac:dyDescent="0.25">
      <c r="A47" s="27"/>
      <c r="B47" s="27"/>
      <c r="C47" s="27"/>
      <c r="D47" s="67" t="s">
        <v>1885</v>
      </c>
      <c r="E47" s="1112"/>
      <c r="F47" s="1112" t="e">
        <f t="shared" ref="F47:N47" si="34">F38/E38-1</f>
        <v>#DIV/0!</v>
      </c>
      <c r="G47" s="1112" t="e">
        <f t="shared" si="34"/>
        <v>#DIV/0!</v>
      </c>
      <c r="H47" s="1112" t="e">
        <f t="shared" si="34"/>
        <v>#DIV/0!</v>
      </c>
      <c r="I47" s="1112" t="e">
        <f t="shared" si="34"/>
        <v>#DIV/0!</v>
      </c>
      <c r="J47" s="1112" t="e">
        <f t="shared" si="34"/>
        <v>#DIV/0!</v>
      </c>
      <c r="K47" s="1112" t="e">
        <f t="shared" si="34"/>
        <v>#DIV/0!</v>
      </c>
      <c r="L47" s="1112" t="e">
        <f t="shared" si="34"/>
        <v>#DIV/0!</v>
      </c>
      <c r="M47" s="1112" t="e">
        <f t="shared" si="34"/>
        <v>#DIV/0!</v>
      </c>
      <c r="N47" s="1112" t="e">
        <f t="shared" si="34"/>
        <v>#DIV/0!</v>
      </c>
      <c r="Q47" s="69"/>
      <c r="R47" s="70"/>
      <c r="S47" s="71"/>
    </row>
    <row r="48" spans="1:19" s="28" customFormat="1" ht="15" customHeight="1" x14ac:dyDescent="0.25">
      <c r="A48" s="27"/>
      <c r="B48" s="27"/>
      <c r="C48" s="27"/>
      <c r="D48" s="67" t="s">
        <v>67</v>
      </c>
      <c r="E48" s="1112"/>
      <c r="F48" s="1112" t="e">
        <f>F39/E39-1</f>
        <v>#DIV/0!</v>
      </c>
      <c r="G48" s="1112" t="e">
        <f t="shared" ref="G48:N48" si="35">G39/F39-1</f>
        <v>#DIV/0!</v>
      </c>
      <c r="H48" s="1112" t="e">
        <f t="shared" si="35"/>
        <v>#DIV/0!</v>
      </c>
      <c r="I48" s="1112" t="e">
        <f t="shared" si="35"/>
        <v>#DIV/0!</v>
      </c>
      <c r="J48" s="1112" t="e">
        <f t="shared" si="35"/>
        <v>#DIV/0!</v>
      </c>
      <c r="K48" s="1112" t="e">
        <f t="shared" si="35"/>
        <v>#DIV/0!</v>
      </c>
      <c r="L48" s="1112" t="e">
        <f t="shared" si="35"/>
        <v>#DIV/0!</v>
      </c>
      <c r="M48" s="1112" t="e">
        <f t="shared" si="35"/>
        <v>#DIV/0!</v>
      </c>
      <c r="N48" s="1112" t="e">
        <f t="shared" si="35"/>
        <v>#DIV/0!</v>
      </c>
      <c r="Q48" s="69"/>
      <c r="R48" s="70"/>
      <c r="S48" s="71"/>
    </row>
    <row r="49" spans="1:32" s="28" customFormat="1" x14ac:dyDescent="0.25">
      <c r="A49" s="27"/>
      <c r="B49" s="27"/>
      <c r="C49" s="27"/>
      <c r="D49" s="27"/>
      <c r="Q49" s="73"/>
      <c r="R49" s="27"/>
      <c r="S49" s="75"/>
    </row>
    <row r="50" spans="1:32" s="28" customFormat="1" x14ac:dyDescent="0.25">
      <c r="A50" s="27"/>
      <c r="B50" s="27"/>
      <c r="C50" s="27"/>
      <c r="D50" s="509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Q50" s="73"/>
      <c r="R50" s="27"/>
      <c r="S50" s="75"/>
    </row>
    <row r="51" spans="1:32" s="28" customFormat="1" x14ac:dyDescent="0.25">
      <c r="A51" s="27"/>
      <c r="B51" s="27"/>
      <c r="C51" s="27"/>
      <c r="D51" s="509"/>
      <c r="Q51" s="73"/>
      <c r="R51" s="27"/>
      <c r="S51" s="75"/>
    </row>
    <row r="52" spans="1:32" s="28" customFormat="1" x14ac:dyDescent="0.25">
      <c r="A52" s="27"/>
      <c r="B52" s="27"/>
      <c r="C52" s="27"/>
      <c r="D52" s="27"/>
      <c r="E52" s="73"/>
      <c r="F52" s="73"/>
      <c r="G52" s="73"/>
      <c r="H52" s="73"/>
      <c r="I52" s="73"/>
      <c r="J52" s="73"/>
      <c r="K52" s="73"/>
      <c r="L52" s="73"/>
      <c r="M52" s="73"/>
      <c r="N52" s="73"/>
      <c r="Q52" s="73"/>
      <c r="R52" s="27"/>
      <c r="S52" s="75"/>
    </row>
    <row r="53" spans="1:32" s="28" customFormat="1" x14ac:dyDescent="0.25">
      <c r="A53" s="27"/>
      <c r="B53" s="27"/>
      <c r="C53" s="27"/>
      <c r="Q53" s="73"/>
      <c r="R53" s="73"/>
      <c r="S53" s="75"/>
    </row>
    <row r="54" spans="1:32" s="28" customFormat="1" x14ac:dyDescent="0.25">
      <c r="A54" s="27"/>
      <c r="B54" s="27"/>
      <c r="C54" s="27"/>
      <c r="Q54" s="73"/>
      <c r="R54" s="73"/>
      <c r="S54" s="75"/>
      <c r="AB54" s="73"/>
      <c r="AC54" s="219"/>
      <c r="AD54" s="73"/>
      <c r="AE54" s="73"/>
      <c r="AF54" s="219"/>
    </row>
    <row r="55" spans="1:32" s="27" customFormat="1" x14ac:dyDescent="0.25">
      <c r="O55" s="28"/>
      <c r="P55" s="28"/>
      <c r="Q55" s="73"/>
      <c r="R55" s="73"/>
      <c r="S55" s="75"/>
    </row>
    <row r="56" spans="1:32" s="28" customFormat="1" ht="17.25" x14ac:dyDescent="0.3">
      <c r="A56" s="27"/>
      <c r="B56" s="27"/>
      <c r="C56" s="27"/>
      <c r="D56" s="44"/>
      <c r="E56" s="78"/>
      <c r="F56" s="78"/>
      <c r="G56" s="78"/>
      <c r="H56" s="78"/>
      <c r="I56" s="78"/>
      <c r="J56" s="78"/>
      <c r="K56" s="78"/>
      <c r="L56" s="78"/>
      <c r="M56" s="78"/>
      <c r="N56" s="78"/>
      <c r="Q56" s="77"/>
      <c r="R56" s="77"/>
      <c r="S56" s="77"/>
    </row>
    <row r="57" spans="1:32" s="28" customFormat="1" ht="17.25" x14ac:dyDescent="0.3">
      <c r="A57" s="27"/>
      <c r="B57" s="27"/>
      <c r="C57" s="27"/>
      <c r="D57" s="461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Q57" s="27"/>
      <c r="R57" s="27"/>
      <c r="S57" s="27"/>
    </row>
    <row r="58" spans="1:32" s="28" customFormat="1" ht="17.25" x14ac:dyDescent="0.3">
      <c r="A58" s="27"/>
      <c r="B58" s="27"/>
      <c r="C58" s="27"/>
      <c r="D58" s="462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Q58" s="27"/>
      <c r="R58" s="27"/>
      <c r="S58" s="27"/>
    </row>
    <row r="59" spans="1:32" s="28" customFormat="1" ht="17.25" x14ac:dyDescent="0.3">
      <c r="A59" s="27"/>
      <c r="B59" s="27"/>
      <c r="C59" s="27"/>
      <c r="D59" s="462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Q59" s="27"/>
      <c r="R59" s="27"/>
      <c r="S59" s="27"/>
    </row>
    <row r="60" spans="1:32" s="28" customFormat="1" ht="17.25" x14ac:dyDescent="0.3">
      <c r="A60" s="27"/>
      <c r="B60" s="27"/>
      <c r="C60" s="27"/>
      <c r="D60" s="462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Q60" s="27"/>
      <c r="R60" s="27"/>
      <c r="S60" s="27"/>
    </row>
    <row r="61" spans="1:32" s="28" customFormat="1" ht="17.25" x14ac:dyDescent="0.3">
      <c r="A61" s="27"/>
      <c r="B61" s="27"/>
      <c r="C61" s="27"/>
      <c r="D61" s="462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Q61" s="27"/>
      <c r="R61" s="27"/>
      <c r="S61" s="27"/>
    </row>
    <row r="62" spans="1:32" s="28" customFormat="1" ht="17.25" x14ac:dyDescent="0.3">
      <c r="A62" s="27"/>
      <c r="B62" s="27"/>
      <c r="C62" s="27"/>
      <c r="D62" s="462"/>
      <c r="E62" s="27"/>
      <c r="F62" s="27"/>
      <c r="G62" s="27"/>
      <c r="H62" s="27"/>
      <c r="I62" s="27"/>
      <c r="J62" s="27"/>
      <c r="K62" s="27"/>
      <c r="L62" s="27"/>
      <c r="M62" s="27"/>
      <c r="N62" s="27"/>
      <c r="Q62" s="27"/>
      <c r="R62" s="27"/>
      <c r="S62" s="27"/>
    </row>
    <row r="63" spans="1:32" s="28" customFormat="1" ht="17.25" x14ac:dyDescent="0.3">
      <c r="A63" s="27"/>
      <c r="B63" s="27"/>
      <c r="C63" s="27"/>
      <c r="D63" s="462"/>
      <c r="E63" s="27"/>
      <c r="F63" s="27"/>
      <c r="G63" s="27"/>
      <c r="H63" s="27"/>
      <c r="I63" s="27"/>
      <c r="J63" s="27"/>
      <c r="K63" s="27"/>
      <c r="L63" s="27"/>
      <c r="M63" s="27"/>
      <c r="N63" s="27"/>
      <c r="Q63" s="27"/>
      <c r="R63" s="27"/>
      <c r="S63" s="27"/>
    </row>
    <row r="64" spans="1:32" s="28" customFormat="1" ht="17.25" x14ac:dyDescent="0.3">
      <c r="A64" s="27"/>
      <c r="B64" s="27"/>
      <c r="C64" s="27"/>
      <c r="D64" s="462"/>
      <c r="E64" s="27"/>
      <c r="F64" s="27"/>
      <c r="G64" s="27"/>
      <c r="H64" s="27"/>
      <c r="I64" s="27"/>
      <c r="J64" s="27"/>
      <c r="K64" s="27"/>
      <c r="L64" s="27"/>
      <c r="M64" s="27"/>
      <c r="N64" s="27"/>
      <c r="Q64" s="27"/>
      <c r="R64" s="27"/>
      <c r="S64" s="27"/>
    </row>
    <row r="65" spans="1:19" s="28" customFormat="1" x14ac:dyDescent="0.25">
      <c r="A65" s="27"/>
      <c r="B65" s="27"/>
      <c r="C65" s="27"/>
      <c r="D65" s="450"/>
      <c r="E65" s="73"/>
      <c r="F65" s="73"/>
      <c r="G65" s="73"/>
      <c r="H65" s="73"/>
      <c r="I65" s="73"/>
      <c r="J65" s="73"/>
      <c r="K65" s="73"/>
      <c r="L65" s="73"/>
      <c r="M65" s="73"/>
      <c r="N65" s="73"/>
      <c r="Q65" s="27"/>
      <c r="R65" s="27"/>
      <c r="S65" s="27"/>
    </row>
    <row r="66" spans="1:19" s="28" customFormat="1" x14ac:dyDescent="0.25">
      <c r="A66" s="27"/>
      <c r="B66" s="27"/>
      <c r="C66" s="27"/>
      <c r="D66" s="450"/>
      <c r="E66" s="73"/>
      <c r="F66" s="73"/>
      <c r="G66" s="73"/>
      <c r="H66" s="73"/>
      <c r="I66" s="73"/>
      <c r="J66" s="73"/>
      <c r="K66" s="73"/>
      <c r="L66" s="73"/>
      <c r="M66" s="73"/>
      <c r="N66" s="73"/>
      <c r="Q66" s="27"/>
      <c r="R66" s="27"/>
      <c r="S66" s="27"/>
    </row>
    <row r="67" spans="1:19" s="28" customFormat="1" x14ac:dyDescent="0.25">
      <c r="A67" s="27"/>
      <c r="B67" s="27"/>
      <c r="C67" s="27"/>
      <c r="D67" s="450"/>
      <c r="E67" s="73"/>
      <c r="F67" s="73"/>
      <c r="G67" s="73"/>
      <c r="H67" s="73"/>
      <c r="I67" s="73"/>
      <c r="J67" s="73"/>
      <c r="K67" s="73"/>
      <c r="L67" s="73"/>
      <c r="M67" s="73"/>
      <c r="N67" s="73"/>
      <c r="Q67" s="27"/>
      <c r="R67" s="27"/>
      <c r="S67" s="27"/>
    </row>
    <row r="68" spans="1:19" s="28" customFormat="1" ht="17.25" x14ac:dyDescent="0.3">
      <c r="A68" s="27"/>
      <c r="B68" s="27"/>
      <c r="C68" s="27"/>
      <c r="D68" s="44"/>
      <c r="E68" s="27"/>
      <c r="F68" s="27"/>
      <c r="G68" s="27"/>
      <c r="H68" s="27"/>
      <c r="I68" s="27"/>
      <c r="J68" s="27"/>
      <c r="K68" s="27"/>
      <c r="L68" s="27"/>
      <c r="M68" s="27"/>
      <c r="N68" s="27"/>
      <c r="Q68" s="27"/>
      <c r="R68" s="27"/>
      <c r="S68" s="27"/>
    </row>
    <row r="69" spans="1:19" s="28" customFormat="1" ht="17.25" x14ac:dyDescent="0.3">
      <c r="A69" s="27"/>
      <c r="B69" s="27"/>
      <c r="C69" s="27"/>
      <c r="D69" s="44"/>
      <c r="E69" s="27"/>
      <c r="F69" s="27"/>
      <c r="G69" s="27"/>
      <c r="H69" s="27"/>
      <c r="I69" s="27"/>
      <c r="J69" s="27"/>
      <c r="K69" s="27"/>
      <c r="L69" s="27"/>
      <c r="M69" s="27"/>
      <c r="N69" s="27"/>
      <c r="Q69" s="27"/>
      <c r="R69" s="27"/>
      <c r="S69" s="27"/>
    </row>
    <row r="70" spans="1:19" s="28" customFormat="1" x14ac:dyDescent="0.25">
      <c r="A70" s="27"/>
      <c r="B70" s="27"/>
      <c r="C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Q70" s="27"/>
      <c r="R70" s="27"/>
      <c r="S70" s="27"/>
    </row>
    <row r="71" spans="1:19" s="28" customFormat="1" x14ac:dyDescent="0.25">
      <c r="A71" s="27"/>
      <c r="B71" s="27"/>
      <c r="C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Q71" s="27"/>
      <c r="R71" s="27"/>
      <c r="S71" s="27"/>
    </row>
    <row r="72" spans="1:19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Q72" s="27"/>
      <c r="R72" s="27"/>
      <c r="S72" s="27"/>
    </row>
    <row r="73" spans="1:19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Q73" s="27"/>
      <c r="R73" s="27"/>
      <c r="S73" s="27"/>
    </row>
    <row r="74" spans="1:19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Q74" s="27"/>
      <c r="R74" s="27"/>
      <c r="S74" s="27"/>
    </row>
    <row r="75" spans="1:19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Q75" s="27"/>
      <c r="R75" s="27"/>
      <c r="S75" s="27"/>
    </row>
    <row r="76" spans="1:19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Q76" s="27"/>
      <c r="R76" s="27"/>
      <c r="S76" s="27"/>
    </row>
    <row r="77" spans="1:19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Q77" s="27"/>
      <c r="R77" s="27"/>
      <c r="S77" s="27"/>
    </row>
    <row r="78" spans="1:19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Q78" s="27"/>
      <c r="R78" s="27"/>
      <c r="S78" s="27"/>
    </row>
    <row r="79" spans="1:19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Q79" s="27"/>
      <c r="R79" s="27"/>
      <c r="S79" s="27"/>
    </row>
    <row r="80" spans="1:19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Q80" s="27"/>
      <c r="R80" s="27"/>
      <c r="S80" s="27"/>
    </row>
    <row r="81" spans="1:19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Q81" s="27"/>
      <c r="R81" s="27"/>
      <c r="S81" s="27"/>
    </row>
    <row r="82" spans="1:19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Q82" s="27"/>
      <c r="R82" s="27"/>
      <c r="S82" s="27"/>
    </row>
    <row r="83" spans="1:19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Q83" s="27"/>
      <c r="R83" s="27"/>
      <c r="S83" s="27"/>
    </row>
    <row r="84" spans="1:19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Q84" s="27"/>
      <c r="R84" s="27"/>
      <c r="S84" s="27"/>
    </row>
    <row r="85" spans="1:19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Q85" s="27"/>
      <c r="R85" s="27"/>
      <c r="S85" s="27"/>
    </row>
    <row r="86" spans="1:19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Q86" s="27"/>
      <c r="R86" s="27"/>
      <c r="S86" s="27"/>
    </row>
    <row r="87" spans="1:19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Q87" s="27"/>
      <c r="R87" s="27"/>
      <c r="S87" s="27"/>
    </row>
    <row r="88" spans="1:19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Q88" s="27"/>
      <c r="R88" s="27"/>
      <c r="S88" s="27"/>
    </row>
    <row r="89" spans="1:19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Q89" s="27"/>
      <c r="R89" s="27"/>
      <c r="S89" s="27"/>
    </row>
    <row r="90" spans="1:19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Q90" s="27"/>
      <c r="R90" s="27"/>
      <c r="S90" s="27"/>
    </row>
    <row r="91" spans="1:19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Q91" s="27"/>
      <c r="R91" s="27"/>
      <c r="S91" s="27"/>
    </row>
    <row r="92" spans="1:19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Q92" s="27"/>
      <c r="R92" s="27"/>
      <c r="S92" s="27"/>
    </row>
    <row r="93" spans="1:19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Q93" s="27"/>
      <c r="R93" s="27"/>
      <c r="S93" s="27"/>
    </row>
    <row r="94" spans="1:19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Q94" s="27"/>
      <c r="R94" s="27"/>
      <c r="S94" s="27"/>
    </row>
    <row r="95" spans="1:19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Q95" s="27"/>
      <c r="R95" s="27"/>
      <c r="S95" s="27"/>
    </row>
    <row r="96" spans="1:19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Q96" s="27"/>
      <c r="R96" s="27"/>
      <c r="S96" s="27"/>
    </row>
    <row r="97" spans="1:19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Q97" s="27"/>
      <c r="R97" s="27"/>
      <c r="S97" s="27"/>
    </row>
    <row r="98" spans="1:19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Q98" s="27"/>
      <c r="R98" s="27"/>
      <c r="S98" s="27"/>
    </row>
    <row r="99" spans="1:19" s="28" customForma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Q99" s="27"/>
      <c r="R99" s="27"/>
      <c r="S99" s="27"/>
    </row>
    <row r="100" spans="1:19" s="28" customForma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Q100" s="27"/>
      <c r="R100" s="27"/>
      <c r="S100" s="27"/>
    </row>
    <row r="101" spans="1:19" s="28" customForma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Q101" s="27"/>
      <c r="R101" s="27"/>
      <c r="S101" s="27"/>
    </row>
    <row r="102" spans="1:19" s="28" customForma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Q102" s="27"/>
      <c r="R102" s="27"/>
      <c r="S102" s="27"/>
    </row>
    <row r="103" spans="1:19" s="28" customFormat="1" x14ac:dyDescent="0.25">
      <c r="A103" s="27"/>
      <c r="B103" s="27"/>
      <c r="C103" s="27"/>
      <c r="D103" s="80" t="s">
        <v>43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Q103" s="27"/>
      <c r="R103" s="27"/>
      <c r="S103" s="27"/>
    </row>
    <row r="104" spans="1:19" s="28" customFormat="1" x14ac:dyDescent="0.25">
      <c r="A104" s="27"/>
      <c r="B104" s="27"/>
      <c r="C104" s="27"/>
      <c r="D104" s="9" t="str">
        <f>D8</f>
        <v>Market Rent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Q104" s="27"/>
      <c r="R104" s="27"/>
      <c r="S104" s="27"/>
    </row>
    <row r="105" spans="1:19" s="28" customFormat="1" x14ac:dyDescent="0.25">
      <c r="A105" s="27"/>
      <c r="B105" s="27"/>
      <c r="C105" s="27"/>
      <c r="D105" s="9" t="str">
        <f>D9</f>
        <v>Loss to Lease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Q105" s="27"/>
      <c r="R105" s="27"/>
      <c r="S105" s="27"/>
    </row>
    <row r="106" spans="1:19" s="28" customFormat="1" x14ac:dyDescent="0.25">
      <c r="A106" s="27"/>
      <c r="B106" s="27"/>
      <c r="C106" s="27"/>
      <c r="D106" s="9" t="str">
        <f t="shared" ref="D106:D111" si="36">D11</f>
        <v>Less Vacancy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Q106" s="27"/>
      <c r="R106" s="27"/>
      <c r="S106" s="27"/>
    </row>
    <row r="107" spans="1:19" s="28" customFormat="1" x14ac:dyDescent="0.25">
      <c r="A107" s="27"/>
      <c r="B107" s="27"/>
      <c r="C107" s="27"/>
      <c r="D107" s="9" t="str">
        <f t="shared" si="36"/>
        <v>Less: Concessions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Q107" s="27"/>
      <c r="R107" s="27"/>
      <c r="S107" s="27"/>
    </row>
    <row r="108" spans="1:19" s="28" customFormat="1" x14ac:dyDescent="0.25">
      <c r="A108" s="27"/>
      <c r="B108" s="27"/>
      <c r="C108" s="27"/>
      <c r="D108" s="9" t="str">
        <f t="shared" si="36"/>
        <v>Less: Bad Debt/Collection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Q108" s="27"/>
      <c r="R108" s="27"/>
      <c r="S108" s="27"/>
    </row>
    <row r="109" spans="1:19" s="28" customFormat="1" x14ac:dyDescent="0.25">
      <c r="A109" s="27"/>
      <c r="B109" s="27"/>
      <c r="C109" s="27"/>
      <c r="D109" s="9" t="str">
        <f t="shared" si="36"/>
        <v>Pet Income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Q109" s="27"/>
      <c r="R109" s="27"/>
      <c r="S109" s="27"/>
    </row>
    <row r="110" spans="1:19" s="28" customFormat="1" x14ac:dyDescent="0.25">
      <c r="A110" s="27"/>
      <c r="B110" s="27"/>
      <c r="C110" s="27"/>
      <c r="D110" s="9" t="str">
        <f t="shared" si="36"/>
        <v>Laundry Income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Q110" s="27"/>
      <c r="R110" s="27"/>
      <c r="S110" s="27"/>
    </row>
    <row r="111" spans="1:19" s="28" customFormat="1" x14ac:dyDescent="0.25">
      <c r="A111" s="27"/>
      <c r="B111" s="27"/>
      <c r="C111" s="27"/>
      <c r="D111" s="9" t="str">
        <f t="shared" si="36"/>
        <v>Parking Income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Q111" s="27"/>
      <c r="R111" s="27"/>
      <c r="S111" s="27"/>
    </row>
    <row r="112" spans="1:19" s="28" customFormat="1" x14ac:dyDescent="0.25">
      <c r="A112" s="27"/>
      <c r="B112" s="27"/>
      <c r="C112" s="27"/>
      <c r="D112" s="9" t="str">
        <f t="shared" ref="D112:D115" si="37">D18</f>
        <v>Utility Reimbursement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Q112" s="27"/>
      <c r="R112" s="27"/>
      <c r="S112" s="27"/>
    </row>
    <row r="113" spans="1:19" s="28" customFormat="1" x14ac:dyDescent="0.25">
      <c r="A113" s="27"/>
      <c r="B113" s="27"/>
      <c r="C113" s="27"/>
      <c r="D113" s="9" t="str">
        <f t="shared" si="37"/>
        <v>Other Income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Q113" s="27"/>
      <c r="R113" s="27"/>
      <c r="S113" s="27"/>
    </row>
    <row r="114" spans="1:19" s="28" customFormat="1" x14ac:dyDescent="0.25">
      <c r="A114" s="27"/>
      <c r="B114" s="27"/>
      <c r="C114" s="27"/>
      <c r="D114" s="9" t="str">
        <f t="shared" si="37"/>
        <v>Commercial Income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Q114" s="27"/>
      <c r="R114" s="27"/>
      <c r="S114" s="27"/>
    </row>
    <row r="115" spans="1:19" s="28" customFormat="1" x14ac:dyDescent="0.25">
      <c r="A115" s="27"/>
      <c r="B115" s="27"/>
      <c r="C115" s="27"/>
      <c r="D115" s="9" t="str">
        <f t="shared" si="37"/>
        <v>Less Commercial Vacancy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Q115" s="27"/>
      <c r="R115" s="27"/>
      <c r="S115" s="27"/>
    </row>
    <row r="116" spans="1:19" s="28" customFormat="1" x14ac:dyDescent="0.25">
      <c r="A116" s="27"/>
      <c r="B116" s="27"/>
      <c r="C116" s="27"/>
      <c r="D116" s="9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Q116" s="27"/>
      <c r="R116" s="27"/>
      <c r="S116" s="27"/>
    </row>
    <row r="117" spans="1:19" s="28" customFormat="1" x14ac:dyDescent="0.25">
      <c r="A117" s="27"/>
      <c r="B117" s="27"/>
      <c r="C117" s="27"/>
      <c r="D117" s="9" t="str">
        <f>D35</f>
        <v>Personnel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Q117" s="27"/>
      <c r="R117" s="27"/>
      <c r="S117" s="27"/>
    </row>
    <row r="118" spans="1:19" s="28" customFormat="1" x14ac:dyDescent="0.25">
      <c r="A118" s="27"/>
      <c r="B118" s="27"/>
      <c r="C118" s="27"/>
      <c r="D118" s="9" t="str">
        <f>D25</f>
        <v>Property Taxes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Q118" s="27"/>
      <c r="R118" s="27"/>
      <c r="S118" s="27"/>
    </row>
    <row r="119" spans="1:19" s="28" customFormat="1" x14ac:dyDescent="0.25">
      <c r="A119" s="27"/>
      <c r="B119" s="27"/>
      <c r="C119" s="27"/>
      <c r="D119" s="9" t="str">
        <f>D26</f>
        <v>Insurance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Q119" s="27"/>
      <c r="R119" s="27"/>
      <c r="S119" s="27"/>
    </row>
    <row r="120" spans="1:19" s="28" customFormat="1" x14ac:dyDescent="0.25">
      <c r="A120" s="27"/>
      <c r="B120" s="27"/>
      <c r="C120" s="27"/>
      <c r="D120" s="9" t="str">
        <f>D27</f>
        <v>Utilities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Q120" s="27"/>
      <c r="R120" s="27"/>
      <c r="S120" s="27"/>
    </row>
    <row r="121" spans="1:19" s="28" customFormat="1" x14ac:dyDescent="0.25">
      <c r="A121" s="27"/>
      <c r="B121" s="27"/>
      <c r="C121" s="27"/>
      <c r="D121" s="9" t="str">
        <f t="shared" ref="D121:D127" si="38">D28</f>
        <v>Utilities - Sewer &amp; Water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Q121" s="27"/>
      <c r="R121" s="27"/>
      <c r="S121" s="27"/>
    </row>
    <row r="122" spans="1:19" s="28" customFormat="1" x14ac:dyDescent="0.25">
      <c r="A122" s="27"/>
      <c r="B122" s="27"/>
      <c r="C122" s="27"/>
      <c r="D122" s="9" t="str">
        <f t="shared" si="38"/>
        <v>Utilities - Gas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Q122" s="27"/>
      <c r="R122" s="27"/>
      <c r="S122" s="27"/>
    </row>
    <row r="123" spans="1:19" s="28" customFormat="1" x14ac:dyDescent="0.25">
      <c r="A123" s="27"/>
      <c r="B123" s="27"/>
      <c r="C123" s="27"/>
      <c r="D123" s="9" t="str">
        <f t="shared" si="38"/>
        <v>Utilities - Electric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Q123" s="27"/>
      <c r="R123" s="27"/>
      <c r="S123" s="27"/>
    </row>
    <row r="124" spans="1:19" s="28" customFormat="1" x14ac:dyDescent="0.25">
      <c r="A124" s="27"/>
      <c r="B124" s="27"/>
      <c r="C124" s="27"/>
      <c r="D124" s="9" t="str">
        <f t="shared" si="38"/>
        <v>Repairs &amp; Maintenance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Q124" s="27"/>
      <c r="R124" s="27"/>
      <c r="S124" s="27"/>
    </row>
    <row r="125" spans="1:19" s="28" customFormat="1" x14ac:dyDescent="0.25">
      <c r="A125" s="27"/>
      <c r="B125" s="27"/>
      <c r="C125" s="27"/>
      <c r="D125" s="9" t="str">
        <f t="shared" si="38"/>
        <v>Contract Services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Q125" s="27"/>
      <c r="R125" s="27"/>
      <c r="S125" s="27"/>
    </row>
    <row r="126" spans="1:19" s="28" customFormat="1" x14ac:dyDescent="0.25">
      <c r="A126" s="27"/>
      <c r="B126" s="27"/>
      <c r="C126" s="27"/>
      <c r="D126" s="9" t="str">
        <f t="shared" si="38"/>
        <v>General &amp; Administrative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Q126" s="27"/>
      <c r="R126" s="27"/>
      <c r="S126" s="27"/>
    </row>
    <row r="127" spans="1:19" s="28" customFormat="1" x14ac:dyDescent="0.25">
      <c r="A127" s="27"/>
      <c r="B127" s="27"/>
      <c r="C127" s="27"/>
      <c r="D127" s="9" t="str">
        <f t="shared" si="38"/>
        <v>Advertising &amp; Marketing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Q127" s="27"/>
      <c r="R127" s="27"/>
      <c r="S127" s="27"/>
    </row>
    <row r="128" spans="1:19" s="28" customFormat="1" x14ac:dyDescent="0.25">
      <c r="A128" s="27"/>
      <c r="B128" s="27"/>
      <c r="C128" s="27"/>
      <c r="D128" s="9" t="str">
        <f>D36</f>
        <v>Management Fee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Q128" s="27"/>
      <c r="R128" s="27"/>
      <c r="S128" s="27"/>
    </row>
    <row r="129" spans="1:19" s="28" customFormat="1" x14ac:dyDescent="0.25">
      <c r="A129" s="27"/>
      <c r="B129" s="27"/>
      <c r="C129" s="27"/>
      <c r="D129" s="9" t="str">
        <f t="shared" ref="D129" si="39">D37</f>
        <v>Replacement Reserves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Q129" s="27"/>
      <c r="R129" s="27"/>
      <c r="S129" s="27"/>
    </row>
    <row r="130" spans="1:19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Q130" s="27"/>
      <c r="R130" s="27"/>
      <c r="S130" s="27"/>
    </row>
    <row r="131" spans="1:19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Q131" s="27"/>
      <c r="R131" s="27"/>
      <c r="S131" s="27"/>
    </row>
    <row r="132" spans="1:19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Q132" s="27"/>
      <c r="R132" s="27"/>
      <c r="S132" s="27"/>
    </row>
    <row r="133" spans="1:19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Q133" s="27"/>
      <c r="R133" s="27"/>
      <c r="S133" s="27"/>
    </row>
    <row r="134" spans="1:19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Q134" s="27"/>
      <c r="R134" s="27"/>
      <c r="S134" s="27"/>
    </row>
    <row r="135" spans="1:19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Q135" s="27"/>
      <c r="R135" s="27"/>
      <c r="S135" s="27"/>
    </row>
    <row r="136" spans="1:19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Q136" s="27"/>
      <c r="R136" s="27"/>
      <c r="S136" s="27"/>
    </row>
    <row r="137" spans="1:19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Q137" s="27"/>
      <c r="R137" s="27"/>
      <c r="S137" s="27"/>
    </row>
    <row r="138" spans="1:19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Q138" s="27"/>
      <c r="R138" s="27"/>
      <c r="S138" s="27"/>
    </row>
    <row r="139" spans="1:19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Q139" s="27"/>
      <c r="R139" s="27"/>
      <c r="S139" s="27"/>
    </row>
    <row r="140" spans="1:19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Q140" s="27"/>
      <c r="R140" s="27"/>
      <c r="S140" s="27"/>
    </row>
    <row r="141" spans="1:19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Q141" s="27"/>
      <c r="R141" s="27"/>
      <c r="S141" s="27"/>
    </row>
    <row r="142" spans="1:19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Q142" s="27"/>
      <c r="R142" s="27"/>
      <c r="S142" s="27"/>
    </row>
    <row r="143" spans="1:19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Q143" s="27"/>
      <c r="R143" s="27"/>
      <c r="S143" s="27"/>
    </row>
    <row r="144" spans="1:19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Q144" s="27"/>
      <c r="R144" s="27"/>
      <c r="S144" s="27"/>
    </row>
    <row r="145" spans="1:19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Q145" s="27"/>
      <c r="R145" s="27"/>
      <c r="S145" s="27"/>
    </row>
    <row r="146" spans="1:19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Q146" s="27"/>
      <c r="R146" s="27"/>
      <c r="S146" s="27"/>
    </row>
    <row r="147" spans="1:19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Q147" s="27"/>
      <c r="R147" s="27"/>
      <c r="S147" s="27"/>
    </row>
    <row r="148" spans="1:19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Q148" s="27"/>
      <c r="R148" s="27"/>
      <c r="S148" s="27"/>
    </row>
    <row r="149" spans="1:19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Q149" s="27"/>
      <c r="R149" s="27"/>
      <c r="S149" s="27"/>
    </row>
    <row r="150" spans="1:19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Q150" s="27"/>
      <c r="R150" s="27"/>
      <c r="S150" s="27"/>
    </row>
    <row r="151" spans="1:19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Q151" s="27"/>
      <c r="R151" s="27"/>
      <c r="S151" s="27"/>
    </row>
    <row r="152" spans="1:19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Q152" s="27"/>
      <c r="R152" s="27"/>
      <c r="S152" s="27"/>
    </row>
    <row r="153" spans="1:19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Q153" s="27"/>
      <c r="R153" s="27"/>
      <c r="S153" s="27"/>
    </row>
    <row r="154" spans="1:19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Q154" s="27"/>
      <c r="R154" s="27"/>
      <c r="S154" s="27"/>
    </row>
    <row r="155" spans="1:19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Q155" s="27"/>
      <c r="R155" s="27"/>
      <c r="S155" s="27"/>
    </row>
    <row r="156" spans="1:19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Q156" s="27"/>
      <c r="R156" s="27"/>
      <c r="S156" s="27"/>
    </row>
    <row r="157" spans="1:19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Q157" s="27"/>
      <c r="R157" s="27"/>
      <c r="S157" s="27"/>
    </row>
    <row r="158" spans="1:19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Q158" s="27"/>
      <c r="R158" s="27"/>
      <c r="S158" s="27"/>
    </row>
    <row r="159" spans="1:19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Q159" s="27"/>
      <c r="R159" s="27"/>
      <c r="S159" s="27"/>
    </row>
    <row r="160" spans="1:19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Q160" s="27"/>
      <c r="R160" s="27"/>
      <c r="S160" s="27"/>
    </row>
    <row r="161" spans="1:19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Q161" s="27"/>
      <c r="R161" s="27"/>
      <c r="S161" s="27"/>
    </row>
    <row r="162" spans="1:19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Q162" s="27"/>
      <c r="R162" s="27"/>
      <c r="S162" s="27"/>
    </row>
    <row r="163" spans="1:19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Q163" s="27"/>
      <c r="R163" s="27"/>
      <c r="S163" s="27"/>
    </row>
    <row r="164" spans="1:19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Q164" s="27"/>
      <c r="R164" s="27"/>
      <c r="S164" s="27"/>
    </row>
    <row r="165" spans="1:19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Q165" s="27"/>
      <c r="R165" s="27"/>
      <c r="S165" s="27"/>
    </row>
    <row r="166" spans="1:19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Q166" s="27"/>
      <c r="R166" s="27"/>
      <c r="S166" s="27"/>
    </row>
    <row r="167" spans="1:19" s="28" customForma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Q167" s="27"/>
      <c r="R167" s="27"/>
      <c r="S167" s="27"/>
    </row>
    <row r="168" spans="1:19" s="28" customForma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Q168" s="27"/>
      <c r="R168" s="27"/>
      <c r="S168" s="27"/>
    </row>
    <row r="169" spans="1:19" s="28" customForma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Q169" s="27"/>
      <c r="R169" s="27"/>
      <c r="S169" s="27"/>
    </row>
  </sheetData>
  <pageMargins left="0.3" right="0.3" top="0.2" bottom="0.2" header="0.3" footer="0.3"/>
  <pageSetup scale="68" fitToHeight="0" orientation="landscape" r:id="rId1"/>
  <ignoredErrors>
    <ignoredError sqref="F44:N44 F36:N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0B1B-A01F-45A6-9F19-A8DBABB9D3E8}">
  <sheetPr codeName="Sheet17">
    <tabColor theme="8" tint="0.79998168889431442"/>
    <pageSetUpPr fitToPage="1"/>
  </sheetPr>
  <dimension ref="A1:AU180"/>
  <sheetViews>
    <sheetView showGridLines="0" view="pageBreakPreview" zoomScale="80" zoomScaleNormal="100" zoomScaleSheetLayoutView="80" workbookViewId="0">
      <pane xSplit="7" ySplit="5" topLeftCell="H6" activePane="bottomRight" state="frozen"/>
      <selection pane="topRight"/>
      <selection pane="bottomLeft"/>
      <selection pane="bottomRight" activeCell="H6" sqref="H6"/>
    </sheetView>
  </sheetViews>
  <sheetFormatPr defaultColWidth="10" defaultRowHeight="15" outlineLevelCol="2" x14ac:dyDescent="0.25"/>
  <cols>
    <col min="1" max="3" width="1" style="9" customWidth="1"/>
    <col min="4" max="4" width="35.5703125" style="9" hidden="1" customWidth="1" outlineLevel="2"/>
    <col min="5" max="5" width="32.140625" style="9" customWidth="1" outlineLevel="1" collapsed="1"/>
    <col min="6" max="6" width="13.85546875" style="9" customWidth="1" outlineLevel="1"/>
    <col min="7" max="7" width="52.140625" style="9" customWidth="1"/>
    <col min="8" max="19" width="12.85546875" style="9" customWidth="1"/>
    <col min="20" max="22" width="12.85546875" style="9" hidden="1" customWidth="1" outlineLevel="1"/>
    <col min="23" max="23" width="15" style="9" bestFit="1" customWidth="1" collapsed="1"/>
    <col min="24" max="24" width="17.140625" style="9" hidden="1" customWidth="1" outlineLevel="1"/>
    <col min="25" max="25" width="16.42578125" style="9" hidden="1" customWidth="1" outlineLevel="1"/>
    <col min="26" max="27" width="15" style="9" hidden="1" customWidth="1" outlineLevel="1"/>
    <col min="28" max="28" width="1" style="9" customWidth="1" collapsed="1"/>
    <col min="29" max="29" width="1" style="9" customWidth="1"/>
    <col min="30" max="30" width="11.42578125" style="9" bestFit="1" customWidth="1"/>
    <col min="31" max="42" width="10" style="9"/>
    <col min="43" max="45" width="11.42578125" style="9" bestFit="1" customWidth="1"/>
    <col min="46" max="16384" width="10" style="9"/>
  </cols>
  <sheetData>
    <row r="1" spans="1:47" ht="4.3499999999999996" customHeight="1" x14ac:dyDescent="0.25">
      <c r="R1" s="433" t="s">
        <v>63</v>
      </c>
    </row>
    <row r="2" spans="1:47" ht="4.3499999999999996" customHeight="1" x14ac:dyDescent="0.25"/>
    <row r="3" spans="1:47" ht="25.35" customHeight="1" thickBot="1" x14ac:dyDescent="0.4">
      <c r="C3" s="434" t="s">
        <v>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504"/>
      <c r="X3" s="1"/>
      <c r="Y3" s="1"/>
      <c r="Z3" s="1"/>
      <c r="AA3" s="435"/>
      <c r="AB3" s="436" t="str">
        <f>'Exec Summ'!F6</f>
        <v>Hudson View Park</v>
      </c>
      <c r="AC3" s="436"/>
      <c r="AD3" s="285">
        <f>'P&amp;Ls Summary'!AA3</f>
        <v>0</v>
      </c>
      <c r="AE3" s="287" t="str">
        <f>IF(COUNTIF(AF155:AR157,"False")=0,"OK","ERROR")</f>
        <v>OK</v>
      </c>
    </row>
    <row r="4" spans="1:47" ht="10.35" customHeight="1" thickTop="1" x14ac:dyDescent="0.25">
      <c r="O4" s="437"/>
      <c r="AA4" s="27"/>
      <c r="AB4" s="27"/>
      <c r="AC4" s="27"/>
    </row>
    <row r="5" spans="1:47" ht="29.1" customHeight="1" x14ac:dyDescent="0.25">
      <c r="D5" s="91" t="s">
        <v>3</v>
      </c>
      <c r="E5" s="532" t="s">
        <v>199</v>
      </c>
      <c r="F5" s="532" t="s">
        <v>240</v>
      </c>
      <c r="G5" s="533" t="s">
        <v>65</v>
      </c>
      <c r="H5" s="534">
        <v>45443</v>
      </c>
      <c r="I5" s="534">
        <f t="shared" ref="I5" si="0">EOMONTH(H5,1)</f>
        <v>45473</v>
      </c>
      <c r="J5" s="534">
        <f t="shared" ref="J5" si="1">EOMONTH(I5,1)</f>
        <v>45504</v>
      </c>
      <c r="K5" s="534">
        <f t="shared" ref="K5" si="2">EOMONTH(J5,1)</f>
        <v>45535</v>
      </c>
      <c r="L5" s="534">
        <f t="shared" ref="L5" si="3">EOMONTH(K5,1)</f>
        <v>45565</v>
      </c>
      <c r="M5" s="534">
        <f t="shared" ref="M5" si="4">EOMONTH(L5,1)</f>
        <v>45596</v>
      </c>
      <c r="N5" s="534">
        <f t="shared" ref="N5" si="5">EOMONTH(M5,1)</f>
        <v>45626</v>
      </c>
      <c r="O5" s="534">
        <f t="shared" ref="O5:S5" si="6">EOMONTH(N5,1)</f>
        <v>45657</v>
      </c>
      <c r="P5" s="534">
        <f t="shared" si="6"/>
        <v>45688</v>
      </c>
      <c r="Q5" s="534">
        <f t="shared" si="6"/>
        <v>45716</v>
      </c>
      <c r="R5" s="534">
        <f t="shared" si="6"/>
        <v>45747</v>
      </c>
      <c r="S5" s="534">
        <f t="shared" si="6"/>
        <v>45777</v>
      </c>
      <c r="T5" s="692" t="s">
        <v>212</v>
      </c>
      <c r="U5" s="693" t="s">
        <v>1787</v>
      </c>
      <c r="V5" s="694" t="s">
        <v>1788</v>
      </c>
      <c r="W5" s="535" t="str">
        <f>"T-12"&amp;CHAR(10)&amp;TEXT($H$5,"(mm.yy"&amp;"-")&amp;TEXT($S$5,"mm.yy)")</f>
        <v>T-12
(05.24-04.25)</v>
      </c>
      <c r="X5" s="536" t="str">
        <f>"T-9 Ann."&amp;CHAR(10)&amp;TEXT($K$5,"(mm.yy"&amp;"-")&amp;TEXT($S$5,"mm.yy)")</f>
        <v>T-9 Ann.
(08.24-04.25)</v>
      </c>
      <c r="Y5" s="536" t="str">
        <f>"T-6 Ann."&amp;CHAR(10)&amp;TEXT($N$5,"(mm.yy"&amp;"-")&amp;TEXT($S$5,"mm.yy)")</f>
        <v>T-6 Ann.
(11.24-04.25)</v>
      </c>
      <c r="Z5" s="536" t="str">
        <f>"T-3 Ann."&amp;CHAR(10)&amp;TEXT($Q$5,"(mm.yy"&amp;"-")&amp;TEXT($S$5,"mm.yy)")</f>
        <v>T-3 Ann.
(02.25-04.25)</v>
      </c>
      <c r="AA5" s="536" t="str">
        <f>"T-1 Ann."&amp;CHAR(10)&amp;TEXT($S$5,"(mm.yy"&amp;"-")&amp;TEXT($S$5,"mm.yy)")</f>
        <v>T-1 Ann.
(04.25-04.25)</v>
      </c>
    </row>
    <row r="6" spans="1:47" ht="6" customHeight="1" x14ac:dyDescent="0.25">
      <c r="D6" s="92"/>
      <c r="E6" s="451"/>
      <c r="F6" s="451"/>
      <c r="G6" s="438"/>
      <c r="H6" s="439"/>
      <c r="I6" s="439"/>
      <c r="J6" s="439"/>
      <c r="K6" s="439"/>
      <c r="L6" s="439"/>
      <c r="M6" s="439"/>
      <c r="N6" s="439"/>
      <c r="O6" s="438"/>
      <c r="P6" s="438"/>
      <c r="Q6" s="438"/>
      <c r="R6" s="439"/>
      <c r="S6" s="439"/>
      <c r="T6" s="695"/>
      <c r="U6" s="439"/>
      <c r="V6" s="696"/>
      <c r="W6" s="440"/>
      <c r="X6" s="441"/>
      <c r="Y6" s="441"/>
      <c r="Z6" s="441"/>
      <c r="AA6" s="441"/>
    </row>
    <row r="7" spans="1:47" s="88" customFormat="1" x14ac:dyDescent="0.25">
      <c r="A7" s="9"/>
      <c r="B7" s="9"/>
      <c r="C7" s="9"/>
      <c r="D7" s="487" t="str">
        <f>$AB$3</f>
        <v>Hudson View Park</v>
      </c>
      <c r="E7" s="488"/>
      <c r="F7" s="488"/>
      <c r="G7" s="442" t="s">
        <v>1438</v>
      </c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697"/>
      <c r="U7" s="444"/>
      <c r="V7" s="698"/>
      <c r="W7" s="489"/>
      <c r="X7" s="444"/>
      <c r="Y7" s="444"/>
      <c r="Z7" s="444"/>
      <c r="AA7" s="444"/>
      <c r="AB7" s="491"/>
      <c r="AC7" s="491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s="88" customFormat="1" x14ac:dyDescent="0.25">
      <c r="A8" s="9"/>
      <c r="B8" s="9"/>
      <c r="C8" s="9"/>
      <c r="D8" s="487" t="str">
        <f t="shared" ref="D8:D70" si="7">$AB$3</f>
        <v>Hudson View Park</v>
      </c>
      <c r="E8" s="488"/>
      <c r="F8" s="488"/>
      <c r="G8" s="456" t="s">
        <v>173</v>
      </c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444"/>
      <c r="S8" s="444"/>
      <c r="T8" s="697"/>
      <c r="U8" s="444"/>
      <c r="V8" s="698"/>
      <c r="W8" s="489"/>
      <c r="X8" s="444"/>
      <c r="Y8" s="444"/>
      <c r="Z8" s="444"/>
      <c r="AA8" s="444"/>
      <c r="AB8" s="491"/>
      <c r="AC8" s="491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s="88" customFormat="1" x14ac:dyDescent="0.25">
      <c r="A9" s="9"/>
      <c r="B9" s="9"/>
      <c r="C9" s="9"/>
      <c r="D9" s="487" t="str">
        <f t="shared" si="7"/>
        <v>Hudson View Park</v>
      </c>
      <c r="E9" s="488"/>
      <c r="F9" s="488"/>
      <c r="G9" s="456" t="s">
        <v>1439</v>
      </c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697"/>
      <c r="U9" s="444"/>
      <c r="V9" s="698"/>
      <c r="W9" s="489"/>
      <c r="X9" s="444"/>
      <c r="Y9" s="444"/>
      <c r="Z9" s="444"/>
      <c r="AA9" s="444"/>
      <c r="AB9" s="491"/>
      <c r="AC9" s="491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s="88" customFormat="1" x14ac:dyDescent="0.25">
      <c r="A10" s="9"/>
      <c r="B10" s="9"/>
      <c r="C10" s="9"/>
      <c r="D10" s="487" t="str">
        <f t="shared" si="7"/>
        <v>Hudson View Park</v>
      </c>
      <c r="E10" s="488" t="s">
        <v>48</v>
      </c>
      <c r="F10" s="488"/>
      <c r="G10" s="443" t="s">
        <v>1441</v>
      </c>
      <c r="H10" s="444">
        <f>SUMIFS('HVP T12'!C:C,'HVP T12'!$B:$B,'P&amp;Ls Detailed'!$G10)</f>
        <v>1010104.91</v>
      </c>
      <c r="I10" s="444">
        <f>SUMIFS('HVP T12'!D:D,'HVP T12'!$B:$B,'P&amp;Ls Detailed'!$G10)</f>
        <v>1022834</v>
      </c>
      <c r="J10" s="444">
        <f>SUMIFS('HVP T12'!E:E,'HVP T12'!$B:$B,'P&amp;Ls Detailed'!$G10)</f>
        <v>1023194.69</v>
      </c>
      <c r="K10" s="444">
        <f>SUMIFS('HVP T12'!F:F,'HVP T12'!$B:$B,'P&amp;Ls Detailed'!$G10)</f>
        <v>1024622.55</v>
      </c>
      <c r="L10" s="444">
        <f>SUMIFS('HVP T12'!G:G,'HVP T12'!$B:$B,'P&amp;Ls Detailed'!$G10)</f>
        <v>1028082.51</v>
      </c>
      <c r="M10" s="444">
        <f>SUMIFS('HVP T12'!H:H,'HVP T12'!$B:$B,'P&amp;Ls Detailed'!$G10)</f>
        <v>1029615.97</v>
      </c>
      <c r="N10" s="444">
        <f>SUMIFS('HVP T12'!I:I,'HVP T12'!$B:$B,'P&amp;Ls Detailed'!$G10)</f>
        <v>1030093.67</v>
      </c>
      <c r="O10" s="444">
        <f>SUMIFS('HVP T12'!J:J,'HVP T12'!$B:$B,'P&amp;Ls Detailed'!$G10)</f>
        <v>1030688.38</v>
      </c>
      <c r="P10" s="444">
        <f>SUMIFS('HVP T12'!K:K,'HVP T12'!$B:$B,'P&amp;Ls Detailed'!$G10)</f>
        <v>1031356.28</v>
      </c>
      <c r="Q10" s="444">
        <f>SUMIFS('HVP T12'!L:L,'HVP T12'!$B:$B,'P&amp;Ls Detailed'!$G10)</f>
        <v>1031931.24</v>
      </c>
      <c r="R10" s="444">
        <f>SUMIFS('HVP T12'!M:M,'HVP T12'!$B:$B,'P&amp;Ls Detailed'!$G10)</f>
        <v>1033899.59</v>
      </c>
      <c r="S10" s="444">
        <f>SUMIFS('HVP T12'!N:N,'HVP T12'!$B:$B,'P&amp;Ls Detailed'!$G10)</f>
        <v>1035339.66</v>
      </c>
      <c r="T10" s="697"/>
      <c r="U10" s="444"/>
      <c r="V10" s="698"/>
      <c r="W10" s="489">
        <f>SUM(H10:S10)</f>
        <v>12331763.449999999</v>
      </c>
      <c r="X10" s="444">
        <f>SUM(K10:S10)/9*12</f>
        <v>12367506.466666667</v>
      </c>
      <c r="Y10" s="444">
        <f>SUM(N10:S10)/6*12</f>
        <v>12386617.640000001</v>
      </c>
      <c r="Z10" s="444">
        <f>SUM(Q10:S10)/3*12</f>
        <v>12404681.960000001</v>
      </c>
      <c r="AA10" s="444">
        <f>S10*12</f>
        <v>12424075.92</v>
      </c>
      <c r="AB10" s="491"/>
      <c r="AC10" s="49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s="88" customFormat="1" x14ac:dyDescent="0.25">
      <c r="A11" s="9"/>
      <c r="B11" s="9"/>
      <c r="C11" s="9"/>
      <c r="D11" s="487" t="str">
        <f t="shared" si="7"/>
        <v>Hudson View Park</v>
      </c>
      <c r="E11" s="488" t="s">
        <v>195</v>
      </c>
      <c r="F11" s="488" t="s">
        <v>1756</v>
      </c>
      <c r="G11" s="443" t="s">
        <v>1443</v>
      </c>
      <c r="H11" s="444">
        <f>SUMIFS('HVP T12'!C:C,'HVP T12'!$B:$B,'P&amp;Ls Detailed'!$G11)</f>
        <v>-5125</v>
      </c>
      <c r="I11" s="444">
        <f>SUMIFS('HVP T12'!D:D,'HVP T12'!$B:$B,'P&amp;Ls Detailed'!$G11)</f>
        <v>-5413.37</v>
      </c>
      <c r="J11" s="444">
        <f>SUMIFS('HVP T12'!E:E,'HVP T12'!$B:$B,'P&amp;Ls Detailed'!$G11)</f>
        <v>-5621.74</v>
      </c>
      <c r="K11" s="444">
        <f>SUMIFS('HVP T12'!F:F,'HVP T12'!$B:$B,'P&amp;Ls Detailed'!$G11)</f>
        <v>-5621.74</v>
      </c>
      <c r="L11" s="444">
        <f>SUMIFS('HVP T12'!G:G,'HVP T12'!$B:$B,'P&amp;Ls Detailed'!$G11)</f>
        <v>-5449.62</v>
      </c>
      <c r="M11" s="444">
        <f>SUMIFS('HVP T12'!H:H,'HVP T12'!$B:$B,'P&amp;Ls Detailed'!$G11)</f>
        <v>-5449.62</v>
      </c>
      <c r="N11" s="444">
        <f>SUMIFS('HVP T12'!I:I,'HVP T12'!$B:$B,'P&amp;Ls Detailed'!$G11)</f>
        <v>-5449.62</v>
      </c>
      <c r="O11" s="444">
        <f>SUMIFS('HVP T12'!J:J,'HVP T12'!$B:$B,'P&amp;Ls Detailed'!$G11)</f>
        <v>-5449.62</v>
      </c>
      <c r="P11" s="444">
        <f>SUMIFS('HVP T12'!K:K,'HVP T12'!$B:$B,'P&amp;Ls Detailed'!$G11)</f>
        <v>-5829.62</v>
      </c>
      <c r="Q11" s="444">
        <f>SUMIFS('HVP T12'!L:L,'HVP T12'!$B:$B,'P&amp;Ls Detailed'!$G11)</f>
        <v>-5992.12</v>
      </c>
      <c r="R11" s="444">
        <f>SUMIFS('HVP T12'!M:M,'HVP T12'!$B:$B,'P&amp;Ls Detailed'!$G11)</f>
        <v>-5992.12</v>
      </c>
      <c r="S11" s="444">
        <f>SUMIFS('HVP T12'!N:N,'HVP T12'!$B:$B,'P&amp;Ls Detailed'!$G11)</f>
        <v>-5992.12</v>
      </c>
      <c r="T11" s="697"/>
      <c r="U11" s="444"/>
      <c r="V11" s="698"/>
      <c r="W11" s="489">
        <f>SUM(H11:S11)</f>
        <v>-67386.310000000012</v>
      </c>
      <c r="X11" s="444">
        <f>SUM(K11:S11)/9*12</f>
        <v>-68301.600000000006</v>
      </c>
      <c r="Y11" s="444">
        <f>SUM(N11:S11)/6*12</f>
        <v>-69410.44</v>
      </c>
      <c r="Z11" s="444">
        <f>SUM(Q11:S11)/3*12</f>
        <v>-71905.440000000002</v>
      </c>
      <c r="AA11" s="444">
        <f>S11*12</f>
        <v>-71905.440000000002</v>
      </c>
      <c r="AB11" s="491"/>
      <c r="AC11" s="49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s="88" customFormat="1" x14ac:dyDescent="0.25">
      <c r="A12" s="9"/>
      <c r="B12" s="9"/>
      <c r="C12" s="9"/>
      <c r="D12" s="487" t="str">
        <f t="shared" si="7"/>
        <v>Hudson View Park</v>
      </c>
      <c r="E12" s="488" t="s">
        <v>217</v>
      </c>
      <c r="F12" s="488" t="s">
        <v>1756</v>
      </c>
      <c r="G12" s="443" t="s">
        <v>1445</v>
      </c>
      <c r="H12" s="444">
        <f>SUMIFS('HVP T12'!C:C,'HVP T12'!$B:$B,'P&amp;Ls Detailed'!$G12)</f>
        <v>-11419.04</v>
      </c>
      <c r="I12" s="444">
        <f>SUMIFS('HVP T12'!D:D,'HVP T12'!$B:$B,'P&amp;Ls Detailed'!$G12)</f>
        <v>-21882.15</v>
      </c>
      <c r="J12" s="444">
        <f>SUMIFS('HVP T12'!E:E,'HVP T12'!$B:$B,'P&amp;Ls Detailed'!$G12)</f>
        <v>-24323.7</v>
      </c>
      <c r="K12" s="444">
        <f>SUMIFS('HVP T12'!F:F,'HVP T12'!$B:$B,'P&amp;Ls Detailed'!$G12)</f>
        <v>-17876.46</v>
      </c>
      <c r="L12" s="444">
        <f>SUMIFS('HVP T12'!G:G,'HVP T12'!$B:$B,'P&amp;Ls Detailed'!$G12)</f>
        <v>-11790.66</v>
      </c>
      <c r="M12" s="444">
        <f>SUMIFS('HVP T12'!H:H,'HVP T12'!$B:$B,'P&amp;Ls Detailed'!$G12)</f>
        <v>-16782.89</v>
      </c>
      <c r="N12" s="444">
        <f>SUMIFS('HVP T12'!I:I,'HVP T12'!$B:$B,'P&amp;Ls Detailed'!$G12)</f>
        <v>-17383.830000000002</v>
      </c>
      <c r="O12" s="444">
        <f>SUMIFS('HVP T12'!J:J,'HVP T12'!$B:$B,'P&amp;Ls Detailed'!$G12)</f>
        <v>-21465.19</v>
      </c>
      <c r="P12" s="444">
        <f>SUMIFS('HVP T12'!K:K,'HVP T12'!$B:$B,'P&amp;Ls Detailed'!$G12)</f>
        <v>-18846.93</v>
      </c>
      <c r="Q12" s="444">
        <f>SUMIFS('HVP T12'!L:L,'HVP T12'!$B:$B,'P&amp;Ls Detailed'!$G12)</f>
        <v>-14556.77</v>
      </c>
      <c r="R12" s="444">
        <f>SUMIFS('HVP T12'!M:M,'HVP T12'!$B:$B,'P&amp;Ls Detailed'!$G12)</f>
        <v>-9042.9</v>
      </c>
      <c r="S12" s="444">
        <f>SUMIFS('HVP T12'!N:N,'HVP T12'!$B:$B,'P&amp;Ls Detailed'!$G12)</f>
        <v>-8070.33</v>
      </c>
      <c r="T12" s="697"/>
      <c r="U12" s="444"/>
      <c r="V12" s="698"/>
      <c r="W12" s="489">
        <f>SUM(H12:S12)</f>
        <v>-193440.84999999998</v>
      </c>
      <c r="X12" s="444">
        <f>SUM(K12:S12)/9*12</f>
        <v>-181087.94666666666</v>
      </c>
      <c r="Y12" s="444">
        <f>SUM(N12:S12)/6*12</f>
        <v>-178731.9</v>
      </c>
      <c r="Z12" s="444">
        <f>SUM(Q12:S12)/3*12</f>
        <v>-126680</v>
      </c>
      <c r="AA12" s="444">
        <f>S12*12</f>
        <v>-96843.959999999992</v>
      </c>
      <c r="AB12" s="491"/>
      <c r="AC12" s="49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s="88" customFormat="1" x14ac:dyDescent="0.25">
      <c r="A13" s="9"/>
      <c r="B13" s="9"/>
      <c r="C13" s="9"/>
      <c r="D13" s="487" t="str">
        <f t="shared" si="7"/>
        <v>Hudson View Park</v>
      </c>
      <c r="E13" s="488" t="s">
        <v>48</v>
      </c>
      <c r="F13" s="488"/>
      <c r="G13" s="443" t="s">
        <v>1447</v>
      </c>
      <c r="H13" s="444">
        <f>SUMIFS('HVP T12'!C:C,'HVP T12'!$B:$B,'P&amp;Ls Detailed'!$G13)</f>
        <v>-4516.62</v>
      </c>
      <c r="I13" s="444">
        <f>SUMIFS('HVP T12'!D:D,'HVP T12'!$B:$B,'P&amp;Ls Detailed'!$G13)</f>
        <v>-4550</v>
      </c>
      <c r="J13" s="444">
        <f>SUMIFS('HVP T12'!E:E,'HVP T12'!$B:$B,'P&amp;Ls Detailed'!$G13)</f>
        <v>-4550</v>
      </c>
      <c r="K13" s="444">
        <f>SUMIFS('HVP T12'!F:F,'HVP T12'!$B:$B,'P&amp;Ls Detailed'!$G13)</f>
        <v>-4550</v>
      </c>
      <c r="L13" s="444">
        <f>SUMIFS('HVP T12'!G:G,'HVP T12'!$B:$B,'P&amp;Ls Detailed'!$G13)</f>
        <v>-4550</v>
      </c>
      <c r="M13" s="444">
        <f>SUMIFS('HVP T12'!H:H,'HVP T12'!$B:$B,'P&amp;Ls Detailed'!$G13)</f>
        <v>-4550</v>
      </c>
      <c r="N13" s="444">
        <f>SUMIFS('HVP T12'!I:I,'HVP T12'!$B:$B,'P&amp;Ls Detailed'!$G13)</f>
        <v>-4550</v>
      </c>
      <c r="O13" s="444">
        <f>SUMIFS('HVP T12'!J:J,'HVP T12'!$B:$B,'P&amp;Ls Detailed'!$G13)</f>
        <v>-4550</v>
      </c>
      <c r="P13" s="444">
        <f>SUMIFS('HVP T12'!K:K,'HVP T12'!$B:$B,'P&amp;Ls Detailed'!$G13)</f>
        <v>-4550</v>
      </c>
      <c r="Q13" s="444">
        <f>SUMIFS('HVP T12'!L:L,'HVP T12'!$B:$B,'P&amp;Ls Detailed'!$G13)</f>
        <v>-4550</v>
      </c>
      <c r="R13" s="444">
        <f>SUMIFS('HVP T12'!M:M,'HVP T12'!$B:$B,'P&amp;Ls Detailed'!$G13)</f>
        <v>-4550</v>
      </c>
      <c r="S13" s="444">
        <f>SUMIFS('HVP T12'!N:N,'HVP T12'!$B:$B,'P&amp;Ls Detailed'!$G13)</f>
        <v>-4550</v>
      </c>
      <c r="T13" s="697"/>
      <c r="U13" s="444"/>
      <c r="V13" s="698"/>
      <c r="W13" s="489">
        <f>SUM(H13:S13)</f>
        <v>-54566.619999999995</v>
      </c>
      <c r="X13" s="444">
        <f>SUM(K13:S13)/9*12</f>
        <v>-54600</v>
      </c>
      <c r="Y13" s="444">
        <f>SUM(N13:S13)/6*12</f>
        <v>-54600</v>
      </c>
      <c r="Z13" s="444">
        <f>SUM(Q13:S13)/3*12</f>
        <v>-54600</v>
      </c>
      <c r="AA13" s="444">
        <f>S13*12</f>
        <v>-54600</v>
      </c>
      <c r="AB13" s="491"/>
      <c r="AC13" s="49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s="88" customFormat="1" x14ac:dyDescent="0.25">
      <c r="A14" s="9"/>
      <c r="B14" s="9"/>
      <c r="C14" s="9"/>
      <c r="D14" s="487" t="str">
        <f t="shared" si="7"/>
        <v>Hudson View Park</v>
      </c>
      <c r="E14" s="488" t="s">
        <v>224</v>
      </c>
      <c r="F14" s="488"/>
      <c r="G14" s="443" t="s">
        <v>1449</v>
      </c>
      <c r="H14" s="444">
        <f>SUMIFS('HVP T12'!C:C,'HVP T12'!$B:$B,'P&amp;Ls Detailed'!$G14)</f>
        <v>-101519.25</v>
      </c>
      <c r="I14" s="444">
        <f>SUMIFS('HVP T12'!D:D,'HVP T12'!$B:$B,'P&amp;Ls Detailed'!$G14)</f>
        <v>-103859</v>
      </c>
      <c r="J14" s="444">
        <f>SUMIFS('HVP T12'!E:E,'HVP T12'!$B:$B,'P&amp;Ls Detailed'!$G14)</f>
        <v>-94851.64</v>
      </c>
      <c r="K14" s="444">
        <f>SUMIFS('HVP T12'!F:F,'HVP T12'!$B:$B,'P&amp;Ls Detailed'!$G14)</f>
        <v>-87548.35</v>
      </c>
      <c r="L14" s="444">
        <f>SUMIFS('HVP T12'!G:G,'HVP T12'!$B:$B,'P&amp;Ls Detailed'!$G14)</f>
        <v>-79842.19</v>
      </c>
      <c r="M14" s="444">
        <f>SUMIFS('HVP T12'!H:H,'HVP T12'!$B:$B,'P&amp;Ls Detailed'!$G14)</f>
        <v>-71108.39</v>
      </c>
      <c r="N14" s="444">
        <f>SUMIFS('HVP T12'!I:I,'HVP T12'!$B:$B,'P&amp;Ls Detailed'!$G14)</f>
        <v>-59557</v>
      </c>
      <c r="O14" s="444">
        <f>SUMIFS('HVP T12'!J:J,'HVP T12'!$B:$B,'P&amp;Ls Detailed'!$G14)</f>
        <v>-54865.79</v>
      </c>
      <c r="P14" s="444">
        <f>SUMIFS('HVP T12'!K:K,'HVP T12'!$B:$B,'P&amp;Ls Detailed'!$G14)</f>
        <v>-46670</v>
      </c>
      <c r="Q14" s="444">
        <f>SUMIFS('HVP T12'!L:L,'HVP T12'!$B:$B,'P&amp;Ls Detailed'!$G14)</f>
        <v>-40747.14</v>
      </c>
      <c r="R14" s="444">
        <f>SUMIFS('HVP T12'!M:M,'HVP T12'!$B:$B,'P&amp;Ls Detailed'!$G14)</f>
        <v>-35217.980000000003</v>
      </c>
      <c r="S14" s="444">
        <f>SUMIFS('HVP T12'!N:N,'HVP T12'!$B:$B,'P&amp;Ls Detailed'!$G14)</f>
        <v>-28667.66</v>
      </c>
      <c r="T14" s="697"/>
      <c r="U14" s="444"/>
      <c r="V14" s="698"/>
      <c r="W14" s="489">
        <f>SUM(H14:S14)</f>
        <v>-804454.39</v>
      </c>
      <c r="X14" s="444">
        <f>SUM(K14:S14)/9*12</f>
        <v>-672299.33333333326</v>
      </c>
      <c r="Y14" s="444">
        <f>SUM(N14:S14)/6*12</f>
        <v>-531451.14</v>
      </c>
      <c r="Z14" s="444">
        <f>SUM(Q14:S14)/3*12</f>
        <v>-418531.12</v>
      </c>
      <c r="AA14" s="444">
        <f>S14*12</f>
        <v>-344011.92</v>
      </c>
      <c r="AB14" s="491"/>
      <c r="AC14" s="49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s="88" customFormat="1" x14ac:dyDescent="0.25">
      <c r="A15" s="9"/>
      <c r="B15" s="9"/>
      <c r="C15" s="9"/>
      <c r="D15" s="487" t="str">
        <f t="shared" si="7"/>
        <v>Hudson View Park</v>
      </c>
      <c r="E15" s="488"/>
      <c r="F15" s="488"/>
      <c r="G15" s="456" t="s">
        <v>1450</v>
      </c>
      <c r="H15" s="447">
        <f t="shared" ref="H15:S15" si="8">SUM(H10:H14)</f>
        <v>887525</v>
      </c>
      <c r="I15" s="447">
        <f t="shared" si="8"/>
        <v>887129.48</v>
      </c>
      <c r="J15" s="447">
        <f t="shared" si="8"/>
        <v>893847.61</v>
      </c>
      <c r="K15" s="447">
        <f t="shared" si="8"/>
        <v>909026.00000000012</v>
      </c>
      <c r="L15" s="447">
        <f t="shared" si="8"/>
        <v>926450.04</v>
      </c>
      <c r="M15" s="447">
        <f t="shared" si="8"/>
        <v>931725.07</v>
      </c>
      <c r="N15" s="447">
        <f t="shared" si="8"/>
        <v>943153.22000000009</v>
      </c>
      <c r="O15" s="447">
        <f t="shared" si="8"/>
        <v>944357.78</v>
      </c>
      <c r="P15" s="447">
        <f t="shared" si="8"/>
        <v>955459.73</v>
      </c>
      <c r="Q15" s="447">
        <f t="shared" si="8"/>
        <v>966085.21</v>
      </c>
      <c r="R15" s="447">
        <f t="shared" si="8"/>
        <v>979096.59</v>
      </c>
      <c r="S15" s="447">
        <f t="shared" si="8"/>
        <v>988059.55</v>
      </c>
      <c r="T15" s="628"/>
      <c r="U15" s="447"/>
      <c r="V15" s="699"/>
      <c r="W15" s="567">
        <f>SUM(W10:W14)</f>
        <v>11211915.279999999</v>
      </c>
      <c r="X15" s="628">
        <f>SUM(X10:X14)</f>
        <v>11391217.586666666</v>
      </c>
      <c r="Y15" s="447">
        <f t="shared" ref="Y15:AA15" si="9">SUM(Y10:Y14)</f>
        <v>11552424.16</v>
      </c>
      <c r="Z15" s="447">
        <f t="shared" si="9"/>
        <v>11732965.400000002</v>
      </c>
      <c r="AA15" s="447">
        <f t="shared" si="9"/>
        <v>11856714.6</v>
      </c>
      <c r="AB15" s="618"/>
      <c r="AC15" s="491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s="88" customFormat="1" x14ac:dyDescent="0.25">
      <c r="A16" s="9"/>
      <c r="B16" s="9"/>
      <c r="C16" s="9"/>
      <c r="D16" s="487" t="str">
        <f t="shared" si="7"/>
        <v>Hudson View Park</v>
      </c>
      <c r="E16" s="488"/>
      <c r="F16" s="488"/>
      <c r="G16" s="456" t="s">
        <v>1451</v>
      </c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444"/>
      <c r="S16" s="444"/>
      <c r="T16" s="697"/>
      <c r="U16" s="444"/>
      <c r="V16" s="698"/>
      <c r="W16" s="489"/>
      <c r="X16" s="444"/>
      <c r="Y16" s="444"/>
      <c r="Z16" s="444"/>
      <c r="AA16" s="444"/>
      <c r="AB16" s="491"/>
      <c r="AC16" s="491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s="88" customFormat="1" x14ac:dyDescent="0.25">
      <c r="A17" s="9"/>
      <c r="B17" s="9"/>
      <c r="C17" s="9"/>
      <c r="D17" s="487" t="str">
        <f t="shared" si="7"/>
        <v>Hudson View Park</v>
      </c>
      <c r="E17" s="488" t="s">
        <v>193</v>
      </c>
      <c r="F17" s="488" t="s">
        <v>1756</v>
      </c>
      <c r="G17" s="443" t="s">
        <v>1453</v>
      </c>
      <c r="H17" s="444">
        <f>SUMIFS('HVP T12'!C:C,'HVP T12'!$B:$B,'P&amp;Ls Detailed'!$G17)</f>
        <v>225.82</v>
      </c>
      <c r="I17" s="444">
        <f>SUMIFS('HVP T12'!D:D,'HVP T12'!$B:$B,'P&amp;Ls Detailed'!$G17)</f>
        <v>0</v>
      </c>
      <c r="J17" s="444">
        <f>SUMIFS('HVP T12'!E:E,'HVP T12'!$B:$B,'P&amp;Ls Detailed'!$G17)</f>
        <v>0</v>
      </c>
      <c r="K17" s="444">
        <f>SUMIFS('HVP T12'!F:F,'HVP T12'!$B:$B,'P&amp;Ls Detailed'!$G17)</f>
        <v>0</v>
      </c>
      <c r="L17" s="444">
        <f>SUMIFS('HVP T12'!G:G,'HVP T12'!$B:$B,'P&amp;Ls Detailed'!$G17)</f>
        <v>0</v>
      </c>
      <c r="M17" s="444">
        <f>SUMIFS('HVP T12'!H:H,'HVP T12'!$B:$B,'P&amp;Ls Detailed'!$G17)</f>
        <v>0</v>
      </c>
      <c r="N17" s="444">
        <f>SUMIFS('HVP T12'!I:I,'HVP T12'!$B:$B,'P&amp;Ls Detailed'!$G17)</f>
        <v>0</v>
      </c>
      <c r="O17" s="444">
        <f>SUMIFS('HVP T12'!J:J,'HVP T12'!$B:$B,'P&amp;Ls Detailed'!$G17)</f>
        <v>-951.94</v>
      </c>
      <c r="P17" s="444">
        <f>SUMIFS('HVP T12'!K:K,'HVP T12'!$B:$B,'P&amp;Ls Detailed'!$G17)</f>
        <v>0</v>
      </c>
      <c r="Q17" s="444">
        <f>SUMIFS('HVP T12'!L:L,'HVP T12'!$B:$B,'P&amp;Ls Detailed'!$G17)</f>
        <v>0</v>
      </c>
      <c r="R17" s="444">
        <f>SUMIFS('HVP T12'!M:M,'HVP T12'!$B:$B,'P&amp;Ls Detailed'!$G17)</f>
        <v>445.23</v>
      </c>
      <c r="S17" s="444">
        <f>SUMIFS('HVP T12'!N:N,'HVP T12'!$B:$B,'P&amp;Ls Detailed'!$G17)</f>
        <v>0</v>
      </c>
      <c r="T17" s="697"/>
      <c r="U17" s="444"/>
      <c r="V17" s="698"/>
      <c r="W17" s="489">
        <f t="shared" ref="W17:W28" si="10">SUM(H17:S17)</f>
        <v>-280.8900000000001</v>
      </c>
      <c r="X17" s="444">
        <f t="shared" ref="X17:X28" si="11">SUM(K17:S17)/9*12</f>
        <v>-675.61333333333334</v>
      </c>
      <c r="Y17" s="444">
        <f t="shared" ref="Y17:Y28" si="12">SUM(N17:S17)/6*12</f>
        <v>-1013.4200000000001</v>
      </c>
      <c r="Z17" s="444">
        <f t="shared" ref="Z17:Z28" si="13">SUM(Q17:S17)/3*12</f>
        <v>1780.92</v>
      </c>
      <c r="AA17" s="444">
        <f t="shared" ref="AA17:AA28" si="14">S17*12</f>
        <v>0</v>
      </c>
      <c r="AB17" s="491"/>
      <c r="AC17" s="491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s="88" customFormat="1" x14ac:dyDescent="0.25">
      <c r="A18" s="9"/>
      <c r="B18" s="9"/>
      <c r="C18" s="9"/>
      <c r="D18" s="487" t="str">
        <f t="shared" si="7"/>
        <v>Hudson View Park</v>
      </c>
      <c r="E18" s="488" t="s">
        <v>4</v>
      </c>
      <c r="F18" s="488"/>
      <c r="G18" s="443" t="s">
        <v>1455</v>
      </c>
      <c r="H18" s="444">
        <f>SUMIFS('HVP T12'!C:C,'HVP T12'!$B:$B,'P&amp;Ls Detailed'!$G18)</f>
        <v>37772.239999999998</v>
      </c>
      <c r="I18" s="444">
        <f>SUMIFS('HVP T12'!D:D,'HVP T12'!$B:$B,'P&amp;Ls Detailed'!$G18)</f>
        <v>36305.839999999997</v>
      </c>
      <c r="J18" s="444">
        <f>SUMIFS('HVP T12'!E:E,'HVP T12'!$B:$B,'P&amp;Ls Detailed'!$G18)</f>
        <v>32775.480000000003</v>
      </c>
      <c r="K18" s="444">
        <f>SUMIFS('HVP T12'!F:F,'HVP T12'!$B:$B,'P&amp;Ls Detailed'!$G18)</f>
        <v>29421.599999999999</v>
      </c>
      <c r="L18" s="444">
        <f>SUMIFS('HVP T12'!G:G,'HVP T12'!$B:$B,'P&amp;Ls Detailed'!$G18)</f>
        <v>25511.67</v>
      </c>
      <c r="M18" s="444">
        <f>SUMIFS('HVP T12'!H:H,'HVP T12'!$B:$B,'P&amp;Ls Detailed'!$G18)</f>
        <v>21895.96</v>
      </c>
      <c r="N18" s="444">
        <f>SUMIFS('HVP T12'!I:I,'HVP T12'!$B:$B,'P&amp;Ls Detailed'!$G18)</f>
        <v>18430</v>
      </c>
      <c r="O18" s="444">
        <f>SUMIFS('HVP T12'!J:J,'HVP T12'!$B:$B,'P&amp;Ls Detailed'!$G18)</f>
        <v>15673.56</v>
      </c>
      <c r="P18" s="444">
        <f>SUMIFS('HVP T12'!K:K,'HVP T12'!$B:$B,'P&amp;Ls Detailed'!$G18)</f>
        <v>12936.78</v>
      </c>
      <c r="Q18" s="444">
        <f>SUMIFS('HVP T12'!L:L,'HVP T12'!$B:$B,'P&amp;Ls Detailed'!$G18)</f>
        <v>10537.15</v>
      </c>
      <c r="R18" s="444">
        <f>SUMIFS('HVP T12'!M:M,'HVP T12'!$B:$B,'P&amp;Ls Detailed'!$G18)</f>
        <v>7747.1</v>
      </c>
      <c r="S18" s="444">
        <f>SUMIFS('HVP T12'!N:N,'HVP T12'!$B:$B,'P&amp;Ls Detailed'!$G18)</f>
        <v>4608</v>
      </c>
      <c r="T18" s="697"/>
      <c r="U18" s="444"/>
      <c r="V18" s="698"/>
      <c r="W18" s="489">
        <f t="shared" si="10"/>
        <v>253615.38</v>
      </c>
      <c r="X18" s="444">
        <f t="shared" si="11"/>
        <v>195682.4266666667</v>
      </c>
      <c r="Y18" s="444">
        <f t="shared" si="12"/>
        <v>139865.18</v>
      </c>
      <c r="Z18" s="444">
        <f t="shared" si="13"/>
        <v>91569</v>
      </c>
      <c r="AA18" s="444">
        <f t="shared" si="14"/>
        <v>55296</v>
      </c>
      <c r="AB18" s="491"/>
      <c r="AC18" s="491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s="88" customFormat="1" x14ac:dyDescent="0.25">
      <c r="A19" s="9"/>
      <c r="B19" s="9"/>
      <c r="C19" s="9"/>
      <c r="D19" s="487" t="str">
        <f t="shared" si="7"/>
        <v>Hudson View Park</v>
      </c>
      <c r="E19" s="488" t="s">
        <v>4</v>
      </c>
      <c r="F19" s="488"/>
      <c r="G19" s="443" t="s">
        <v>1457</v>
      </c>
      <c r="H19" s="444">
        <f>SUMIFS('HVP T12'!C:C,'HVP T12'!$B:$B,'P&amp;Ls Detailed'!$G19)</f>
        <v>420</v>
      </c>
      <c r="I19" s="444">
        <f>SUMIFS('HVP T12'!D:D,'HVP T12'!$B:$B,'P&amp;Ls Detailed'!$G19)</f>
        <v>315</v>
      </c>
      <c r="J19" s="444">
        <f>SUMIFS('HVP T12'!E:E,'HVP T12'!$B:$B,'P&amp;Ls Detailed'!$G19)</f>
        <v>225</v>
      </c>
      <c r="K19" s="444">
        <f>SUMIFS('HVP T12'!F:F,'HVP T12'!$B:$B,'P&amp;Ls Detailed'!$G19)</f>
        <v>420</v>
      </c>
      <c r="L19" s="444">
        <f>SUMIFS('HVP T12'!G:G,'HVP T12'!$B:$B,'P&amp;Ls Detailed'!$G19)</f>
        <v>320</v>
      </c>
      <c r="M19" s="444">
        <f>SUMIFS('HVP T12'!H:H,'HVP T12'!$B:$B,'P&amp;Ls Detailed'!$G19)</f>
        <v>195</v>
      </c>
      <c r="N19" s="444">
        <f>SUMIFS('HVP T12'!I:I,'HVP T12'!$B:$B,'P&amp;Ls Detailed'!$G19)</f>
        <v>405</v>
      </c>
      <c r="O19" s="444">
        <f>SUMIFS('HVP T12'!J:J,'HVP T12'!$B:$B,'P&amp;Ls Detailed'!$G19)</f>
        <v>225</v>
      </c>
      <c r="P19" s="444">
        <f>SUMIFS('HVP T12'!K:K,'HVP T12'!$B:$B,'P&amp;Ls Detailed'!$G19)</f>
        <v>180</v>
      </c>
      <c r="Q19" s="444">
        <f>SUMIFS('HVP T12'!L:L,'HVP T12'!$B:$B,'P&amp;Ls Detailed'!$G19)</f>
        <v>270</v>
      </c>
      <c r="R19" s="444">
        <f>SUMIFS('HVP T12'!M:M,'HVP T12'!$B:$B,'P&amp;Ls Detailed'!$G19)</f>
        <v>390</v>
      </c>
      <c r="S19" s="444">
        <f>SUMIFS('HVP T12'!N:N,'HVP T12'!$B:$B,'P&amp;Ls Detailed'!$G19)</f>
        <v>195</v>
      </c>
      <c r="T19" s="697"/>
      <c r="U19" s="444"/>
      <c r="V19" s="698"/>
      <c r="W19" s="489">
        <f t="shared" si="10"/>
        <v>3560</v>
      </c>
      <c r="X19" s="444">
        <f t="shared" si="11"/>
        <v>3466.666666666667</v>
      </c>
      <c r="Y19" s="444">
        <f t="shared" si="12"/>
        <v>3330</v>
      </c>
      <c r="Z19" s="444">
        <f t="shared" si="13"/>
        <v>3420</v>
      </c>
      <c r="AA19" s="444">
        <f t="shared" si="14"/>
        <v>2340</v>
      </c>
      <c r="AB19" s="491"/>
      <c r="AC19" s="491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s="88" customFormat="1" x14ac:dyDescent="0.25">
      <c r="A20" s="9"/>
      <c r="B20" s="9"/>
      <c r="C20" s="9"/>
      <c r="D20" s="487" t="str">
        <f t="shared" si="7"/>
        <v>Hudson View Park</v>
      </c>
      <c r="E20" s="488" t="s">
        <v>4</v>
      </c>
      <c r="F20" s="488"/>
      <c r="G20" s="443" t="s">
        <v>1459</v>
      </c>
      <c r="H20" s="444">
        <f>SUMIFS('HVP T12'!C:C,'HVP T12'!$B:$B,'P&amp;Ls Detailed'!$G20)</f>
        <v>0</v>
      </c>
      <c r="I20" s="444">
        <f>SUMIFS('HVP T12'!D:D,'HVP T12'!$B:$B,'P&amp;Ls Detailed'!$G20)</f>
        <v>210</v>
      </c>
      <c r="J20" s="444">
        <f>SUMIFS('HVP T12'!E:E,'HVP T12'!$B:$B,'P&amp;Ls Detailed'!$G20)</f>
        <v>140</v>
      </c>
      <c r="K20" s="444">
        <f>SUMIFS('HVP T12'!F:F,'HVP T12'!$B:$B,'P&amp;Ls Detailed'!$G20)</f>
        <v>70</v>
      </c>
      <c r="L20" s="444">
        <f>SUMIFS('HVP T12'!G:G,'HVP T12'!$B:$B,'P&amp;Ls Detailed'!$G20)</f>
        <v>245</v>
      </c>
      <c r="M20" s="444">
        <f>SUMIFS('HVP T12'!H:H,'HVP T12'!$B:$B,'P&amp;Ls Detailed'!$G20)</f>
        <v>35</v>
      </c>
      <c r="N20" s="444">
        <f>SUMIFS('HVP T12'!I:I,'HVP T12'!$B:$B,'P&amp;Ls Detailed'!$G20)</f>
        <v>35</v>
      </c>
      <c r="O20" s="444">
        <f>SUMIFS('HVP T12'!J:J,'HVP T12'!$B:$B,'P&amp;Ls Detailed'!$G20)</f>
        <v>35</v>
      </c>
      <c r="P20" s="444">
        <f>SUMIFS('HVP T12'!K:K,'HVP T12'!$B:$B,'P&amp;Ls Detailed'!$G20)</f>
        <v>210</v>
      </c>
      <c r="Q20" s="444">
        <f>SUMIFS('HVP T12'!L:L,'HVP T12'!$B:$B,'P&amp;Ls Detailed'!$G20)</f>
        <v>105</v>
      </c>
      <c r="R20" s="444">
        <f>SUMIFS('HVP T12'!M:M,'HVP T12'!$B:$B,'P&amp;Ls Detailed'!$G20)</f>
        <v>175</v>
      </c>
      <c r="S20" s="444">
        <f>SUMIFS('HVP T12'!N:N,'HVP T12'!$B:$B,'P&amp;Ls Detailed'!$G20)</f>
        <v>70</v>
      </c>
      <c r="T20" s="697"/>
      <c r="U20" s="444"/>
      <c r="V20" s="698"/>
      <c r="W20" s="489">
        <f t="shared" si="10"/>
        <v>1330</v>
      </c>
      <c r="X20" s="444">
        <f t="shared" si="11"/>
        <v>1306.6666666666665</v>
      </c>
      <c r="Y20" s="444">
        <f t="shared" si="12"/>
        <v>1260</v>
      </c>
      <c r="Z20" s="444">
        <f t="shared" si="13"/>
        <v>1400</v>
      </c>
      <c r="AA20" s="444">
        <f t="shared" si="14"/>
        <v>840</v>
      </c>
      <c r="AB20" s="491"/>
      <c r="AC20" s="491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s="88" customFormat="1" x14ac:dyDescent="0.25">
      <c r="A21" s="9"/>
      <c r="B21" s="9"/>
      <c r="C21" s="9"/>
      <c r="D21" s="487" t="str">
        <f t="shared" si="7"/>
        <v>Hudson View Park</v>
      </c>
      <c r="E21" s="488" t="s">
        <v>4</v>
      </c>
      <c r="F21" s="488"/>
      <c r="G21" s="443" t="s">
        <v>1461</v>
      </c>
      <c r="H21" s="444">
        <f>SUMIFS('HVP T12'!C:C,'HVP T12'!$B:$B,'P&amp;Ls Detailed'!$G21)</f>
        <v>900</v>
      </c>
      <c r="I21" s="444">
        <f>SUMIFS('HVP T12'!D:D,'HVP T12'!$B:$B,'P&amp;Ls Detailed'!$G21)</f>
        <v>950</v>
      </c>
      <c r="J21" s="444">
        <f>SUMIFS('HVP T12'!E:E,'HVP T12'!$B:$B,'P&amp;Ls Detailed'!$G21)</f>
        <v>750</v>
      </c>
      <c r="K21" s="444">
        <f>SUMIFS('HVP T12'!F:F,'HVP T12'!$B:$B,'P&amp;Ls Detailed'!$G21)</f>
        <v>1200</v>
      </c>
      <c r="L21" s="444">
        <f>SUMIFS('HVP T12'!G:G,'HVP T12'!$B:$B,'P&amp;Ls Detailed'!$G21)</f>
        <v>1250</v>
      </c>
      <c r="M21" s="444">
        <f>SUMIFS('HVP T12'!H:H,'HVP T12'!$B:$B,'P&amp;Ls Detailed'!$G21)</f>
        <v>1300</v>
      </c>
      <c r="N21" s="444">
        <f>SUMIFS('HVP T12'!I:I,'HVP T12'!$B:$B,'P&amp;Ls Detailed'!$G21)</f>
        <v>1450</v>
      </c>
      <c r="O21" s="444">
        <f>SUMIFS('HVP T12'!J:J,'HVP T12'!$B:$B,'P&amp;Ls Detailed'!$G21)</f>
        <v>950</v>
      </c>
      <c r="P21" s="444">
        <f>SUMIFS('HVP T12'!K:K,'HVP T12'!$B:$B,'P&amp;Ls Detailed'!$G21)</f>
        <v>1350</v>
      </c>
      <c r="Q21" s="444">
        <f>SUMIFS('HVP T12'!L:L,'HVP T12'!$B:$B,'P&amp;Ls Detailed'!$G21)</f>
        <v>700</v>
      </c>
      <c r="R21" s="444">
        <f>SUMIFS('HVP T12'!M:M,'HVP T12'!$B:$B,'P&amp;Ls Detailed'!$G21)</f>
        <v>1100</v>
      </c>
      <c r="S21" s="444">
        <f>SUMIFS('HVP T12'!N:N,'HVP T12'!$B:$B,'P&amp;Ls Detailed'!$G21)</f>
        <v>1150</v>
      </c>
      <c r="T21" s="697"/>
      <c r="U21" s="444"/>
      <c r="V21" s="698"/>
      <c r="W21" s="489">
        <f t="shared" si="10"/>
        <v>13050</v>
      </c>
      <c r="X21" s="444">
        <f t="shared" si="11"/>
        <v>13933.333333333332</v>
      </c>
      <c r="Y21" s="444">
        <f t="shared" si="12"/>
        <v>13400</v>
      </c>
      <c r="Z21" s="444">
        <f t="shared" si="13"/>
        <v>11800</v>
      </c>
      <c r="AA21" s="444">
        <f t="shared" si="14"/>
        <v>13800</v>
      </c>
      <c r="AB21" s="491"/>
      <c r="AC21" s="491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s="88" customFormat="1" x14ac:dyDescent="0.25">
      <c r="A22" s="9"/>
      <c r="B22" s="9"/>
      <c r="C22" s="9"/>
      <c r="D22" s="487" t="str">
        <f t="shared" si="7"/>
        <v>Hudson View Park</v>
      </c>
      <c r="E22" s="488" t="s">
        <v>36</v>
      </c>
      <c r="F22" s="488"/>
      <c r="G22" s="443" t="s">
        <v>1463</v>
      </c>
      <c r="H22" s="444">
        <f>SUMIFS('HVP T12'!C:C,'HVP T12'!$B:$B,'P&amp;Ls Detailed'!$G22)</f>
        <v>4393.55</v>
      </c>
      <c r="I22" s="444">
        <f>SUMIFS('HVP T12'!D:D,'HVP T12'!$B:$B,'P&amp;Ls Detailed'!$G22)</f>
        <v>3836.68</v>
      </c>
      <c r="J22" s="444">
        <f>SUMIFS('HVP T12'!E:E,'HVP T12'!$B:$B,'P&amp;Ls Detailed'!$G22)</f>
        <v>3850</v>
      </c>
      <c r="K22" s="444">
        <f>SUMIFS('HVP T12'!F:F,'HVP T12'!$B:$B,'P&amp;Ls Detailed'!$G22)</f>
        <v>4393.55</v>
      </c>
      <c r="L22" s="444">
        <f>SUMIFS('HVP T12'!G:G,'HVP T12'!$B:$B,'P&amp;Ls Detailed'!$G22)</f>
        <v>3841.67</v>
      </c>
      <c r="M22" s="444">
        <f>SUMIFS('HVP T12'!H:H,'HVP T12'!$B:$B,'P&amp;Ls Detailed'!$G22)</f>
        <v>4890.32</v>
      </c>
      <c r="N22" s="444">
        <f>SUMIFS('HVP T12'!I:I,'HVP T12'!$B:$B,'P&amp;Ls Detailed'!$G22)</f>
        <v>3865</v>
      </c>
      <c r="O22" s="444">
        <f>SUMIFS('HVP T12'!J:J,'HVP T12'!$B:$B,'P&amp;Ls Detailed'!$G22)</f>
        <v>3581.45</v>
      </c>
      <c r="P22" s="444">
        <f>SUMIFS('HVP T12'!K:K,'HVP T12'!$B:$B,'P&amp;Ls Detailed'!$G22)</f>
        <v>3679.03</v>
      </c>
      <c r="Q22" s="444">
        <f>SUMIFS('HVP T12'!L:L,'HVP T12'!$B:$B,'P&amp;Ls Detailed'!$G22)</f>
        <v>3250</v>
      </c>
      <c r="R22" s="444">
        <f>SUMIFS('HVP T12'!M:M,'HVP T12'!$B:$B,'P&amp;Ls Detailed'!$G22)</f>
        <v>3791.93</v>
      </c>
      <c r="S22" s="444">
        <f>SUMIFS('HVP T12'!N:N,'HVP T12'!$B:$B,'P&amp;Ls Detailed'!$G22)</f>
        <v>3250</v>
      </c>
      <c r="T22" s="697"/>
      <c r="U22" s="444"/>
      <c r="V22" s="698"/>
      <c r="W22" s="489">
        <f t="shared" si="10"/>
        <v>46623.18</v>
      </c>
      <c r="X22" s="444">
        <f t="shared" si="11"/>
        <v>46057.266666666663</v>
      </c>
      <c r="Y22" s="444">
        <f t="shared" si="12"/>
        <v>42834.82</v>
      </c>
      <c r="Z22" s="444">
        <f t="shared" si="13"/>
        <v>41167.72</v>
      </c>
      <c r="AA22" s="444">
        <f t="shared" si="14"/>
        <v>39000</v>
      </c>
      <c r="AB22" s="491"/>
      <c r="AC22" s="491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s="88" customFormat="1" x14ac:dyDescent="0.25">
      <c r="A23" s="9"/>
      <c r="B23" s="9"/>
      <c r="C23" s="9"/>
      <c r="D23" s="487" t="str">
        <f t="shared" si="7"/>
        <v>Hudson View Park</v>
      </c>
      <c r="E23" s="488" t="s">
        <v>36</v>
      </c>
      <c r="F23" s="488"/>
      <c r="G23" s="443" t="s">
        <v>1465</v>
      </c>
      <c r="H23" s="444">
        <f>SUMIFS('HVP T12'!C:C,'HVP T12'!$B:$B,'P&amp;Ls Detailed'!$G23)</f>
        <v>3715.32</v>
      </c>
      <c r="I23" s="444">
        <f>SUMIFS('HVP T12'!D:D,'HVP T12'!$B:$B,'P&amp;Ls Detailed'!$G23)</f>
        <v>3108.32</v>
      </c>
      <c r="J23" s="444">
        <f>SUMIFS('HVP T12'!E:E,'HVP T12'!$B:$B,'P&amp;Ls Detailed'!$G23)</f>
        <v>3802.42</v>
      </c>
      <c r="K23" s="444">
        <f>SUMIFS('HVP T12'!F:F,'HVP T12'!$B:$B,'P&amp;Ls Detailed'!$G23)</f>
        <v>3571.77</v>
      </c>
      <c r="L23" s="444">
        <f>SUMIFS('HVP T12'!G:G,'HVP T12'!$B:$B,'P&amp;Ls Detailed'!$G23)</f>
        <v>3166.66</v>
      </c>
      <c r="M23" s="444">
        <f>SUMIFS('HVP T12'!H:H,'HVP T12'!$B:$B,'P&amp;Ls Detailed'!$G23)</f>
        <v>3731.44</v>
      </c>
      <c r="N23" s="444">
        <f>SUMIFS('HVP T12'!I:I,'HVP T12'!$B:$B,'P&amp;Ls Detailed'!$G23)</f>
        <v>3515</v>
      </c>
      <c r="O23" s="444">
        <f>SUMIFS('HVP T12'!J:J,'HVP T12'!$B:$B,'P&amp;Ls Detailed'!$G23)</f>
        <v>3735.48</v>
      </c>
      <c r="P23" s="444">
        <f>SUMIFS('HVP T12'!K:K,'HVP T12'!$B:$B,'P&amp;Ls Detailed'!$G23)</f>
        <v>2895.16</v>
      </c>
      <c r="Q23" s="444">
        <f>SUMIFS('HVP T12'!L:L,'HVP T12'!$B:$B,'P&amp;Ls Detailed'!$G23)</f>
        <v>3312.5</v>
      </c>
      <c r="R23" s="444">
        <f>SUMIFS('HVP T12'!M:M,'HVP T12'!$B:$B,'P&amp;Ls Detailed'!$G23)</f>
        <v>3594.35</v>
      </c>
      <c r="S23" s="444">
        <f>SUMIFS('HVP T12'!N:N,'HVP T12'!$B:$B,'P&amp;Ls Detailed'!$G23)</f>
        <v>3092.5</v>
      </c>
      <c r="T23" s="697"/>
      <c r="U23" s="444"/>
      <c r="V23" s="698"/>
      <c r="W23" s="489">
        <f t="shared" si="10"/>
        <v>41240.92</v>
      </c>
      <c r="X23" s="444">
        <f t="shared" si="11"/>
        <v>40819.813333333339</v>
      </c>
      <c r="Y23" s="444">
        <f t="shared" si="12"/>
        <v>40289.979999999996</v>
      </c>
      <c r="Z23" s="444">
        <f t="shared" si="13"/>
        <v>39997.4</v>
      </c>
      <c r="AA23" s="444">
        <f t="shared" si="14"/>
        <v>37110</v>
      </c>
      <c r="AB23" s="491"/>
      <c r="AC23" s="491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s="88" customFormat="1" x14ac:dyDescent="0.25">
      <c r="A24" s="9"/>
      <c r="B24" s="9"/>
      <c r="C24" s="9"/>
      <c r="D24" s="487" t="str">
        <f t="shared" si="7"/>
        <v>Hudson View Park</v>
      </c>
      <c r="E24" s="488" t="s">
        <v>4</v>
      </c>
      <c r="F24" s="488"/>
      <c r="G24" s="443" t="s">
        <v>1467</v>
      </c>
      <c r="H24" s="444">
        <f>SUMIFS('HVP T12'!C:C,'HVP T12'!$B:$B,'P&amp;Ls Detailed'!$G24)</f>
        <v>0</v>
      </c>
      <c r="I24" s="444">
        <f>SUMIFS('HVP T12'!D:D,'HVP T12'!$B:$B,'P&amp;Ls Detailed'!$G24)</f>
        <v>75</v>
      </c>
      <c r="J24" s="444">
        <f>SUMIFS('HVP T12'!E:E,'HVP T12'!$B:$B,'P&amp;Ls Detailed'!$G24)</f>
        <v>175</v>
      </c>
      <c r="K24" s="444">
        <f>SUMIFS('HVP T12'!F:F,'HVP T12'!$B:$B,'P&amp;Ls Detailed'!$G24)</f>
        <v>175</v>
      </c>
      <c r="L24" s="444">
        <f>SUMIFS('HVP T12'!G:G,'HVP T12'!$B:$B,'P&amp;Ls Detailed'!$G24)</f>
        <v>225</v>
      </c>
      <c r="M24" s="444">
        <f>SUMIFS('HVP T12'!H:H,'HVP T12'!$B:$B,'P&amp;Ls Detailed'!$G24)</f>
        <v>145</v>
      </c>
      <c r="N24" s="444">
        <f>SUMIFS('HVP T12'!I:I,'HVP T12'!$B:$B,'P&amp;Ls Detailed'!$G24)</f>
        <v>125</v>
      </c>
      <c r="O24" s="444">
        <f>SUMIFS('HVP T12'!J:J,'HVP T12'!$B:$B,'P&amp;Ls Detailed'!$G24)</f>
        <v>100</v>
      </c>
      <c r="P24" s="444">
        <f>SUMIFS('HVP T12'!K:K,'HVP T12'!$B:$B,'P&amp;Ls Detailed'!$G24)</f>
        <v>100</v>
      </c>
      <c r="Q24" s="444">
        <f>SUMIFS('HVP T12'!L:L,'HVP T12'!$B:$B,'P&amp;Ls Detailed'!$G24)</f>
        <v>100</v>
      </c>
      <c r="R24" s="444">
        <f>SUMIFS('HVP T12'!M:M,'HVP T12'!$B:$B,'P&amp;Ls Detailed'!$G24)</f>
        <v>225</v>
      </c>
      <c r="S24" s="444">
        <f>SUMIFS('HVP T12'!N:N,'HVP T12'!$B:$B,'P&amp;Ls Detailed'!$G24)</f>
        <v>25</v>
      </c>
      <c r="T24" s="697"/>
      <c r="U24" s="444"/>
      <c r="V24" s="698"/>
      <c r="W24" s="489">
        <f t="shared" si="10"/>
        <v>1470</v>
      </c>
      <c r="X24" s="444">
        <f t="shared" si="11"/>
        <v>1626.6666666666665</v>
      </c>
      <c r="Y24" s="444">
        <f t="shared" si="12"/>
        <v>1350</v>
      </c>
      <c r="Z24" s="444">
        <f t="shared" si="13"/>
        <v>1400</v>
      </c>
      <c r="AA24" s="444">
        <f t="shared" si="14"/>
        <v>300</v>
      </c>
      <c r="AB24" s="491"/>
      <c r="AC24" s="491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s="88" customFormat="1" x14ac:dyDescent="0.25">
      <c r="A25" s="9"/>
      <c r="B25" s="9"/>
      <c r="C25" s="9"/>
      <c r="D25" s="487" t="str">
        <f t="shared" si="7"/>
        <v>Hudson View Park</v>
      </c>
      <c r="E25" s="488" t="s">
        <v>4</v>
      </c>
      <c r="F25" s="488"/>
      <c r="G25" s="443" t="s">
        <v>1469</v>
      </c>
      <c r="H25" s="444">
        <f>SUMIFS('HVP T12'!C:C,'HVP T12'!$B:$B,'P&amp;Ls Detailed'!$G25)</f>
        <v>0</v>
      </c>
      <c r="I25" s="444">
        <f>SUMIFS('HVP T12'!D:D,'HVP T12'!$B:$B,'P&amp;Ls Detailed'!$G25)</f>
        <v>0</v>
      </c>
      <c r="J25" s="444">
        <f>SUMIFS('HVP T12'!E:E,'HVP T12'!$B:$B,'P&amp;Ls Detailed'!$G25)</f>
        <v>0</v>
      </c>
      <c r="K25" s="444">
        <f>SUMIFS('HVP T12'!F:F,'HVP T12'!$B:$B,'P&amp;Ls Detailed'!$G25)</f>
        <v>0</v>
      </c>
      <c r="L25" s="444">
        <f>SUMIFS('HVP T12'!G:G,'HVP T12'!$B:$B,'P&amp;Ls Detailed'!$G25)</f>
        <v>0</v>
      </c>
      <c r="M25" s="444">
        <f>SUMIFS('HVP T12'!H:H,'HVP T12'!$B:$B,'P&amp;Ls Detailed'!$G25)</f>
        <v>0</v>
      </c>
      <c r="N25" s="444">
        <f>SUMIFS('HVP T12'!I:I,'HVP T12'!$B:$B,'P&amp;Ls Detailed'!$G25)</f>
        <v>0</v>
      </c>
      <c r="O25" s="444">
        <f>SUMIFS('HVP T12'!J:J,'HVP T12'!$B:$B,'P&amp;Ls Detailed'!$G25)</f>
        <v>0</v>
      </c>
      <c r="P25" s="444">
        <f>SUMIFS('HVP T12'!K:K,'HVP T12'!$B:$B,'P&amp;Ls Detailed'!$G25)</f>
        <v>0</v>
      </c>
      <c r="Q25" s="444">
        <f>SUMIFS('HVP T12'!L:L,'HVP T12'!$B:$B,'P&amp;Ls Detailed'!$G25)</f>
        <v>0</v>
      </c>
      <c r="R25" s="444">
        <f>SUMIFS('HVP T12'!M:M,'HVP T12'!$B:$B,'P&amp;Ls Detailed'!$G25)</f>
        <v>0</v>
      </c>
      <c r="S25" s="444">
        <f>SUMIFS('HVP T12'!N:N,'HVP T12'!$B:$B,'P&amp;Ls Detailed'!$G25)</f>
        <v>349.38</v>
      </c>
      <c r="T25" s="697"/>
      <c r="U25" s="444"/>
      <c r="V25" s="698"/>
      <c r="W25" s="489">
        <f t="shared" si="10"/>
        <v>349.38</v>
      </c>
      <c r="X25" s="444">
        <f t="shared" si="11"/>
        <v>465.84000000000003</v>
      </c>
      <c r="Y25" s="444">
        <f t="shared" si="12"/>
        <v>698.76</v>
      </c>
      <c r="Z25" s="444">
        <f t="shared" si="13"/>
        <v>1397.52</v>
      </c>
      <c r="AA25" s="444">
        <f t="shared" si="14"/>
        <v>4192.5599999999995</v>
      </c>
      <c r="AB25" s="491"/>
      <c r="AC25" s="491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s="88" customFormat="1" x14ac:dyDescent="0.25">
      <c r="A26" s="9"/>
      <c r="B26" s="9"/>
      <c r="C26" s="9"/>
      <c r="D26" s="487" t="str">
        <f t="shared" si="7"/>
        <v>Hudson View Park</v>
      </c>
      <c r="E26" s="488" t="s">
        <v>175</v>
      </c>
      <c r="F26" s="488"/>
      <c r="G26" s="443" t="s">
        <v>1471</v>
      </c>
      <c r="H26" s="444">
        <f>SUMIFS('HVP T12'!C:C,'HVP T12'!$B:$B,'P&amp;Ls Detailed'!$G26)</f>
        <v>11225.77</v>
      </c>
      <c r="I26" s="444">
        <f>SUMIFS('HVP T12'!D:D,'HVP T12'!$B:$B,'P&amp;Ls Detailed'!$G26)</f>
        <v>10073.67</v>
      </c>
      <c r="J26" s="444">
        <f>SUMIFS('HVP T12'!E:E,'HVP T12'!$B:$B,'P&amp;Ls Detailed'!$G26)</f>
        <v>10998.91</v>
      </c>
      <c r="K26" s="444">
        <f>SUMIFS('HVP T12'!F:F,'HVP T12'!$B:$B,'P&amp;Ls Detailed'!$G26)</f>
        <v>10386.98</v>
      </c>
      <c r="L26" s="444">
        <f>SUMIFS('HVP T12'!G:G,'HVP T12'!$B:$B,'P&amp;Ls Detailed'!$G26)</f>
        <v>11928.3</v>
      </c>
      <c r="M26" s="444">
        <f>SUMIFS('HVP T12'!H:H,'HVP T12'!$B:$B,'P&amp;Ls Detailed'!$G26)</f>
        <v>11559.3</v>
      </c>
      <c r="N26" s="444">
        <f>SUMIFS('HVP T12'!I:I,'HVP T12'!$B:$B,'P&amp;Ls Detailed'!$G26)</f>
        <v>10852.35</v>
      </c>
      <c r="O26" s="444">
        <f>SUMIFS('HVP T12'!J:J,'HVP T12'!$B:$B,'P&amp;Ls Detailed'!$G26)</f>
        <v>12165.53</v>
      </c>
      <c r="P26" s="444">
        <f>SUMIFS('HVP T12'!K:K,'HVP T12'!$B:$B,'P&amp;Ls Detailed'!$G26)</f>
        <v>9129.57</v>
      </c>
      <c r="Q26" s="444">
        <f>SUMIFS('HVP T12'!L:L,'HVP T12'!$B:$B,'P&amp;Ls Detailed'!$G26)</f>
        <v>11600.72</v>
      </c>
      <c r="R26" s="444">
        <f>SUMIFS('HVP T12'!M:M,'HVP T12'!$B:$B,'P&amp;Ls Detailed'!$G26)</f>
        <v>12444.38</v>
      </c>
      <c r="S26" s="444">
        <f>SUMIFS('HVP T12'!N:N,'HVP T12'!$B:$B,'P&amp;Ls Detailed'!$G26)</f>
        <v>11033.98</v>
      </c>
      <c r="T26" s="697"/>
      <c r="U26" s="444"/>
      <c r="V26" s="698"/>
      <c r="W26" s="489">
        <f t="shared" si="10"/>
        <v>133399.46000000002</v>
      </c>
      <c r="X26" s="444">
        <f t="shared" si="11"/>
        <v>134801.48000000001</v>
      </c>
      <c r="Y26" s="444">
        <f t="shared" si="12"/>
        <v>134453.06</v>
      </c>
      <c r="Z26" s="444">
        <f t="shared" si="13"/>
        <v>140316.32</v>
      </c>
      <c r="AA26" s="444">
        <f t="shared" si="14"/>
        <v>132407.76</v>
      </c>
      <c r="AB26" s="491"/>
      <c r="AC26" s="491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s="88" customFormat="1" x14ac:dyDescent="0.25">
      <c r="A27" s="9"/>
      <c r="B27" s="9"/>
      <c r="C27" s="9"/>
      <c r="D27" s="487" t="str">
        <f t="shared" si="7"/>
        <v>Hudson View Park</v>
      </c>
      <c r="E27" s="488" t="s">
        <v>4</v>
      </c>
      <c r="F27" s="488"/>
      <c r="G27" s="443" t="s">
        <v>1473</v>
      </c>
      <c r="H27" s="444">
        <f>SUMIFS('HVP T12'!C:C,'HVP T12'!$B:$B,'P&amp;Ls Detailed'!$G27)</f>
        <v>0</v>
      </c>
      <c r="I27" s="444">
        <f>SUMIFS('HVP T12'!D:D,'HVP T12'!$B:$B,'P&amp;Ls Detailed'!$G27)</f>
        <v>0</v>
      </c>
      <c r="J27" s="444">
        <f>SUMIFS('HVP T12'!E:E,'HVP T12'!$B:$B,'P&amp;Ls Detailed'!$G27)</f>
        <v>0</v>
      </c>
      <c r="K27" s="444">
        <f>SUMIFS('HVP T12'!F:F,'HVP T12'!$B:$B,'P&amp;Ls Detailed'!$G27)</f>
        <v>40</v>
      </c>
      <c r="L27" s="444">
        <f>SUMIFS('HVP T12'!G:G,'HVP T12'!$B:$B,'P&amp;Ls Detailed'!$G27)</f>
        <v>0</v>
      </c>
      <c r="M27" s="444">
        <f>SUMIFS('HVP T12'!H:H,'HVP T12'!$B:$B,'P&amp;Ls Detailed'!$G27)</f>
        <v>0</v>
      </c>
      <c r="N27" s="444">
        <f>SUMIFS('HVP T12'!I:I,'HVP T12'!$B:$B,'P&amp;Ls Detailed'!$G27)</f>
        <v>0</v>
      </c>
      <c r="O27" s="444">
        <f>SUMIFS('HVP T12'!J:J,'HVP T12'!$B:$B,'P&amp;Ls Detailed'!$G27)</f>
        <v>0</v>
      </c>
      <c r="P27" s="444">
        <f>SUMIFS('HVP T12'!K:K,'HVP T12'!$B:$B,'P&amp;Ls Detailed'!$G27)</f>
        <v>0</v>
      </c>
      <c r="Q27" s="444">
        <f>SUMIFS('HVP T12'!L:L,'HVP T12'!$B:$B,'P&amp;Ls Detailed'!$G27)</f>
        <v>0</v>
      </c>
      <c r="R27" s="444">
        <f>SUMIFS('HVP T12'!M:M,'HVP T12'!$B:$B,'P&amp;Ls Detailed'!$G27)</f>
        <v>0</v>
      </c>
      <c r="S27" s="444">
        <f>SUMIFS('HVP T12'!N:N,'HVP T12'!$B:$B,'P&amp;Ls Detailed'!$G27)</f>
        <v>0</v>
      </c>
      <c r="T27" s="697"/>
      <c r="U27" s="444"/>
      <c r="V27" s="698"/>
      <c r="W27" s="489">
        <f t="shared" si="10"/>
        <v>40</v>
      </c>
      <c r="X27" s="444">
        <f t="shared" si="11"/>
        <v>53.333333333333336</v>
      </c>
      <c r="Y27" s="444">
        <f t="shared" si="12"/>
        <v>0</v>
      </c>
      <c r="Z27" s="444">
        <f t="shared" si="13"/>
        <v>0</v>
      </c>
      <c r="AA27" s="444">
        <f t="shared" si="14"/>
        <v>0</v>
      </c>
      <c r="AB27" s="491"/>
      <c r="AC27" s="491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s="88" customFormat="1" x14ac:dyDescent="0.25">
      <c r="A28" s="9"/>
      <c r="B28" s="9"/>
      <c r="C28" s="9"/>
      <c r="D28" s="487" t="str">
        <f t="shared" si="7"/>
        <v>Hudson View Park</v>
      </c>
      <c r="E28" s="488" t="s">
        <v>4</v>
      </c>
      <c r="F28" s="488"/>
      <c r="G28" s="443" t="s">
        <v>1475</v>
      </c>
      <c r="H28" s="444">
        <f>SUMIFS('HVP T12'!C:C,'HVP T12'!$B:$B,'P&amp;Ls Detailed'!$G28)</f>
        <v>2365.3200000000002</v>
      </c>
      <c r="I28" s="444">
        <f>SUMIFS('HVP T12'!D:D,'HVP T12'!$B:$B,'P&amp;Ls Detailed'!$G28)</f>
        <v>2345.83</v>
      </c>
      <c r="J28" s="444">
        <f>SUMIFS('HVP T12'!E:E,'HVP T12'!$B:$B,'P&amp;Ls Detailed'!$G28)</f>
        <v>2325</v>
      </c>
      <c r="K28" s="444">
        <f>SUMIFS('HVP T12'!F:F,'HVP T12'!$B:$B,'P&amp;Ls Detailed'!$G28)</f>
        <v>2321.77</v>
      </c>
      <c r="L28" s="444">
        <f>SUMIFS('HVP T12'!G:G,'HVP T12'!$B:$B,'P&amp;Ls Detailed'!$G28)</f>
        <v>2320.83</v>
      </c>
      <c r="M28" s="444">
        <f>SUMIFS('HVP T12'!H:H,'HVP T12'!$B:$B,'P&amp;Ls Detailed'!$G28)</f>
        <v>2275.81</v>
      </c>
      <c r="N28" s="444">
        <f>SUMIFS('HVP T12'!I:I,'HVP T12'!$B:$B,'P&amp;Ls Detailed'!$G28)</f>
        <v>2350</v>
      </c>
      <c r="O28" s="444">
        <f>SUMIFS('HVP T12'!J:J,'HVP T12'!$B:$B,'P&amp;Ls Detailed'!$G28)</f>
        <v>2300</v>
      </c>
      <c r="P28" s="444">
        <f>SUMIFS('HVP T12'!K:K,'HVP T12'!$B:$B,'P&amp;Ls Detailed'!$G28)</f>
        <v>2271.77</v>
      </c>
      <c r="Q28" s="444">
        <f>SUMIFS('HVP T12'!L:L,'HVP T12'!$B:$B,'P&amp;Ls Detailed'!$G28)</f>
        <v>2250</v>
      </c>
      <c r="R28" s="444">
        <f>SUMIFS('HVP T12'!M:M,'HVP T12'!$B:$B,'P&amp;Ls Detailed'!$G28)</f>
        <v>2266.94</v>
      </c>
      <c r="S28" s="444">
        <f>SUMIFS('HVP T12'!N:N,'HVP T12'!$B:$B,'P&amp;Ls Detailed'!$G28)</f>
        <v>2270</v>
      </c>
      <c r="T28" s="697"/>
      <c r="U28" s="444"/>
      <c r="V28" s="698"/>
      <c r="W28" s="489">
        <f t="shared" si="10"/>
        <v>27663.269999999997</v>
      </c>
      <c r="X28" s="444">
        <f t="shared" si="11"/>
        <v>27502.826666666664</v>
      </c>
      <c r="Y28" s="444">
        <f t="shared" si="12"/>
        <v>27417.420000000006</v>
      </c>
      <c r="Z28" s="444">
        <f t="shared" si="13"/>
        <v>27147.760000000002</v>
      </c>
      <c r="AA28" s="444">
        <f t="shared" si="14"/>
        <v>27240</v>
      </c>
      <c r="AB28" s="491"/>
      <c r="AC28" s="491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s="88" customFormat="1" x14ac:dyDescent="0.25">
      <c r="A29" s="9"/>
      <c r="B29" s="9"/>
      <c r="C29" s="9"/>
      <c r="D29" s="487" t="str">
        <f t="shared" si="7"/>
        <v>Hudson View Park</v>
      </c>
      <c r="E29" s="488"/>
      <c r="F29" s="488"/>
      <c r="G29" s="456" t="s">
        <v>1476</v>
      </c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697"/>
      <c r="U29" s="444"/>
      <c r="V29" s="698"/>
      <c r="W29" s="489"/>
      <c r="X29" s="444"/>
      <c r="Y29" s="444"/>
      <c r="Z29" s="444"/>
      <c r="AA29" s="444"/>
      <c r="AB29" s="491"/>
      <c r="AC29" s="491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s="88" customFormat="1" x14ac:dyDescent="0.25">
      <c r="A30" s="9"/>
      <c r="B30" s="9"/>
      <c r="C30" s="9"/>
      <c r="D30" s="487" t="str">
        <f t="shared" si="7"/>
        <v>Hudson View Park</v>
      </c>
      <c r="E30" s="488" t="s">
        <v>4</v>
      </c>
      <c r="F30" s="488"/>
      <c r="G30" s="443" t="s">
        <v>1478</v>
      </c>
      <c r="H30" s="444">
        <f>SUMIFS('HVP T12'!C:C,'HVP T12'!$B:$B,'P&amp;Ls Detailed'!$G30)</f>
        <v>0</v>
      </c>
      <c r="I30" s="444">
        <f>SUMIFS('HVP T12'!D:D,'HVP T12'!$B:$B,'P&amp;Ls Detailed'!$G30)</f>
        <v>175</v>
      </c>
      <c r="J30" s="444">
        <f>SUMIFS('HVP T12'!E:E,'HVP T12'!$B:$B,'P&amp;Ls Detailed'!$G30)</f>
        <v>170</v>
      </c>
      <c r="K30" s="444">
        <f>SUMIFS('HVP T12'!F:F,'HVP T12'!$B:$B,'P&amp;Ls Detailed'!$G30)</f>
        <v>0</v>
      </c>
      <c r="L30" s="444">
        <f>SUMIFS('HVP T12'!G:G,'HVP T12'!$B:$B,'P&amp;Ls Detailed'!$G30)</f>
        <v>0</v>
      </c>
      <c r="M30" s="444">
        <f>SUMIFS('HVP T12'!H:H,'HVP T12'!$B:$B,'P&amp;Ls Detailed'!$G30)</f>
        <v>365</v>
      </c>
      <c r="N30" s="444">
        <f>SUMIFS('HVP T12'!I:I,'HVP T12'!$B:$B,'P&amp;Ls Detailed'!$G30)</f>
        <v>0</v>
      </c>
      <c r="O30" s="444">
        <f>SUMIFS('HVP T12'!J:J,'HVP T12'!$B:$B,'P&amp;Ls Detailed'!$G30)</f>
        <v>185</v>
      </c>
      <c r="P30" s="444">
        <f>SUMIFS('HVP T12'!K:K,'HVP T12'!$B:$B,'P&amp;Ls Detailed'!$G30)</f>
        <v>0</v>
      </c>
      <c r="Q30" s="444">
        <f>SUMIFS('HVP T12'!L:L,'HVP T12'!$B:$B,'P&amp;Ls Detailed'!$G30)</f>
        <v>0</v>
      </c>
      <c r="R30" s="444">
        <f>SUMIFS('HVP T12'!M:M,'HVP T12'!$B:$B,'P&amp;Ls Detailed'!$G30)</f>
        <v>475</v>
      </c>
      <c r="S30" s="444">
        <f>SUMIFS('HVP T12'!N:N,'HVP T12'!$B:$B,'P&amp;Ls Detailed'!$G30)</f>
        <v>0</v>
      </c>
      <c r="T30" s="697"/>
      <c r="U30" s="444"/>
      <c r="V30" s="698"/>
      <c r="W30" s="489">
        <f>SUM(H30:S30)</f>
        <v>1370</v>
      </c>
      <c r="X30" s="444">
        <f>SUM(K30:S30)/9*12</f>
        <v>1366.6666666666665</v>
      </c>
      <c r="Y30" s="444">
        <f>SUM(N30:S30)/6*12</f>
        <v>1320</v>
      </c>
      <c r="Z30" s="444">
        <f>SUM(Q30:S30)/3*12</f>
        <v>1900</v>
      </c>
      <c r="AA30" s="444">
        <f>S30*12</f>
        <v>0</v>
      </c>
      <c r="AB30" s="491"/>
      <c r="AC30" s="491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s="88" customFormat="1" x14ac:dyDescent="0.25">
      <c r="A31" s="9"/>
      <c r="B31" s="9"/>
      <c r="C31" s="9"/>
      <c r="D31" s="487" t="str">
        <f t="shared" si="7"/>
        <v>Hudson View Park</v>
      </c>
      <c r="E31" s="488" t="s">
        <v>4</v>
      </c>
      <c r="F31" s="488"/>
      <c r="G31" s="443" t="s">
        <v>1480</v>
      </c>
      <c r="H31" s="444">
        <f>SUMIFS('HVP T12'!C:C,'HVP T12'!$B:$B,'P&amp;Ls Detailed'!$G31)</f>
        <v>0</v>
      </c>
      <c r="I31" s="444">
        <f>SUMIFS('HVP T12'!D:D,'HVP T12'!$B:$B,'P&amp;Ls Detailed'!$G31)</f>
        <v>289.08</v>
      </c>
      <c r="J31" s="444">
        <f>SUMIFS('HVP T12'!E:E,'HVP T12'!$B:$B,'P&amp;Ls Detailed'!$G31)</f>
        <v>0</v>
      </c>
      <c r="K31" s="444">
        <f>SUMIFS('HVP T12'!F:F,'HVP T12'!$B:$B,'P&amp;Ls Detailed'!$G31)</f>
        <v>0</v>
      </c>
      <c r="L31" s="444">
        <f>SUMIFS('HVP T12'!G:G,'HVP T12'!$B:$B,'P&amp;Ls Detailed'!$G31)</f>
        <v>0</v>
      </c>
      <c r="M31" s="444">
        <f>SUMIFS('HVP T12'!H:H,'HVP T12'!$B:$B,'P&amp;Ls Detailed'!$G31)</f>
        <v>0</v>
      </c>
      <c r="N31" s="444">
        <f>SUMIFS('HVP T12'!I:I,'HVP T12'!$B:$B,'P&amp;Ls Detailed'!$G31)</f>
        <v>0</v>
      </c>
      <c r="O31" s="444">
        <f>SUMIFS('HVP T12'!J:J,'HVP T12'!$B:$B,'P&amp;Ls Detailed'!$G31)</f>
        <v>0</v>
      </c>
      <c r="P31" s="444">
        <f>SUMIFS('HVP T12'!K:K,'HVP T12'!$B:$B,'P&amp;Ls Detailed'!$G31)</f>
        <v>0</v>
      </c>
      <c r="Q31" s="444">
        <f>SUMIFS('HVP T12'!L:L,'HVP T12'!$B:$B,'P&amp;Ls Detailed'!$G31)</f>
        <v>0</v>
      </c>
      <c r="R31" s="444">
        <f>SUMIFS('HVP T12'!M:M,'HVP T12'!$B:$B,'P&amp;Ls Detailed'!$G31)</f>
        <v>0</v>
      </c>
      <c r="S31" s="444">
        <f>SUMIFS('HVP T12'!N:N,'HVP T12'!$B:$B,'P&amp;Ls Detailed'!$G31)</f>
        <v>0</v>
      </c>
      <c r="T31" s="697"/>
      <c r="U31" s="444"/>
      <c r="V31" s="698"/>
      <c r="W31" s="489">
        <f>SUM(H31:S31)</f>
        <v>289.08</v>
      </c>
      <c r="X31" s="444">
        <f>SUM(K31:S31)/9*12</f>
        <v>0</v>
      </c>
      <c r="Y31" s="444">
        <f>SUM(N31:S31)/6*12</f>
        <v>0</v>
      </c>
      <c r="Z31" s="444">
        <f>SUM(Q31:S31)/3*12</f>
        <v>0</v>
      </c>
      <c r="AA31" s="444">
        <f>S31*12</f>
        <v>0</v>
      </c>
      <c r="AB31" s="491"/>
      <c r="AC31" s="491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s="88" customFormat="1" x14ac:dyDescent="0.25">
      <c r="A32" s="9"/>
      <c r="B32" s="9"/>
      <c r="C32" s="9"/>
      <c r="D32" s="487" t="str">
        <f t="shared" si="7"/>
        <v>Hudson View Park</v>
      </c>
      <c r="E32" s="488" t="s">
        <v>4</v>
      </c>
      <c r="F32" s="488"/>
      <c r="G32" s="443" t="s">
        <v>1482</v>
      </c>
      <c r="H32" s="444">
        <f>SUMIFS('HVP T12'!C:C,'HVP T12'!$B:$B,'P&amp;Ls Detailed'!$G32)</f>
        <v>200</v>
      </c>
      <c r="I32" s="444">
        <f>SUMIFS('HVP T12'!D:D,'HVP T12'!$B:$B,'P&amp;Ls Detailed'!$G32)</f>
        <v>1700</v>
      </c>
      <c r="J32" s="444">
        <f>SUMIFS('HVP T12'!E:E,'HVP T12'!$B:$B,'P&amp;Ls Detailed'!$G32)</f>
        <v>1000</v>
      </c>
      <c r="K32" s="444">
        <f>SUMIFS('HVP T12'!F:F,'HVP T12'!$B:$B,'P&amp;Ls Detailed'!$G32)</f>
        <v>0</v>
      </c>
      <c r="L32" s="444">
        <f>SUMIFS('HVP T12'!G:G,'HVP T12'!$B:$B,'P&amp;Ls Detailed'!$G32)</f>
        <v>0</v>
      </c>
      <c r="M32" s="444">
        <f>SUMIFS('HVP T12'!H:H,'HVP T12'!$B:$B,'P&amp;Ls Detailed'!$G32)</f>
        <v>0</v>
      </c>
      <c r="N32" s="444">
        <f>SUMIFS('HVP T12'!I:I,'HVP T12'!$B:$B,'P&amp;Ls Detailed'!$G32)</f>
        <v>100</v>
      </c>
      <c r="O32" s="444">
        <f>SUMIFS('HVP T12'!J:J,'HVP T12'!$B:$B,'P&amp;Ls Detailed'!$G32)</f>
        <v>656.94</v>
      </c>
      <c r="P32" s="444">
        <f>SUMIFS('HVP T12'!K:K,'HVP T12'!$B:$B,'P&amp;Ls Detailed'!$G32)</f>
        <v>0</v>
      </c>
      <c r="Q32" s="444">
        <f>SUMIFS('HVP T12'!L:L,'HVP T12'!$B:$B,'P&amp;Ls Detailed'!$G32)</f>
        <v>0</v>
      </c>
      <c r="R32" s="444">
        <f>SUMIFS('HVP T12'!M:M,'HVP T12'!$B:$B,'P&amp;Ls Detailed'!$G32)</f>
        <v>0</v>
      </c>
      <c r="S32" s="444">
        <f>SUMIFS('HVP T12'!N:N,'HVP T12'!$B:$B,'P&amp;Ls Detailed'!$G32)</f>
        <v>0</v>
      </c>
      <c r="T32" s="697"/>
      <c r="U32" s="444"/>
      <c r="V32" s="698"/>
      <c r="W32" s="489">
        <f>SUM(H32:S32)</f>
        <v>3656.94</v>
      </c>
      <c r="X32" s="444">
        <f>SUM(K32:S32)/9*12</f>
        <v>1009.2533333333334</v>
      </c>
      <c r="Y32" s="444">
        <f>SUM(N32:S32)/6*12</f>
        <v>1513.88</v>
      </c>
      <c r="Z32" s="444">
        <f>SUM(Q32:S32)/3*12</f>
        <v>0</v>
      </c>
      <c r="AA32" s="444">
        <f>S32*12</f>
        <v>0</v>
      </c>
      <c r="AB32" s="491"/>
      <c r="AC32" s="491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s="88" customFormat="1" x14ac:dyDescent="0.25">
      <c r="A33" s="9"/>
      <c r="B33" s="9"/>
      <c r="C33" s="9"/>
      <c r="D33" s="487" t="str">
        <f t="shared" si="7"/>
        <v>Hudson View Park</v>
      </c>
      <c r="E33" s="488" t="s">
        <v>4</v>
      </c>
      <c r="F33" s="488"/>
      <c r="G33" s="443" t="s">
        <v>1484</v>
      </c>
      <c r="H33" s="444">
        <f>SUMIFS('HVP T12'!C:C,'HVP T12'!$B:$B,'P&amp;Ls Detailed'!$G33)</f>
        <v>549</v>
      </c>
      <c r="I33" s="444">
        <f>SUMIFS('HVP T12'!D:D,'HVP T12'!$B:$B,'P&amp;Ls Detailed'!$G33)</f>
        <v>2944</v>
      </c>
      <c r="J33" s="444">
        <f>SUMIFS('HVP T12'!E:E,'HVP T12'!$B:$B,'P&amp;Ls Detailed'!$G33)</f>
        <v>737</v>
      </c>
      <c r="K33" s="444">
        <f>SUMIFS('HVP T12'!F:F,'HVP T12'!$B:$B,'P&amp;Ls Detailed'!$G33)</f>
        <v>325</v>
      </c>
      <c r="L33" s="444">
        <f>SUMIFS('HVP T12'!G:G,'HVP T12'!$B:$B,'P&amp;Ls Detailed'!$G33)</f>
        <v>0</v>
      </c>
      <c r="M33" s="444">
        <f>SUMIFS('HVP T12'!H:H,'HVP T12'!$B:$B,'P&amp;Ls Detailed'!$G33)</f>
        <v>978</v>
      </c>
      <c r="N33" s="444">
        <f>SUMIFS('HVP T12'!I:I,'HVP T12'!$B:$B,'P&amp;Ls Detailed'!$G33)</f>
        <v>412</v>
      </c>
      <c r="O33" s="444">
        <f>SUMIFS('HVP T12'!J:J,'HVP T12'!$B:$B,'P&amp;Ls Detailed'!$G33)</f>
        <v>275</v>
      </c>
      <c r="P33" s="444">
        <f>SUMIFS('HVP T12'!K:K,'HVP T12'!$B:$B,'P&amp;Ls Detailed'!$G33)</f>
        <v>300</v>
      </c>
      <c r="Q33" s="444">
        <f>SUMIFS('HVP T12'!L:L,'HVP T12'!$B:$B,'P&amp;Ls Detailed'!$G33)</f>
        <v>0</v>
      </c>
      <c r="R33" s="444">
        <f>SUMIFS('HVP T12'!M:M,'HVP T12'!$B:$B,'P&amp;Ls Detailed'!$G33)</f>
        <v>205</v>
      </c>
      <c r="S33" s="444">
        <f>SUMIFS('HVP T12'!N:N,'HVP T12'!$B:$B,'P&amp;Ls Detailed'!$G33)</f>
        <v>0</v>
      </c>
      <c r="T33" s="697"/>
      <c r="U33" s="444"/>
      <c r="V33" s="698"/>
      <c r="W33" s="489">
        <f>SUM(H33:S33)</f>
        <v>6725</v>
      </c>
      <c r="X33" s="444">
        <f>SUM(K33:S33)/9*12</f>
        <v>3326.666666666667</v>
      </c>
      <c r="Y33" s="444">
        <f>SUM(N33:S33)/6*12</f>
        <v>2384</v>
      </c>
      <c r="Z33" s="444">
        <f>SUM(Q33:S33)/3*12</f>
        <v>820</v>
      </c>
      <c r="AA33" s="444">
        <f>S33*12</f>
        <v>0</v>
      </c>
      <c r="AB33" s="491"/>
      <c r="AC33" s="491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s="88" customFormat="1" x14ac:dyDescent="0.25">
      <c r="A34" s="9"/>
      <c r="B34" s="9"/>
      <c r="C34" s="9"/>
      <c r="D34" s="487" t="str">
        <f t="shared" si="7"/>
        <v>Hudson View Park</v>
      </c>
      <c r="E34" s="488"/>
      <c r="F34" s="488"/>
      <c r="G34" s="456" t="s">
        <v>1485</v>
      </c>
      <c r="H34" s="447">
        <f t="shared" ref="H34:W34" si="15">SUM(H30:H33)</f>
        <v>749</v>
      </c>
      <c r="I34" s="447">
        <f t="shared" si="15"/>
        <v>5108.08</v>
      </c>
      <c r="J34" s="447">
        <f t="shared" si="15"/>
        <v>1907</v>
      </c>
      <c r="K34" s="447">
        <f t="shared" si="15"/>
        <v>325</v>
      </c>
      <c r="L34" s="447">
        <f t="shared" si="15"/>
        <v>0</v>
      </c>
      <c r="M34" s="447">
        <f t="shared" si="15"/>
        <v>1343</v>
      </c>
      <c r="N34" s="447">
        <f t="shared" si="15"/>
        <v>512</v>
      </c>
      <c r="O34" s="447">
        <f t="shared" si="15"/>
        <v>1116.94</v>
      </c>
      <c r="P34" s="447">
        <f t="shared" si="15"/>
        <v>300</v>
      </c>
      <c r="Q34" s="447">
        <f t="shared" si="15"/>
        <v>0</v>
      </c>
      <c r="R34" s="447">
        <f t="shared" si="15"/>
        <v>680</v>
      </c>
      <c r="S34" s="447">
        <f t="shared" si="15"/>
        <v>0</v>
      </c>
      <c r="T34" s="628"/>
      <c r="U34" s="447"/>
      <c r="V34" s="699"/>
      <c r="W34" s="567">
        <f t="shared" si="15"/>
        <v>12041.02</v>
      </c>
      <c r="X34" s="628">
        <f t="shared" ref="X34:AA34" si="16">SUM(X30:X33)</f>
        <v>5702.586666666667</v>
      </c>
      <c r="Y34" s="447">
        <f t="shared" si="16"/>
        <v>5217.88</v>
      </c>
      <c r="Z34" s="447">
        <f t="shared" si="16"/>
        <v>2720</v>
      </c>
      <c r="AA34" s="447">
        <f t="shared" si="16"/>
        <v>0</v>
      </c>
      <c r="AB34" s="491"/>
      <c r="AC34" s="49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s="88" customFormat="1" x14ac:dyDescent="0.25">
      <c r="A35" s="9"/>
      <c r="B35" s="9"/>
      <c r="C35" s="9"/>
      <c r="D35" s="487" t="str">
        <f t="shared" si="7"/>
        <v>Hudson View Park</v>
      </c>
      <c r="E35" s="488" t="s">
        <v>4</v>
      </c>
      <c r="F35" s="488"/>
      <c r="G35" s="443" t="s">
        <v>1487</v>
      </c>
      <c r="H35" s="444">
        <f>SUMIFS('HVP T12'!C:C,'HVP T12'!$B:$B,'P&amp;Ls Detailed'!$G35)</f>
        <v>4765</v>
      </c>
      <c r="I35" s="444">
        <f>SUMIFS('HVP T12'!D:D,'HVP T12'!$B:$B,'P&amp;Ls Detailed'!$G35)</f>
        <v>1815</v>
      </c>
      <c r="J35" s="444">
        <f>SUMIFS('HVP T12'!E:E,'HVP T12'!$B:$B,'P&amp;Ls Detailed'!$G35)</f>
        <v>7865</v>
      </c>
      <c r="K35" s="444">
        <f>SUMIFS('HVP T12'!F:F,'HVP T12'!$B:$B,'P&amp;Ls Detailed'!$G35)</f>
        <v>0</v>
      </c>
      <c r="L35" s="444">
        <f>SUMIFS('HVP T12'!G:G,'HVP T12'!$B:$B,'P&amp;Ls Detailed'!$G35)</f>
        <v>4780</v>
      </c>
      <c r="M35" s="444">
        <f>SUMIFS('HVP T12'!H:H,'HVP T12'!$B:$B,'P&amp;Ls Detailed'!$G35)</f>
        <v>3720</v>
      </c>
      <c r="N35" s="444">
        <f>SUMIFS('HVP T12'!I:I,'HVP T12'!$B:$B,'P&amp;Ls Detailed'!$G35)</f>
        <v>7870</v>
      </c>
      <c r="O35" s="444">
        <f>SUMIFS('HVP T12'!J:J,'HVP T12'!$B:$B,'P&amp;Ls Detailed'!$G35)</f>
        <v>2220</v>
      </c>
      <c r="P35" s="444">
        <f>SUMIFS('HVP T12'!K:K,'HVP T12'!$B:$B,'P&amp;Ls Detailed'!$G35)</f>
        <v>7810</v>
      </c>
      <c r="Q35" s="444">
        <f>SUMIFS('HVP T12'!L:L,'HVP T12'!$B:$B,'P&amp;Ls Detailed'!$G35)</f>
        <v>1400</v>
      </c>
      <c r="R35" s="444">
        <f>SUMIFS('HVP T12'!M:M,'HVP T12'!$B:$B,'P&amp;Ls Detailed'!$G35)</f>
        <v>3845</v>
      </c>
      <c r="S35" s="444">
        <f>SUMIFS('HVP T12'!N:N,'HVP T12'!$B:$B,'P&amp;Ls Detailed'!$G35)</f>
        <v>0</v>
      </c>
      <c r="T35" s="697"/>
      <c r="U35" s="444"/>
      <c r="V35" s="698"/>
      <c r="W35" s="489">
        <f>SUM(H35:S35)</f>
        <v>46090</v>
      </c>
      <c r="X35" s="444">
        <f>SUM(K35:S35)/9*12</f>
        <v>42193.333333333336</v>
      </c>
      <c r="Y35" s="444">
        <f>SUM(N35:S35)/6*12</f>
        <v>46290</v>
      </c>
      <c r="Z35" s="444">
        <f>SUM(Q35:S35)/3*12</f>
        <v>20980</v>
      </c>
      <c r="AA35" s="444">
        <f>S35*12</f>
        <v>0</v>
      </c>
      <c r="AB35" s="491"/>
      <c r="AC35" s="491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s="88" customFormat="1" x14ac:dyDescent="0.25">
      <c r="A36" s="9"/>
      <c r="B36" s="9"/>
      <c r="C36" s="9"/>
      <c r="D36" s="487" t="str">
        <f t="shared" si="7"/>
        <v>Hudson View Park</v>
      </c>
      <c r="E36" s="488" t="s">
        <v>4</v>
      </c>
      <c r="F36" s="488"/>
      <c r="G36" s="443" t="s">
        <v>1489</v>
      </c>
      <c r="H36" s="444">
        <f>SUMIFS('HVP T12'!C:C,'HVP T12'!$B:$B,'P&amp;Ls Detailed'!$G36)</f>
        <v>1500</v>
      </c>
      <c r="I36" s="444">
        <f>SUMIFS('HVP T12'!D:D,'HVP T12'!$B:$B,'P&amp;Ls Detailed'!$G36)</f>
        <v>0</v>
      </c>
      <c r="J36" s="444">
        <f>SUMIFS('HVP T12'!E:E,'HVP T12'!$B:$B,'P&amp;Ls Detailed'!$G36)</f>
        <v>0</v>
      </c>
      <c r="K36" s="444">
        <f>SUMIFS('HVP T12'!F:F,'HVP T12'!$B:$B,'P&amp;Ls Detailed'!$G36)</f>
        <v>2000</v>
      </c>
      <c r="L36" s="444">
        <f>SUMIFS('HVP T12'!G:G,'HVP T12'!$B:$B,'P&amp;Ls Detailed'!$G36)</f>
        <v>1000</v>
      </c>
      <c r="M36" s="444">
        <f>SUMIFS('HVP T12'!H:H,'HVP T12'!$B:$B,'P&amp;Ls Detailed'!$G36)</f>
        <v>500</v>
      </c>
      <c r="N36" s="444">
        <f>SUMIFS('HVP T12'!I:I,'HVP T12'!$B:$B,'P&amp;Ls Detailed'!$G36)</f>
        <v>500</v>
      </c>
      <c r="O36" s="444">
        <f>SUMIFS('HVP T12'!J:J,'HVP T12'!$B:$B,'P&amp;Ls Detailed'!$G36)</f>
        <v>1000</v>
      </c>
      <c r="P36" s="444">
        <f>SUMIFS('HVP T12'!K:K,'HVP T12'!$B:$B,'P&amp;Ls Detailed'!$G36)</f>
        <v>0</v>
      </c>
      <c r="Q36" s="444">
        <f>SUMIFS('HVP T12'!L:L,'HVP T12'!$B:$B,'P&amp;Ls Detailed'!$G36)</f>
        <v>1000</v>
      </c>
      <c r="R36" s="444">
        <f>SUMIFS('HVP T12'!M:M,'HVP T12'!$B:$B,'P&amp;Ls Detailed'!$G36)</f>
        <v>0</v>
      </c>
      <c r="S36" s="444">
        <f>SUMIFS('HVP T12'!N:N,'HVP T12'!$B:$B,'P&amp;Ls Detailed'!$G36)</f>
        <v>500</v>
      </c>
      <c r="T36" s="697"/>
      <c r="U36" s="444"/>
      <c r="V36" s="698"/>
      <c r="W36" s="489">
        <f>SUM(H36:S36)</f>
        <v>8000</v>
      </c>
      <c r="X36" s="444">
        <f>SUM(K36:S36)/9*12</f>
        <v>8666.6666666666661</v>
      </c>
      <c r="Y36" s="444">
        <f>SUM(N36:S36)/6*12</f>
        <v>6000</v>
      </c>
      <c r="Z36" s="444">
        <f>SUM(Q36:S36)/3*12</f>
        <v>6000</v>
      </c>
      <c r="AA36" s="444">
        <f>S36*12</f>
        <v>6000</v>
      </c>
      <c r="AB36" s="491"/>
      <c r="AC36" s="491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s="88" customFormat="1" x14ac:dyDescent="0.25">
      <c r="A37" s="9"/>
      <c r="B37" s="9"/>
      <c r="C37" s="9"/>
      <c r="D37" s="487" t="str">
        <f t="shared" si="7"/>
        <v>Hudson View Park</v>
      </c>
      <c r="E37" s="488" t="s">
        <v>4</v>
      </c>
      <c r="F37" s="488"/>
      <c r="G37" s="443" t="s">
        <v>1491</v>
      </c>
      <c r="H37" s="444">
        <f>SUMIFS('HVP T12'!C:C,'HVP T12'!$B:$B,'P&amp;Ls Detailed'!$G37)</f>
        <v>-9.5</v>
      </c>
      <c r="I37" s="444">
        <f>SUMIFS('HVP T12'!D:D,'HVP T12'!$B:$B,'P&amp;Ls Detailed'!$G37)</f>
        <v>-8.5</v>
      </c>
      <c r="J37" s="444">
        <f>SUMIFS('HVP T12'!E:E,'HVP T12'!$B:$B,'P&amp;Ls Detailed'!$G37)</f>
        <v>-7.5</v>
      </c>
      <c r="K37" s="444">
        <f>SUMIFS('HVP T12'!F:F,'HVP T12'!$B:$B,'P&amp;Ls Detailed'!$G37)</f>
        <v>-9.5</v>
      </c>
      <c r="L37" s="444">
        <f>SUMIFS('HVP T12'!G:G,'HVP T12'!$B:$B,'P&amp;Ls Detailed'!$G37)</f>
        <v>-8.5</v>
      </c>
      <c r="M37" s="444">
        <f>SUMIFS('HVP T12'!H:H,'HVP T12'!$B:$B,'P&amp;Ls Detailed'!$G37)</f>
        <v>0</v>
      </c>
      <c r="N37" s="444">
        <f>SUMIFS('HVP T12'!I:I,'HVP T12'!$B:$B,'P&amp;Ls Detailed'!$G37)</f>
        <v>21</v>
      </c>
      <c r="O37" s="444">
        <f>SUMIFS('HVP T12'!J:J,'HVP T12'!$B:$B,'P&amp;Ls Detailed'!$G37)</f>
        <v>-62</v>
      </c>
      <c r="P37" s="444">
        <f>SUMIFS('HVP T12'!K:K,'HVP T12'!$B:$B,'P&amp;Ls Detailed'!$G37)</f>
        <v>-51.5</v>
      </c>
      <c r="Q37" s="444">
        <f>SUMIFS('HVP T12'!L:L,'HVP T12'!$B:$B,'P&amp;Ls Detailed'!$G37)</f>
        <v>0</v>
      </c>
      <c r="R37" s="444">
        <f>SUMIFS('HVP T12'!M:M,'HVP T12'!$B:$B,'P&amp;Ls Detailed'!$G37)</f>
        <v>0</v>
      </c>
      <c r="S37" s="444">
        <f>SUMIFS('HVP T12'!N:N,'HVP T12'!$B:$B,'P&amp;Ls Detailed'!$G37)</f>
        <v>0</v>
      </c>
      <c r="T37" s="697"/>
      <c r="U37" s="444"/>
      <c r="V37" s="698"/>
      <c r="W37" s="489">
        <f>SUM(H37:S37)</f>
        <v>-136</v>
      </c>
      <c r="X37" s="444">
        <f>SUM(K37:S37)/9*12</f>
        <v>-147.33333333333334</v>
      </c>
      <c r="Y37" s="444">
        <f>SUM(N37:S37)/6*12</f>
        <v>-185</v>
      </c>
      <c r="Z37" s="444">
        <f>SUM(Q37:S37)/3*12</f>
        <v>0</v>
      </c>
      <c r="AA37" s="444">
        <f>S37*12</f>
        <v>0</v>
      </c>
      <c r="AB37" s="491"/>
      <c r="AC37" s="491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s="88" customFormat="1" x14ac:dyDescent="0.25">
      <c r="A38" s="9"/>
      <c r="B38" s="9"/>
      <c r="C38" s="9"/>
      <c r="D38" s="487" t="str">
        <f t="shared" si="7"/>
        <v>Hudson View Park</v>
      </c>
      <c r="E38" s="488" t="s">
        <v>4</v>
      </c>
      <c r="F38" s="488"/>
      <c r="G38" s="443" t="s">
        <v>1493</v>
      </c>
      <c r="H38" s="444">
        <f>SUMIFS('HVP T12'!C:C,'HVP T12'!$B:$B,'P&amp;Ls Detailed'!$G38)</f>
        <v>36</v>
      </c>
      <c r="I38" s="444">
        <f>SUMIFS('HVP T12'!D:D,'HVP T12'!$B:$B,'P&amp;Ls Detailed'!$G38)</f>
        <v>33</v>
      </c>
      <c r="J38" s="444">
        <f>SUMIFS('HVP T12'!E:E,'HVP T12'!$B:$B,'P&amp;Ls Detailed'!$G38)</f>
        <v>30</v>
      </c>
      <c r="K38" s="444">
        <f>SUMIFS('HVP T12'!F:F,'HVP T12'!$B:$B,'P&amp;Ls Detailed'!$G38)</f>
        <v>27</v>
      </c>
      <c r="L38" s="444">
        <f>SUMIFS('HVP T12'!G:G,'HVP T12'!$B:$B,'P&amp;Ls Detailed'!$G38)</f>
        <v>24</v>
      </c>
      <c r="M38" s="444">
        <f>SUMIFS('HVP T12'!H:H,'HVP T12'!$B:$B,'P&amp;Ls Detailed'!$G38)</f>
        <v>24</v>
      </c>
      <c r="N38" s="444">
        <f>SUMIFS('HVP T12'!I:I,'HVP T12'!$B:$B,'P&amp;Ls Detailed'!$G38)</f>
        <v>30</v>
      </c>
      <c r="O38" s="444">
        <f>SUMIFS('HVP T12'!J:J,'HVP T12'!$B:$B,'P&amp;Ls Detailed'!$G38)</f>
        <v>18</v>
      </c>
      <c r="P38" s="444">
        <f>SUMIFS('HVP T12'!K:K,'HVP T12'!$B:$B,'P&amp;Ls Detailed'!$G38)</f>
        <v>0</v>
      </c>
      <c r="Q38" s="444">
        <f>SUMIFS('HVP T12'!L:L,'HVP T12'!$B:$B,'P&amp;Ls Detailed'!$G38)</f>
        <v>0</v>
      </c>
      <c r="R38" s="444">
        <f>SUMIFS('HVP T12'!M:M,'HVP T12'!$B:$B,'P&amp;Ls Detailed'!$G38)</f>
        <v>0</v>
      </c>
      <c r="S38" s="444">
        <f>SUMIFS('HVP T12'!N:N,'HVP T12'!$B:$B,'P&amp;Ls Detailed'!$G38)</f>
        <v>0</v>
      </c>
      <c r="T38" s="697"/>
      <c r="U38" s="444"/>
      <c r="V38" s="698"/>
      <c r="W38" s="489">
        <f>SUM(H38:S38)</f>
        <v>222</v>
      </c>
      <c r="X38" s="444">
        <f>SUM(K38:S38)/9*12</f>
        <v>164</v>
      </c>
      <c r="Y38" s="444">
        <f>SUM(N38:S38)/6*12</f>
        <v>96</v>
      </c>
      <c r="Z38" s="444">
        <f>SUM(Q38:S38)/3*12</f>
        <v>0</v>
      </c>
      <c r="AA38" s="444">
        <f>S38*12</f>
        <v>0</v>
      </c>
      <c r="AB38" s="491"/>
      <c r="AC38" s="491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s="88" customFormat="1" x14ac:dyDescent="0.25">
      <c r="A39" s="9"/>
      <c r="B39" s="9"/>
      <c r="C39" s="9"/>
      <c r="D39" s="487" t="str">
        <f t="shared" si="7"/>
        <v>Hudson View Park</v>
      </c>
      <c r="E39" s="488" t="s">
        <v>194</v>
      </c>
      <c r="F39" s="488"/>
      <c r="G39" s="443" t="s">
        <v>1495</v>
      </c>
      <c r="H39" s="444">
        <f>SUMIFS('HVP T12'!C:C,'HVP T12'!$B:$B,'P&amp;Ls Detailed'!$G39)</f>
        <v>1407.1</v>
      </c>
      <c r="I39" s="444">
        <f>SUMIFS('HVP T12'!D:D,'HVP T12'!$B:$B,'P&amp;Ls Detailed'!$G39)</f>
        <v>1380</v>
      </c>
      <c r="J39" s="444">
        <f>SUMIFS('HVP T12'!E:E,'HVP T12'!$B:$B,'P&amp;Ls Detailed'!$G39)</f>
        <v>1426.45</v>
      </c>
      <c r="K39" s="444">
        <f>SUMIFS('HVP T12'!F:F,'HVP T12'!$B:$B,'P&amp;Ls Detailed'!$G39)</f>
        <v>1410</v>
      </c>
      <c r="L39" s="444">
        <f>SUMIFS('HVP T12'!G:G,'HVP T12'!$B:$B,'P&amp;Ls Detailed'!$G39)</f>
        <v>1435</v>
      </c>
      <c r="M39" s="444">
        <f>SUMIFS('HVP T12'!H:H,'HVP T12'!$B:$B,'P&amp;Ls Detailed'!$G39)</f>
        <v>1436.13</v>
      </c>
      <c r="N39" s="444">
        <f>SUMIFS('HVP T12'!I:I,'HVP T12'!$B:$B,'P&amp;Ls Detailed'!$G39)</f>
        <v>1440</v>
      </c>
      <c r="O39" s="444">
        <f>SUMIFS('HVP T12'!J:J,'HVP T12'!$B:$B,'P&amp;Ls Detailed'!$G39)</f>
        <v>1413.87</v>
      </c>
      <c r="P39" s="444">
        <f>SUMIFS('HVP T12'!K:K,'HVP T12'!$B:$B,'P&amp;Ls Detailed'!$G39)</f>
        <v>1440</v>
      </c>
      <c r="Q39" s="444">
        <f>SUMIFS('HVP T12'!L:L,'HVP T12'!$B:$B,'P&amp;Ls Detailed'!$G39)</f>
        <v>1464.64</v>
      </c>
      <c r="R39" s="444">
        <f>SUMIFS('HVP T12'!M:M,'HVP T12'!$B:$B,'P&amp;Ls Detailed'!$G39)</f>
        <v>1495.16</v>
      </c>
      <c r="S39" s="444">
        <f>SUMIFS('HVP T12'!N:N,'HVP T12'!$B:$B,'P&amp;Ls Detailed'!$G39)</f>
        <v>1500</v>
      </c>
      <c r="T39" s="697"/>
      <c r="U39" s="444"/>
      <c r="V39" s="698"/>
      <c r="W39" s="489">
        <f>SUM(H39:S39)</f>
        <v>17248.349999999999</v>
      </c>
      <c r="X39" s="444">
        <f>SUM(K39:S39)/9*12</f>
        <v>17379.733333333334</v>
      </c>
      <c r="Y39" s="444">
        <f>SUM(N39:S39)/6*12</f>
        <v>17507.34</v>
      </c>
      <c r="Z39" s="444">
        <f>SUM(Q39:S39)/3*12</f>
        <v>17839.2</v>
      </c>
      <c r="AA39" s="444">
        <f>S39*12</f>
        <v>18000</v>
      </c>
      <c r="AB39" s="491"/>
      <c r="AC39" s="491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s="88" customFormat="1" x14ac:dyDescent="0.25">
      <c r="A40" s="9"/>
      <c r="B40" s="9"/>
      <c r="C40" s="9"/>
      <c r="D40" s="487" t="str">
        <f t="shared" si="7"/>
        <v>Hudson View Park</v>
      </c>
      <c r="E40" s="488"/>
      <c r="F40" s="488"/>
      <c r="G40" s="456" t="s">
        <v>1496</v>
      </c>
      <c r="H40" s="447">
        <f t="shared" ref="H40:W40" si="17">SUM(H17:H28,H34,H35:H39)</f>
        <v>69465.62</v>
      </c>
      <c r="I40" s="447">
        <f t="shared" si="17"/>
        <v>65547.92</v>
      </c>
      <c r="J40" s="447">
        <f t="shared" si="17"/>
        <v>66262.759999999995</v>
      </c>
      <c r="K40" s="447">
        <f t="shared" si="17"/>
        <v>55753.169999999991</v>
      </c>
      <c r="L40" s="447">
        <f t="shared" si="17"/>
        <v>56039.630000000005</v>
      </c>
      <c r="M40" s="447">
        <f t="shared" si="17"/>
        <v>53050.959999999992</v>
      </c>
      <c r="N40" s="447">
        <f t="shared" si="17"/>
        <v>51400.35</v>
      </c>
      <c r="O40" s="447">
        <f t="shared" si="17"/>
        <v>43520.890000000007</v>
      </c>
      <c r="P40" s="447">
        <f t="shared" si="17"/>
        <v>42250.81</v>
      </c>
      <c r="Q40" s="447">
        <f t="shared" si="17"/>
        <v>35990.01</v>
      </c>
      <c r="R40" s="447">
        <f t="shared" si="17"/>
        <v>38200.089999999997</v>
      </c>
      <c r="S40" s="447">
        <f t="shared" si="17"/>
        <v>28043.86</v>
      </c>
      <c r="T40" s="628"/>
      <c r="U40" s="447"/>
      <c r="V40" s="699"/>
      <c r="W40" s="567">
        <f t="shared" si="17"/>
        <v>605526.06999999995</v>
      </c>
      <c r="X40" s="628">
        <f t="shared" ref="X40:AA40" si="18">SUM(X17:X28,X34,X35:X39)</f>
        <v>538999.69333333336</v>
      </c>
      <c r="Y40" s="447">
        <f t="shared" si="18"/>
        <v>478812.02</v>
      </c>
      <c r="Z40" s="447">
        <f t="shared" si="18"/>
        <v>408935.84</v>
      </c>
      <c r="AA40" s="447">
        <f t="shared" si="18"/>
        <v>336526.32</v>
      </c>
      <c r="AB40" s="491"/>
      <c r="AC40" s="49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s="88" customFormat="1" x14ac:dyDescent="0.25">
      <c r="A41" s="9"/>
      <c r="B41" s="9"/>
      <c r="C41" s="9"/>
      <c r="D41" s="487" t="str">
        <f t="shared" si="7"/>
        <v>Hudson View Park</v>
      </c>
      <c r="E41" s="488"/>
      <c r="F41" s="488"/>
      <c r="G41" s="443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444"/>
      <c r="S41" s="444"/>
      <c r="T41" s="697"/>
      <c r="U41" s="444"/>
      <c r="V41" s="698"/>
      <c r="W41" s="489"/>
      <c r="X41" s="444"/>
      <c r="Y41" s="444"/>
      <c r="Z41" s="444"/>
      <c r="AA41" s="444"/>
      <c r="AB41" s="491"/>
      <c r="AC41" s="49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s="88" customFormat="1" x14ac:dyDescent="0.25">
      <c r="A42" s="9"/>
      <c r="B42" s="9"/>
      <c r="C42" s="9"/>
      <c r="D42" s="487" t="str">
        <f t="shared" si="7"/>
        <v>Hudson View Park</v>
      </c>
      <c r="E42" s="488"/>
      <c r="F42" s="488"/>
      <c r="G42" s="445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444"/>
      <c r="T42" s="697"/>
      <c r="U42" s="444"/>
      <c r="V42" s="698"/>
      <c r="W42" s="489"/>
      <c r="X42" s="444"/>
      <c r="Y42" s="444"/>
      <c r="Z42" s="444"/>
      <c r="AA42" s="444"/>
      <c r="AB42" s="491"/>
      <c r="AC42" s="491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s="88" customFormat="1" x14ac:dyDescent="0.25">
      <c r="A43" s="9"/>
      <c r="B43" s="9"/>
      <c r="C43" s="9"/>
      <c r="D43" s="487" t="str">
        <f t="shared" si="7"/>
        <v>Hudson View Park</v>
      </c>
      <c r="E43" s="488"/>
      <c r="F43" s="488"/>
      <c r="G43" s="619" t="s">
        <v>210</v>
      </c>
      <c r="H43" s="495">
        <f t="shared" ref="H43:W43" si="19">SUM(H15,H40)</f>
        <v>956990.62</v>
      </c>
      <c r="I43" s="495">
        <f t="shared" si="19"/>
        <v>952677.4</v>
      </c>
      <c r="J43" s="495">
        <f t="shared" si="19"/>
        <v>960110.37</v>
      </c>
      <c r="K43" s="495">
        <f t="shared" si="19"/>
        <v>964779.17000000016</v>
      </c>
      <c r="L43" s="495">
        <f t="shared" si="19"/>
        <v>982489.67</v>
      </c>
      <c r="M43" s="495">
        <f t="shared" si="19"/>
        <v>984776.02999999991</v>
      </c>
      <c r="N43" s="495">
        <f t="shared" si="19"/>
        <v>994553.57000000007</v>
      </c>
      <c r="O43" s="495">
        <f t="shared" si="19"/>
        <v>987878.67</v>
      </c>
      <c r="P43" s="495">
        <f t="shared" si="19"/>
        <v>997710.54</v>
      </c>
      <c r="Q43" s="495">
        <f t="shared" si="19"/>
        <v>1002075.22</v>
      </c>
      <c r="R43" s="495">
        <f t="shared" si="19"/>
        <v>1017296.6799999999</v>
      </c>
      <c r="S43" s="495">
        <f t="shared" si="19"/>
        <v>1016103.41</v>
      </c>
      <c r="T43" s="700"/>
      <c r="U43" s="495"/>
      <c r="V43" s="701"/>
      <c r="W43" s="496">
        <f t="shared" si="19"/>
        <v>11817441.35</v>
      </c>
      <c r="X43" s="495">
        <f t="shared" ref="X43:AA43" si="20">SUM(X15,X40)</f>
        <v>11930217.279999999</v>
      </c>
      <c r="Y43" s="495">
        <f t="shared" si="20"/>
        <v>12031236.18</v>
      </c>
      <c r="Z43" s="495">
        <f t="shared" si="20"/>
        <v>12141901.240000002</v>
      </c>
      <c r="AA43" s="495">
        <f t="shared" si="20"/>
        <v>12193240.92</v>
      </c>
      <c r="AB43" s="491"/>
      <c r="AC43" s="491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s="88" customFormat="1" x14ac:dyDescent="0.25">
      <c r="A44" s="9"/>
      <c r="B44" s="9"/>
      <c r="C44" s="9"/>
      <c r="D44" s="487" t="str">
        <f t="shared" si="7"/>
        <v>Hudson View Park</v>
      </c>
      <c r="E44" s="488"/>
      <c r="F44" s="488"/>
      <c r="G44" s="620"/>
      <c r="H44" s="444"/>
      <c r="I44" s="444"/>
      <c r="J44" s="444"/>
      <c r="K44" s="444"/>
      <c r="L44" s="444"/>
      <c r="M44" s="444"/>
      <c r="N44" s="444"/>
      <c r="O44" s="621"/>
      <c r="P44" s="621"/>
      <c r="Q44" s="621"/>
      <c r="R44" s="444"/>
      <c r="S44" s="444"/>
      <c r="T44" s="697"/>
      <c r="U44" s="444"/>
      <c r="V44" s="698"/>
      <c r="W44" s="489"/>
      <c r="X44" s="444"/>
      <c r="Y44" s="444"/>
      <c r="Z44" s="444"/>
      <c r="AA44" s="444"/>
      <c r="AB44" s="491"/>
      <c r="AC44" s="491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s="88" customFormat="1" ht="6" customHeight="1" x14ac:dyDescent="0.25">
      <c r="A45" s="9"/>
      <c r="B45" s="9"/>
      <c r="C45" s="9"/>
      <c r="D45" s="487" t="str">
        <f t="shared" si="7"/>
        <v>Hudson View Park</v>
      </c>
      <c r="E45" s="488"/>
      <c r="F45" s="488"/>
      <c r="G45" s="622"/>
      <c r="H45" s="617"/>
      <c r="I45" s="617"/>
      <c r="J45" s="617"/>
      <c r="K45" s="617"/>
      <c r="L45" s="617"/>
      <c r="M45" s="617"/>
      <c r="N45" s="617"/>
      <c r="O45" s="617"/>
      <c r="P45" s="617"/>
      <c r="Q45" s="617"/>
      <c r="R45" s="617"/>
      <c r="S45" s="617"/>
      <c r="T45" s="702"/>
      <c r="U45" s="617"/>
      <c r="V45" s="703"/>
      <c r="W45" s="489"/>
      <c r="X45" s="623"/>
      <c r="Y45" s="623"/>
      <c r="Z45" s="623"/>
      <c r="AA45" s="623"/>
      <c r="AB45" s="491"/>
      <c r="AC45" s="491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s="88" customFormat="1" x14ac:dyDescent="0.25">
      <c r="A46" s="9"/>
      <c r="B46" s="9"/>
      <c r="C46" s="9"/>
      <c r="D46" s="487" t="str">
        <f t="shared" si="7"/>
        <v>Hudson View Park</v>
      </c>
      <c r="E46" s="488"/>
      <c r="F46" s="488"/>
      <c r="G46" s="442" t="s">
        <v>174</v>
      </c>
      <c r="H46" s="624"/>
      <c r="I46" s="624"/>
      <c r="J46" s="624"/>
      <c r="K46" s="624"/>
      <c r="L46" s="624"/>
      <c r="M46" s="624"/>
      <c r="N46" s="624"/>
      <c r="O46" s="625"/>
      <c r="P46" s="625"/>
      <c r="Q46" s="625"/>
      <c r="R46" s="624"/>
      <c r="S46" s="624"/>
      <c r="T46" s="704"/>
      <c r="U46" s="624"/>
      <c r="V46" s="705"/>
      <c r="W46" s="489"/>
      <c r="X46" s="626"/>
      <c r="Y46" s="626"/>
      <c r="Z46" s="626"/>
      <c r="AA46" s="626"/>
      <c r="AB46" s="491"/>
      <c r="AC46" s="491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s="88" customFormat="1" x14ac:dyDescent="0.25">
      <c r="A47" s="9"/>
      <c r="B47" s="9"/>
      <c r="C47" s="9"/>
      <c r="D47" s="487" t="str">
        <f t="shared" si="7"/>
        <v>Hudson View Park</v>
      </c>
      <c r="E47" s="488"/>
      <c r="F47" s="488"/>
      <c r="G47" s="446" t="s">
        <v>1498</v>
      </c>
      <c r="H47" s="444"/>
      <c r="I47" s="444"/>
      <c r="J47" s="444"/>
      <c r="K47" s="444"/>
      <c r="L47" s="444"/>
      <c r="M47" s="444"/>
      <c r="N47" s="444"/>
      <c r="O47" s="444"/>
      <c r="P47" s="444"/>
      <c r="Q47" s="444"/>
      <c r="R47" s="444"/>
      <c r="S47" s="444"/>
      <c r="T47" s="697"/>
      <c r="U47" s="444"/>
      <c r="V47" s="698"/>
      <c r="W47" s="489"/>
      <c r="X47" s="490"/>
      <c r="Y47" s="490"/>
      <c r="Z47" s="490"/>
      <c r="AA47" s="490"/>
      <c r="AB47" s="491"/>
      <c r="AC47" s="491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s="88" customFormat="1" x14ac:dyDescent="0.25">
      <c r="A48" s="9"/>
      <c r="B48" s="9"/>
      <c r="C48" s="9"/>
      <c r="D48" s="487" t="str">
        <f t="shared" si="7"/>
        <v>Hudson View Park</v>
      </c>
      <c r="E48" s="488" t="s">
        <v>37</v>
      </c>
      <c r="F48" s="488" t="s">
        <v>1756</v>
      </c>
      <c r="G48" s="443" t="s">
        <v>1500</v>
      </c>
      <c r="H48" s="444">
        <f>SUMIFS('HVP T12'!C:C,'HVP T12'!$B:$B,'P&amp;Ls Detailed'!$G48)</f>
        <v>67272.039999999994</v>
      </c>
      <c r="I48" s="444">
        <f>SUMIFS('HVP T12'!D:D,'HVP T12'!$B:$B,'P&amp;Ls Detailed'!$G48)</f>
        <v>64084.28</v>
      </c>
      <c r="J48" s="444">
        <f>SUMIFS('HVP T12'!E:E,'HVP T12'!$B:$B,'P&amp;Ls Detailed'!$G48)</f>
        <v>66883.06</v>
      </c>
      <c r="K48" s="444">
        <f>SUMIFS('HVP T12'!F:F,'HVP T12'!$B:$B,'P&amp;Ls Detailed'!$G48)</f>
        <v>101130.34</v>
      </c>
      <c r="L48" s="444">
        <f>SUMIFS('HVP T12'!G:G,'HVP T12'!$B:$B,'P&amp;Ls Detailed'!$G48)</f>
        <v>66987.16</v>
      </c>
      <c r="M48" s="444">
        <f>SUMIFS('HVP T12'!H:H,'HVP T12'!$B:$B,'P&amp;Ls Detailed'!$G48)</f>
        <v>67665.490000000005</v>
      </c>
      <c r="N48" s="444">
        <f>SUMIFS('HVP T12'!I:I,'HVP T12'!$B:$B,'P&amp;Ls Detailed'!$G48)</f>
        <v>68729.06</v>
      </c>
      <c r="O48" s="444">
        <f>SUMIFS('HVP T12'!J:J,'HVP T12'!$B:$B,'P&amp;Ls Detailed'!$G48)</f>
        <v>63397.07</v>
      </c>
      <c r="P48" s="444">
        <f>SUMIFS('HVP T12'!K:K,'HVP T12'!$B:$B,'P&amp;Ls Detailed'!$G48)</f>
        <v>95679.37</v>
      </c>
      <c r="Q48" s="444">
        <f>SUMIFS('HVP T12'!L:L,'HVP T12'!$B:$B,'P&amp;Ls Detailed'!$G48)</f>
        <v>67488.490000000005</v>
      </c>
      <c r="R48" s="444">
        <f>SUMIFS('HVP T12'!M:M,'HVP T12'!$B:$B,'P&amp;Ls Detailed'!$G48)</f>
        <v>68209.06</v>
      </c>
      <c r="S48" s="444">
        <f>SUMIFS('HVP T12'!N:N,'HVP T12'!$B:$B,'P&amp;Ls Detailed'!$G48)</f>
        <v>70785.460000000006</v>
      </c>
      <c r="T48" s="697"/>
      <c r="U48" s="444"/>
      <c r="V48" s="698"/>
      <c r="W48" s="489">
        <f t="shared" ref="W48:W60" si="21">SUM(H48:S48)</f>
        <v>868310.87999999989</v>
      </c>
      <c r="X48" s="490">
        <f t="shared" ref="X48:X61" si="22">SUM(K48:S48)/9*12</f>
        <v>893428.66666666674</v>
      </c>
      <c r="Y48" s="490">
        <f t="shared" ref="Y48:Y61" si="23">SUM(N48:S48)/6*12</f>
        <v>868577.02</v>
      </c>
      <c r="Z48" s="490">
        <f t="shared" ref="Z48:Z61" si="24">SUM(Q48:S48)/3*12</f>
        <v>825932.04</v>
      </c>
      <c r="AA48" s="490">
        <f t="shared" ref="AA48:AA61" si="25">S48*12</f>
        <v>849425.52</v>
      </c>
      <c r="AB48" s="491"/>
      <c r="AC48" s="491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s="88" customFormat="1" x14ac:dyDescent="0.25">
      <c r="A49" s="9"/>
      <c r="B49" s="9"/>
      <c r="C49" s="9"/>
      <c r="D49" s="487" t="str">
        <f t="shared" si="7"/>
        <v>Hudson View Park</v>
      </c>
      <c r="E49" s="488" t="s">
        <v>37</v>
      </c>
      <c r="F49" s="488"/>
      <c r="G49" s="443" t="s">
        <v>1502</v>
      </c>
      <c r="H49" s="444">
        <f>SUMIFS('HVP T12'!C:C,'HVP T12'!$B:$B,'P&amp;Ls Detailed'!$G49)</f>
        <v>2222.3000000000002</v>
      </c>
      <c r="I49" s="444">
        <f>SUMIFS('HVP T12'!D:D,'HVP T12'!$B:$B,'P&amp;Ls Detailed'!$G49)</f>
        <v>2380.19</v>
      </c>
      <c r="J49" s="444">
        <f>SUMIFS('HVP T12'!E:E,'HVP T12'!$B:$B,'P&amp;Ls Detailed'!$G49)</f>
        <v>2005.13</v>
      </c>
      <c r="K49" s="444">
        <f>SUMIFS('HVP T12'!F:F,'HVP T12'!$B:$B,'P&amp;Ls Detailed'!$G49)</f>
        <v>3162.09</v>
      </c>
      <c r="L49" s="444">
        <f>SUMIFS('HVP T12'!G:G,'HVP T12'!$B:$B,'P&amp;Ls Detailed'!$G49)</f>
        <v>2297.88</v>
      </c>
      <c r="M49" s="444">
        <f>SUMIFS('HVP T12'!H:H,'HVP T12'!$B:$B,'P&amp;Ls Detailed'!$G49)</f>
        <v>1981.22</v>
      </c>
      <c r="N49" s="444">
        <f>SUMIFS('HVP T12'!I:I,'HVP T12'!$B:$B,'P&amp;Ls Detailed'!$G49)</f>
        <v>1833.82</v>
      </c>
      <c r="O49" s="444">
        <f>SUMIFS('HVP T12'!J:J,'HVP T12'!$B:$B,'P&amp;Ls Detailed'!$G49)</f>
        <v>2542.46</v>
      </c>
      <c r="P49" s="444">
        <f>SUMIFS('HVP T12'!K:K,'HVP T12'!$B:$B,'P&amp;Ls Detailed'!$G49)</f>
        <v>5904.94</v>
      </c>
      <c r="Q49" s="444">
        <f>SUMIFS('HVP T12'!L:L,'HVP T12'!$B:$B,'P&amp;Ls Detailed'!$G49)</f>
        <v>4229.42</v>
      </c>
      <c r="R49" s="444">
        <f>SUMIFS('HVP T12'!M:M,'HVP T12'!$B:$B,'P&amp;Ls Detailed'!$G49)</f>
        <v>1870.26</v>
      </c>
      <c r="S49" s="444">
        <f>SUMIFS('HVP T12'!N:N,'HVP T12'!$B:$B,'P&amp;Ls Detailed'!$G49)</f>
        <v>1938.3</v>
      </c>
      <c r="T49" s="697"/>
      <c r="U49" s="444"/>
      <c r="V49" s="698"/>
      <c r="W49" s="489">
        <f t="shared" si="21"/>
        <v>32368.009999999995</v>
      </c>
      <c r="X49" s="490">
        <f t="shared" si="22"/>
        <v>34347.186666666668</v>
      </c>
      <c r="Y49" s="490">
        <f t="shared" si="23"/>
        <v>36638.400000000001</v>
      </c>
      <c r="Z49" s="490">
        <f t="shared" si="24"/>
        <v>32151.920000000002</v>
      </c>
      <c r="AA49" s="490">
        <f t="shared" si="25"/>
        <v>23259.599999999999</v>
      </c>
      <c r="AB49" s="491"/>
      <c r="AC49" s="491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s="88" customFormat="1" x14ac:dyDescent="0.25">
      <c r="A50" s="9"/>
      <c r="B50" s="9"/>
      <c r="C50" s="9"/>
      <c r="D50" s="487" t="str">
        <f t="shared" si="7"/>
        <v>Hudson View Park</v>
      </c>
      <c r="E50" s="488" t="s">
        <v>37</v>
      </c>
      <c r="F50" s="488"/>
      <c r="G50" s="443" t="s">
        <v>1504</v>
      </c>
      <c r="H50" s="444">
        <f>SUMIFS('HVP T12'!C:C,'HVP T12'!$B:$B,'P&amp;Ls Detailed'!$G50)</f>
        <v>8067.02</v>
      </c>
      <c r="I50" s="444">
        <f>SUMIFS('HVP T12'!D:D,'HVP T12'!$B:$B,'P&amp;Ls Detailed'!$G50)</f>
        <v>19535.91</v>
      </c>
      <c r="J50" s="444">
        <f>SUMIFS('HVP T12'!E:E,'HVP T12'!$B:$B,'P&amp;Ls Detailed'!$G50)</f>
        <v>5057.1899999999996</v>
      </c>
      <c r="K50" s="444">
        <f>SUMIFS('HVP T12'!F:F,'HVP T12'!$B:$B,'P&amp;Ls Detailed'!$G50)</f>
        <v>4801.9399999999996</v>
      </c>
      <c r="L50" s="444">
        <f>SUMIFS('HVP T12'!G:G,'HVP T12'!$B:$B,'P&amp;Ls Detailed'!$G50)</f>
        <v>3333.97</v>
      </c>
      <c r="M50" s="444">
        <f>SUMIFS('HVP T12'!H:H,'HVP T12'!$B:$B,'P&amp;Ls Detailed'!$G50)</f>
        <v>1447.8</v>
      </c>
      <c r="N50" s="444">
        <f>SUMIFS('HVP T12'!I:I,'HVP T12'!$B:$B,'P&amp;Ls Detailed'!$G50)</f>
        <v>1567.46</v>
      </c>
      <c r="O50" s="444">
        <f>SUMIFS('HVP T12'!J:J,'HVP T12'!$B:$B,'P&amp;Ls Detailed'!$G50)</f>
        <v>50266.61</v>
      </c>
      <c r="P50" s="444">
        <f>SUMIFS('HVP T12'!K:K,'HVP T12'!$B:$B,'P&amp;Ls Detailed'!$G50)</f>
        <v>16426.759999999998</v>
      </c>
      <c r="Q50" s="444">
        <f>SUMIFS('HVP T12'!L:L,'HVP T12'!$B:$B,'P&amp;Ls Detailed'!$G50)</f>
        <v>13074.76</v>
      </c>
      <c r="R50" s="444">
        <f>SUMIFS('HVP T12'!M:M,'HVP T12'!$B:$B,'P&amp;Ls Detailed'!$G50)</f>
        <v>5380.21</v>
      </c>
      <c r="S50" s="444">
        <f>SUMIFS('HVP T12'!N:N,'HVP T12'!$B:$B,'P&amp;Ls Detailed'!$G50)</f>
        <v>2999.67</v>
      </c>
      <c r="T50" s="697"/>
      <c r="U50" s="444"/>
      <c r="V50" s="698"/>
      <c r="W50" s="489">
        <f t="shared" si="21"/>
        <v>131959.29999999999</v>
      </c>
      <c r="X50" s="490">
        <f t="shared" si="22"/>
        <v>132398.90666666665</v>
      </c>
      <c r="Y50" s="490">
        <f t="shared" si="23"/>
        <v>179430.94</v>
      </c>
      <c r="Z50" s="490">
        <f t="shared" si="24"/>
        <v>85818.559999999998</v>
      </c>
      <c r="AA50" s="490">
        <f t="shared" si="25"/>
        <v>35996.04</v>
      </c>
      <c r="AB50" s="491"/>
      <c r="AC50" s="491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s="88" customFormat="1" x14ac:dyDescent="0.25">
      <c r="A51" s="9"/>
      <c r="B51" s="9"/>
      <c r="C51" s="9"/>
      <c r="D51" s="487" t="str">
        <f t="shared" si="7"/>
        <v>Hudson View Park</v>
      </c>
      <c r="E51" s="488" t="s">
        <v>37</v>
      </c>
      <c r="F51" s="488"/>
      <c r="G51" s="443" t="s">
        <v>1506</v>
      </c>
      <c r="H51" s="444">
        <f>SUMIFS('HVP T12'!C:C,'HVP T12'!$B:$B,'P&amp;Ls Detailed'!$G51)</f>
        <v>5740.02</v>
      </c>
      <c r="I51" s="444">
        <f>SUMIFS('HVP T12'!D:D,'HVP T12'!$B:$B,'P&amp;Ls Detailed'!$G51)</f>
        <v>6385.61</v>
      </c>
      <c r="J51" s="444">
        <f>SUMIFS('HVP T12'!E:E,'HVP T12'!$B:$B,'P&amp;Ls Detailed'!$G51)</f>
        <v>5459.81</v>
      </c>
      <c r="K51" s="444">
        <f>SUMIFS('HVP T12'!F:F,'HVP T12'!$B:$B,'P&amp;Ls Detailed'!$G51)</f>
        <v>8044.8</v>
      </c>
      <c r="L51" s="444">
        <f>SUMIFS('HVP T12'!G:G,'HVP T12'!$B:$B,'P&amp;Ls Detailed'!$G51)</f>
        <v>5354.74</v>
      </c>
      <c r="M51" s="444">
        <f>SUMIFS('HVP T12'!H:H,'HVP T12'!$B:$B,'P&amp;Ls Detailed'!$G51)</f>
        <v>5238.12</v>
      </c>
      <c r="N51" s="444">
        <f>SUMIFS('HVP T12'!I:I,'HVP T12'!$B:$B,'P&amp;Ls Detailed'!$G51)</f>
        <v>5329.92</v>
      </c>
      <c r="O51" s="444">
        <f>SUMIFS('HVP T12'!J:J,'HVP T12'!$B:$B,'P&amp;Ls Detailed'!$G51)</f>
        <v>8701.7000000000007</v>
      </c>
      <c r="P51" s="444">
        <f>SUMIFS('HVP T12'!K:K,'HVP T12'!$B:$B,'P&amp;Ls Detailed'!$G51)</f>
        <v>8678.76</v>
      </c>
      <c r="Q51" s="444">
        <f>SUMIFS('HVP T12'!L:L,'HVP T12'!$B:$B,'P&amp;Ls Detailed'!$G51)</f>
        <v>6253.9</v>
      </c>
      <c r="R51" s="444">
        <f>SUMIFS('HVP T12'!M:M,'HVP T12'!$B:$B,'P&amp;Ls Detailed'!$G51)</f>
        <v>5539.93</v>
      </c>
      <c r="S51" s="444">
        <f>SUMIFS('HVP T12'!N:N,'HVP T12'!$B:$B,'P&amp;Ls Detailed'!$G51)</f>
        <v>5560.12</v>
      </c>
      <c r="T51" s="697"/>
      <c r="U51" s="444"/>
      <c r="V51" s="698"/>
      <c r="W51" s="489">
        <f t="shared" si="21"/>
        <v>76287.429999999993</v>
      </c>
      <c r="X51" s="490">
        <f t="shared" si="22"/>
        <v>78269.320000000007</v>
      </c>
      <c r="Y51" s="490">
        <f t="shared" si="23"/>
        <v>80128.66</v>
      </c>
      <c r="Z51" s="490">
        <f t="shared" si="24"/>
        <v>69415.8</v>
      </c>
      <c r="AA51" s="490">
        <f t="shared" si="25"/>
        <v>66721.440000000002</v>
      </c>
      <c r="AB51" s="491"/>
      <c r="AC51" s="491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s="88" customFormat="1" x14ac:dyDescent="0.25">
      <c r="A52" s="9"/>
      <c r="B52" s="9"/>
      <c r="C52" s="9"/>
      <c r="D52" s="487" t="str">
        <f t="shared" si="7"/>
        <v>Hudson View Park</v>
      </c>
      <c r="E52" s="488" t="s">
        <v>37</v>
      </c>
      <c r="F52" s="488"/>
      <c r="G52" s="443" t="s">
        <v>1508</v>
      </c>
      <c r="H52" s="444">
        <f>SUMIFS('HVP T12'!C:C,'HVP T12'!$B:$B,'P&amp;Ls Detailed'!$G52)</f>
        <v>0</v>
      </c>
      <c r="I52" s="444">
        <f>SUMIFS('HVP T12'!D:D,'HVP T12'!$B:$B,'P&amp;Ls Detailed'!$G52)</f>
        <v>0</v>
      </c>
      <c r="J52" s="444">
        <f>SUMIFS('HVP T12'!E:E,'HVP T12'!$B:$B,'P&amp;Ls Detailed'!$G52)</f>
        <v>0</v>
      </c>
      <c r="K52" s="444">
        <f>SUMIFS('HVP T12'!F:F,'HVP T12'!$B:$B,'P&amp;Ls Detailed'!$G52)</f>
        <v>0</v>
      </c>
      <c r="L52" s="444">
        <f>SUMIFS('HVP T12'!G:G,'HVP T12'!$B:$B,'P&amp;Ls Detailed'!$G52)</f>
        <v>5.76</v>
      </c>
      <c r="M52" s="444">
        <f>SUMIFS('HVP T12'!H:H,'HVP T12'!$B:$B,'P&amp;Ls Detailed'!$G52)</f>
        <v>14.4</v>
      </c>
      <c r="N52" s="444">
        <f>SUMIFS('HVP T12'!I:I,'HVP T12'!$B:$B,'P&amp;Ls Detailed'!$G52)</f>
        <v>13.44</v>
      </c>
      <c r="O52" s="444">
        <f>SUMIFS('HVP T12'!J:J,'HVP T12'!$B:$B,'P&amp;Ls Detailed'!$G52)</f>
        <v>0</v>
      </c>
      <c r="P52" s="444">
        <f>SUMIFS('HVP T12'!K:K,'HVP T12'!$B:$B,'P&amp;Ls Detailed'!$G52)</f>
        <v>593.48</v>
      </c>
      <c r="Q52" s="444">
        <f>SUMIFS('HVP T12'!L:L,'HVP T12'!$B:$B,'P&amp;Ls Detailed'!$G52)</f>
        <v>50.23</v>
      </c>
      <c r="R52" s="444">
        <f>SUMIFS('HVP T12'!M:M,'HVP T12'!$B:$B,'P&amp;Ls Detailed'!$G52)</f>
        <v>0.8</v>
      </c>
      <c r="S52" s="444">
        <f>SUMIFS('HVP T12'!N:N,'HVP T12'!$B:$B,'P&amp;Ls Detailed'!$G52)</f>
        <v>0</v>
      </c>
      <c r="T52" s="697"/>
      <c r="U52" s="444"/>
      <c r="V52" s="698"/>
      <c r="W52" s="489">
        <f t="shared" si="21"/>
        <v>678.11</v>
      </c>
      <c r="X52" s="490">
        <f t="shared" si="22"/>
        <v>904.14666666666676</v>
      </c>
      <c r="Y52" s="490">
        <f t="shared" si="23"/>
        <v>1315.9</v>
      </c>
      <c r="Z52" s="490">
        <f t="shared" si="24"/>
        <v>204.11999999999998</v>
      </c>
      <c r="AA52" s="490">
        <f t="shared" si="25"/>
        <v>0</v>
      </c>
      <c r="AB52" s="491"/>
      <c r="AC52" s="491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s="88" customFormat="1" x14ac:dyDescent="0.25">
      <c r="A53" s="9"/>
      <c r="B53" s="9"/>
      <c r="C53" s="9"/>
      <c r="D53" s="487" t="str">
        <f t="shared" si="7"/>
        <v>Hudson View Park</v>
      </c>
      <c r="E53" s="488" t="s">
        <v>37</v>
      </c>
      <c r="F53" s="488"/>
      <c r="G53" s="443" t="s">
        <v>1510</v>
      </c>
      <c r="H53" s="444">
        <f>SUMIFS('HVP T12'!C:C,'HVP T12'!$B:$B,'P&amp;Ls Detailed'!$G53)</f>
        <v>0</v>
      </c>
      <c r="I53" s="444">
        <f>SUMIFS('HVP T12'!D:D,'HVP T12'!$B:$B,'P&amp;Ls Detailed'!$G53)</f>
        <v>0</v>
      </c>
      <c r="J53" s="444">
        <f>SUMIFS('HVP T12'!E:E,'HVP T12'!$B:$B,'P&amp;Ls Detailed'!$G53)</f>
        <v>0</v>
      </c>
      <c r="K53" s="444">
        <f>SUMIFS('HVP T12'!F:F,'HVP T12'!$B:$B,'P&amp;Ls Detailed'!$G53)</f>
        <v>0</v>
      </c>
      <c r="L53" s="444">
        <f>SUMIFS('HVP T12'!G:G,'HVP T12'!$B:$B,'P&amp;Ls Detailed'!$G53)</f>
        <v>20.16</v>
      </c>
      <c r="M53" s="444">
        <f>SUMIFS('HVP T12'!H:H,'HVP T12'!$B:$B,'P&amp;Ls Detailed'!$G53)</f>
        <v>50.4</v>
      </c>
      <c r="N53" s="444">
        <f>SUMIFS('HVP T12'!I:I,'HVP T12'!$B:$B,'P&amp;Ls Detailed'!$G53)</f>
        <v>50.4</v>
      </c>
      <c r="O53" s="444">
        <f>SUMIFS('HVP T12'!J:J,'HVP T12'!$B:$B,'P&amp;Ls Detailed'!$G53)</f>
        <v>50.4</v>
      </c>
      <c r="P53" s="444">
        <f>SUMIFS('HVP T12'!K:K,'HVP T12'!$B:$B,'P&amp;Ls Detailed'!$G53)</f>
        <v>2478.2399999999998</v>
      </c>
      <c r="Q53" s="444">
        <f>SUMIFS('HVP T12'!L:L,'HVP T12'!$B:$B,'P&amp;Ls Detailed'!$G53)</f>
        <v>1212.01</v>
      </c>
      <c r="R53" s="444">
        <f>SUMIFS('HVP T12'!M:M,'HVP T12'!$B:$B,'P&amp;Ls Detailed'!$G53)</f>
        <v>344.49</v>
      </c>
      <c r="S53" s="444">
        <f>SUMIFS('HVP T12'!N:N,'HVP T12'!$B:$B,'P&amp;Ls Detailed'!$G53)</f>
        <v>48.93</v>
      </c>
      <c r="T53" s="697"/>
      <c r="U53" s="444"/>
      <c r="V53" s="698"/>
      <c r="W53" s="489">
        <f t="shared" si="21"/>
        <v>4255.03</v>
      </c>
      <c r="X53" s="490">
        <f t="shared" si="22"/>
        <v>5673.373333333333</v>
      </c>
      <c r="Y53" s="490">
        <f t="shared" si="23"/>
        <v>8368.94</v>
      </c>
      <c r="Z53" s="490">
        <f t="shared" si="24"/>
        <v>6421.7199999999993</v>
      </c>
      <c r="AA53" s="490">
        <f t="shared" si="25"/>
        <v>587.16</v>
      </c>
      <c r="AB53" s="491"/>
      <c r="AC53" s="491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s="88" customFormat="1" x14ac:dyDescent="0.25">
      <c r="A54" s="9"/>
      <c r="B54" s="9"/>
      <c r="C54" s="9"/>
      <c r="D54" s="487" t="str">
        <f t="shared" si="7"/>
        <v>Hudson View Park</v>
      </c>
      <c r="E54" s="488" t="s">
        <v>37</v>
      </c>
      <c r="F54" s="488"/>
      <c r="G54" s="443" t="s">
        <v>1512</v>
      </c>
      <c r="H54" s="444">
        <f>SUMIFS('HVP T12'!C:C,'HVP T12'!$B:$B,'P&amp;Ls Detailed'!$G54)</f>
        <v>229.49</v>
      </c>
      <c r="I54" s="444">
        <f>SUMIFS('HVP T12'!D:D,'HVP T12'!$B:$B,'P&amp;Ls Detailed'!$G54)</f>
        <v>255.89</v>
      </c>
      <c r="J54" s="444">
        <f>SUMIFS('HVP T12'!E:E,'HVP T12'!$B:$B,'P&amp;Ls Detailed'!$G54)</f>
        <v>180.21</v>
      </c>
      <c r="K54" s="444">
        <f>SUMIFS('HVP T12'!F:F,'HVP T12'!$B:$B,'P&amp;Ls Detailed'!$G54)</f>
        <v>213.81</v>
      </c>
      <c r="L54" s="444">
        <f>SUMIFS('HVP T12'!G:G,'HVP T12'!$B:$B,'P&amp;Ls Detailed'!$G54)</f>
        <v>140.13</v>
      </c>
      <c r="M54" s="444">
        <f>SUMIFS('HVP T12'!H:H,'HVP T12'!$B:$B,'P&amp;Ls Detailed'!$G54)</f>
        <v>198.61</v>
      </c>
      <c r="N54" s="444">
        <f>SUMIFS('HVP T12'!I:I,'HVP T12'!$B:$B,'P&amp;Ls Detailed'!$G54)</f>
        <v>202.43</v>
      </c>
      <c r="O54" s="444">
        <f>SUMIFS('HVP T12'!J:J,'HVP T12'!$B:$B,'P&amp;Ls Detailed'!$G54)</f>
        <v>329.06</v>
      </c>
      <c r="P54" s="444">
        <f>SUMIFS('HVP T12'!K:K,'HVP T12'!$B:$B,'P&amp;Ls Detailed'!$G54)</f>
        <v>329.36</v>
      </c>
      <c r="Q54" s="444">
        <f>SUMIFS('HVP T12'!L:L,'HVP T12'!$B:$B,'P&amp;Ls Detailed'!$G54)</f>
        <v>240.01</v>
      </c>
      <c r="R54" s="444">
        <f>SUMIFS('HVP T12'!M:M,'HVP T12'!$B:$B,'P&amp;Ls Detailed'!$G54)</f>
        <v>210.14</v>
      </c>
      <c r="S54" s="444">
        <f>SUMIFS('HVP T12'!N:N,'HVP T12'!$B:$B,'P&amp;Ls Detailed'!$G54)</f>
        <v>213.35</v>
      </c>
      <c r="T54" s="697"/>
      <c r="U54" s="444"/>
      <c r="V54" s="698"/>
      <c r="W54" s="489">
        <f t="shared" si="21"/>
        <v>2742.49</v>
      </c>
      <c r="X54" s="490">
        <f t="shared" si="22"/>
        <v>2769.2000000000003</v>
      </c>
      <c r="Y54" s="490">
        <f t="shared" si="23"/>
        <v>3048.7</v>
      </c>
      <c r="Z54" s="490">
        <f t="shared" si="24"/>
        <v>2654</v>
      </c>
      <c r="AA54" s="490">
        <f t="shared" si="25"/>
        <v>2560.1999999999998</v>
      </c>
      <c r="AB54" s="491"/>
      <c r="AC54" s="491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s="88" customFormat="1" x14ac:dyDescent="0.25">
      <c r="A55" s="9"/>
      <c r="B55" s="9"/>
      <c r="C55" s="9"/>
      <c r="D55" s="487" t="str">
        <f t="shared" si="7"/>
        <v>Hudson View Park</v>
      </c>
      <c r="E55" s="488" t="s">
        <v>37</v>
      </c>
      <c r="F55" s="488"/>
      <c r="G55" s="443" t="s">
        <v>1514</v>
      </c>
      <c r="H55" s="444">
        <f>SUMIFS('HVP T12'!C:C,'HVP T12'!$B:$B,'P&amp;Ls Detailed'!$G55)</f>
        <v>663.89</v>
      </c>
      <c r="I55" s="444">
        <f>SUMIFS('HVP T12'!D:D,'HVP T12'!$B:$B,'P&amp;Ls Detailed'!$G55)</f>
        <v>669.36</v>
      </c>
      <c r="J55" s="444">
        <f>SUMIFS('HVP T12'!E:E,'HVP T12'!$B:$B,'P&amp;Ls Detailed'!$G55)</f>
        <v>686.08</v>
      </c>
      <c r="K55" s="444">
        <f>SUMIFS('HVP T12'!F:F,'HVP T12'!$B:$B,'P&amp;Ls Detailed'!$G55)</f>
        <v>693.28</v>
      </c>
      <c r="L55" s="444">
        <f>SUMIFS('HVP T12'!G:G,'HVP T12'!$B:$B,'P&amp;Ls Detailed'!$G55)</f>
        <v>664</v>
      </c>
      <c r="M55" s="444">
        <f>SUMIFS('HVP T12'!H:H,'HVP T12'!$B:$B,'P&amp;Ls Detailed'!$G55)</f>
        <v>685.32</v>
      </c>
      <c r="N55" s="444">
        <f>SUMIFS('HVP T12'!I:I,'HVP T12'!$B:$B,'P&amp;Ls Detailed'!$G55)</f>
        <v>691.34</v>
      </c>
      <c r="O55" s="444">
        <f>SUMIFS('HVP T12'!J:J,'HVP T12'!$B:$B,'P&amp;Ls Detailed'!$G55)</f>
        <v>691.34</v>
      </c>
      <c r="P55" s="444">
        <f>SUMIFS('HVP T12'!K:K,'HVP T12'!$B:$B,'P&amp;Ls Detailed'!$G55)</f>
        <v>749.88</v>
      </c>
      <c r="Q55" s="444">
        <f>SUMIFS('HVP T12'!L:L,'HVP T12'!$B:$B,'P&amp;Ls Detailed'!$G55)</f>
        <v>749.88</v>
      </c>
      <c r="R55" s="444">
        <f>SUMIFS('HVP T12'!M:M,'HVP T12'!$B:$B,'P&amp;Ls Detailed'!$G55)</f>
        <v>749.88</v>
      </c>
      <c r="S55" s="444">
        <f>SUMIFS('HVP T12'!N:N,'HVP T12'!$B:$B,'P&amp;Ls Detailed'!$G55)</f>
        <v>749.88</v>
      </c>
      <c r="T55" s="697"/>
      <c r="U55" s="444"/>
      <c r="V55" s="698"/>
      <c r="W55" s="489">
        <f t="shared" si="21"/>
        <v>8444.1299999999992</v>
      </c>
      <c r="X55" s="490">
        <f t="shared" si="22"/>
        <v>8566.4</v>
      </c>
      <c r="Y55" s="490">
        <f t="shared" si="23"/>
        <v>8764.4</v>
      </c>
      <c r="Z55" s="490">
        <f t="shared" si="24"/>
        <v>8998.56</v>
      </c>
      <c r="AA55" s="490">
        <f t="shared" si="25"/>
        <v>8998.56</v>
      </c>
      <c r="AB55" s="491"/>
      <c r="AC55" s="491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s="88" customFormat="1" x14ac:dyDescent="0.25">
      <c r="A56" s="9"/>
      <c r="B56" s="9"/>
      <c r="C56" s="9"/>
      <c r="D56" s="487" t="str">
        <f t="shared" si="7"/>
        <v>Hudson View Park</v>
      </c>
      <c r="E56" s="488" t="s">
        <v>37</v>
      </c>
      <c r="F56" s="488"/>
      <c r="G56" s="443" t="s">
        <v>1516</v>
      </c>
      <c r="H56" s="444">
        <f>SUMIFS('HVP T12'!C:C,'HVP T12'!$B:$B,'P&amp;Ls Detailed'!$G56)</f>
        <v>3144.38</v>
      </c>
      <c r="I56" s="444">
        <f>SUMIFS('HVP T12'!D:D,'HVP T12'!$B:$B,'P&amp;Ls Detailed'!$G56)</f>
        <v>3225</v>
      </c>
      <c r="J56" s="444">
        <f>SUMIFS('HVP T12'!E:E,'HVP T12'!$B:$B,'P&amp;Ls Detailed'!$G56)</f>
        <v>2912.57</v>
      </c>
      <c r="K56" s="444">
        <f>SUMIFS('HVP T12'!F:F,'HVP T12'!$B:$B,'P&amp;Ls Detailed'!$G56)</f>
        <v>4292.7</v>
      </c>
      <c r="L56" s="444">
        <f>SUMIFS('HVP T12'!G:G,'HVP T12'!$B:$B,'P&amp;Ls Detailed'!$G56)</f>
        <v>2805.92</v>
      </c>
      <c r="M56" s="444">
        <f>SUMIFS('HVP T12'!H:H,'HVP T12'!$B:$B,'P&amp;Ls Detailed'!$G56)</f>
        <v>2512.36</v>
      </c>
      <c r="N56" s="444">
        <f>SUMIFS('HVP T12'!I:I,'HVP T12'!$B:$B,'P&amp;Ls Detailed'!$G56)</f>
        <v>2744.28</v>
      </c>
      <c r="O56" s="444">
        <f>SUMIFS('HVP T12'!J:J,'HVP T12'!$B:$B,'P&amp;Ls Detailed'!$G56)</f>
        <v>4464.47</v>
      </c>
      <c r="P56" s="444">
        <f>SUMIFS('HVP T12'!K:K,'HVP T12'!$B:$B,'P&amp;Ls Detailed'!$G56)</f>
        <v>-4690.9399999999996</v>
      </c>
      <c r="Q56" s="444">
        <f>SUMIFS('HVP T12'!L:L,'HVP T12'!$B:$B,'P&amp;Ls Detailed'!$G56)</f>
        <v>2174.23</v>
      </c>
      <c r="R56" s="444">
        <f>SUMIFS('HVP T12'!M:M,'HVP T12'!$B:$B,'P&amp;Ls Detailed'!$G56)</f>
        <v>1905.6</v>
      </c>
      <c r="S56" s="444">
        <f>SUMIFS('HVP T12'!N:N,'HVP T12'!$B:$B,'P&amp;Ls Detailed'!$G56)</f>
        <v>1911.81</v>
      </c>
      <c r="T56" s="697"/>
      <c r="U56" s="444"/>
      <c r="V56" s="698"/>
      <c r="W56" s="489">
        <f t="shared" si="21"/>
        <v>27402.38</v>
      </c>
      <c r="X56" s="490">
        <f t="shared" si="22"/>
        <v>24160.573333333334</v>
      </c>
      <c r="Y56" s="490">
        <f t="shared" si="23"/>
        <v>17018.900000000001</v>
      </c>
      <c r="Z56" s="490">
        <f t="shared" si="24"/>
        <v>23966.559999999998</v>
      </c>
      <c r="AA56" s="490">
        <f t="shared" si="25"/>
        <v>22941.72</v>
      </c>
      <c r="AB56" s="491"/>
      <c r="AC56" s="491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s="88" customFormat="1" x14ac:dyDescent="0.25">
      <c r="A57" s="9"/>
      <c r="B57" s="9"/>
      <c r="C57" s="9"/>
      <c r="D57" s="487" t="str">
        <f t="shared" si="7"/>
        <v>Hudson View Park</v>
      </c>
      <c r="E57" s="488" t="s">
        <v>37</v>
      </c>
      <c r="F57" s="488"/>
      <c r="G57" s="443" t="s">
        <v>1518</v>
      </c>
      <c r="H57" s="444">
        <f>SUMIFS('HVP T12'!C:C,'HVP T12'!$B:$B,'P&amp;Ls Detailed'!$G57)</f>
        <v>9686.91</v>
      </c>
      <c r="I57" s="444">
        <f>SUMIFS('HVP T12'!D:D,'HVP T12'!$B:$B,'P&amp;Ls Detailed'!$G57)</f>
        <v>9686.91</v>
      </c>
      <c r="J57" s="444">
        <f>SUMIFS('HVP T12'!E:E,'HVP T12'!$B:$B,'P&amp;Ls Detailed'!$G57)</f>
        <v>9767.99</v>
      </c>
      <c r="K57" s="444">
        <f>SUMIFS('HVP T12'!F:F,'HVP T12'!$B:$B,'P&amp;Ls Detailed'!$G57)</f>
        <v>9986.7199999999993</v>
      </c>
      <c r="L57" s="444">
        <f>SUMIFS('HVP T12'!G:G,'HVP T12'!$B:$B,'P&amp;Ls Detailed'!$G57)</f>
        <v>10168.040000000001</v>
      </c>
      <c r="M57" s="444">
        <f>SUMIFS('HVP T12'!H:H,'HVP T12'!$B:$B,'P&amp;Ls Detailed'!$G57)</f>
        <v>10024.09</v>
      </c>
      <c r="N57" s="444">
        <f>SUMIFS('HVP T12'!I:I,'HVP T12'!$B:$B,'P&amp;Ls Detailed'!$G57)</f>
        <v>8167.69</v>
      </c>
      <c r="O57" s="444">
        <f>SUMIFS('HVP T12'!J:J,'HVP T12'!$B:$B,'P&amp;Ls Detailed'!$G57)</f>
        <v>9191.42</v>
      </c>
      <c r="P57" s="444">
        <f>SUMIFS('HVP T12'!K:K,'HVP T12'!$B:$B,'P&amp;Ls Detailed'!$G57)</f>
        <v>8063.15</v>
      </c>
      <c r="Q57" s="444">
        <f>SUMIFS('HVP T12'!L:L,'HVP T12'!$B:$B,'P&amp;Ls Detailed'!$G57)</f>
        <v>9184.66</v>
      </c>
      <c r="R57" s="444">
        <f>SUMIFS('HVP T12'!M:M,'HVP T12'!$B:$B,'P&amp;Ls Detailed'!$G57)</f>
        <v>9184.64</v>
      </c>
      <c r="S57" s="444">
        <f>SUMIFS('HVP T12'!N:N,'HVP T12'!$B:$B,'P&amp;Ls Detailed'!$G57)</f>
        <v>9184.65</v>
      </c>
      <c r="T57" s="697"/>
      <c r="U57" s="444"/>
      <c r="V57" s="698"/>
      <c r="W57" s="489">
        <f t="shared" si="21"/>
        <v>112296.87</v>
      </c>
      <c r="X57" s="490">
        <f t="shared" si="22"/>
        <v>110873.41333333333</v>
      </c>
      <c r="Y57" s="490">
        <f t="shared" si="23"/>
        <v>105952.42000000001</v>
      </c>
      <c r="Z57" s="490">
        <f t="shared" si="24"/>
        <v>110215.79999999999</v>
      </c>
      <c r="AA57" s="490">
        <f t="shared" si="25"/>
        <v>110215.79999999999</v>
      </c>
      <c r="AB57" s="491"/>
      <c r="AC57" s="491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s="88" customFormat="1" x14ac:dyDescent="0.25">
      <c r="A58" s="9"/>
      <c r="B58" s="9"/>
      <c r="C58" s="9"/>
      <c r="D58" s="487" t="str">
        <f t="shared" si="7"/>
        <v>Hudson View Park</v>
      </c>
      <c r="E58" s="488" t="s">
        <v>37</v>
      </c>
      <c r="F58" s="488"/>
      <c r="G58" s="443" t="s">
        <v>1520</v>
      </c>
      <c r="H58" s="444">
        <f>SUMIFS('HVP T12'!C:C,'HVP T12'!$B:$B,'P&amp;Ls Detailed'!$G58)</f>
        <v>655.96</v>
      </c>
      <c r="I58" s="444">
        <f>SUMIFS('HVP T12'!D:D,'HVP T12'!$B:$B,'P&amp;Ls Detailed'!$G58)</f>
        <v>572.98</v>
      </c>
      <c r="J58" s="444">
        <f>SUMIFS('HVP T12'!E:E,'HVP T12'!$B:$B,'P&amp;Ls Detailed'!$G58)</f>
        <v>1321.05</v>
      </c>
      <c r="K58" s="444">
        <f>SUMIFS('HVP T12'!F:F,'HVP T12'!$B:$B,'P&amp;Ls Detailed'!$G58)</f>
        <v>4790.6000000000004</v>
      </c>
      <c r="L58" s="444">
        <f>SUMIFS('HVP T12'!G:G,'HVP T12'!$B:$B,'P&amp;Ls Detailed'!$G58)</f>
        <v>737.81</v>
      </c>
      <c r="M58" s="444">
        <f>SUMIFS('HVP T12'!H:H,'HVP T12'!$B:$B,'P&amp;Ls Detailed'!$G58)</f>
        <v>3008.54</v>
      </c>
      <c r="N58" s="444">
        <f>SUMIFS('HVP T12'!I:I,'HVP T12'!$B:$B,'P&amp;Ls Detailed'!$G58)</f>
        <v>3700.62</v>
      </c>
      <c r="O58" s="444">
        <f>SUMIFS('HVP T12'!J:J,'HVP T12'!$B:$B,'P&amp;Ls Detailed'!$G58)</f>
        <v>1104.0999999999999</v>
      </c>
      <c r="P58" s="444">
        <f>SUMIFS('HVP T12'!K:K,'HVP T12'!$B:$B,'P&amp;Ls Detailed'!$G58)</f>
        <v>2830.65</v>
      </c>
      <c r="Q58" s="444">
        <f>SUMIFS('HVP T12'!L:L,'HVP T12'!$B:$B,'P&amp;Ls Detailed'!$G58)</f>
        <v>2391.31</v>
      </c>
      <c r="R58" s="444">
        <f>SUMIFS('HVP T12'!M:M,'HVP T12'!$B:$B,'P&amp;Ls Detailed'!$G58)</f>
        <v>2208.52</v>
      </c>
      <c r="S58" s="444">
        <f>SUMIFS('HVP T12'!N:N,'HVP T12'!$B:$B,'P&amp;Ls Detailed'!$G58)</f>
        <v>3470.79</v>
      </c>
      <c r="T58" s="697"/>
      <c r="U58" s="444"/>
      <c r="V58" s="698"/>
      <c r="W58" s="489">
        <f t="shared" si="21"/>
        <v>26792.93</v>
      </c>
      <c r="X58" s="490">
        <f t="shared" si="22"/>
        <v>32323.920000000006</v>
      </c>
      <c r="Y58" s="490">
        <f t="shared" si="23"/>
        <v>31411.979999999996</v>
      </c>
      <c r="Z58" s="490">
        <f t="shared" si="24"/>
        <v>32282.479999999996</v>
      </c>
      <c r="AA58" s="490">
        <f t="shared" si="25"/>
        <v>41649.479999999996</v>
      </c>
      <c r="AB58" s="491"/>
      <c r="AC58" s="491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s="88" customFormat="1" x14ac:dyDescent="0.25">
      <c r="A59" s="9"/>
      <c r="B59" s="9"/>
      <c r="C59" s="9"/>
      <c r="D59" s="487" t="str">
        <f t="shared" si="7"/>
        <v>Hudson View Park</v>
      </c>
      <c r="E59" s="488" t="s">
        <v>37</v>
      </c>
      <c r="F59" s="488"/>
      <c r="G59" s="443" t="s">
        <v>1522</v>
      </c>
      <c r="H59" s="444">
        <f>SUMIFS('HVP T12'!C:C,'HVP T12'!$B:$B,'P&amp;Ls Detailed'!$G59)</f>
        <v>5960.95</v>
      </c>
      <c r="I59" s="444">
        <f>SUMIFS('HVP T12'!D:D,'HVP T12'!$B:$B,'P&amp;Ls Detailed'!$G59)</f>
        <v>5960.95</v>
      </c>
      <c r="J59" s="444">
        <f>SUMIFS('HVP T12'!E:E,'HVP T12'!$B:$B,'P&amp;Ls Detailed'!$G59)</f>
        <v>5960.95</v>
      </c>
      <c r="K59" s="444">
        <f>SUMIFS('HVP T12'!F:F,'HVP T12'!$B:$B,'P&amp;Ls Detailed'!$G59)</f>
        <v>5960.95</v>
      </c>
      <c r="L59" s="444">
        <f>SUMIFS('HVP T12'!G:G,'HVP T12'!$B:$B,'P&amp;Ls Detailed'!$G59)</f>
        <v>5960.95</v>
      </c>
      <c r="M59" s="444">
        <f>SUMIFS('HVP T12'!H:H,'HVP T12'!$B:$B,'P&amp;Ls Detailed'!$G59)</f>
        <v>5960.95</v>
      </c>
      <c r="N59" s="444">
        <f>SUMIFS('HVP T12'!I:I,'HVP T12'!$B:$B,'P&amp;Ls Detailed'!$G59)</f>
        <v>5960.95</v>
      </c>
      <c r="O59" s="444">
        <f>SUMIFS('HVP T12'!J:J,'HVP T12'!$B:$B,'P&amp;Ls Detailed'!$G59)</f>
        <v>25729.95</v>
      </c>
      <c r="P59" s="444">
        <f>SUMIFS('HVP T12'!K:K,'HVP T12'!$B:$B,'P&amp;Ls Detailed'!$G59)</f>
        <v>7608.33</v>
      </c>
      <c r="Q59" s="444">
        <f>SUMIFS('HVP T12'!L:L,'HVP T12'!$B:$B,'P&amp;Ls Detailed'!$G59)</f>
        <v>7608.33</v>
      </c>
      <c r="R59" s="444">
        <f>SUMIFS('HVP T12'!M:M,'HVP T12'!$B:$B,'P&amp;Ls Detailed'!$G59)</f>
        <v>7608.33</v>
      </c>
      <c r="S59" s="444">
        <f>SUMIFS('HVP T12'!N:N,'HVP T12'!$B:$B,'P&amp;Ls Detailed'!$G59)</f>
        <v>7608.33</v>
      </c>
      <c r="T59" s="697"/>
      <c r="U59" s="444"/>
      <c r="V59" s="698"/>
      <c r="W59" s="489">
        <f t="shared" si="21"/>
        <v>97889.919999999998</v>
      </c>
      <c r="X59" s="490">
        <f t="shared" si="22"/>
        <v>106676.09333333334</v>
      </c>
      <c r="Y59" s="490">
        <f t="shared" si="23"/>
        <v>124248.44000000003</v>
      </c>
      <c r="Z59" s="490">
        <f t="shared" si="24"/>
        <v>91299.959999999992</v>
      </c>
      <c r="AA59" s="490">
        <f t="shared" si="25"/>
        <v>91299.959999999992</v>
      </c>
      <c r="AB59" s="491"/>
      <c r="AC59" s="491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s="88" customFormat="1" x14ac:dyDescent="0.25">
      <c r="A60" s="9"/>
      <c r="B60" s="9"/>
      <c r="C60" s="9"/>
      <c r="D60" s="487" t="str">
        <f t="shared" si="7"/>
        <v>Hudson View Park</v>
      </c>
      <c r="E60" s="488" t="s">
        <v>37</v>
      </c>
      <c r="F60" s="488"/>
      <c r="G60" s="443" t="s">
        <v>1524</v>
      </c>
      <c r="H60" s="444">
        <f>SUMIFS('HVP T12'!C:C,'HVP T12'!$B:$B,'P&amp;Ls Detailed'!$G60)</f>
        <v>2084.25</v>
      </c>
      <c r="I60" s="444">
        <f>SUMIFS('HVP T12'!D:D,'HVP T12'!$B:$B,'P&amp;Ls Detailed'!$G60)</f>
        <v>2084.25</v>
      </c>
      <c r="J60" s="444">
        <f>SUMIFS('HVP T12'!E:E,'HVP T12'!$B:$B,'P&amp;Ls Detailed'!$G60)</f>
        <v>2084.25</v>
      </c>
      <c r="K60" s="444">
        <f>SUMIFS('HVP T12'!F:F,'HVP T12'!$B:$B,'P&amp;Ls Detailed'!$G60)</f>
        <v>2084.25</v>
      </c>
      <c r="L60" s="444">
        <f>SUMIFS('HVP T12'!G:G,'HVP T12'!$B:$B,'P&amp;Ls Detailed'!$G60)</f>
        <v>2084.25</v>
      </c>
      <c r="M60" s="444">
        <f>SUMIFS('HVP T12'!H:H,'HVP T12'!$B:$B,'P&amp;Ls Detailed'!$G60)</f>
        <v>2084.25</v>
      </c>
      <c r="N60" s="444">
        <f>SUMIFS('HVP T12'!I:I,'HVP T12'!$B:$B,'P&amp;Ls Detailed'!$G60)</f>
        <v>2084.25</v>
      </c>
      <c r="O60" s="444">
        <f>SUMIFS('HVP T12'!J:J,'HVP T12'!$B:$B,'P&amp;Ls Detailed'!$G60)</f>
        <v>-22926.75</v>
      </c>
      <c r="P60" s="444">
        <f>SUMIFS('HVP T12'!K:K,'HVP T12'!$B:$B,'P&amp;Ls Detailed'!$G60)</f>
        <v>0</v>
      </c>
      <c r="Q60" s="444">
        <f>SUMIFS('HVP T12'!L:L,'HVP T12'!$B:$B,'P&amp;Ls Detailed'!$G60)</f>
        <v>0</v>
      </c>
      <c r="R60" s="444">
        <f>SUMIFS('HVP T12'!M:M,'HVP T12'!$B:$B,'P&amp;Ls Detailed'!$G60)</f>
        <v>0</v>
      </c>
      <c r="S60" s="444">
        <f>SUMIFS('HVP T12'!N:N,'HVP T12'!$B:$B,'P&amp;Ls Detailed'!$G60)</f>
        <v>0</v>
      </c>
      <c r="T60" s="697"/>
      <c r="U60" s="444"/>
      <c r="V60" s="698"/>
      <c r="W60" s="489">
        <f t="shared" si="21"/>
        <v>-8337</v>
      </c>
      <c r="X60" s="490">
        <f t="shared" si="22"/>
        <v>-19453</v>
      </c>
      <c r="Y60" s="490">
        <f t="shared" si="23"/>
        <v>-41685</v>
      </c>
      <c r="Z60" s="490">
        <f t="shared" si="24"/>
        <v>0</v>
      </c>
      <c r="AA60" s="490">
        <f t="shared" si="25"/>
        <v>0</v>
      </c>
      <c r="AB60" s="491"/>
      <c r="AC60" s="491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s="88" customFormat="1" x14ac:dyDescent="0.25">
      <c r="A61" s="9"/>
      <c r="B61" s="9"/>
      <c r="C61" s="9"/>
      <c r="D61" s="487" t="str">
        <f t="shared" si="7"/>
        <v>Hudson View Park</v>
      </c>
      <c r="E61" s="488"/>
      <c r="F61" s="488"/>
      <c r="G61" s="446" t="s">
        <v>1525</v>
      </c>
      <c r="H61" s="447">
        <f t="shared" ref="H61:W61" si="26">SUM(H48:H60)</f>
        <v>105727.21000000002</v>
      </c>
      <c r="I61" s="447">
        <f t="shared" si="26"/>
        <v>114841.33</v>
      </c>
      <c r="J61" s="447">
        <f t="shared" si="26"/>
        <v>102318.29000000002</v>
      </c>
      <c r="K61" s="447">
        <f t="shared" si="26"/>
        <v>145161.48000000001</v>
      </c>
      <c r="L61" s="447">
        <f t="shared" si="26"/>
        <v>100560.77</v>
      </c>
      <c r="M61" s="447">
        <f t="shared" si="26"/>
        <v>100871.54999999999</v>
      </c>
      <c r="N61" s="447">
        <f t="shared" si="26"/>
        <v>101075.65999999999</v>
      </c>
      <c r="O61" s="447">
        <f t="shared" si="26"/>
        <v>143541.83000000002</v>
      </c>
      <c r="P61" s="447">
        <f t="shared" si="26"/>
        <v>144651.97999999998</v>
      </c>
      <c r="Q61" s="447">
        <f t="shared" si="26"/>
        <v>114657.22999999998</v>
      </c>
      <c r="R61" s="447">
        <f t="shared" si="26"/>
        <v>103211.86000000002</v>
      </c>
      <c r="S61" s="447">
        <f t="shared" si="26"/>
        <v>104471.29</v>
      </c>
      <c r="T61" s="628"/>
      <c r="U61" s="447"/>
      <c r="V61" s="699"/>
      <c r="W61" s="567">
        <f t="shared" si="26"/>
        <v>1381090.4799999997</v>
      </c>
      <c r="X61" s="497">
        <f t="shared" si="22"/>
        <v>1410938.1999999997</v>
      </c>
      <c r="Y61" s="497">
        <f t="shared" si="23"/>
        <v>1423219.7</v>
      </c>
      <c r="Z61" s="497">
        <f t="shared" si="24"/>
        <v>1289361.52</v>
      </c>
      <c r="AA61" s="497">
        <f t="shared" si="25"/>
        <v>1253655.48</v>
      </c>
      <c r="AB61" s="491"/>
      <c r="AC61" s="491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s="88" customFormat="1" x14ac:dyDescent="0.25">
      <c r="A62" s="9"/>
      <c r="B62" s="9"/>
      <c r="C62" s="9"/>
      <c r="D62" s="487" t="str">
        <f t="shared" si="7"/>
        <v>Hudson View Park</v>
      </c>
      <c r="E62" s="488"/>
      <c r="F62" s="488"/>
      <c r="G62" s="221"/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697"/>
      <c r="U62" s="444"/>
      <c r="V62" s="698"/>
      <c r="W62" s="489"/>
      <c r="X62" s="490"/>
      <c r="Y62" s="490"/>
      <c r="Z62" s="490"/>
      <c r="AA62" s="490"/>
      <c r="AB62" s="491"/>
      <c r="AC62" s="491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s="88" customFormat="1" x14ac:dyDescent="0.25">
      <c r="A63" s="9"/>
      <c r="B63" s="9"/>
      <c r="C63" s="9"/>
      <c r="D63" s="487" t="str">
        <f t="shared" si="7"/>
        <v>Hudson View Park</v>
      </c>
      <c r="E63" s="488"/>
      <c r="F63" s="488"/>
      <c r="G63" s="456" t="s">
        <v>1526</v>
      </c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697"/>
      <c r="U63" s="444"/>
      <c r="V63" s="698"/>
      <c r="W63" s="489"/>
      <c r="X63" s="490"/>
      <c r="Y63" s="490"/>
      <c r="Z63" s="490"/>
      <c r="AA63" s="490"/>
      <c r="AB63" s="491"/>
      <c r="AC63" s="491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s="88" customFormat="1" x14ac:dyDescent="0.25">
      <c r="A64" s="9"/>
      <c r="B64" s="9"/>
      <c r="C64" s="9"/>
      <c r="D64" s="487" t="str">
        <f t="shared" si="7"/>
        <v>Hudson View Park</v>
      </c>
      <c r="E64" s="488" t="s">
        <v>41</v>
      </c>
      <c r="F64" s="488"/>
      <c r="G64" s="443" t="s">
        <v>1528</v>
      </c>
      <c r="H64" s="444">
        <f>SUMIFS('HVP T12'!C:C,'HVP T12'!$B:$B,'P&amp;Ls Detailed'!$G64)</f>
        <v>4605.79</v>
      </c>
      <c r="I64" s="444">
        <f>SUMIFS('HVP T12'!D:D,'HVP T12'!$B:$B,'P&amp;Ls Detailed'!$G64)</f>
        <v>8797.19</v>
      </c>
      <c r="J64" s="444">
        <f>SUMIFS('HVP T12'!E:E,'HVP T12'!$B:$B,'P&amp;Ls Detailed'!$G64)</f>
        <v>5660.9</v>
      </c>
      <c r="K64" s="444">
        <f>SUMIFS('HVP T12'!F:F,'HVP T12'!$B:$B,'P&amp;Ls Detailed'!$G64)</f>
        <v>9728.69</v>
      </c>
      <c r="L64" s="444">
        <f>SUMIFS('HVP T12'!G:G,'HVP T12'!$B:$B,'P&amp;Ls Detailed'!$G64)</f>
        <v>5202.54</v>
      </c>
      <c r="M64" s="444">
        <f>SUMIFS('HVP T12'!H:H,'HVP T12'!$B:$B,'P&amp;Ls Detailed'!$G64)</f>
        <v>9532.74</v>
      </c>
      <c r="N64" s="444">
        <f>SUMIFS('HVP T12'!I:I,'HVP T12'!$B:$B,'P&amp;Ls Detailed'!$G64)</f>
        <v>8719.3700000000008</v>
      </c>
      <c r="O64" s="444">
        <f>SUMIFS('HVP T12'!J:J,'HVP T12'!$B:$B,'P&amp;Ls Detailed'!$G64)</f>
        <v>1538.73</v>
      </c>
      <c r="P64" s="444">
        <f>SUMIFS('HVP T12'!K:K,'HVP T12'!$B:$B,'P&amp;Ls Detailed'!$G64)</f>
        <v>2732.69</v>
      </c>
      <c r="Q64" s="444">
        <f>SUMIFS('HVP T12'!L:L,'HVP T12'!$B:$B,'P&amp;Ls Detailed'!$G64)</f>
        <v>8086.16</v>
      </c>
      <c r="R64" s="444">
        <f>SUMIFS('HVP T12'!M:M,'HVP T12'!$B:$B,'P&amp;Ls Detailed'!$G64)</f>
        <v>8080.73</v>
      </c>
      <c r="S64" s="444">
        <f>SUMIFS('HVP T12'!N:N,'HVP T12'!$B:$B,'P&amp;Ls Detailed'!$G64)</f>
        <v>6946.96</v>
      </c>
      <c r="T64" s="697"/>
      <c r="U64" s="444"/>
      <c r="V64" s="698"/>
      <c r="W64" s="489">
        <f t="shared" ref="W64:W80" si="27">SUM(H64:S64)</f>
        <v>79632.490000000005</v>
      </c>
      <c r="X64" s="490">
        <f t="shared" ref="X64:X81" si="28">SUM(K64:S64)/9*12</f>
        <v>80758.146666666682</v>
      </c>
      <c r="Y64" s="490">
        <f t="shared" ref="Y64:Y81" si="29">SUM(N64:S64)/6*12</f>
        <v>72209.279999999999</v>
      </c>
      <c r="Z64" s="490">
        <f t="shared" ref="Z64:Z81" si="30">SUM(Q64:S64)/3*12</f>
        <v>92455.4</v>
      </c>
      <c r="AA64" s="490">
        <f t="shared" ref="AA64:AA81" si="31">S64*12</f>
        <v>83363.520000000004</v>
      </c>
      <c r="AB64" s="491"/>
      <c r="AC64" s="491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s="88" customFormat="1" x14ac:dyDescent="0.25">
      <c r="A65" s="9"/>
      <c r="B65" s="9"/>
      <c r="C65" s="9"/>
      <c r="D65" s="487" t="str">
        <f t="shared" si="7"/>
        <v>Hudson View Park</v>
      </c>
      <c r="E65" s="488" t="s">
        <v>41</v>
      </c>
      <c r="F65" s="488"/>
      <c r="G65" s="443" t="s">
        <v>1530</v>
      </c>
      <c r="H65" s="444">
        <f>SUMIFS('HVP T12'!C:C,'HVP T12'!$B:$B,'P&amp;Ls Detailed'!$G65)</f>
        <v>1970.71</v>
      </c>
      <c r="I65" s="444">
        <f>SUMIFS('HVP T12'!D:D,'HVP T12'!$B:$B,'P&amp;Ls Detailed'!$G65)</f>
        <v>1198.6400000000001</v>
      </c>
      <c r="J65" s="444">
        <f>SUMIFS('HVP T12'!E:E,'HVP T12'!$B:$B,'P&amp;Ls Detailed'!$G65)</f>
        <v>1867.17</v>
      </c>
      <c r="K65" s="444">
        <f>SUMIFS('HVP T12'!F:F,'HVP T12'!$B:$B,'P&amp;Ls Detailed'!$G65)</f>
        <v>897.72</v>
      </c>
      <c r="L65" s="444">
        <f>SUMIFS('HVP T12'!G:G,'HVP T12'!$B:$B,'P&amp;Ls Detailed'!$G65)</f>
        <v>2221.75</v>
      </c>
      <c r="M65" s="444">
        <f>SUMIFS('HVP T12'!H:H,'HVP T12'!$B:$B,'P&amp;Ls Detailed'!$G65)</f>
        <v>1336.86</v>
      </c>
      <c r="N65" s="444">
        <f>SUMIFS('HVP T12'!I:I,'HVP T12'!$B:$B,'P&amp;Ls Detailed'!$G65)</f>
        <v>844.23</v>
      </c>
      <c r="O65" s="444">
        <f>SUMIFS('HVP T12'!J:J,'HVP T12'!$B:$B,'P&amp;Ls Detailed'!$G65)</f>
        <v>1553.86</v>
      </c>
      <c r="P65" s="444">
        <f>SUMIFS('HVP T12'!K:K,'HVP T12'!$B:$B,'P&amp;Ls Detailed'!$G65)</f>
        <v>2109.11</v>
      </c>
      <c r="Q65" s="444">
        <f>SUMIFS('HVP T12'!L:L,'HVP T12'!$B:$B,'P&amp;Ls Detailed'!$G65)</f>
        <v>102.49</v>
      </c>
      <c r="R65" s="444">
        <f>SUMIFS('HVP T12'!M:M,'HVP T12'!$B:$B,'P&amp;Ls Detailed'!$G65)</f>
        <v>1214.51</v>
      </c>
      <c r="S65" s="444">
        <f>SUMIFS('HVP T12'!N:N,'HVP T12'!$B:$B,'P&amp;Ls Detailed'!$G65)</f>
        <v>637.96</v>
      </c>
      <c r="T65" s="697"/>
      <c r="U65" s="444"/>
      <c r="V65" s="698"/>
      <c r="W65" s="489">
        <f t="shared" si="27"/>
        <v>15955.010000000002</v>
      </c>
      <c r="X65" s="490">
        <f t="shared" si="28"/>
        <v>14557.986666666664</v>
      </c>
      <c r="Y65" s="490">
        <f t="shared" si="29"/>
        <v>12924.320000000003</v>
      </c>
      <c r="Z65" s="490">
        <f t="shared" si="30"/>
        <v>7819.84</v>
      </c>
      <c r="AA65" s="490">
        <f t="shared" si="31"/>
        <v>7655.52</v>
      </c>
      <c r="AB65" s="491"/>
      <c r="AC65" s="491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s="88" customFormat="1" x14ac:dyDescent="0.25">
      <c r="A66" s="9"/>
      <c r="B66" s="9"/>
      <c r="C66" s="9"/>
      <c r="D66" s="487" t="str">
        <f t="shared" si="7"/>
        <v>Hudson View Park</v>
      </c>
      <c r="E66" s="488" t="s">
        <v>41</v>
      </c>
      <c r="F66" s="488"/>
      <c r="G66" s="443" t="s">
        <v>1532</v>
      </c>
      <c r="H66" s="444">
        <f>SUMIFS('HVP T12'!C:C,'HVP T12'!$B:$B,'P&amp;Ls Detailed'!$G66)</f>
        <v>4217.4399999999996</v>
      </c>
      <c r="I66" s="444">
        <f>SUMIFS('HVP T12'!D:D,'HVP T12'!$B:$B,'P&amp;Ls Detailed'!$G66)</f>
        <v>1840.05</v>
      </c>
      <c r="J66" s="444">
        <f>SUMIFS('HVP T12'!E:E,'HVP T12'!$B:$B,'P&amp;Ls Detailed'!$G66)</f>
        <v>2679.7</v>
      </c>
      <c r="K66" s="444">
        <f>SUMIFS('HVP T12'!F:F,'HVP T12'!$B:$B,'P&amp;Ls Detailed'!$G66)</f>
        <v>9050.4599999999991</v>
      </c>
      <c r="L66" s="444">
        <f>SUMIFS('HVP T12'!G:G,'HVP T12'!$B:$B,'P&amp;Ls Detailed'!$G66)</f>
        <v>2772.46</v>
      </c>
      <c r="M66" s="444">
        <f>SUMIFS('HVP T12'!H:H,'HVP T12'!$B:$B,'P&amp;Ls Detailed'!$G66)</f>
        <v>5378.36</v>
      </c>
      <c r="N66" s="444">
        <f>SUMIFS('HVP T12'!I:I,'HVP T12'!$B:$B,'P&amp;Ls Detailed'!$G66)</f>
        <v>11639.93</v>
      </c>
      <c r="O66" s="444">
        <f>SUMIFS('HVP T12'!J:J,'HVP T12'!$B:$B,'P&amp;Ls Detailed'!$G66)</f>
        <v>4694.47</v>
      </c>
      <c r="P66" s="444">
        <f>SUMIFS('HVP T12'!K:K,'HVP T12'!$B:$B,'P&amp;Ls Detailed'!$G66)</f>
        <v>1247.98</v>
      </c>
      <c r="Q66" s="444">
        <f>SUMIFS('HVP T12'!L:L,'HVP T12'!$B:$B,'P&amp;Ls Detailed'!$G66)</f>
        <v>1004.22</v>
      </c>
      <c r="R66" s="444">
        <f>SUMIFS('HVP T12'!M:M,'HVP T12'!$B:$B,'P&amp;Ls Detailed'!$G66)</f>
        <v>2422.58</v>
      </c>
      <c r="S66" s="444">
        <f>SUMIFS('HVP T12'!N:N,'HVP T12'!$B:$B,'P&amp;Ls Detailed'!$G66)</f>
        <v>4467.62</v>
      </c>
      <c r="T66" s="697"/>
      <c r="U66" s="444"/>
      <c r="V66" s="698"/>
      <c r="W66" s="489">
        <f t="shared" si="27"/>
        <v>51415.270000000004</v>
      </c>
      <c r="X66" s="490">
        <f t="shared" si="28"/>
        <v>56904.106666666674</v>
      </c>
      <c r="Y66" s="490">
        <f t="shared" si="29"/>
        <v>50953.599999999999</v>
      </c>
      <c r="Z66" s="490">
        <f t="shared" si="30"/>
        <v>31577.68</v>
      </c>
      <c r="AA66" s="490">
        <f t="shared" si="31"/>
        <v>53611.44</v>
      </c>
      <c r="AB66" s="491"/>
      <c r="AC66" s="491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s="88" customFormat="1" x14ac:dyDescent="0.25">
      <c r="A67" s="9"/>
      <c r="B67" s="9"/>
      <c r="C67" s="9"/>
      <c r="D67" s="487" t="str">
        <f t="shared" si="7"/>
        <v>Hudson View Park</v>
      </c>
      <c r="E67" s="488" t="s">
        <v>41</v>
      </c>
      <c r="F67" s="488"/>
      <c r="G67" s="443" t="s">
        <v>1534</v>
      </c>
      <c r="H67" s="444">
        <f>SUMIFS('HVP T12'!C:C,'HVP T12'!$B:$B,'P&amp;Ls Detailed'!$G67)</f>
        <v>3013.15</v>
      </c>
      <c r="I67" s="444">
        <f>SUMIFS('HVP T12'!D:D,'HVP T12'!$B:$B,'P&amp;Ls Detailed'!$G67)</f>
        <v>2100.41</v>
      </c>
      <c r="J67" s="444">
        <f>SUMIFS('HVP T12'!E:E,'HVP T12'!$B:$B,'P&amp;Ls Detailed'!$G67)</f>
        <v>1257.79</v>
      </c>
      <c r="K67" s="444">
        <f>SUMIFS('HVP T12'!F:F,'HVP T12'!$B:$B,'P&amp;Ls Detailed'!$G67)</f>
        <v>4593.3999999999996</v>
      </c>
      <c r="L67" s="444">
        <f>SUMIFS('HVP T12'!G:G,'HVP T12'!$B:$B,'P&amp;Ls Detailed'!$G67)</f>
        <v>4024.39</v>
      </c>
      <c r="M67" s="444">
        <f>SUMIFS('HVP T12'!H:H,'HVP T12'!$B:$B,'P&amp;Ls Detailed'!$G67)</f>
        <v>3587.81</v>
      </c>
      <c r="N67" s="444">
        <f>SUMIFS('HVP T12'!I:I,'HVP T12'!$B:$B,'P&amp;Ls Detailed'!$G67)</f>
        <v>1647.86</v>
      </c>
      <c r="O67" s="444">
        <f>SUMIFS('HVP T12'!J:J,'HVP T12'!$B:$B,'P&amp;Ls Detailed'!$G67)</f>
        <v>817.87</v>
      </c>
      <c r="P67" s="444">
        <f>SUMIFS('HVP T12'!K:K,'HVP T12'!$B:$B,'P&amp;Ls Detailed'!$G67)</f>
        <v>1940.91</v>
      </c>
      <c r="Q67" s="444">
        <f>SUMIFS('HVP T12'!L:L,'HVP T12'!$B:$B,'P&amp;Ls Detailed'!$G67)</f>
        <v>5061.12</v>
      </c>
      <c r="R67" s="444">
        <f>SUMIFS('HVP T12'!M:M,'HVP T12'!$B:$B,'P&amp;Ls Detailed'!$G67)</f>
        <v>748.69</v>
      </c>
      <c r="S67" s="444">
        <f>SUMIFS('HVP T12'!N:N,'HVP T12'!$B:$B,'P&amp;Ls Detailed'!$G67)</f>
        <v>612.75</v>
      </c>
      <c r="T67" s="697"/>
      <c r="U67" s="444"/>
      <c r="V67" s="698"/>
      <c r="W67" s="489">
        <f t="shared" si="27"/>
        <v>29406.149999999998</v>
      </c>
      <c r="X67" s="490">
        <f t="shared" si="28"/>
        <v>30713.066666666666</v>
      </c>
      <c r="Y67" s="490">
        <f t="shared" si="29"/>
        <v>21658.400000000001</v>
      </c>
      <c r="Z67" s="490">
        <f t="shared" si="30"/>
        <v>25690.239999999998</v>
      </c>
      <c r="AA67" s="490">
        <f t="shared" si="31"/>
        <v>7353</v>
      </c>
      <c r="AB67" s="491"/>
      <c r="AC67" s="491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s="88" customFormat="1" x14ac:dyDescent="0.25">
      <c r="A68" s="9"/>
      <c r="B68" s="9"/>
      <c r="C68" s="9"/>
      <c r="D68" s="487" t="str">
        <f t="shared" si="7"/>
        <v>Hudson View Park</v>
      </c>
      <c r="E68" s="488" t="s">
        <v>41</v>
      </c>
      <c r="F68" s="488"/>
      <c r="G68" s="443" t="s">
        <v>1536</v>
      </c>
      <c r="H68" s="444">
        <f>SUMIFS('HVP T12'!C:C,'HVP T12'!$B:$B,'P&amp;Ls Detailed'!$G68)</f>
        <v>6764.01</v>
      </c>
      <c r="I68" s="444">
        <f>SUMIFS('HVP T12'!D:D,'HVP T12'!$B:$B,'P&amp;Ls Detailed'!$G68)</f>
        <v>8709.75</v>
      </c>
      <c r="J68" s="444">
        <f>SUMIFS('HVP T12'!E:E,'HVP T12'!$B:$B,'P&amp;Ls Detailed'!$G68)</f>
        <v>5958.33</v>
      </c>
      <c r="K68" s="444">
        <f>SUMIFS('HVP T12'!F:F,'HVP T12'!$B:$B,'P&amp;Ls Detailed'!$G68)</f>
        <v>14893.49</v>
      </c>
      <c r="L68" s="444">
        <f>SUMIFS('HVP T12'!G:G,'HVP T12'!$B:$B,'P&amp;Ls Detailed'!$G68)</f>
        <v>6358.35</v>
      </c>
      <c r="M68" s="444">
        <f>SUMIFS('HVP T12'!H:H,'HVP T12'!$B:$B,'P&amp;Ls Detailed'!$G68)</f>
        <v>10814.8</v>
      </c>
      <c r="N68" s="444">
        <f>SUMIFS('HVP T12'!I:I,'HVP T12'!$B:$B,'P&amp;Ls Detailed'!$G68)</f>
        <v>8603.67</v>
      </c>
      <c r="O68" s="444">
        <f>SUMIFS('HVP T12'!J:J,'HVP T12'!$B:$B,'P&amp;Ls Detailed'!$G68)</f>
        <v>13815.98</v>
      </c>
      <c r="P68" s="444">
        <f>SUMIFS('HVP T12'!K:K,'HVP T12'!$B:$B,'P&amp;Ls Detailed'!$G68)</f>
        <v>11616.19</v>
      </c>
      <c r="Q68" s="444">
        <f>SUMIFS('HVP T12'!L:L,'HVP T12'!$B:$B,'P&amp;Ls Detailed'!$G68)</f>
        <v>6051.79</v>
      </c>
      <c r="R68" s="444">
        <f>SUMIFS('HVP T12'!M:M,'HVP T12'!$B:$B,'P&amp;Ls Detailed'!$G68)</f>
        <v>6286.6</v>
      </c>
      <c r="S68" s="444">
        <f>SUMIFS('HVP T12'!N:N,'HVP T12'!$B:$B,'P&amp;Ls Detailed'!$G68)</f>
        <v>9831.3799999999992</v>
      </c>
      <c r="T68" s="697"/>
      <c r="U68" s="444"/>
      <c r="V68" s="698"/>
      <c r="W68" s="489">
        <f t="shared" si="27"/>
        <v>109704.34</v>
      </c>
      <c r="X68" s="490">
        <f t="shared" si="28"/>
        <v>117696.33333333333</v>
      </c>
      <c r="Y68" s="490">
        <f t="shared" si="29"/>
        <v>112411.22</v>
      </c>
      <c r="Z68" s="490">
        <f t="shared" si="30"/>
        <v>88679.079999999987</v>
      </c>
      <c r="AA68" s="490">
        <f t="shared" si="31"/>
        <v>117976.56</v>
      </c>
      <c r="AB68" s="491"/>
      <c r="AC68" s="491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s="88" customFormat="1" x14ac:dyDescent="0.25">
      <c r="A69" s="9"/>
      <c r="B69" s="9"/>
      <c r="C69" s="9"/>
      <c r="D69" s="487" t="str">
        <f t="shared" si="7"/>
        <v>Hudson View Park</v>
      </c>
      <c r="E69" s="488" t="s">
        <v>41</v>
      </c>
      <c r="F69" s="488"/>
      <c r="G69" s="443" t="s">
        <v>1538</v>
      </c>
      <c r="H69" s="444">
        <f>SUMIFS('HVP T12'!C:C,'HVP T12'!$B:$B,'P&amp;Ls Detailed'!$G69)</f>
        <v>7517.57</v>
      </c>
      <c r="I69" s="444">
        <f>SUMIFS('HVP T12'!D:D,'HVP T12'!$B:$B,'P&amp;Ls Detailed'!$G69)</f>
        <v>9005.9699999999993</v>
      </c>
      <c r="J69" s="444">
        <f>SUMIFS('HVP T12'!E:E,'HVP T12'!$B:$B,'P&amp;Ls Detailed'!$G69)</f>
        <v>9409.9599999999991</v>
      </c>
      <c r="K69" s="444">
        <f>SUMIFS('HVP T12'!F:F,'HVP T12'!$B:$B,'P&amp;Ls Detailed'!$G69)</f>
        <v>7408.45</v>
      </c>
      <c r="L69" s="444">
        <f>SUMIFS('HVP T12'!G:G,'HVP T12'!$B:$B,'P&amp;Ls Detailed'!$G69)</f>
        <v>8039.33</v>
      </c>
      <c r="M69" s="444">
        <f>SUMIFS('HVP T12'!H:H,'HVP T12'!$B:$B,'P&amp;Ls Detailed'!$G69)</f>
        <v>10615.19</v>
      </c>
      <c r="N69" s="444">
        <f>SUMIFS('HVP T12'!I:I,'HVP T12'!$B:$B,'P&amp;Ls Detailed'!$G69)</f>
        <v>7524.24</v>
      </c>
      <c r="O69" s="444">
        <f>SUMIFS('HVP T12'!J:J,'HVP T12'!$B:$B,'P&amp;Ls Detailed'!$G69)</f>
        <v>7302</v>
      </c>
      <c r="P69" s="444">
        <f>SUMIFS('HVP T12'!K:K,'HVP T12'!$B:$B,'P&amp;Ls Detailed'!$G69)</f>
        <v>6554.21</v>
      </c>
      <c r="Q69" s="444">
        <f>SUMIFS('HVP T12'!L:L,'HVP T12'!$B:$B,'P&amp;Ls Detailed'!$G69)</f>
        <v>7726.46</v>
      </c>
      <c r="R69" s="444">
        <f>SUMIFS('HVP T12'!M:M,'HVP T12'!$B:$B,'P&amp;Ls Detailed'!$G69)</f>
        <v>6878.72</v>
      </c>
      <c r="S69" s="444">
        <f>SUMIFS('HVP T12'!N:N,'HVP T12'!$B:$B,'P&amp;Ls Detailed'!$G69)</f>
        <v>6579.1</v>
      </c>
      <c r="T69" s="697"/>
      <c r="U69" s="444"/>
      <c r="V69" s="698"/>
      <c r="W69" s="489">
        <f t="shared" si="27"/>
        <v>94561.200000000012</v>
      </c>
      <c r="X69" s="490">
        <f t="shared" si="28"/>
        <v>91503.599999999991</v>
      </c>
      <c r="Y69" s="490">
        <f t="shared" si="29"/>
        <v>85129.459999999992</v>
      </c>
      <c r="Z69" s="490">
        <f t="shared" si="30"/>
        <v>84737.12</v>
      </c>
      <c r="AA69" s="490">
        <f t="shared" si="31"/>
        <v>78949.200000000012</v>
      </c>
      <c r="AB69" s="491"/>
      <c r="AC69" s="491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s="88" customFormat="1" x14ac:dyDescent="0.25">
      <c r="A70" s="9"/>
      <c r="B70" s="9"/>
      <c r="C70" s="9"/>
      <c r="D70" s="487" t="str">
        <f t="shared" si="7"/>
        <v>Hudson View Park</v>
      </c>
      <c r="E70" s="488" t="s">
        <v>41</v>
      </c>
      <c r="F70" s="488"/>
      <c r="G70" s="443" t="s">
        <v>1540</v>
      </c>
      <c r="H70" s="444">
        <f>SUMIFS('HVP T12'!C:C,'HVP T12'!$B:$B,'P&amp;Ls Detailed'!$G70)</f>
        <v>2711.69</v>
      </c>
      <c r="I70" s="444">
        <f>SUMIFS('HVP T12'!D:D,'HVP T12'!$B:$B,'P&amp;Ls Detailed'!$G70)</f>
        <v>950.42</v>
      </c>
      <c r="J70" s="444">
        <f>SUMIFS('HVP T12'!E:E,'HVP T12'!$B:$B,'P&amp;Ls Detailed'!$G70)</f>
        <v>106.86</v>
      </c>
      <c r="K70" s="444">
        <f>SUMIFS('HVP T12'!F:F,'HVP T12'!$B:$B,'P&amp;Ls Detailed'!$G70)</f>
        <v>177.81</v>
      </c>
      <c r="L70" s="444">
        <f>SUMIFS('HVP T12'!G:G,'HVP T12'!$B:$B,'P&amp;Ls Detailed'!$G70)</f>
        <v>0</v>
      </c>
      <c r="M70" s="444">
        <f>SUMIFS('HVP T12'!H:H,'HVP T12'!$B:$B,'P&amp;Ls Detailed'!$G70)</f>
        <v>0</v>
      </c>
      <c r="N70" s="444">
        <f>SUMIFS('HVP T12'!I:I,'HVP T12'!$B:$B,'P&amp;Ls Detailed'!$G70)</f>
        <v>0</v>
      </c>
      <c r="O70" s="444">
        <f>SUMIFS('HVP T12'!J:J,'HVP T12'!$B:$B,'P&amp;Ls Detailed'!$G70)</f>
        <v>0</v>
      </c>
      <c r="P70" s="444">
        <f>SUMIFS('HVP T12'!K:K,'HVP T12'!$B:$B,'P&amp;Ls Detailed'!$G70)</f>
        <v>328</v>
      </c>
      <c r="Q70" s="444">
        <f>SUMIFS('HVP T12'!L:L,'HVP T12'!$B:$B,'P&amp;Ls Detailed'!$G70)</f>
        <v>0</v>
      </c>
      <c r="R70" s="444">
        <f>SUMIFS('HVP T12'!M:M,'HVP T12'!$B:$B,'P&amp;Ls Detailed'!$G70)</f>
        <v>0</v>
      </c>
      <c r="S70" s="444">
        <f>SUMIFS('HVP T12'!N:N,'HVP T12'!$B:$B,'P&amp;Ls Detailed'!$G70)</f>
        <v>0</v>
      </c>
      <c r="T70" s="697"/>
      <c r="U70" s="444"/>
      <c r="V70" s="698"/>
      <c r="W70" s="489">
        <f t="shared" si="27"/>
        <v>4274.7800000000007</v>
      </c>
      <c r="X70" s="490">
        <f t="shared" si="28"/>
        <v>674.4133333333333</v>
      </c>
      <c r="Y70" s="490">
        <f t="shared" si="29"/>
        <v>656</v>
      </c>
      <c r="Z70" s="490">
        <f t="shared" si="30"/>
        <v>0</v>
      </c>
      <c r="AA70" s="490">
        <f t="shared" si="31"/>
        <v>0</v>
      </c>
      <c r="AB70" s="491"/>
      <c r="AC70" s="491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s="88" customFormat="1" x14ac:dyDescent="0.25">
      <c r="A71" s="9"/>
      <c r="B71" s="9"/>
      <c r="C71" s="9"/>
      <c r="D71" s="487" t="str">
        <f t="shared" ref="D71:D129" si="32">$AB$3</f>
        <v>Hudson View Park</v>
      </c>
      <c r="E71" s="488" t="s">
        <v>41</v>
      </c>
      <c r="F71" s="488"/>
      <c r="G71" s="443" t="s">
        <v>1542</v>
      </c>
      <c r="H71" s="444">
        <f>SUMIFS('HVP T12'!C:C,'HVP T12'!$B:$B,'P&amp;Ls Detailed'!$G71)</f>
        <v>8622.5400000000009</v>
      </c>
      <c r="I71" s="444">
        <f>SUMIFS('HVP T12'!D:D,'HVP T12'!$B:$B,'P&amp;Ls Detailed'!$G71)</f>
        <v>7312.54</v>
      </c>
      <c r="J71" s="444">
        <f>SUMIFS('HVP T12'!E:E,'HVP T12'!$B:$B,'P&amp;Ls Detailed'!$G71)</f>
        <v>7312.54</v>
      </c>
      <c r="K71" s="444">
        <f>SUMIFS('HVP T12'!F:F,'HVP T12'!$B:$B,'P&amp;Ls Detailed'!$G71)</f>
        <v>7312.54</v>
      </c>
      <c r="L71" s="444">
        <f>SUMIFS('HVP T12'!G:G,'HVP T12'!$B:$B,'P&amp;Ls Detailed'!$G71)</f>
        <v>1828.14</v>
      </c>
      <c r="M71" s="444">
        <f>SUMIFS('HVP T12'!H:H,'HVP T12'!$B:$B,'P&amp;Ls Detailed'!$G71)</f>
        <v>0</v>
      </c>
      <c r="N71" s="444">
        <f>SUMIFS('HVP T12'!I:I,'HVP T12'!$B:$B,'P&amp;Ls Detailed'!$G71)</f>
        <v>0</v>
      </c>
      <c r="O71" s="444">
        <f>SUMIFS('HVP T12'!J:J,'HVP T12'!$B:$B,'P&amp;Ls Detailed'!$G71)</f>
        <v>0</v>
      </c>
      <c r="P71" s="444">
        <f>SUMIFS('HVP T12'!K:K,'HVP T12'!$B:$B,'P&amp;Ls Detailed'!$G71)</f>
        <v>0</v>
      </c>
      <c r="Q71" s="444">
        <f>SUMIFS('HVP T12'!L:L,'HVP T12'!$B:$B,'P&amp;Ls Detailed'!$G71)</f>
        <v>0</v>
      </c>
      <c r="R71" s="444">
        <f>SUMIFS('HVP T12'!M:M,'HVP T12'!$B:$B,'P&amp;Ls Detailed'!$G71)</f>
        <v>0</v>
      </c>
      <c r="S71" s="444">
        <f>SUMIFS('HVP T12'!N:N,'HVP T12'!$B:$B,'P&amp;Ls Detailed'!$G71)</f>
        <v>5713.27</v>
      </c>
      <c r="T71" s="697"/>
      <c r="U71" s="444"/>
      <c r="V71" s="698"/>
      <c r="W71" s="489">
        <f t="shared" si="27"/>
        <v>38101.570000000007</v>
      </c>
      <c r="X71" s="490">
        <f t="shared" si="28"/>
        <v>19805.266666666666</v>
      </c>
      <c r="Y71" s="490">
        <f t="shared" si="29"/>
        <v>11426.54</v>
      </c>
      <c r="Z71" s="490">
        <f t="shared" si="30"/>
        <v>22853.08</v>
      </c>
      <c r="AA71" s="490">
        <f t="shared" si="31"/>
        <v>68559.240000000005</v>
      </c>
      <c r="AB71" s="491"/>
      <c r="AC71" s="491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s="88" customFormat="1" x14ac:dyDescent="0.25">
      <c r="A72" s="9"/>
      <c r="B72" s="9"/>
      <c r="C72" s="9"/>
      <c r="D72" s="487" t="str">
        <f t="shared" si="32"/>
        <v>Hudson View Park</v>
      </c>
      <c r="E72" s="488" t="s">
        <v>41</v>
      </c>
      <c r="F72" s="488"/>
      <c r="G72" s="443" t="s">
        <v>1544</v>
      </c>
      <c r="H72" s="444">
        <f>SUMIFS('HVP T12'!C:C,'HVP T12'!$B:$B,'P&amp;Ls Detailed'!$G72)</f>
        <v>14340.37</v>
      </c>
      <c r="I72" s="444">
        <f>SUMIFS('HVP T12'!D:D,'HVP T12'!$B:$B,'P&amp;Ls Detailed'!$G72)</f>
        <v>1572.27</v>
      </c>
      <c r="J72" s="444">
        <f>SUMIFS('HVP T12'!E:E,'HVP T12'!$B:$B,'P&amp;Ls Detailed'!$G72)</f>
        <v>3005.59</v>
      </c>
      <c r="K72" s="444">
        <f>SUMIFS('HVP T12'!F:F,'HVP T12'!$B:$B,'P&amp;Ls Detailed'!$G72)</f>
        <v>4772.6099999999997</v>
      </c>
      <c r="L72" s="444">
        <f>SUMIFS('HVP T12'!G:G,'HVP T12'!$B:$B,'P&amp;Ls Detailed'!$G72)</f>
        <v>2940.51</v>
      </c>
      <c r="M72" s="444">
        <f>SUMIFS('HVP T12'!H:H,'HVP T12'!$B:$B,'P&amp;Ls Detailed'!$G72)</f>
        <v>8863.2199999999993</v>
      </c>
      <c r="N72" s="444">
        <f>SUMIFS('HVP T12'!I:I,'HVP T12'!$B:$B,'P&amp;Ls Detailed'!$G72)</f>
        <v>6362.8</v>
      </c>
      <c r="O72" s="444">
        <f>SUMIFS('HVP T12'!J:J,'HVP T12'!$B:$B,'P&amp;Ls Detailed'!$G72)</f>
        <v>18229.29</v>
      </c>
      <c r="P72" s="444">
        <f>SUMIFS('HVP T12'!K:K,'HVP T12'!$B:$B,'P&amp;Ls Detailed'!$G72)</f>
        <v>1279.47</v>
      </c>
      <c r="Q72" s="444">
        <f>SUMIFS('HVP T12'!L:L,'HVP T12'!$B:$B,'P&amp;Ls Detailed'!$G72)</f>
        <v>2816.14</v>
      </c>
      <c r="R72" s="444">
        <f>SUMIFS('HVP T12'!M:M,'HVP T12'!$B:$B,'P&amp;Ls Detailed'!$G72)</f>
        <v>5368.49</v>
      </c>
      <c r="S72" s="444">
        <f>SUMIFS('HVP T12'!N:N,'HVP T12'!$B:$B,'P&amp;Ls Detailed'!$G72)</f>
        <v>3126.39</v>
      </c>
      <c r="T72" s="697"/>
      <c r="U72" s="444"/>
      <c r="V72" s="698"/>
      <c r="W72" s="489">
        <f t="shared" si="27"/>
        <v>72677.150000000009</v>
      </c>
      <c r="X72" s="490">
        <f t="shared" si="28"/>
        <v>71678.559999999998</v>
      </c>
      <c r="Y72" s="490">
        <f t="shared" si="29"/>
        <v>74365.16</v>
      </c>
      <c r="Z72" s="490">
        <f t="shared" si="30"/>
        <v>45244.079999999994</v>
      </c>
      <c r="AA72" s="490">
        <f t="shared" si="31"/>
        <v>37516.68</v>
      </c>
      <c r="AB72" s="491"/>
      <c r="AC72" s="491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s="88" customFormat="1" x14ac:dyDescent="0.25">
      <c r="A73" s="9"/>
      <c r="B73" s="9"/>
      <c r="C73" s="9"/>
      <c r="D73" s="487" t="str">
        <f t="shared" si="32"/>
        <v>Hudson View Park</v>
      </c>
      <c r="E73" s="488" t="s">
        <v>9</v>
      </c>
      <c r="F73" s="488"/>
      <c r="G73" s="443" t="s">
        <v>1546</v>
      </c>
      <c r="H73" s="444">
        <f>SUMIFS('HVP T12'!C:C,'HVP T12'!$B:$B,'P&amp;Ls Detailed'!$G73)</f>
        <v>6562.65</v>
      </c>
      <c r="I73" s="444">
        <f>SUMIFS('HVP T12'!D:D,'HVP T12'!$B:$B,'P&amp;Ls Detailed'!$G73)</f>
        <v>6598.33</v>
      </c>
      <c r="J73" s="444">
        <f>SUMIFS('HVP T12'!E:E,'HVP T12'!$B:$B,'P&amp;Ls Detailed'!$G73)</f>
        <v>33514.49</v>
      </c>
      <c r="K73" s="444">
        <f>SUMIFS('HVP T12'!F:F,'HVP T12'!$B:$B,'P&amp;Ls Detailed'!$G73)</f>
        <v>31373.78</v>
      </c>
      <c r="L73" s="444">
        <f>SUMIFS('HVP T12'!G:G,'HVP T12'!$B:$B,'P&amp;Ls Detailed'!$G73)</f>
        <v>6148.27</v>
      </c>
      <c r="M73" s="444">
        <f>SUMIFS('HVP T12'!H:H,'HVP T12'!$B:$B,'P&amp;Ls Detailed'!$G73)</f>
        <v>28299.74</v>
      </c>
      <c r="N73" s="444">
        <f>SUMIFS('HVP T12'!I:I,'HVP T12'!$B:$B,'P&amp;Ls Detailed'!$G73)</f>
        <v>10308.370000000001</v>
      </c>
      <c r="O73" s="444">
        <f>SUMIFS('HVP T12'!J:J,'HVP T12'!$B:$B,'P&amp;Ls Detailed'!$G73)</f>
        <v>439.88</v>
      </c>
      <c r="P73" s="444">
        <f>SUMIFS('HVP T12'!K:K,'HVP T12'!$B:$B,'P&amp;Ls Detailed'!$G73)</f>
        <v>710.38</v>
      </c>
      <c r="Q73" s="444">
        <f>SUMIFS('HVP T12'!L:L,'HVP T12'!$B:$B,'P&amp;Ls Detailed'!$G73)</f>
        <v>1218.25</v>
      </c>
      <c r="R73" s="444">
        <f>SUMIFS('HVP T12'!M:M,'HVP T12'!$B:$B,'P&amp;Ls Detailed'!$G73)</f>
        <v>2721.85</v>
      </c>
      <c r="S73" s="444">
        <f>SUMIFS('HVP T12'!N:N,'HVP T12'!$B:$B,'P&amp;Ls Detailed'!$G73)</f>
        <v>7454.08</v>
      </c>
      <c r="T73" s="697"/>
      <c r="U73" s="444"/>
      <c r="V73" s="698"/>
      <c r="W73" s="489">
        <f t="shared" si="27"/>
        <v>135350.07</v>
      </c>
      <c r="X73" s="490">
        <f t="shared" si="28"/>
        <v>118232.80000000002</v>
      </c>
      <c r="Y73" s="490">
        <f t="shared" si="29"/>
        <v>45705.619999999995</v>
      </c>
      <c r="Z73" s="490">
        <f t="shared" si="30"/>
        <v>45576.72</v>
      </c>
      <c r="AA73" s="490">
        <f t="shared" si="31"/>
        <v>89448.959999999992</v>
      </c>
      <c r="AB73" s="491"/>
      <c r="AC73" s="491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s="88" customFormat="1" x14ac:dyDescent="0.25">
      <c r="A74" s="9"/>
      <c r="B74" s="9"/>
      <c r="C74" s="9"/>
      <c r="D74" s="487" t="str">
        <f t="shared" si="32"/>
        <v>Hudson View Park</v>
      </c>
      <c r="E74" s="488" t="s">
        <v>9</v>
      </c>
      <c r="F74" s="488"/>
      <c r="G74" s="443" t="s">
        <v>1548</v>
      </c>
      <c r="H74" s="444">
        <f>SUMIFS('HVP T12'!C:C,'HVP T12'!$B:$B,'P&amp;Ls Detailed'!$G74)</f>
        <v>25.94</v>
      </c>
      <c r="I74" s="444">
        <f>SUMIFS('HVP T12'!D:D,'HVP T12'!$B:$B,'P&amp;Ls Detailed'!$G74)</f>
        <v>0</v>
      </c>
      <c r="J74" s="444">
        <f>SUMIFS('HVP T12'!E:E,'HVP T12'!$B:$B,'P&amp;Ls Detailed'!$G74)</f>
        <v>0</v>
      </c>
      <c r="K74" s="444">
        <f>SUMIFS('HVP T12'!F:F,'HVP T12'!$B:$B,'P&amp;Ls Detailed'!$G74)</f>
        <v>0</v>
      </c>
      <c r="L74" s="444">
        <f>SUMIFS('HVP T12'!G:G,'HVP T12'!$B:$B,'P&amp;Ls Detailed'!$G74)</f>
        <v>0</v>
      </c>
      <c r="M74" s="444">
        <f>SUMIFS('HVP T12'!H:H,'HVP T12'!$B:$B,'P&amp;Ls Detailed'!$G74)</f>
        <v>844.38</v>
      </c>
      <c r="N74" s="444">
        <f>SUMIFS('HVP T12'!I:I,'HVP T12'!$B:$B,'P&amp;Ls Detailed'!$G74)</f>
        <v>0</v>
      </c>
      <c r="O74" s="444">
        <f>SUMIFS('HVP T12'!J:J,'HVP T12'!$B:$B,'P&amp;Ls Detailed'!$G74)</f>
        <v>0</v>
      </c>
      <c r="P74" s="444">
        <f>SUMIFS('HVP T12'!K:K,'HVP T12'!$B:$B,'P&amp;Ls Detailed'!$G74)</f>
        <v>8959.83</v>
      </c>
      <c r="Q74" s="444">
        <f>SUMIFS('HVP T12'!L:L,'HVP T12'!$B:$B,'P&amp;Ls Detailed'!$G74)</f>
        <v>0</v>
      </c>
      <c r="R74" s="444">
        <f>SUMIFS('HVP T12'!M:M,'HVP T12'!$B:$B,'P&amp;Ls Detailed'!$G74)</f>
        <v>0</v>
      </c>
      <c r="S74" s="444">
        <f>SUMIFS('HVP T12'!N:N,'HVP T12'!$B:$B,'P&amp;Ls Detailed'!$G74)</f>
        <v>-10.81</v>
      </c>
      <c r="T74" s="697"/>
      <c r="U74" s="444"/>
      <c r="V74" s="698"/>
      <c r="W74" s="489">
        <f t="shared" si="27"/>
        <v>9819.34</v>
      </c>
      <c r="X74" s="490">
        <f t="shared" si="28"/>
        <v>13057.866666666667</v>
      </c>
      <c r="Y74" s="490">
        <f t="shared" si="29"/>
        <v>17898.04</v>
      </c>
      <c r="Z74" s="490">
        <f t="shared" si="30"/>
        <v>-43.24</v>
      </c>
      <c r="AA74" s="490">
        <f t="shared" si="31"/>
        <v>-129.72</v>
      </c>
      <c r="AB74" s="491"/>
      <c r="AC74" s="491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s="88" customFormat="1" x14ac:dyDescent="0.25">
      <c r="A75" s="9"/>
      <c r="B75" s="9"/>
      <c r="C75" s="9"/>
      <c r="D75" s="487" t="str">
        <f t="shared" si="32"/>
        <v>Hudson View Park</v>
      </c>
      <c r="E75" s="488" t="s">
        <v>41</v>
      </c>
      <c r="F75" s="488"/>
      <c r="G75" s="443" t="s">
        <v>1550</v>
      </c>
      <c r="H75" s="444">
        <f>SUMIFS('HVP T12'!C:C,'HVP T12'!$B:$B,'P&amp;Ls Detailed'!$G75)</f>
        <v>0</v>
      </c>
      <c r="I75" s="444">
        <f>SUMIFS('HVP T12'!D:D,'HVP T12'!$B:$B,'P&amp;Ls Detailed'!$G75)</f>
        <v>0</v>
      </c>
      <c r="J75" s="444">
        <f>SUMIFS('HVP T12'!E:E,'HVP T12'!$B:$B,'P&amp;Ls Detailed'!$G75)</f>
        <v>162.18</v>
      </c>
      <c r="K75" s="444">
        <f>SUMIFS('HVP T12'!F:F,'HVP T12'!$B:$B,'P&amp;Ls Detailed'!$G75)</f>
        <v>0</v>
      </c>
      <c r="L75" s="444">
        <f>SUMIFS('HVP T12'!G:G,'HVP T12'!$B:$B,'P&amp;Ls Detailed'!$G75)</f>
        <v>0</v>
      </c>
      <c r="M75" s="444">
        <f>SUMIFS('HVP T12'!H:H,'HVP T12'!$B:$B,'P&amp;Ls Detailed'!$G75)</f>
        <v>0</v>
      </c>
      <c r="N75" s="444">
        <f>SUMIFS('HVP T12'!I:I,'HVP T12'!$B:$B,'P&amp;Ls Detailed'!$G75)</f>
        <v>0</v>
      </c>
      <c r="O75" s="444">
        <f>SUMIFS('HVP T12'!J:J,'HVP T12'!$B:$B,'P&amp;Ls Detailed'!$G75)</f>
        <v>0</v>
      </c>
      <c r="P75" s="444">
        <f>SUMIFS('HVP T12'!K:K,'HVP T12'!$B:$B,'P&amp;Ls Detailed'!$G75)</f>
        <v>0</v>
      </c>
      <c r="Q75" s="444">
        <f>SUMIFS('HVP T12'!L:L,'HVP T12'!$B:$B,'P&amp;Ls Detailed'!$G75)</f>
        <v>81.09</v>
      </c>
      <c r="R75" s="444">
        <f>SUMIFS('HVP T12'!M:M,'HVP T12'!$B:$B,'P&amp;Ls Detailed'!$G75)</f>
        <v>0</v>
      </c>
      <c r="S75" s="444">
        <f>SUMIFS('HVP T12'!N:N,'HVP T12'!$B:$B,'P&amp;Ls Detailed'!$G75)</f>
        <v>0</v>
      </c>
      <c r="T75" s="697"/>
      <c r="U75" s="444"/>
      <c r="V75" s="698"/>
      <c r="W75" s="489">
        <f t="shared" si="27"/>
        <v>243.27</v>
      </c>
      <c r="X75" s="490">
        <f t="shared" si="28"/>
        <v>108.12</v>
      </c>
      <c r="Y75" s="490">
        <f t="shared" si="29"/>
        <v>162.18</v>
      </c>
      <c r="Z75" s="490">
        <f t="shared" si="30"/>
        <v>324.36</v>
      </c>
      <c r="AA75" s="490">
        <f t="shared" si="31"/>
        <v>0</v>
      </c>
      <c r="AB75" s="491"/>
      <c r="AC75" s="491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s="88" customFormat="1" x14ac:dyDescent="0.25">
      <c r="A76" s="9"/>
      <c r="B76" s="9"/>
      <c r="C76" s="9"/>
      <c r="D76" s="487" t="str">
        <f t="shared" si="32"/>
        <v>Hudson View Park</v>
      </c>
      <c r="E76" s="488" t="s">
        <v>41</v>
      </c>
      <c r="F76" s="488"/>
      <c r="G76" s="443" t="s">
        <v>1552</v>
      </c>
      <c r="H76" s="444">
        <f>SUMIFS('HVP T12'!C:C,'HVP T12'!$B:$B,'P&amp;Ls Detailed'!$G76)</f>
        <v>816.35</v>
      </c>
      <c r="I76" s="444">
        <f>SUMIFS('HVP T12'!D:D,'HVP T12'!$B:$B,'P&amp;Ls Detailed'!$G76)</f>
        <v>270.31</v>
      </c>
      <c r="J76" s="444">
        <f>SUMIFS('HVP T12'!E:E,'HVP T12'!$B:$B,'P&amp;Ls Detailed'!$G76)</f>
        <v>6709.17</v>
      </c>
      <c r="K76" s="444">
        <f>SUMIFS('HVP T12'!F:F,'HVP T12'!$B:$B,'P&amp;Ls Detailed'!$G76)</f>
        <v>567.66</v>
      </c>
      <c r="L76" s="444">
        <f>SUMIFS('HVP T12'!G:G,'HVP T12'!$B:$B,'P&amp;Ls Detailed'!$G76)</f>
        <v>416.28</v>
      </c>
      <c r="M76" s="444">
        <f>SUMIFS('HVP T12'!H:H,'HVP T12'!$B:$B,'P&amp;Ls Detailed'!$G76)</f>
        <v>1167.75</v>
      </c>
      <c r="N76" s="444">
        <f>SUMIFS('HVP T12'!I:I,'HVP T12'!$B:$B,'P&amp;Ls Detailed'!$G76)</f>
        <v>0</v>
      </c>
      <c r="O76" s="444">
        <f>SUMIFS('HVP T12'!J:J,'HVP T12'!$B:$B,'P&amp;Ls Detailed'!$G76)</f>
        <v>681.19</v>
      </c>
      <c r="P76" s="444">
        <f>SUMIFS('HVP T12'!K:K,'HVP T12'!$B:$B,'P&amp;Ls Detailed'!$G76)</f>
        <v>546.03</v>
      </c>
      <c r="Q76" s="444">
        <f>SUMIFS('HVP T12'!L:L,'HVP T12'!$B:$B,'P&amp;Ls Detailed'!$G76)</f>
        <v>1546.19</v>
      </c>
      <c r="R76" s="444">
        <f>SUMIFS('HVP T12'!M:M,'HVP T12'!$B:$B,'P&amp;Ls Detailed'!$G76)</f>
        <v>270.32</v>
      </c>
      <c r="S76" s="444">
        <f>SUMIFS('HVP T12'!N:N,'HVP T12'!$B:$B,'P&amp;Ls Detailed'!$G76)</f>
        <v>0</v>
      </c>
      <c r="T76" s="697"/>
      <c r="U76" s="444"/>
      <c r="V76" s="698"/>
      <c r="W76" s="489">
        <f t="shared" si="27"/>
        <v>12991.250000000002</v>
      </c>
      <c r="X76" s="490">
        <f t="shared" si="28"/>
        <v>6927.2266666666674</v>
      </c>
      <c r="Y76" s="490">
        <f t="shared" si="29"/>
        <v>6087.46</v>
      </c>
      <c r="Z76" s="490">
        <f t="shared" si="30"/>
        <v>7266.04</v>
      </c>
      <c r="AA76" s="490">
        <f t="shared" si="31"/>
        <v>0</v>
      </c>
      <c r="AB76" s="491"/>
      <c r="AC76" s="491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s="88" customFormat="1" x14ac:dyDescent="0.25">
      <c r="A77" s="9"/>
      <c r="B77" s="9"/>
      <c r="C77" s="9"/>
      <c r="D77" s="487" t="str">
        <f t="shared" si="32"/>
        <v>Hudson View Park</v>
      </c>
      <c r="E77" s="488" t="s">
        <v>9</v>
      </c>
      <c r="F77" s="488"/>
      <c r="G77" s="443" t="s">
        <v>1554</v>
      </c>
      <c r="H77" s="444">
        <f>SUMIFS('HVP T12'!C:C,'HVP T12'!$B:$B,'P&amp;Ls Detailed'!$G77)</f>
        <v>11271.35</v>
      </c>
      <c r="I77" s="444">
        <f>SUMIFS('HVP T12'!D:D,'HVP T12'!$B:$B,'P&amp;Ls Detailed'!$G77)</f>
        <v>10960.74</v>
      </c>
      <c r="J77" s="444">
        <f>SUMIFS('HVP T12'!E:E,'HVP T12'!$B:$B,'P&amp;Ls Detailed'!$G77)</f>
        <v>10008.700000000001</v>
      </c>
      <c r="K77" s="444">
        <f>SUMIFS('HVP T12'!F:F,'HVP T12'!$B:$B,'P&amp;Ls Detailed'!$G77)</f>
        <v>11383.95</v>
      </c>
      <c r="L77" s="444">
        <f>SUMIFS('HVP T12'!G:G,'HVP T12'!$B:$B,'P&amp;Ls Detailed'!$G77)</f>
        <v>10218.76</v>
      </c>
      <c r="M77" s="444">
        <f>SUMIFS('HVP T12'!H:H,'HVP T12'!$B:$B,'P&amp;Ls Detailed'!$G77)</f>
        <v>10814.16</v>
      </c>
      <c r="N77" s="444">
        <f>SUMIFS('HVP T12'!I:I,'HVP T12'!$B:$B,'P&amp;Ls Detailed'!$G77)</f>
        <v>11719.78</v>
      </c>
      <c r="O77" s="444">
        <f>SUMIFS('HVP T12'!J:J,'HVP T12'!$B:$B,'P&amp;Ls Detailed'!$G77)</f>
        <v>9971.6</v>
      </c>
      <c r="P77" s="444">
        <f>SUMIFS('HVP T12'!K:K,'HVP T12'!$B:$B,'P&amp;Ls Detailed'!$G77)</f>
        <v>10063.549999999999</v>
      </c>
      <c r="Q77" s="444">
        <f>SUMIFS('HVP T12'!L:L,'HVP T12'!$B:$B,'P&amp;Ls Detailed'!$G77)</f>
        <v>9915.7099999999991</v>
      </c>
      <c r="R77" s="444">
        <f>SUMIFS('HVP T12'!M:M,'HVP T12'!$B:$B,'P&amp;Ls Detailed'!$G77)</f>
        <v>10221.59</v>
      </c>
      <c r="S77" s="444">
        <f>SUMIFS('HVP T12'!N:N,'HVP T12'!$B:$B,'P&amp;Ls Detailed'!$G77)</f>
        <v>10332.5</v>
      </c>
      <c r="T77" s="697"/>
      <c r="U77" s="444"/>
      <c r="V77" s="698"/>
      <c r="W77" s="489">
        <f t="shared" si="27"/>
        <v>126882.39000000001</v>
      </c>
      <c r="X77" s="490">
        <f t="shared" si="28"/>
        <v>126188.8</v>
      </c>
      <c r="Y77" s="490">
        <f t="shared" si="29"/>
        <v>124449.45999999999</v>
      </c>
      <c r="Z77" s="490">
        <f t="shared" si="30"/>
        <v>121879.20000000001</v>
      </c>
      <c r="AA77" s="490">
        <f t="shared" si="31"/>
        <v>123990</v>
      </c>
      <c r="AB77" s="491"/>
      <c r="AC77" s="491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s="88" customFormat="1" x14ac:dyDescent="0.25">
      <c r="A78" s="9"/>
      <c r="B78" s="9"/>
      <c r="C78" s="9"/>
      <c r="D78" s="487" t="str">
        <f t="shared" si="32"/>
        <v>Hudson View Park</v>
      </c>
      <c r="E78" s="488" t="s">
        <v>9</v>
      </c>
      <c r="F78" s="488"/>
      <c r="G78" s="443" t="s">
        <v>1556</v>
      </c>
      <c r="H78" s="444">
        <f>SUMIFS('HVP T12'!C:C,'HVP T12'!$B:$B,'P&amp;Ls Detailed'!$G78)</f>
        <v>5757.98</v>
      </c>
      <c r="I78" s="444">
        <f>SUMIFS('HVP T12'!D:D,'HVP T12'!$B:$B,'P&amp;Ls Detailed'!$G78)</f>
        <v>692</v>
      </c>
      <c r="J78" s="444">
        <f>SUMIFS('HVP T12'!E:E,'HVP T12'!$B:$B,'P&amp;Ls Detailed'!$G78)</f>
        <v>730.99</v>
      </c>
      <c r="K78" s="444">
        <f>SUMIFS('HVP T12'!F:F,'HVP T12'!$B:$B,'P&amp;Ls Detailed'!$G78)</f>
        <v>692</v>
      </c>
      <c r="L78" s="444">
        <f>SUMIFS('HVP T12'!G:G,'HVP T12'!$B:$B,'P&amp;Ls Detailed'!$G78)</f>
        <v>732.51</v>
      </c>
      <c r="M78" s="444">
        <f>SUMIFS('HVP T12'!H:H,'HVP T12'!$B:$B,'P&amp;Ls Detailed'!$G78)</f>
        <v>692</v>
      </c>
      <c r="N78" s="444">
        <f>SUMIFS('HVP T12'!I:I,'HVP T12'!$B:$B,'P&amp;Ls Detailed'!$G78)</f>
        <v>692</v>
      </c>
      <c r="O78" s="444">
        <f>SUMIFS('HVP T12'!J:J,'HVP T12'!$B:$B,'P&amp;Ls Detailed'!$G78)</f>
        <v>1012.79</v>
      </c>
      <c r="P78" s="444">
        <f>SUMIFS('HVP T12'!K:K,'HVP T12'!$B:$B,'P&amp;Ls Detailed'!$G78)</f>
        <v>719.68</v>
      </c>
      <c r="Q78" s="444">
        <f>SUMIFS('HVP T12'!L:L,'HVP T12'!$B:$B,'P&amp;Ls Detailed'!$G78)</f>
        <v>719.68</v>
      </c>
      <c r="R78" s="444">
        <f>SUMIFS('HVP T12'!M:M,'HVP T12'!$B:$B,'P&amp;Ls Detailed'!$G78)</f>
        <v>4179.68</v>
      </c>
      <c r="S78" s="444">
        <f>SUMIFS('HVP T12'!N:N,'HVP T12'!$B:$B,'P&amp;Ls Detailed'!$G78)</f>
        <v>719.68</v>
      </c>
      <c r="T78" s="697"/>
      <c r="U78" s="444"/>
      <c r="V78" s="698"/>
      <c r="W78" s="489">
        <f t="shared" si="27"/>
        <v>17340.990000000002</v>
      </c>
      <c r="X78" s="490">
        <f t="shared" si="28"/>
        <v>13546.693333333333</v>
      </c>
      <c r="Y78" s="490">
        <f t="shared" si="29"/>
        <v>16087.02</v>
      </c>
      <c r="Z78" s="490">
        <f t="shared" si="30"/>
        <v>22476.160000000003</v>
      </c>
      <c r="AA78" s="490">
        <f t="shared" si="31"/>
        <v>8636.16</v>
      </c>
      <c r="AB78" s="491"/>
      <c r="AC78" s="491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s="88" customFormat="1" x14ac:dyDescent="0.25">
      <c r="A79" s="9"/>
      <c r="B79" s="9"/>
      <c r="C79" s="9"/>
      <c r="D79" s="487" t="str">
        <f t="shared" si="32"/>
        <v>Hudson View Park</v>
      </c>
      <c r="E79" s="488" t="s">
        <v>9</v>
      </c>
      <c r="F79" s="488"/>
      <c r="G79" s="443" t="s">
        <v>1558</v>
      </c>
      <c r="H79" s="444">
        <f>SUMIFS('HVP T12'!C:C,'HVP T12'!$B:$B,'P&amp;Ls Detailed'!$G79)</f>
        <v>30894.560000000001</v>
      </c>
      <c r="I79" s="444">
        <f>SUMIFS('HVP T12'!D:D,'HVP T12'!$B:$B,'P&amp;Ls Detailed'!$G79)</f>
        <v>30894.560000000001</v>
      </c>
      <c r="J79" s="444">
        <f>SUMIFS('HVP T12'!E:E,'HVP T12'!$B:$B,'P&amp;Ls Detailed'!$G79)</f>
        <v>30894.560000000001</v>
      </c>
      <c r="K79" s="444">
        <f>SUMIFS('HVP T12'!F:F,'HVP T12'!$B:$B,'P&amp;Ls Detailed'!$G79)</f>
        <v>30894.560000000001</v>
      </c>
      <c r="L79" s="444">
        <f>SUMIFS('HVP T12'!G:G,'HVP T12'!$B:$B,'P&amp;Ls Detailed'!$G79)</f>
        <v>30894.560000000001</v>
      </c>
      <c r="M79" s="444">
        <f>SUMIFS('HVP T12'!H:H,'HVP T12'!$B:$B,'P&amp;Ls Detailed'!$G79)</f>
        <v>31821.360000000001</v>
      </c>
      <c r="N79" s="444">
        <f>SUMIFS('HVP T12'!I:I,'HVP T12'!$B:$B,'P&amp;Ls Detailed'!$G79)</f>
        <v>31821.360000000001</v>
      </c>
      <c r="O79" s="444">
        <f>SUMIFS('HVP T12'!J:J,'HVP T12'!$B:$B,'P&amp;Ls Detailed'!$G79)</f>
        <v>31821.360000000001</v>
      </c>
      <c r="P79" s="444">
        <f>SUMIFS('HVP T12'!K:K,'HVP T12'!$B:$B,'P&amp;Ls Detailed'!$G79)</f>
        <v>31822.36</v>
      </c>
      <c r="Q79" s="444">
        <f>SUMIFS('HVP T12'!L:L,'HVP T12'!$B:$B,'P&amp;Ls Detailed'!$G79)</f>
        <v>31822.36</v>
      </c>
      <c r="R79" s="444">
        <f>SUMIFS('HVP T12'!M:M,'HVP T12'!$B:$B,'P&amp;Ls Detailed'!$G79)</f>
        <v>31822.36</v>
      </c>
      <c r="S79" s="444">
        <f>SUMIFS('HVP T12'!N:N,'HVP T12'!$B:$B,'P&amp;Ls Detailed'!$G79)</f>
        <v>31822.36</v>
      </c>
      <c r="T79" s="697"/>
      <c r="U79" s="444"/>
      <c r="V79" s="698"/>
      <c r="W79" s="489">
        <f t="shared" si="27"/>
        <v>377226.31999999995</v>
      </c>
      <c r="X79" s="490">
        <f t="shared" si="28"/>
        <v>379390.18666666659</v>
      </c>
      <c r="Y79" s="490">
        <f t="shared" si="29"/>
        <v>381864.31999999995</v>
      </c>
      <c r="Z79" s="490">
        <f t="shared" si="30"/>
        <v>381868.32</v>
      </c>
      <c r="AA79" s="490">
        <f t="shared" si="31"/>
        <v>381868.32</v>
      </c>
      <c r="AB79" s="491"/>
      <c r="AC79" s="491"/>
      <c r="AD79" s="9"/>
      <c r="AE79" s="498"/>
      <c r="AF79" s="498"/>
      <c r="AG79" s="498"/>
      <c r="AH79" s="498"/>
      <c r="AI79" s="498"/>
      <c r="AJ79" s="498"/>
      <c r="AK79" s="498"/>
      <c r="AL79" s="498"/>
      <c r="AM79" s="498"/>
      <c r="AN79" s="498"/>
      <c r="AO79" s="498"/>
      <c r="AP79" s="498"/>
      <c r="AQ79" s="498"/>
      <c r="AR79" s="498"/>
      <c r="AS79" s="9"/>
      <c r="AT79" s="9"/>
      <c r="AU79" s="9"/>
    </row>
    <row r="80" spans="1:47" s="88" customFormat="1" x14ac:dyDescent="0.25">
      <c r="A80" s="9"/>
      <c r="B80" s="9"/>
      <c r="C80" s="9"/>
      <c r="D80" s="487" t="str">
        <f t="shared" si="32"/>
        <v>Hudson View Park</v>
      </c>
      <c r="E80" s="488" t="s">
        <v>7</v>
      </c>
      <c r="F80" s="488"/>
      <c r="G80" s="443" t="s">
        <v>1560</v>
      </c>
      <c r="H80" s="444">
        <f>SUMIFS('HVP T12'!C:C,'HVP T12'!$B:$B,'P&amp;Ls Detailed'!$G80)</f>
        <v>0</v>
      </c>
      <c r="I80" s="444">
        <f>SUMIFS('HVP T12'!D:D,'HVP T12'!$B:$B,'P&amp;Ls Detailed'!$G80)</f>
        <v>3450</v>
      </c>
      <c r="J80" s="444">
        <f>SUMIFS('HVP T12'!E:E,'HVP T12'!$B:$B,'P&amp;Ls Detailed'!$G80)</f>
        <v>0</v>
      </c>
      <c r="K80" s="444">
        <f>SUMIFS('HVP T12'!F:F,'HVP T12'!$B:$B,'P&amp;Ls Detailed'!$G80)</f>
        <v>25</v>
      </c>
      <c r="L80" s="444">
        <f>SUMIFS('HVP T12'!G:G,'HVP T12'!$B:$B,'P&amp;Ls Detailed'!$G80)</f>
        <v>250</v>
      </c>
      <c r="M80" s="444">
        <f>SUMIFS('HVP T12'!H:H,'HVP T12'!$B:$B,'P&amp;Ls Detailed'!$G80)</f>
        <v>0</v>
      </c>
      <c r="N80" s="444">
        <f>SUMIFS('HVP T12'!I:I,'HVP T12'!$B:$B,'P&amp;Ls Detailed'!$G80)</f>
        <v>0</v>
      </c>
      <c r="O80" s="444">
        <f>SUMIFS('HVP T12'!J:J,'HVP T12'!$B:$B,'P&amp;Ls Detailed'!$G80)</f>
        <v>0</v>
      </c>
      <c r="P80" s="444">
        <f>SUMIFS('HVP T12'!K:K,'HVP T12'!$B:$B,'P&amp;Ls Detailed'!$G80)</f>
        <v>0</v>
      </c>
      <c r="Q80" s="444">
        <f>SUMIFS('HVP T12'!L:L,'HVP T12'!$B:$B,'P&amp;Ls Detailed'!$G80)</f>
        <v>0</v>
      </c>
      <c r="R80" s="444">
        <f>SUMIFS('HVP T12'!M:M,'HVP T12'!$B:$B,'P&amp;Ls Detailed'!$G80)</f>
        <v>0</v>
      </c>
      <c r="S80" s="444">
        <f>SUMIFS('HVP T12'!N:N,'HVP T12'!$B:$B,'P&amp;Ls Detailed'!$G80)</f>
        <v>0</v>
      </c>
      <c r="T80" s="697"/>
      <c r="U80" s="444"/>
      <c r="V80" s="698"/>
      <c r="W80" s="489">
        <f t="shared" si="27"/>
        <v>3725</v>
      </c>
      <c r="X80" s="490">
        <f t="shared" si="28"/>
        <v>366.66666666666669</v>
      </c>
      <c r="Y80" s="490">
        <f t="shared" si="29"/>
        <v>0</v>
      </c>
      <c r="Z80" s="490">
        <f t="shared" si="30"/>
        <v>0</v>
      </c>
      <c r="AA80" s="490">
        <f t="shared" si="31"/>
        <v>0</v>
      </c>
      <c r="AB80" s="491"/>
      <c r="AC80" s="491"/>
      <c r="AD80" s="9"/>
      <c r="AE80" s="498"/>
      <c r="AF80" s="498"/>
      <c r="AG80" s="498"/>
      <c r="AH80" s="498"/>
      <c r="AI80" s="498"/>
      <c r="AJ80" s="498"/>
      <c r="AK80" s="498"/>
      <c r="AL80" s="498"/>
      <c r="AM80" s="498"/>
      <c r="AN80" s="498"/>
      <c r="AO80" s="498"/>
      <c r="AP80" s="498"/>
      <c r="AQ80" s="498"/>
      <c r="AR80" s="498"/>
      <c r="AS80" s="9"/>
      <c r="AT80" s="9"/>
      <c r="AU80" s="9"/>
    </row>
    <row r="81" spans="1:47" s="88" customFormat="1" x14ac:dyDescent="0.25">
      <c r="A81" s="9"/>
      <c r="B81" s="9"/>
      <c r="C81" s="9"/>
      <c r="D81" s="487" t="str">
        <f t="shared" si="32"/>
        <v>Hudson View Park</v>
      </c>
      <c r="E81" s="488"/>
      <c r="F81" s="488"/>
      <c r="G81" s="456" t="s">
        <v>1561</v>
      </c>
      <c r="H81" s="447">
        <f t="shared" ref="H81:W81" si="33">SUM(H64:H80)</f>
        <v>109092.09999999999</v>
      </c>
      <c r="I81" s="447">
        <f t="shared" si="33"/>
        <v>94353.18</v>
      </c>
      <c r="J81" s="447">
        <f t="shared" si="33"/>
        <v>119278.92999999998</v>
      </c>
      <c r="K81" s="447">
        <f t="shared" si="33"/>
        <v>133772.12</v>
      </c>
      <c r="L81" s="447">
        <f t="shared" si="33"/>
        <v>82047.850000000006</v>
      </c>
      <c r="M81" s="447">
        <f t="shared" si="33"/>
        <v>123768.37000000001</v>
      </c>
      <c r="N81" s="447">
        <f t="shared" si="33"/>
        <v>99883.61</v>
      </c>
      <c r="O81" s="447">
        <f t="shared" si="33"/>
        <v>91879.01999999999</v>
      </c>
      <c r="P81" s="447">
        <f t="shared" si="33"/>
        <v>80630.390000000014</v>
      </c>
      <c r="Q81" s="447">
        <f t="shared" si="33"/>
        <v>76151.66</v>
      </c>
      <c r="R81" s="447">
        <f t="shared" si="33"/>
        <v>80216.12</v>
      </c>
      <c r="S81" s="447">
        <f t="shared" si="33"/>
        <v>88233.239999999991</v>
      </c>
      <c r="T81" s="628"/>
      <c r="U81" s="447"/>
      <c r="V81" s="699"/>
      <c r="W81" s="567">
        <f t="shared" si="33"/>
        <v>1179306.5899999999</v>
      </c>
      <c r="X81" s="490">
        <f t="shared" si="28"/>
        <v>1142109.8400000001</v>
      </c>
      <c r="Y81" s="490">
        <f t="shared" si="29"/>
        <v>1033988.0800000001</v>
      </c>
      <c r="Z81" s="490">
        <f t="shared" si="30"/>
        <v>978404.07999999984</v>
      </c>
      <c r="AA81" s="490">
        <f t="shared" si="31"/>
        <v>1058798.8799999999</v>
      </c>
      <c r="AB81" s="491"/>
      <c r="AC81" s="491"/>
      <c r="AD81" s="9"/>
      <c r="AE81" s="498"/>
      <c r="AF81" s="498"/>
      <c r="AG81" s="498"/>
      <c r="AH81" s="498"/>
      <c r="AI81" s="498"/>
      <c r="AJ81" s="498"/>
      <c r="AK81" s="498"/>
      <c r="AL81" s="498"/>
      <c r="AM81" s="498"/>
      <c r="AN81" s="498"/>
      <c r="AO81" s="498"/>
      <c r="AP81" s="498"/>
      <c r="AQ81" s="498"/>
      <c r="AR81" s="498"/>
      <c r="AS81" s="9"/>
      <c r="AT81" s="9"/>
      <c r="AU81" s="9"/>
    </row>
    <row r="82" spans="1:47" s="88" customFormat="1" x14ac:dyDescent="0.25">
      <c r="A82" s="9"/>
      <c r="B82" s="9"/>
      <c r="C82" s="9"/>
      <c r="D82" s="487" t="str">
        <f t="shared" si="32"/>
        <v>Hudson View Park</v>
      </c>
      <c r="E82" s="488"/>
      <c r="F82" s="488"/>
      <c r="G82" s="456" t="s">
        <v>1562</v>
      </c>
      <c r="H82" s="444"/>
      <c r="I82" s="444"/>
      <c r="J82" s="444"/>
      <c r="K82" s="444"/>
      <c r="L82" s="444"/>
      <c r="M82" s="444"/>
      <c r="N82" s="444"/>
      <c r="O82" s="444"/>
      <c r="P82" s="444"/>
      <c r="Q82" s="444"/>
      <c r="R82" s="444"/>
      <c r="S82" s="444"/>
      <c r="T82" s="697"/>
      <c r="U82" s="444"/>
      <c r="V82" s="698"/>
      <c r="W82" s="489"/>
      <c r="X82" s="490"/>
      <c r="Y82" s="490"/>
      <c r="Z82" s="490"/>
      <c r="AA82" s="490"/>
      <c r="AB82" s="491"/>
      <c r="AC82" s="491"/>
      <c r="AD82" s="9"/>
      <c r="AE82" s="9"/>
      <c r="AF82" s="611"/>
      <c r="AG82" s="612"/>
      <c r="AH82" s="612"/>
      <c r="AI82" s="612"/>
      <c r="AJ82" s="612"/>
      <c r="AK82" s="612"/>
      <c r="AL82" s="611"/>
      <c r="AM82" s="611"/>
      <c r="AN82" s="611"/>
      <c r="AO82" s="611"/>
      <c r="AP82" s="611"/>
      <c r="AQ82" s="611"/>
      <c r="AR82" s="9"/>
      <c r="AS82" s="9"/>
      <c r="AT82" s="9"/>
      <c r="AU82" s="9"/>
    </row>
    <row r="83" spans="1:47" s="88" customFormat="1" x14ac:dyDescent="0.25">
      <c r="A83" s="9"/>
      <c r="B83" s="9"/>
      <c r="C83" s="9"/>
      <c r="D83" s="487" t="str">
        <f t="shared" si="32"/>
        <v>Hudson View Park</v>
      </c>
      <c r="E83" s="488" t="s">
        <v>7</v>
      </c>
      <c r="F83" s="488"/>
      <c r="G83" s="443" t="s">
        <v>1564</v>
      </c>
      <c r="H83" s="444">
        <f>SUMIFS('HVP T12'!C:C,'HVP T12'!$B:$B,'P&amp;Ls Detailed'!$G83)</f>
        <v>1326</v>
      </c>
      <c r="I83" s="444">
        <f>SUMIFS('HVP T12'!D:D,'HVP T12'!$B:$B,'P&amp;Ls Detailed'!$G83)</f>
        <v>0</v>
      </c>
      <c r="J83" s="444">
        <f>SUMIFS('HVP T12'!E:E,'HVP T12'!$B:$B,'P&amp;Ls Detailed'!$G83)</f>
        <v>0</v>
      </c>
      <c r="K83" s="444">
        <f>SUMIFS('HVP T12'!F:F,'HVP T12'!$B:$B,'P&amp;Ls Detailed'!$G83)</f>
        <v>0</v>
      </c>
      <c r="L83" s="444">
        <f>SUMIFS('HVP T12'!G:G,'HVP T12'!$B:$B,'P&amp;Ls Detailed'!$G83)</f>
        <v>0</v>
      </c>
      <c r="M83" s="444">
        <f>SUMIFS('HVP T12'!H:H,'HVP T12'!$B:$B,'P&amp;Ls Detailed'!$G83)</f>
        <v>0</v>
      </c>
      <c r="N83" s="444">
        <f>SUMIFS('HVP T12'!I:I,'HVP T12'!$B:$B,'P&amp;Ls Detailed'!$G83)</f>
        <v>0</v>
      </c>
      <c r="O83" s="444">
        <f>SUMIFS('HVP T12'!J:J,'HVP T12'!$B:$B,'P&amp;Ls Detailed'!$G83)</f>
        <v>0</v>
      </c>
      <c r="P83" s="444">
        <f>SUMIFS('HVP T12'!K:K,'HVP T12'!$B:$B,'P&amp;Ls Detailed'!$G83)</f>
        <v>6758.7</v>
      </c>
      <c r="Q83" s="444">
        <f>SUMIFS('HVP T12'!L:L,'HVP T12'!$B:$B,'P&amp;Ls Detailed'!$G83)</f>
        <v>0</v>
      </c>
      <c r="R83" s="444">
        <f>SUMIFS('HVP T12'!M:M,'HVP T12'!$B:$B,'P&amp;Ls Detailed'!$G83)</f>
        <v>0</v>
      </c>
      <c r="S83" s="444">
        <f>SUMIFS('HVP T12'!N:N,'HVP T12'!$B:$B,'P&amp;Ls Detailed'!$G83)</f>
        <v>0</v>
      </c>
      <c r="T83" s="697"/>
      <c r="U83" s="444"/>
      <c r="V83" s="698"/>
      <c r="W83" s="489">
        <f t="shared" ref="W83:W98" si="34">SUM(H83:S83)</f>
        <v>8084.7</v>
      </c>
      <c r="X83" s="490">
        <f t="shared" ref="X83:X99" si="35">SUM(K83:S83)/9*12</f>
        <v>9011.6</v>
      </c>
      <c r="Y83" s="490">
        <f t="shared" ref="Y83:Y99" si="36">SUM(N83:S83)/6*12</f>
        <v>13517.400000000001</v>
      </c>
      <c r="Z83" s="490">
        <f t="shared" ref="Z83:Z99" si="37">SUM(Q83:S83)/3*12</f>
        <v>0</v>
      </c>
      <c r="AA83" s="490">
        <f t="shared" ref="AA83:AA99" si="38">S83*12</f>
        <v>0</v>
      </c>
      <c r="AB83" s="491"/>
      <c r="AC83" s="491"/>
      <c r="AD83" s="9"/>
      <c r="AE83" s="9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9"/>
      <c r="AT83" s="9"/>
      <c r="AU83" s="9"/>
    </row>
    <row r="84" spans="1:47" s="88" customFormat="1" x14ac:dyDescent="0.25">
      <c r="A84" s="9"/>
      <c r="B84" s="9"/>
      <c r="C84" s="9"/>
      <c r="D84" s="487" t="str">
        <f t="shared" si="32"/>
        <v>Hudson View Park</v>
      </c>
      <c r="E84" s="488" t="s">
        <v>7</v>
      </c>
      <c r="F84" s="488"/>
      <c r="G84" s="443" t="s">
        <v>1566</v>
      </c>
      <c r="H84" s="444">
        <f>SUMIFS('HVP T12'!C:C,'HVP T12'!$B:$B,'P&amp;Ls Detailed'!$G84)</f>
        <v>1841.47</v>
      </c>
      <c r="I84" s="444">
        <f>SUMIFS('HVP T12'!D:D,'HVP T12'!$B:$B,'P&amp;Ls Detailed'!$G84)</f>
        <v>1833.62</v>
      </c>
      <c r="J84" s="444">
        <f>SUMIFS('HVP T12'!E:E,'HVP T12'!$B:$B,'P&amp;Ls Detailed'!$G84)</f>
        <v>1711.14</v>
      </c>
      <c r="K84" s="444">
        <f>SUMIFS('HVP T12'!F:F,'HVP T12'!$B:$B,'P&amp;Ls Detailed'!$G84)</f>
        <v>1929.38</v>
      </c>
      <c r="L84" s="444">
        <f>SUMIFS('HVP T12'!G:G,'HVP T12'!$B:$B,'P&amp;Ls Detailed'!$G84)</f>
        <v>1843.62</v>
      </c>
      <c r="M84" s="444">
        <f>SUMIFS('HVP T12'!H:H,'HVP T12'!$B:$B,'P&amp;Ls Detailed'!$G84)</f>
        <v>1759.22</v>
      </c>
      <c r="N84" s="444">
        <f>SUMIFS('HVP T12'!I:I,'HVP T12'!$B:$B,'P&amp;Ls Detailed'!$G84)</f>
        <v>1804.66</v>
      </c>
      <c r="O84" s="444">
        <f>SUMIFS('HVP T12'!J:J,'HVP T12'!$B:$B,'P&amp;Ls Detailed'!$G84)</f>
        <v>2348.5500000000002</v>
      </c>
      <c r="P84" s="444">
        <f>SUMIFS('HVP T12'!K:K,'HVP T12'!$B:$B,'P&amp;Ls Detailed'!$G84)</f>
        <v>1334.94</v>
      </c>
      <c r="Q84" s="444">
        <f>SUMIFS('HVP T12'!L:L,'HVP T12'!$B:$B,'P&amp;Ls Detailed'!$G84)</f>
        <v>1810.5</v>
      </c>
      <c r="R84" s="444">
        <f>SUMIFS('HVP T12'!M:M,'HVP T12'!$B:$B,'P&amp;Ls Detailed'!$G84)</f>
        <v>1842.67</v>
      </c>
      <c r="S84" s="444">
        <f>SUMIFS('HVP T12'!N:N,'HVP T12'!$B:$B,'P&amp;Ls Detailed'!$G84)</f>
        <v>1916.86</v>
      </c>
      <c r="T84" s="697"/>
      <c r="U84" s="444"/>
      <c r="V84" s="698"/>
      <c r="W84" s="489">
        <f t="shared" si="34"/>
        <v>21976.629999999997</v>
      </c>
      <c r="X84" s="490">
        <f t="shared" si="35"/>
        <v>22120.533333333336</v>
      </c>
      <c r="Y84" s="490">
        <f t="shared" si="36"/>
        <v>22116.36</v>
      </c>
      <c r="Z84" s="490">
        <f t="shared" si="37"/>
        <v>22280.12</v>
      </c>
      <c r="AA84" s="490">
        <f t="shared" si="38"/>
        <v>23002.32</v>
      </c>
      <c r="AB84" s="491"/>
      <c r="AC84" s="491"/>
      <c r="AD84" s="9"/>
      <c r="AE84" s="498"/>
      <c r="AF84" s="611"/>
      <c r="AG84" s="611"/>
      <c r="AH84" s="611"/>
      <c r="AI84" s="611"/>
      <c r="AJ84" s="611"/>
      <c r="AK84" s="611"/>
      <c r="AL84" s="611"/>
      <c r="AM84" s="611"/>
      <c r="AN84" s="611"/>
      <c r="AO84" s="611"/>
      <c r="AP84" s="611"/>
      <c r="AQ84" s="611"/>
      <c r="AR84" s="611"/>
      <c r="AS84" s="9"/>
      <c r="AT84" s="9"/>
      <c r="AU84" s="9"/>
    </row>
    <row r="85" spans="1:47" s="88" customFormat="1" x14ac:dyDescent="0.25">
      <c r="A85" s="9"/>
      <c r="B85" s="9"/>
      <c r="C85" s="9"/>
      <c r="D85" s="487" t="str">
        <f t="shared" si="32"/>
        <v>Hudson View Park</v>
      </c>
      <c r="E85" s="488" t="s">
        <v>7</v>
      </c>
      <c r="F85" s="488"/>
      <c r="G85" s="443" t="s">
        <v>1568</v>
      </c>
      <c r="H85" s="444">
        <f>SUMIFS('HVP T12'!C:C,'HVP T12'!$B:$B,'P&amp;Ls Detailed'!$G85)</f>
        <v>530</v>
      </c>
      <c r="I85" s="444">
        <f>SUMIFS('HVP T12'!D:D,'HVP T12'!$B:$B,'P&amp;Ls Detailed'!$G85)</f>
        <v>7500</v>
      </c>
      <c r="J85" s="444">
        <f>SUMIFS('HVP T12'!E:E,'HVP T12'!$B:$B,'P&amp;Ls Detailed'!$G85)</f>
        <v>1500</v>
      </c>
      <c r="K85" s="444">
        <f>SUMIFS('HVP T12'!F:F,'HVP T12'!$B:$B,'P&amp;Ls Detailed'!$G85)</f>
        <v>2463.29</v>
      </c>
      <c r="L85" s="444">
        <f>SUMIFS('HVP T12'!G:G,'HVP T12'!$B:$B,'P&amp;Ls Detailed'!$G85)</f>
        <v>3500</v>
      </c>
      <c r="M85" s="444">
        <f>SUMIFS('HVP T12'!H:H,'HVP T12'!$B:$B,'P&amp;Ls Detailed'!$G85)</f>
        <v>6000</v>
      </c>
      <c r="N85" s="444">
        <f>SUMIFS('HVP T12'!I:I,'HVP T12'!$B:$B,'P&amp;Ls Detailed'!$G85)</f>
        <v>0</v>
      </c>
      <c r="O85" s="444">
        <f>SUMIFS('HVP T12'!J:J,'HVP T12'!$B:$B,'P&amp;Ls Detailed'!$G85)</f>
        <v>0</v>
      </c>
      <c r="P85" s="444">
        <f>SUMIFS('HVP T12'!K:K,'HVP T12'!$B:$B,'P&amp;Ls Detailed'!$G85)</f>
        <v>0</v>
      </c>
      <c r="Q85" s="444">
        <f>SUMIFS('HVP T12'!L:L,'HVP T12'!$B:$B,'P&amp;Ls Detailed'!$G85)</f>
        <v>0</v>
      </c>
      <c r="R85" s="444">
        <f>SUMIFS('HVP T12'!M:M,'HVP T12'!$B:$B,'P&amp;Ls Detailed'!$G85)</f>
        <v>12950</v>
      </c>
      <c r="S85" s="444">
        <f>SUMIFS('HVP T12'!N:N,'HVP T12'!$B:$B,'P&amp;Ls Detailed'!$G85)</f>
        <v>3530</v>
      </c>
      <c r="T85" s="697"/>
      <c r="U85" s="444"/>
      <c r="V85" s="698"/>
      <c r="W85" s="489">
        <f t="shared" si="34"/>
        <v>37973.29</v>
      </c>
      <c r="X85" s="490">
        <f t="shared" si="35"/>
        <v>37924.386666666665</v>
      </c>
      <c r="Y85" s="490">
        <f t="shared" si="36"/>
        <v>32960</v>
      </c>
      <c r="Z85" s="490">
        <f t="shared" si="37"/>
        <v>65920</v>
      </c>
      <c r="AA85" s="490">
        <f t="shared" si="38"/>
        <v>42360</v>
      </c>
      <c r="AB85" s="491"/>
      <c r="AC85" s="491"/>
      <c r="AD85" s="9"/>
      <c r="AE85" s="498"/>
      <c r="AF85" s="499"/>
      <c r="AG85" s="499"/>
      <c r="AH85" s="499"/>
      <c r="AI85" s="499"/>
      <c r="AJ85" s="499"/>
      <c r="AK85" s="499"/>
      <c r="AL85" s="499"/>
      <c r="AM85" s="499"/>
      <c r="AN85" s="499"/>
      <c r="AO85" s="499"/>
      <c r="AP85" s="499"/>
      <c r="AQ85" s="499"/>
      <c r="AR85" s="499"/>
      <c r="AS85" s="9"/>
      <c r="AT85" s="9"/>
      <c r="AU85" s="9"/>
    </row>
    <row r="86" spans="1:47" s="88" customFormat="1" x14ac:dyDescent="0.25">
      <c r="A86" s="9"/>
      <c r="B86" s="9"/>
      <c r="C86" s="9"/>
      <c r="D86" s="487" t="str">
        <f t="shared" si="32"/>
        <v>Hudson View Park</v>
      </c>
      <c r="E86" s="488" t="s">
        <v>7</v>
      </c>
      <c r="F86" s="488"/>
      <c r="G86" s="443" t="s">
        <v>1570</v>
      </c>
      <c r="H86" s="444">
        <f>SUMIFS('HVP T12'!C:C,'HVP T12'!$B:$B,'P&amp;Ls Detailed'!$G86)</f>
        <v>0</v>
      </c>
      <c r="I86" s="444">
        <f>SUMIFS('HVP T12'!D:D,'HVP T12'!$B:$B,'P&amp;Ls Detailed'!$G86)</f>
        <v>0</v>
      </c>
      <c r="J86" s="444">
        <f>SUMIFS('HVP T12'!E:E,'HVP T12'!$B:$B,'P&amp;Ls Detailed'!$G86)</f>
        <v>0</v>
      </c>
      <c r="K86" s="444">
        <f>SUMIFS('HVP T12'!F:F,'HVP T12'!$B:$B,'P&amp;Ls Detailed'!$G86)</f>
        <v>0</v>
      </c>
      <c r="L86" s="444">
        <f>SUMIFS('HVP T12'!G:G,'HVP T12'!$B:$B,'P&amp;Ls Detailed'!$G86)</f>
        <v>4000</v>
      </c>
      <c r="M86" s="444">
        <f>SUMIFS('HVP T12'!H:H,'HVP T12'!$B:$B,'P&amp;Ls Detailed'!$G86)</f>
        <v>0</v>
      </c>
      <c r="N86" s="444">
        <f>SUMIFS('HVP T12'!I:I,'HVP T12'!$B:$B,'P&amp;Ls Detailed'!$G86)</f>
        <v>0</v>
      </c>
      <c r="O86" s="444">
        <f>SUMIFS('HVP T12'!J:J,'HVP T12'!$B:$B,'P&amp;Ls Detailed'!$G86)</f>
        <v>0</v>
      </c>
      <c r="P86" s="444">
        <f>SUMIFS('HVP T12'!K:K,'HVP T12'!$B:$B,'P&amp;Ls Detailed'!$G86)</f>
        <v>0</v>
      </c>
      <c r="Q86" s="444">
        <f>SUMIFS('HVP T12'!L:L,'HVP T12'!$B:$B,'P&amp;Ls Detailed'!$G86)</f>
        <v>0</v>
      </c>
      <c r="R86" s="444">
        <f>SUMIFS('HVP T12'!M:M,'HVP T12'!$B:$B,'P&amp;Ls Detailed'!$G86)</f>
        <v>0</v>
      </c>
      <c r="S86" s="444">
        <f>SUMIFS('HVP T12'!N:N,'HVP T12'!$B:$B,'P&amp;Ls Detailed'!$G86)</f>
        <v>0</v>
      </c>
      <c r="T86" s="697"/>
      <c r="U86" s="444"/>
      <c r="V86" s="698"/>
      <c r="W86" s="489">
        <f t="shared" si="34"/>
        <v>4000</v>
      </c>
      <c r="X86" s="490">
        <f t="shared" si="35"/>
        <v>5333.3333333333339</v>
      </c>
      <c r="Y86" s="490">
        <f t="shared" si="36"/>
        <v>0</v>
      </c>
      <c r="Z86" s="490">
        <f t="shared" si="37"/>
        <v>0</v>
      </c>
      <c r="AA86" s="490">
        <f t="shared" si="38"/>
        <v>0</v>
      </c>
      <c r="AB86" s="491"/>
      <c r="AC86" s="491"/>
      <c r="AD86" s="9"/>
      <c r="AE86" s="498"/>
      <c r="AF86" s="499"/>
      <c r="AG86" s="499"/>
      <c r="AH86" s="499"/>
      <c r="AI86" s="499"/>
      <c r="AJ86" s="499"/>
      <c r="AK86" s="499"/>
      <c r="AL86" s="499"/>
      <c r="AM86" s="499"/>
      <c r="AN86" s="499"/>
      <c r="AO86" s="499"/>
      <c r="AP86" s="499"/>
      <c r="AQ86" s="499"/>
      <c r="AR86" s="499"/>
      <c r="AS86" s="9"/>
      <c r="AT86" s="9"/>
      <c r="AU86" s="9"/>
    </row>
    <row r="87" spans="1:47" s="88" customFormat="1" x14ac:dyDescent="0.25">
      <c r="A87" s="9"/>
      <c r="B87" s="9"/>
      <c r="C87" s="9"/>
      <c r="D87" s="487" t="str">
        <f t="shared" si="32"/>
        <v>Hudson View Park</v>
      </c>
      <c r="E87" s="488" t="s">
        <v>7</v>
      </c>
      <c r="F87" s="488"/>
      <c r="G87" s="443" t="s">
        <v>1572</v>
      </c>
      <c r="H87" s="444">
        <f>SUMIFS('HVP T12'!C:C,'HVP T12'!$B:$B,'P&amp;Ls Detailed'!$G87)</f>
        <v>0</v>
      </c>
      <c r="I87" s="444">
        <f>SUMIFS('HVP T12'!D:D,'HVP T12'!$B:$B,'P&amp;Ls Detailed'!$G87)</f>
        <v>0</v>
      </c>
      <c r="J87" s="444">
        <f>SUMIFS('HVP T12'!E:E,'HVP T12'!$B:$B,'P&amp;Ls Detailed'!$G87)</f>
        <v>0</v>
      </c>
      <c r="K87" s="444">
        <f>SUMIFS('HVP T12'!F:F,'HVP T12'!$B:$B,'P&amp;Ls Detailed'!$G87)</f>
        <v>0</v>
      </c>
      <c r="L87" s="444">
        <f>SUMIFS('HVP T12'!G:G,'HVP T12'!$B:$B,'P&amp;Ls Detailed'!$G87)</f>
        <v>0</v>
      </c>
      <c r="M87" s="444">
        <f>SUMIFS('HVP T12'!H:H,'HVP T12'!$B:$B,'P&amp;Ls Detailed'!$G87)</f>
        <v>0</v>
      </c>
      <c r="N87" s="444">
        <f>SUMIFS('HVP T12'!I:I,'HVP T12'!$B:$B,'P&amp;Ls Detailed'!$G87)</f>
        <v>0</v>
      </c>
      <c r="O87" s="444">
        <f>SUMIFS('HVP T12'!J:J,'HVP T12'!$B:$B,'P&amp;Ls Detailed'!$G87)</f>
        <v>0</v>
      </c>
      <c r="P87" s="444">
        <f>SUMIFS('HVP T12'!K:K,'HVP T12'!$B:$B,'P&amp;Ls Detailed'!$G87)</f>
        <v>0</v>
      </c>
      <c r="Q87" s="444">
        <f>SUMIFS('HVP T12'!L:L,'HVP T12'!$B:$B,'P&amp;Ls Detailed'!$G87)</f>
        <v>0</v>
      </c>
      <c r="R87" s="444">
        <f>SUMIFS('HVP T12'!M:M,'HVP T12'!$B:$B,'P&amp;Ls Detailed'!$G87)</f>
        <v>25</v>
      </c>
      <c r="S87" s="444">
        <f>SUMIFS('HVP T12'!N:N,'HVP T12'!$B:$B,'P&amp;Ls Detailed'!$G87)</f>
        <v>0</v>
      </c>
      <c r="T87" s="697"/>
      <c r="U87" s="444"/>
      <c r="V87" s="698"/>
      <c r="W87" s="489">
        <f t="shared" si="34"/>
        <v>25</v>
      </c>
      <c r="X87" s="490">
        <f t="shared" si="35"/>
        <v>33.333333333333329</v>
      </c>
      <c r="Y87" s="490">
        <f t="shared" si="36"/>
        <v>50</v>
      </c>
      <c r="Z87" s="490">
        <f t="shared" si="37"/>
        <v>100</v>
      </c>
      <c r="AA87" s="490">
        <f t="shared" si="38"/>
        <v>0</v>
      </c>
      <c r="AB87" s="491"/>
      <c r="AC87" s="491"/>
      <c r="AD87" s="9"/>
      <c r="AE87" s="9"/>
      <c r="AF87" s="499"/>
      <c r="AG87" s="499"/>
      <c r="AH87" s="499"/>
      <c r="AI87" s="499"/>
      <c r="AJ87" s="499"/>
      <c r="AK87" s="499"/>
      <c r="AL87" s="499"/>
      <c r="AM87" s="499"/>
      <c r="AN87" s="499"/>
      <c r="AO87" s="499"/>
      <c r="AP87" s="499"/>
      <c r="AQ87" s="499"/>
      <c r="AR87" s="499"/>
      <c r="AS87" s="9"/>
      <c r="AT87" s="9"/>
      <c r="AU87" s="9"/>
    </row>
    <row r="88" spans="1:47" s="88" customFormat="1" x14ac:dyDescent="0.25">
      <c r="A88" s="9"/>
      <c r="B88" s="9"/>
      <c r="C88" s="9"/>
      <c r="D88" s="487" t="str">
        <f t="shared" si="32"/>
        <v>Hudson View Park</v>
      </c>
      <c r="E88" s="488" t="s">
        <v>7</v>
      </c>
      <c r="F88" s="488"/>
      <c r="G88" s="443" t="s">
        <v>1574</v>
      </c>
      <c r="H88" s="444">
        <f>SUMIFS('HVP T12'!C:C,'HVP T12'!$B:$B,'P&amp;Ls Detailed'!$G88)</f>
        <v>0</v>
      </c>
      <c r="I88" s="444">
        <f>SUMIFS('HVP T12'!D:D,'HVP T12'!$B:$B,'P&amp;Ls Detailed'!$G88)</f>
        <v>0</v>
      </c>
      <c r="J88" s="444">
        <f>SUMIFS('HVP T12'!E:E,'HVP T12'!$B:$B,'P&amp;Ls Detailed'!$G88)</f>
        <v>700.54</v>
      </c>
      <c r="K88" s="444">
        <f>SUMIFS('HVP T12'!F:F,'HVP T12'!$B:$B,'P&amp;Ls Detailed'!$G88)</f>
        <v>0</v>
      </c>
      <c r="L88" s="444">
        <f>SUMIFS('HVP T12'!G:G,'HVP T12'!$B:$B,'P&amp;Ls Detailed'!$G88)</f>
        <v>0</v>
      </c>
      <c r="M88" s="444">
        <f>SUMIFS('HVP T12'!H:H,'HVP T12'!$B:$B,'P&amp;Ls Detailed'!$G88)</f>
        <v>0</v>
      </c>
      <c r="N88" s="444">
        <f>SUMIFS('HVP T12'!I:I,'HVP T12'!$B:$B,'P&amp;Ls Detailed'!$G88)</f>
        <v>0</v>
      </c>
      <c r="O88" s="444">
        <f>SUMIFS('HVP T12'!J:J,'HVP T12'!$B:$B,'P&amp;Ls Detailed'!$G88)</f>
        <v>2441.4</v>
      </c>
      <c r="P88" s="444">
        <f>SUMIFS('HVP T12'!K:K,'HVP T12'!$B:$B,'P&amp;Ls Detailed'!$G88)</f>
        <v>0</v>
      </c>
      <c r="Q88" s="444">
        <f>SUMIFS('HVP T12'!L:L,'HVP T12'!$B:$B,'P&amp;Ls Detailed'!$G88)</f>
        <v>0</v>
      </c>
      <c r="R88" s="444">
        <f>SUMIFS('HVP T12'!M:M,'HVP T12'!$B:$B,'P&amp;Ls Detailed'!$G88)</f>
        <v>357.5</v>
      </c>
      <c r="S88" s="444">
        <f>SUMIFS('HVP T12'!N:N,'HVP T12'!$B:$B,'P&amp;Ls Detailed'!$G88)</f>
        <v>0</v>
      </c>
      <c r="T88" s="697"/>
      <c r="U88" s="444"/>
      <c r="V88" s="698"/>
      <c r="W88" s="489">
        <f t="shared" si="34"/>
        <v>3499.44</v>
      </c>
      <c r="X88" s="490">
        <f t="shared" si="35"/>
        <v>3731.8666666666668</v>
      </c>
      <c r="Y88" s="490">
        <f t="shared" si="36"/>
        <v>5597.8</v>
      </c>
      <c r="Z88" s="490">
        <f t="shared" si="37"/>
        <v>1430</v>
      </c>
      <c r="AA88" s="490">
        <f t="shared" si="38"/>
        <v>0</v>
      </c>
      <c r="AB88" s="491"/>
      <c r="AC88" s="491"/>
      <c r="AD88" s="9"/>
      <c r="AE88" s="9"/>
      <c r="AF88" s="613"/>
      <c r="AG88" s="613"/>
      <c r="AH88" s="613"/>
      <c r="AI88" s="613"/>
      <c r="AJ88" s="613"/>
      <c r="AK88" s="613"/>
      <c r="AL88" s="613"/>
      <c r="AM88" s="613"/>
      <c r="AN88" s="613"/>
      <c r="AO88" s="613"/>
      <c r="AP88" s="613"/>
      <c r="AQ88" s="613"/>
      <c r="AR88" s="613"/>
      <c r="AS88" s="9"/>
      <c r="AT88" s="9"/>
      <c r="AU88" s="9"/>
    </row>
    <row r="89" spans="1:47" s="88" customFormat="1" x14ac:dyDescent="0.25">
      <c r="A89" s="9"/>
      <c r="B89" s="9"/>
      <c r="C89" s="9"/>
      <c r="D89" s="487" t="str">
        <f t="shared" si="32"/>
        <v>Hudson View Park</v>
      </c>
      <c r="E89" s="488" t="s">
        <v>7</v>
      </c>
      <c r="F89" s="488"/>
      <c r="G89" s="443" t="s">
        <v>1576</v>
      </c>
      <c r="H89" s="444">
        <f>SUMIFS('HVP T12'!C:C,'HVP T12'!$B:$B,'P&amp;Ls Detailed'!$G89)</f>
        <v>2567.7199999999998</v>
      </c>
      <c r="I89" s="444">
        <f>SUMIFS('HVP T12'!D:D,'HVP T12'!$B:$B,'P&amp;Ls Detailed'!$G89)</f>
        <v>2223.0300000000002</v>
      </c>
      <c r="J89" s="444">
        <f>SUMIFS('HVP T12'!E:E,'HVP T12'!$B:$B,'P&amp;Ls Detailed'!$G89)</f>
        <v>3593.01</v>
      </c>
      <c r="K89" s="444">
        <f>SUMIFS('HVP T12'!F:F,'HVP T12'!$B:$B,'P&amp;Ls Detailed'!$G89)</f>
        <v>1946.61</v>
      </c>
      <c r="L89" s="444">
        <f>SUMIFS('HVP T12'!G:G,'HVP T12'!$B:$B,'P&amp;Ls Detailed'!$G89)</f>
        <v>2861.59</v>
      </c>
      <c r="M89" s="444">
        <f>SUMIFS('HVP T12'!H:H,'HVP T12'!$B:$B,'P&amp;Ls Detailed'!$G89)</f>
        <v>3032.01</v>
      </c>
      <c r="N89" s="444">
        <f>SUMIFS('HVP T12'!I:I,'HVP T12'!$B:$B,'P&amp;Ls Detailed'!$G89)</f>
        <v>4702.87</v>
      </c>
      <c r="O89" s="444">
        <f>SUMIFS('HVP T12'!J:J,'HVP T12'!$B:$B,'P&amp;Ls Detailed'!$G89)</f>
        <v>3413.74</v>
      </c>
      <c r="P89" s="444">
        <f>SUMIFS('HVP T12'!K:K,'HVP T12'!$B:$B,'P&amp;Ls Detailed'!$G89)</f>
        <v>3015.06</v>
      </c>
      <c r="Q89" s="444">
        <f>SUMIFS('HVP T12'!L:L,'HVP T12'!$B:$B,'P&amp;Ls Detailed'!$G89)</f>
        <v>2696.93</v>
      </c>
      <c r="R89" s="444">
        <f>SUMIFS('HVP T12'!M:M,'HVP T12'!$B:$B,'P&amp;Ls Detailed'!$G89)</f>
        <v>3098.09</v>
      </c>
      <c r="S89" s="444">
        <f>SUMIFS('HVP T12'!N:N,'HVP T12'!$B:$B,'P&amp;Ls Detailed'!$G89)</f>
        <v>2454.5300000000002</v>
      </c>
      <c r="T89" s="697"/>
      <c r="U89" s="444"/>
      <c r="V89" s="698"/>
      <c r="W89" s="489">
        <f t="shared" si="34"/>
        <v>35605.19</v>
      </c>
      <c r="X89" s="490">
        <f t="shared" si="35"/>
        <v>36295.240000000005</v>
      </c>
      <c r="Y89" s="490">
        <f t="shared" si="36"/>
        <v>38762.44</v>
      </c>
      <c r="Z89" s="490">
        <f t="shared" si="37"/>
        <v>32998.200000000004</v>
      </c>
      <c r="AA89" s="490">
        <f t="shared" si="38"/>
        <v>29454.36</v>
      </c>
      <c r="AB89" s="491"/>
      <c r="AC89" s="491"/>
      <c r="AD89" s="9"/>
      <c r="AE89" s="498"/>
      <c r="AF89" s="613"/>
      <c r="AG89" s="613"/>
      <c r="AH89" s="613"/>
      <c r="AI89" s="613"/>
      <c r="AJ89" s="613"/>
      <c r="AK89" s="613"/>
      <c r="AL89" s="613"/>
      <c r="AM89" s="613"/>
      <c r="AN89" s="613"/>
      <c r="AO89" s="613"/>
      <c r="AP89" s="613"/>
      <c r="AQ89" s="613"/>
      <c r="AR89" s="613"/>
      <c r="AS89" s="9"/>
      <c r="AT89" s="9"/>
      <c r="AU89" s="9"/>
    </row>
    <row r="90" spans="1:47" s="88" customFormat="1" x14ac:dyDescent="0.25">
      <c r="A90" s="9"/>
      <c r="B90" s="9"/>
      <c r="C90" s="9"/>
      <c r="D90" s="487" t="str">
        <f t="shared" si="32"/>
        <v>Hudson View Park</v>
      </c>
      <c r="E90" s="488" t="s">
        <v>7</v>
      </c>
      <c r="F90" s="488"/>
      <c r="G90" s="443" t="s">
        <v>1578</v>
      </c>
      <c r="H90" s="444">
        <f>SUMIFS('HVP T12'!C:C,'HVP T12'!$B:$B,'P&amp;Ls Detailed'!$G90)</f>
        <v>3119.94</v>
      </c>
      <c r="I90" s="444">
        <f>SUMIFS('HVP T12'!D:D,'HVP T12'!$B:$B,'P&amp;Ls Detailed'!$G90)</f>
        <v>3262.47</v>
      </c>
      <c r="J90" s="444">
        <f>SUMIFS('HVP T12'!E:E,'HVP T12'!$B:$B,'P&amp;Ls Detailed'!$G90)</f>
        <v>10250.44</v>
      </c>
      <c r="K90" s="444">
        <f>SUMIFS('HVP T12'!F:F,'HVP T12'!$B:$B,'P&amp;Ls Detailed'!$G90)</f>
        <v>5799.27</v>
      </c>
      <c r="L90" s="444">
        <f>SUMIFS('HVP T12'!G:G,'HVP T12'!$B:$B,'P&amp;Ls Detailed'!$G90)</f>
        <v>4233.7700000000004</v>
      </c>
      <c r="M90" s="444">
        <f>SUMIFS('HVP T12'!H:H,'HVP T12'!$B:$B,'P&amp;Ls Detailed'!$G90)</f>
        <v>5039.43</v>
      </c>
      <c r="N90" s="444">
        <f>SUMIFS('HVP T12'!I:I,'HVP T12'!$B:$B,'P&amp;Ls Detailed'!$G90)</f>
        <v>7289.32</v>
      </c>
      <c r="O90" s="444">
        <f>SUMIFS('HVP T12'!J:J,'HVP T12'!$B:$B,'P&amp;Ls Detailed'!$G90)</f>
        <v>4702.2700000000004</v>
      </c>
      <c r="P90" s="444">
        <f>SUMIFS('HVP T12'!K:K,'HVP T12'!$B:$B,'P&amp;Ls Detailed'!$G90)</f>
        <v>2749.7</v>
      </c>
      <c r="Q90" s="444">
        <f>SUMIFS('HVP T12'!L:L,'HVP T12'!$B:$B,'P&amp;Ls Detailed'!$G90)</f>
        <v>3224.59</v>
      </c>
      <c r="R90" s="444">
        <f>SUMIFS('HVP T12'!M:M,'HVP T12'!$B:$B,'P&amp;Ls Detailed'!$G90)</f>
        <v>3033.79</v>
      </c>
      <c r="S90" s="444">
        <f>SUMIFS('HVP T12'!N:N,'HVP T12'!$B:$B,'P&amp;Ls Detailed'!$G90)</f>
        <v>2985.75</v>
      </c>
      <c r="T90" s="697"/>
      <c r="U90" s="444"/>
      <c r="V90" s="698"/>
      <c r="W90" s="489">
        <f t="shared" si="34"/>
        <v>55690.74</v>
      </c>
      <c r="X90" s="490">
        <f t="shared" si="35"/>
        <v>52077.186666666676</v>
      </c>
      <c r="Y90" s="490">
        <f t="shared" si="36"/>
        <v>47970.840000000004</v>
      </c>
      <c r="Z90" s="490">
        <f t="shared" si="37"/>
        <v>36976.520000000004</v>
      </c>
      <c r="AA90" s="490">
        <f t="shared" si="38"/>
        <v>35829</v>
      </c>
      <c r="AB90" s="491"/>
      <c r="AC90" s="491"/>
      <c r="AD90" s="9"/>
      <c r="AE90" s="9"/>
      <c r="AF90" s="611"/>
      <c r="AG90" s="612"/>
      <c r="AH90" s="612"/>
      <c r="AI90" s="612"/>
      <c r="AJ90" s="612"/>
      <c r="AK90" s="612"/>
      <c r="AL90" s="611"/>
      <c r="AM90" s="611"/>
      <c r="AN90" s="611"/>
      <c r="AO90" s="611"/>
      <c r="AP90" s="611"/>
      <c r="AQ90" s="611"/>
      <c r="AR90" s="9"/>
      <c r="AS90" s="9"/>
      <c r="AT90" s="9"/>
      <c r="AU90" s="9"/>
    </row>
    <row r="91" spans="1:47" s="88" customFormat="1" x14ac:dyDescent="0.25">
      <c r="A91" s="9"/>
      <c r="B91" s="9"/>
      <c r="C91" s="9"/>
      <c r="D91" s="487" t="str">
        <f t="shared" si="32"/>
        <v>Hudson View Park</v>
      </c>
      <c r="E91" s="488" t="s">
        <v>7</v>
      </c>
      <c r="F91" s="488"/>
      <c r="G91" s="443" t="s">
        <v>1580</v>
      </c>
      <c r="H91" s="444">
        <f>SUMIFS('HVP T12'!C:C,'HVP T12'!$B:$B,'P&amp;Ls Detailed'!$G91)</f>
        <v>216.98</v>
      </c>
      <c r="I91" s="444">
        <f>SUMIFS('HVP T12'!D:D,'HVP T12'!$B:$B,'P&amp;Ls Detailed'!$G91)</f>
        <v>652</v>
      </c>
      <c r="J91" s="444">
        <f>SUMIFS('HVP T12'!E:E,'HVP T12'!$B:$B,'P&amp;Ls Detailed'!$G91)</f>
        <v>356.2</v>
      </c>
      <c r="K91" s="444">
        <f>SUMIFS('HVP T12'!F:F,'HVP T12'!$B:$B,'P&amp;Ls Detailed'!$G91)</f>
        <v>398.07</v>
      </c>
      <c r="L91" s="444">
        <f>SUMIFS('HVP T12'!G:G,'HVP T12'!$B:$B,'P&amp;Ls Detailed'!$G91)</f>
        <v>420.28</v>
      </c>
      <c r="M91" s="444">
        <f>SUMIFS('HVP T12'!H:H,'HVP T12'!$B:$B,'P&amp;Ls Detailed'!$G91)</f>
        <v>252.17</v>
      </c>
      <c r="N91" s="444">
        <f>SUMIFS('HVP T12'!I:I,'HVP T12'!$B:$B,'P&amp;Ls Detailed'!$G91)</f>
        <v>289.33999999999997</v>
      </c>
      <c r="O91" s="444">
        <f>SUMIFS('HVP T12'!J:J,'HVP T12'!$B:$B,'P&amp;Ls Detailed'!$G91)</f>
        <v>1260.4000000000001</v>
      </c>
      <c r="P91" s="444">
        <f>SUMIFS('HVP T12'!K:K,'HVP T12'!$B:$B,'P&amp;Ls Detailed'!$G91)</f>
        <v>177.31</v>
      </c>
      <c r="Q91" s="444">
        <f>SUMIFS('HVP T12'!L:L,'HVP T12'!$B:$B,'P&amp;Ls Detailed'!$G91)</f>
        <v>648.53</v>
      </c>
      <c r="R91" s="444">
        <f>SUMIFS('HVP T12'!M:M,'HVP T12'!$B:$B,'P&amp;Ls Detailed'!$G91)</f>
        <v>824.91</v>
      </c>
      <c r="S91" s="444">
        <f>SUMIFS('HVP T12'!N:N,'HVP T12'!$B:$B,'P&amp;Ls Detailed'!$G91)</f>
        <v>142.22999999999999</v>
      </c>
      <c r="T91" s="697"/>
      <c r="U91" s="444"/>
      <c r="V91" s="698"/>
      <c r="W91" s="489">
        <f t="shared" si="34"/>
        <v>5638.4199999999992</v>
      </c>
      <c r="X91" s="490">
        <f t="shared" si="35"/>
        <v>5884.32</v>
      </c>
      <c r="Y91" s="490">
        <f t="shared" si="36"/>
        <v>6685.4400000000005</v>
      </c>
      <c r="Z91" s="490">
        <f t="shared" si="37"/>
        <v>6462.68</v>
      </c>
      <c r="AA91" s="490">
        <f t="shared" si="38"/>
        <v>1706.7599999999998</v>
      </c>
      <c r="AB91" s="491"/>
      <c r="AC91" s="491"/>
      <c r="AD91" s="9"/>
      <c r="AE91" s="9"/>
      <c r="AF91" s="611"/>
      <c r="AG91" s="611"/>
      <c r="AH91" s="611"/>
      <c r="AI91" s="611"/>
      <c r="AJ91" s="611"/>
      <c r="AK91" s="611"/>
      <c r="AL91" s="611"/>
      <c r="AM91" s="611"/>
      <c r="AN91" s="611"/>
      <c r="AO91" s="611"/>
      <c r="AP91" s="611"/>
      <c r="AQ91" s="611"/>
      <c r="AR91" s="611"/>
      <c r="AS91" s="9"/>
      <c r="AT91" s="9"/>
      <c r="AU91" s="9"/>
    </row>
    <row r="92" spans="1:47" s="88" customFormat="1" x14ac:dyDescent="0.25">
      <c r="A92" s="9"/>
      <c r="B92" s="9"/>
      <c r="C92" s="9"/>
      <c r="D92" s="487" t="str">
        <f t="shared" si="32"/>
        <v>Hudson View Park</v>
      </c>
      <c r="E92" s="488" t="s">
        <v>7</v>
      </c>
      <c r="F92" s="488"/>
      <c r="G92" s="443" t="s">
        <v>1582</v>
      </c>
      <c r="H92" s="444">
        <f>SUMIFS('HVP T12'!C:C,'HVP T12'!$B:$B,'P&amp;Ls Detailed'!$G92)</f>
        <v>15</v>
      </c>
      <c r="I92" s="444">
        <f>SUMIFS('HVP T12'!D:D,'HVP T12'!$B:$B,'P&amp;Ls Detailed'!$G92)</f>
        <v>15</v>
      </c>
      <c r="J92" s="444">
        <f>SUMIFS('HVP T12'!E:E,'HVP T12'!$B:$B,'P&amp;Ls Detailed'!$G92)</f>
        <v>45</v>
      </c>
      <c r="K92" s="444">
        <f>SUMIFS('HVP T12'!F:F,'HVP T12'!$B:$B,'P&amp;Ls Detailed'!$G92)</f>
        <v>15</v>
      </c>
      <c r="L92" s="444">
        <f>SUMIFS('HVP T12'!G:G,'HVP T12'!$B:$B,'P&amp;Ls Detailed'!$G92)</f>
        <v>15</v>
      </c>
      <c r="M92" s="444">
        <f>SUMIFS('HVP T12'!H:H,'HVP T12'!$B:$B,'P&amp;Ls Detailed'!$G92)</f>
        <v>45</v>
      </c>
      <c r="N92" s="444">
        <f>SUMIFS('HVP T12'!I:I,'HVP T12'!$B:$B,'P&amp;Ls Detailed'!$G92)</f>
        <v>15</v>
      </c>
      <c r="O92" s="444">
        <f>SUMIFS('HVP T12'!J:J,'HVP T12'!$B:$B,'P&amp;Ls Detailed'!$G92)</f>
        <v>85.8</v>
      </c>
      <c r="P92" s="444">
        <f>SUMIFS('HVP T12'!K:K,'HVP T12'!$B:$B,'P&amp;Ls Detailed'!$G92)</f>
        <v>65.7</v>
      </c>
      <c r="Q92" s="444">
        <f>SUMIFS('HVP T12'!L:L,'HVP T12'!$B:$B,'P&amp;Ls Detailed'!$G92)</f>
        <v>-264.3</v>
      </c>
      <c r="R92" s="444">
        <f>SUMIFS('HVP T12'!M:M,'HVP T12'!$B:$B,'P&amp;Ls Detailed'!$G92)</f>
        <v>35.549999999999997</v>
      </c>
      <c r="S92" s="444">
        <f>SUMIFS('HVP T12'!N:N,'HVP T12'!$B:$B,'P&amp;Ls Detailed'!$G92)</f>
        <v>29.4</v>
      </c>
      <c r="T92" s="697"/>
      <c r="U92" s="444"/>
      <c r="V92" s="698"/>
      <c r="W92" s="489">
        <f t="shared" si="34"/>
        <v>117.14999999999998</v>
      </c>
      <c r="X92" s="490">
        <f t="shared" si="35"/>
        <v>56.199999999999982</v>
      </c>
      <c r="Y92" s="490">
        <f t="shared" si="36"/>
        <v>-65.700000000000031</v>
      </c>
      <c r="Z92" s="490">
        <f t="shared" si="37"/>
        <v>-797.40000000000009</v>
      </c>
      <c r="AA92" s="490">
        <f t="shared" si="38"/>
        <v>352.79999999999995</v>
      </c>
      <c r="AB92" s="491"/>
      <c r="AC92" s="491"/>
      <c r="AD92" s="9"/>
      <c r="AE92" s="498"/>
      <c r="AF92" s="611"/>
      <c r="AG92" s="611"/>
      <c r="AH92" s="611"/>
      <c r="AI92" s="611"/>
      <c r="AJ92" s="611"/>
      <c r="AK92" s="611"/>
      <c r="AL92" s="611"/>
      <c r="AM92" s="611"/>
      <c r="AN92" s="611"/>
      <c r="AO92" s="611"/>
      <c r="AP92" s="611"/>
      <c r="AQ92" s="611"/>
      <c r="AR92" s="611"/>
      <c r="AS92" s="9"/>
      <c r="AT92" s="9"/>
      <c r="AU92" s="9"/>
    </row>
    <row r="93" spans="1:47" s="88" customFormat="1" x14ac:dyDescent="0.25">
      <c r="A93" s="9"/>
      <c r="B93" s="9"/>
      <c r="C93" s="9"/>
      <c r="D93" s="487" t="str">
        <f t="shared" si="32"/>
        <v>Hudson View Park</v>
      </c>
      <c r="E93" s="488" t="s">
        <v>7</v>
      </c>
      <c r="F93" s="488"/>
      <c r="G93" s="443" t="s">
        <v>1584</v>
      </c>
      <c r="H93" s="444">
        <f>SUMIFS('HVP T12'!C:C,'HVP T12'!$B:$B,'P&amp;Ls Detailed'!$G93)</f>
        <v>2336.64</v>
      </c>
      <c r="I93" s="444">
        <f>SUMIFS('HVP T12'!D:D,'HVP T12'!$B:$B,'P&amp;Ls Detailed'!$G93)</f>
        <v>3429.41</v>
      </c>
      <c r="J93" s="444">
        <f>SUMIFS('HVP T12'!E:E,'HVP T12'!$B:$B,'P&amp;Ls Detailed'!$G93)</f>
        <v>5769.32</v>
      </c>
      <c r="K93" s="444">
        <f>SUMIFS('HVP T12'!F:F,'HVP T12'!$B:$B,'P&amp;Ls Detailed'!$G93)</f>
        <v>980.64</v>
      </c>
      <c r="L93" s="444">
        <f>SUMIFS('HVP T12'!G:G,'HVP T12'!$B:$B,'P&amp;Ls Detailed'!$G93)</f>
        <v>4766.8999999999996</v>
      </c>
      <c r="M93" s="444">
        <f>SUMIFS('HVP T12'!H:H,'HVP T12'!$B:$B,'P&amp;Ls Detailed'!$G93)</f>
        <v>1695.79</v>
      </c>
      <c r="N93" s="444">
        <f>SUMIFS('HVP T12'!I:I,'HVP T12'!$B:$B,'P&amp;Ls Detailed'!$G93)</f>
        <v>1386.54</v>
      </c>
      <c r="O93" s="444">
        <f>SUMIFS('HVP T12'!J:J,'HVP T12'!$B:$B,'P&amp;Ls Detailed'!$G93)</f>
        <v>1246.73</v>
      </c>
      <c r="P93" s="444">
        <f>SUMIFS('HVP T12'!K:K,'HVP T12'!$B:$B,'P&amp;Ls Detailed'!$G93)</f>
        <v>389.65</v>
      </c>
      <c r="Q93" s="444">
        <f>SUMIFS('HVP T12'!L:L,'HVP T12'!$B:$B,'P&amp;Ls Detailed'!$G93)</f>
        <v>922.74</v>
      </c>
      <c r="R93" s="444">
        <f>SUMIFS('HVP T12'!M:M,'HVP T12'!$B:$B,'P&amp;Ls Detailed'!$G93)</f>
        <v>265.64</v>
      </c>
      <c r="S93" s="444">
        <f>SUMIFS('HVP T12'!N:N,'HVP T12'!$B:$B,'P&amp;Ls Detailed'!$G93)</f>
        <v>691.28</v>
      </c>
      <c r="T93" s="697"/>
      <c r="U93" s="444"/>
      <c r="V93" s="698"/>
      <c r="W93" s="489">
        <f t="shared" si="34"/>
        <v>23881.279999999999</v>
      </c>
      <c r="X93" s="490">
        <f t="shared" si="35"/>
        <v>16461.213333333333</v>
      </c>
      <c r="Y93" s="490">
        <f t="shared" si="36"/>
        <v>9805.16</v>
      </c>
      <c r="Z93" s="490">
        <f t="shared" si="37"/>
        <v>7518.6400000000012</v>
      </c>
      <c r="AA93" s="490">
        <f t="shared" si="38"/>
        <v>8295.36</v>
      </c>
      <c r="AB93" s="491"/>
      <c r="AC93" s="491"/>
      <c r="AD93" s="9"/>
      <c r="AE93" s="498"/>
      <c r="AF93" s="499"/>
      <c r="AG93" s="499"/>
      <c r="AH93" s="499"/>
      <c r="AI93" s="499"/>
      <c r="AJ93" s="499"/>
      <c r="AK93" s="499"/>
      <c r="AL93" s="499"/>
      <c r="AM93" s="499"/>
      <c r="AN93" s="499"/>
      <c r="AO93" s="499"/>
      <c r="AP93" s="499"/>
      <c r="AQ93" s="499"/>
      <c r="AR93" s="499"/>
      <c r="AS93" s="9"/>
      <c r="AT93" s="9"/>
      <c r="AU93" s="9"/>
    </row>
    <row r="94" spans="1:47" s="88" customFormat="1" x14ac:dyDescent="0.25">
      <c r="A94" s="9"/>
      <c r="B94" s="9"/>
      <c r="C94" s="9"/>
      <c r="D94" s="487" t="str">
        <f t="shared" si="32"/>
        <v>Hudson View Park</v>
      </c>
      <c r="E94" s="488" t="s">
        <v>7</v>
      </c>
      <c r="F94" s="488"/>
      <c r="G94" s="443" t="s">
        <v>1586</v>
      </c>
      <c r="H94" s="444">
        <f>SUMIFS('HVP T12'!C:C,'HVP T12'!$B:$B,'P&amp;Ls Detailed'!$G94)</f>
        <v>0</v>
      </c>
      <c r="I94" s="444">
        <f>SUMIFS('HVP T12'!D:D,'HVP T12'!$B:$B,'P&amp;Ls Detailed'!$G94)</f>
        <v>0</v>
      </c>
      <c r="J94" s="444">
        <f>SUMIFS('HVP T12'!E:E,'HVP T12'!$B:$B,'P&amp;Ls Detailed'!$G94)</f>
        <v>0</v>
      </c>
      <c r="K94" s="444">
        <f>SUMIFS('HVP T12'!F:F,'HVP T12'!$B:$B,'P&amp;Ls Detailed'!$G94)</f>
        <v>0</v>
      </c>
      <c r="L94" s="444">
        <f>SUMIFS('HVP T12'!G:G,'HVP T12'!$B:$B,'P&amp;Ls Detailed'!$G94)</f>
        <v>0</v>
      </c>
      <c r="M94" s="444">
        <f>SUMIFS('HVP T12'!H:H,'HVP T12'!$B:$B,'P&amp;Ls Detailed'!$G94)</f>
        <v>0</v>
      </c>
      <c r="N94" s="444">
        <f>SUMIFS('HVP T12'!I:I,'HVP T12'!$B:$B,'P&amp;Ls Detailed'!$G94)</f>
        <v>0</v>
      </c>
      <c r="O94" s="444">
        <f>SUMIFS('HVP T12'!J:J,'HVP T12'!$B:$B,'P&amp;Ls Detailed'!$G94)</f>
        <v>0</v>
      </c>
      <c r="P94" s="444">
        <f>SUMIFS('HVP T12'!K:K,'HVP T12'!$B:$B,'P&amp;Ls Detailed'!$G94)</f>
        <v>250.04</v>
      </c>
      <c r="Q94" s="444">
        <f>SUMIFS('HVP T12'!L:L,'HVP T12'!$B:$B,'P&amp;Ls Detailed'!$G94)</f>
        <v>0</v>
      </c>
      <c r="R94" s="444">
        <f>SUMIFS('HVP T12'!M:M,'HVP T12'!$B:$B,'P&amp;Ls Detailed'!$G94)</f>
        <v>2122.27</v>
      </c>
      <c r="S94" s="444">
        <f>SUMIFS('HVP T12'!N:N,'HVP T12'!$B:$B,'P&amp;Ls Detailed'!$G94)</f>
        <v>911.78</v>
      </c>
      <c r="T94" s="697"/>
      <c r="U94" s="444"/>
      <c r="V94" s="698"/>
      <c r="W94" s="489">
        <f t="shared" si="34"/>
        <v>3284.09</v>
      </c>
      <c r="X94" s="490">
        <f t="shared" si="35"/>
        <v>4378.7866666666669</v>
      </c>
      <c r="Y94" s="490">
        <f t="shared" si="36"/>
        <v>6568.18</v>
      </c>
      <c r="Z94" s="490">
        <f t="shared" si="37"/>
        <v>12136.2</v>
      </c>
      <c r="AA94" s="490">
        <f t="shared" si="38"/>
        <v>10941.36</v>
      </c>
      <c r="AB94" s="491"/>
      <c r="AC94" s="491"/>
      <c r="AD94" s="9"/>
      <c r="AE94" s="498"/>
      <c r="AF94" s="499"/>
      <c r="AG94" s="499"/>
      <c r="AH94" s="499"/>
      <c r="AI94" s="499"/>
      <c r="AJ94" s="499"/>
      <c r="AK94" s="499"/>
      <c r="AL94" s="499"/>
      <c r="AM94" s="499"/>
      <c r="AN94" s="499"/>
      <c r="AO94" s="499"/>
      <c r="AP94" s="499"/>
      <c r="AQ94" s="499"/>
      <c r="AR94" s="499"/>
      <c r="AS94" s="9"/>
      <c r="AT94" s="9"/>
      <c r="AU94" s="9"/>
    </row>
    <row r="95" spans="1:47" s="88" customFormat="1" x14ac:dyDescent="0.25">
      <c r="A95" s="9"/>
      <c r="B95" s="9"/>
      <c r="C95" s="9"/>
      <c r="D95" s="487" t="str">
        <f t="shared" si="32"/>
        <v>Hudson View Park</v>
      </c>
      <c r="E95" s="488" t="s">
        <v>7</v>
      </c>
      <c r="F95" s="488"/>
      <c r="G95" s="443" t="s">
        <v>1588</v>
      </c>
      <c r="H95" s="444">
        <f>SUMIFS('HVP T12'!C:C,'HVP T12'!$B:$B,'P&amp;Ls Detailed'!$G95)</f>
        <v>0</v>
      </c>
      <c r="I95" s="444">
        <f>SUMIFS('HVP T12'!D:D,'HVP T12'!$B:$B,'P&amp;Ls Detailed'!$G95)</f>
        <v>695</v>
      </c>
      <c r="J95" s="444">
        <f>SUMIFS('HVP T12'!E:E,'HVP T12'!$B:$B,'P&amp;Ls Detailed'!$G95)</f>
        <v>393.24</v>
      </c>
      <c r="K95" s="444">
        <f>SUMIFS('HVP T12'!F:F,'HVP T12'!$B:$B,'P&amp;Ls Detailed'!$G95)</f>
        <v>0</v>
      </c>
      <c r="L95" s="444">
        <f>SUMIFS('HVP T12'!G:G,'HVP T12'!$B:$B,'P&amp;Ls Detailed'!$G95)</f>
        <v>0</v>
      </c>
      <c r="M95" s="444">
        <f>SUMIFS('HVP T12'!H:H,'HVP T12'!$B:$B,'P&amp;Ls Detailed'!$G95)</f>
        <v>0</v>
      </c>
      <c r="N95" s="444">
        <f>SUMIFS('HVP T12'!I:I,'HVP T12'!$B:$B,'P&amp;Ls Detailed'!$G95)</f>
        <v>0</v>
      </c>
      <c r="O95" s="444">
        <f>SUMIFS('HVP T12'!J:J,'HVP T12'!$B:$B,'P&amp;Ls Detailed'!$G95)</f>
        <v>193.54</v>
      </c>
      <c r="P95" s="444">
        <f>SUMIFS('HVP T12'!K:K,'HVP T12'!$B:$B,'P&amp;Ls Detailed'!$G95)</f>
        <v>0</v>
      </c>
      <c r="Q95" s="444">
        <f>SUMIFS('HVP T12'!L:L,'HVP T12'!$B:$B,'P&amp;Ls Detailed'!$G95)</f>
        <v>0</v>
      </c>
      <c r="R95" s="444">
        <f>SUMIFS('HVP T12'!M:M,'HVP T12'!$B:$B,'P&amp;Ls Detailed'!$G95)</f>
        <v>0</v>
      </c>
      <c r="S95" s="444">
        <f>SUMIFS('HVP T12'!N:N,'HVP T12'!$B:$B,'P&amp;Ls Detailed'!$G95)</f>
        <v>0</v>
      </c>
      <c r="T95" s="697"/>
      <c r="U95" s="444"/>
      <c r="V95" s="698"/>
      <c r="W95" s="489">
        <f t="shared" si="34"/>
        <v>1281.78</v>
      </c>
      <c r="X95" s="490">
        <f t="shared" si="35"/>
        <v>258.05333333333334</v>
      </c>
      <c r="Y95" s="490">
        <f t="shared" si="36"/>
        <v>387.08000000000004</v>
      </c>
      <c r="Z95" s="490">
        <f t="shared" si="37"/>
        <v>0</v>
      </c>
      <c r="AA95" s="490">
        <f t="shared" si="38"/>
        <v>0</v>
      </c>
      <c r="AB95" s="491"/>
      <c r="AC95" s="491"/>
      <c r="AD95" s="9"/>
      <c r="AE95" s="498"/>
      <c r="AF95" s="499"/>
      <c r="AG95" s="499"/>
      <c r="AH95" s="499"/>
      <c r="AI95" s="499"/>
      <c r="AJ95" s="499"/>
      <c r="AK95" s="499"/>
      <c r="AL95" s="499"/>
      <c r="AM95" s="499"/>
      <c r="AN95" s="499"/>
      <c r="AO95" s="499"/>
      <c r="AP95" s="499"/>
      <c r="AQ95" s="499"/>
      <c r="AR95" s="499"/>
      <c r="AS95" s="9"/>
      <c r="AT95" s="9"/>
      <c r="AU95" s="9"/>
    </row>
    <row r="96" spans="1:47" s="88" customFormat="1" x14ac:dyDescent="0.25">
      <c r="A96" s="9"/>
      <c r="B96" s="9"/>
      <c r="C96" s="9"/>
      <c r="D96" s="487" t="str">
        <f t="shared" si="32"/>
        <v>Hudson View Park</v>
      </c>
      <c r="E96" s="488" t="s">
        <v>7</v>
      </c>
      <c r="F96" s="488"/>
      <c r="G96" s="443" t="s">
        <v>1590</v>
      </c>
      <c r="H96" s="444">
        <f>SUMIFS('HVP T12'!C:C,'HVP T12'!$B:$B,'P&amp;Ls Detailed'!$G96)</f>
        <v>473.84</v>
      </c>
      <c r="I96" s="444">
        <f>SUMIFS('HVP T12'!D:D,'HVP T12'!$B:$B,'P&amp;Ls Detailed'!$G96)</f>
        <v>366.54</v>
      </c>
      <c r="J96" s="444">
        <f>SUMIFS('HVP T12'!E:E,'HVP T12'!$B:$B,'P&amp;Ls Detailed'!$G96)</f>
        <v>102.02</v>
      </c>
      <c r="K96" s="444">
        <f>SUMIFS('HVP T12'!F:F,'HVP T12'!$B:$B,'P&amp;Ls Detailed'!$G96)</f>
        <v>366.42</v>
      </c>
      <c r="L96" s="444">
        <f>SUMIFS('HVP T12'!G:G,'HVP T12'!$B:$B,'P&amp;Ls Detailed'!$G96)</f>
        <v>466.17</v>
      </c>
      <c r="M96" s="444">
        <f>SUMIFS('HVP T12'!H:H,'HVP T12'!$B:$B,'P&amp;Ls Detailed'!$G96)</f>
        <v>227.5</v>
      </c>
      <c r="N96" s="444">
        <f>SUMIFS('HVP T12'!I:I,'HVP T12'!$B:$B,'P&amp;Ls Detailed'!$G96)</f>
        <v>1112.46</v>
      </c>
      <c r="O96" s="444">
        <f>SUMIFS('HVP T12'!J:J,'HVP T12'!$B:$B,'P&amp;Ls Detailed'!$G96)</f>
        <v>1028.28</v>
      </c>
      <c r="P96" s="444">
        <f>SUMIFS('HVP T12'!K:K,'HVP T12'!$B:$B,'P&amp;Ls Detailed'!$G96)</f>
        <v>352.17</v>
      </c>
      <c r="Q96" s="444">
        <f>SUMIFS('HVP T12'!L:L,'HVP T12'!$B:$B,'P&amp;Ls Detailed'!$G96)</f>
        <v>245.03</v>
      </c>
      <c r="R96" s="444">
        <f>SUMIFS('HVP T12'!M:M,'HVP T12'!$B:$B,'P&amp;Ls Detailed'!$G96)</f>
        <v>214</v>
      </c>
      <c r="S96" s="444">
        <f>SUMIFS('HVP T12'!N:N,'HVP T12'!$B:$B,'P&amp;Ls Detailed'!$G96)</f>
        <v>606.30999999999995</v>
      </c>
      <c r="T96" s="697"/>
      <c r="U96" s="444"/>
      <c r="V96" s="698"/>
      <c r="W96" s="489">
        <f t="shared" si="34"/>
        <v>5560.74</v>
      </c>
      <c r="X96" s="490">
        <f t="shared" si="35"/>
        <v>6157.7866666666669</v>
      </c>
      <c r="Y96" s="490">
        <f t="shared" si="36"/>
        <v>7116.5</v>
      </c>
      <c r="Z96" s="490">
        <f t="shared" si="37"/>
        <v>4261.3599999999997</v>
      </c>
      <c r="AA96" s="490">
        <f t="shared" si="38"/>
        <v>7275.7199999999993</v>
      </c>
      <c r="AB96" s="491"/>
      <c r="AC96" s="491"/>
      <c r="AD96" s="9"/>
      <c r="AE96" s="9"/>
      <c r="AF96" s="499"/>
      <c r="AG96" s="499"/>
      <c r="AH96" s="499"/>
      <c r="AI96" s="499"/>
      <c r="AJ96" s="499"/>
      <c r="AK96" s="499"/>
      <c r="AL96" s="499"/>
      <c r="AM96" s="499"/>
      <c r="AN96" s="499"/>
      <c r="AO96" s="499"/>
      <c r="AP96" s="499"/>
      <c r="AQ96" s="499"/>
      <c r="AR96" s="499"/>
      <c r="AS96" s="9"/>
      <c r="AT96" s="9"/>
      <c r="AU96" s="9"/>
    </row>
    <row r="97" spans="1:47" s="88" customFormat="1" x14ac:dyDescent="0.25">
      <c r="A97" s="9"/>
      <c r="B97" s="9"/>
      <c r="C97" s="9"/>
      <c r="D97" s="487" t="str">
        <f t="shared" si="32"/>
        <v>Hudson View Park</v>
      </c>
      <c r="E97" s="488" t="s">
        <v>7</v>
      </c>
      <c r="F97" s="488"/>
      <c r="G97" s="443" t="s">
        <v>1592</v>
      </c>
      <c r="H97" s="444">
        <f>SUMIFS('HVP T12'!C:C,'HVP T12'!$B:$B,'P&amp;Ls Detailed'!$G97)</f>
        <v>0</v>
      </c>
      <c r="I97" s="444">
        <f>SUMIFS('HVP T12'!D:D,'HVP T12'!$B:$B,'P&amp;Ls Detailed'!$G97)</f>
        <v>0</v>
      </c>
      <c r="J97" s="444">
        <f>SUMIFS('HVP T12'!E:E,'HVP T12'!$B:$B,'P&amp;Ls Detailed'!$G97)</f>
        <v>987.78</v>
      </c>
      <c r="K97" s="444">
        <f>SUMIFS('HVP T12'!F:F,'HVP T12'!$B:$B,'P&amp;Ls Detailed'!$G97)</f>
        <v>6974.71</v>
      </c>
      <c r="L97" s="444">
        <f>SUMIFS('HVP T12'!G:G,'HVP T12'!$B:$B,'P&amp;Ls Detailed'!$G97)</f>
        <v>341.71</v>
      </c>
      <c r="M97" s="444">
        <f>SUMIFS('HVP T12'!H:H,'HVP T12'!$B:$B,'P&amp;Ls Detailed'!$G97)</f>
        <v>51.23</v>
      </c>
      <c r="N97" s="444">
        <f>SUMIFS('HVP T12'!I:I,'HVP T12'!$B:$B,'P&amp;Ls Detailed'!$G97)</f>
        <v>7663.5</v>
      </c>
      <c r="O97" s="444">
        <f>SUMIFS('HVP T12'!J:J,'HVP T12'!$B:$B,'P&amp;Ls Detailed'!$G97)</f>
        <v>226.51</v>
      </c>
      <c r="P97" s="444">
        <f>SUMIFS('HVP T12'!K:K,'HVP T12'!$B:$B,'P&amp;Ls Detailed'!$G97)</f>
        <v>0</v>
      </c>
      <c r="Q97" s="444">
        <f>SUMIFS('HVP T12'!L:L,'HVP T12'!$B:$B,'P&amp;Ls Detailed'!$G97)</f>
        <v>0</v>
      </c>
      <c r="R97" s="444">
        <f>SUMIFS('HVP T12'!M:M,'HVP T12'!$B:$B,'P&amp;Ls Detailed'!$G97)</f>
        <v>0</v>
      </c>
      <c r="S97" s="444">
        <f>SUMIFS('HVP T12'!N:N,'HVP T12'!$B:$B,'P&amp;Ls Detailed'!$G97)</f>
        <v>0</v>
      </c>
      <c r="T97" s="697"/>
      <c r="U97" s="444"/>
      <c r="V97" s="698"/>
      <c r="W97" s="489">
        <f t="shared" si="34"/>
        <v>16245.439999999999</v>
      </c>
      <c r="X97" s="490">
        <f t="shared" si="35"/>
        <v>20343.546666666665</v>
      </c>
      <c r="Y97" s="490">
        <f t="shared" si="36"/>
        <v>15780.02</v>
      </c>
      <c r="Z97" s="490">
        <f t="shared" si="37"/>
        <v>0</v>
      </c>
      <c r="AA97" s="490">
        <f t="shared" si="38"/>
        <v>0</v>
      </c>
      <c r="AB97" s="491"/>
      <c r="AC97" s="491"/>
      <c r="AD97" s="9"/>
      <c r="AE97" s="9"/>
      <c r="AF97" s="499"/>
      <c r="AG97" s="499"/>
      <c r="AH97" s="499"/>
      <c r="AI97" s="499"/>
      <c r="AJ97" s="499"/>
      <c r="AK97" s="499"/>
      <c r="AL97" s="499"/>
      <c r="AM97" s="499"/>
      <c r="AN97" s="499"/>
      <c r="AO97" s="499"/>
      <c r="AP97" s="499"/>
      <c r="AQ97" s="499"/>
      <c r="AR97" s="499"/>
      <c r="AS97" s="9"/>
      <c r="AT97" s="9"/>
      <c r="AU97" s="9"/>
    </row>
    <row r="98" spans="1:47" s="88" customFormat="1" x14ac:dyDescent="0.25">
      <c r="A98" s="9"/>
      <c r="B98" s="9"/>
      <c r="C98" s="9"/>
      <c r="D98" s="487" t="str">
        <f t="shared" si="32"/>
        <v>Hudson View Park</v>
      </c>
      <c r="E98" s="488" t="s">
        <v>7</v>
      </c>
      <c r="F98" s="488"/>
      <c r="G98" s="443" t="s">
        <v>1594</v>
      </c>
      <c r="H98" s="444">
        <f>SUMIFS('HVP T12'!C:C,'HVP T12'!$B:$B,'P&amp;Ls Detailed'!$G98)</f>
        <v>0</v>
      </c>
      <c r="I98" s="444">
        <f>SUMIFS('HVP T12'!D:D,'HVP T12'!$B:$B,'P&amp;Ls Detailed'!$G98)</f>
        <v>0</v>
      </c>
      <c r="J98" s="444">
        <f>SUMIFS('HVP T12'!E:E,'HVP T12'!$B:$B,'P&amp;Ls Detailed'!$G98)</f>
        <v>0</v>
      </c>
      <c r="K98" s="444">
        <f>SUMIFS('HVP T12'!F:F,'HVP T12'!$B:$B,'P&amp;Ls Detailed'!$G98)</f>
        <v>0</v>
      </c>
      <c r="L98" s="444">
        <f>SUMIFS('HVP T12'!G:G,'HVP T12'!$B:$B,'P&amp;Ls Detailed'!$G98)</f>
        <v>0</v>
      </c>
      <c r="M98" s="444">
        <f>SUMIFS('HVP T12'!H:H,'HVP T12'!$B:$B,'P&amp;Ls Detailed'!$G98)</f>
        <v>0</v>
      </c>
      <c r="N98" s="444">
        <f>SUMIFS('HVP T12'!I:I,'HVP T12'!$B:$B,'P&amp;Ls Detailed'!$G98)</f>
        <v>570.17999999999995</v>
      </c>
      <c r="O98" s="444">
        <f>SUMIFS('HVP T12'!J:J,'HVP T12'!$B:$B,'P&amp;Ls Detailed'!$G98)</f>
        <v>0</v>
      </c>
      <c r="P98" s="444">
        <f>SUMIFS('HVP T12'!K:K,'HVP T12'!$B:$B,'P&amp;Ls Detailed'!$G98)</f>
        <v>0</v>
      </c>
      <c r="Q98" s="444">
        <f>SUMIFS('HVP T12'!L:L,'HVP T12'!$B:$B,'P&amp;Ls Detailed'!$G98)</f>
        <v>1147.3399999999999</v>
      </c>
      <c r="R98" s="444">
        <f>SUMIFS('HVP T12'!M:M,'HVP T12'!$B:$B,'P&amp;Ls Detailed'!$G98)</f>
        <v>106.82</v>
      </c>
      <c r="S98" s="444">
        <f>SUMIFS('HVP T12'!N:N,'HVP T12'!$B:$B,'P&amp;Ls Detailed'!$G98)</f>
        <v>0</v>
      </c>
      <c r="T98" s="697"/>
      <c r="U98" s="444"/>
      <c r="V98" s="698"/>
      <c r="W98" s="489">
        <f t="shared" si="34"/>
        <v>1824.34</v>
      </c>
      <c r="X98" s="490">
        <f t="shared" si="35"/>
        <v>2432.4533333333334</v>
      </c>
      <c r="Y98" s="490">
        <f t="shared" si="36"/>
        <v>3648.6800000000003</v>
      </c>
      <c r="Z98" s="490">
        <f t="shared" si="37"/>
        <v>5016.6399999999994</v>
      </c>
      <c r="AA98" s="490">
        <f t="shared" si="38"/>
        <v>0</v>
      </c>
      <c r="AB98" s="491"/>
      <c r="AC98" s="491"/>
      <c r="AD98" s="9"/>
      <c r="AE98" s="9"/>
      <c r="AF98" s="613"/>
      <c r="AG98" s="613"/>
      <c r="AH98" s="613"/>
      <c r="AI98" s="613"/>
      <c r="AJ98" s="613"/>
      <c r="AK98" s="613"/>
      <c r="AL98" s="613"/>
      <c r="AM98" s="613"/>
      <c r="AN98" s="613"/>
      <c r="AO98" s="613"/>
      <c r="AP98" s="613"/>
      <c r="AQ98" s="613"/>
      <c r="AR98" s="613"/>
      <c r="AS98" s="9"/>
      <c r="AT98" s="9"/>
      <c r="AU98" s="9"/>
    </row>
    <row r="99" spans="1:47" s="88" customFormat="1" x14ac:dyDescent="0.25">
      <c r="A99" s="9"/>
      <c r="B99" s="9"/>
      <c r="C99" s="9"/>
      <c r="D99" s="487" t="str">
        <f t="shared" si="32"/>
        <v>Hudson View Park</v>
      </c>
      <c r="E99" s="488"/>
      <c r="F99" s="488"/>
      <c r="G99" s="456" t="s">
        <v>1595</v>
      </c>
      <c r="H99" s="447">
        <f t="shared" ref="H99:W99" si="39">SUM(H83:H98)</f>
        <v>12427.59</v>
      </c>
      <c r="I99" s="447">
        <f t="shared" si="39"/>
        <v>19977.07</v>
      </c>
      <c r="J99" s="447">
        <f t="shared" si="39"/>
        <v>25408.690000000002</v>
      </c>
      <c r="K99" s="447">
        <f t="shared" si="39"/>
        <v>20873.39</v>
      </c>
      <c r="L99" s="447">
        <f t="shared" si="39"/>
        <v>22449.039999999994</v>
      </c>
      <c r="M99" s="447">
        <f t="shared" si="39"/>
        <v>18102.349999999999</v>
      </c>
      <c r="N99" s="447">
        <f t="shared" si="39"/>
        <v>24833.87</v>
      </c>
      <c r="O99" s="447">
        <f t="shared" si="39"/>
        <v>16947.219999999998</v>
      </c>
      <c r="P99" s="447">
        <f t="shared" si="39"/>
        <v>15093.269999999999</v>
      </c>
      <c r="Q99" s="447">
        <f t="shared" si="39"/>
        <v>10431.360000000002</v>
      </c>
      <c r="R99" s="447">
        <f t="shared" si="39"/>
        <v>24876.240000000002</v>
      </c>
      <c r="S99" s="447">
        <f t="shared" si="39"/>
        <v>13268.14</v>
      </c>
      <c r="T99" s="628"/>
      <c r="U99" s="447"/>
      <c r="V99" s="699"/>
      <c r="W99" s="567">
        <f t="shared" si="39"/>
        <v>224688.22999999998</v>
      </c>
      <c r="X99" s="497">
        <f t="shared" si="35"/>
        <v>222499.84000000003</v>
      </c>
      <c r="Y99" s="497">
        <f t="shared" si="36"/>
        <v>210900.2</v>
      </c>
      <c r="Z99" s="497">
        <f t="shared" si="37"/>
        <v>194302.96000000002</v>
      </c>
      <c r="AA99" s="497">
        <f t="shared" si="38"/>
        <v>159217.68</v>
      </c>
      <c r="AB99" s="491"/>
      <c r="AC99" s="491"/>
      <c r="AD99" s="9"/>
      <c r="AE99" s="498"/>
      <c r="AF99" s="613"/>
      <c r="AG99" s="613"/>
      <c r="AH99" s="613"/>
      <c r="AI99" s="613"/>
      <c r="AJ99" s="613"/>
      <c r="AK99" s="613"/>
      <c r="AL99" s="613"/>
      <c r="AM99" s="613"/>
      <c r="AN99" s="613"/>
      <c r="AO99" s="613"/>
      <c r="AP99" s="613"/>
      <c r="AQ99" s="613"/>
      <c r="AR99" s="613"/>
      <c r="AS99" s="9"/>
      <c r="AT99" s="9"/>
      <c r="AU99" s="9"/>
    </row>
    <row r="100" spans="1:47" s="88" customFormat="1" x14ac:dyDescent="0.25">
      <c r="A100" s="9"/>
      <c r="B100" s="9"/>
      <c r="C100" s="9"/>
      <c r="D100" s="487" t="str">
        <f t="shared" si="32"/>
        <v>Hudson View Park</v>
      </c>
      <c r="E100" s="488"/>
      <c r="F100" s="488"/>
      <c r="G100" s="456" t="s">
        <v>1596</v>
      </c>
      <c r="H100" s="444"/>
      <c r="I100" s="444"/>
      <c r="J100" s="444"/>
      <c r="K100" s="444"/>
      <c r="L100" s="444"/>
      <c r="M100" s="444"/>
      <c r="N100" s="444"/>
      <c r="O100" s="444"/>
      <c r="P100" s="444"/>
      <c r="Q100" s="444"/>
      <c r="R100" s="444"/>
      <c r="S100" s="444"/>
      <c r="T100" s="697"/>
      <c r="U100" s="444"/>
      <c r="V100" s="698"/>
      <c r="W100" s="489"/>
      <c r="X100" s="490"/>
      <c r="Y100" s="490"/>
      <c r="Z100" s="490"/>
      <c r="AA100" s="490"/>
      <c r="AB100" s="491"/>
      <c r="AC100" s="491"/>
      <c r="AD100" s="9"/>
      <c r="AE100" s="498"/>
      <c r="AF100" s="499"/>
      <c r="AG100" s="499"/>
      <c r="AH100" s="499"/>
      <c r="AI100" s="499"/>
      <c r="AJ100" s="499"/>
      <c r="AK100" s="499"/>
      <c r="AL100" s="499"/>
      <c r="AM100" s="499"/>
      <c r="AN100" s="499"/>
      <c r="AO100" s="499"/>
      <c r="AP100" s="499"/>
      <c r="AQ100" s="499"/>
      <c r="AR100" s="499"/>
      <c r="AS100" s="9"/>
      <c r="AT100" s="9"/>
      <c r="AU100" s="9"/>
    </row>
    <row r="101" spans="1:47" s="88" customFormat="1" x14ac:dyDescent="0.25">
      <c r="A101" s="9"/>
      <c r="B101" s="9"/>
      <c r="C101" s="9"/>
      <c r="D101" s="487" t="str">
        <f t="shared" si="32"/>
        <v>Hudson View Park</v>
      </c>
      <c r="E101" s="488" t="s">
        <v>202</v>
      </c>
      <c r="F101" s="488"/>
      <c r="G101" s="443" t="s">
        <v>1598</v>
      </c>
      <c r="H101" s="444">
        <f>SUMIFS('HVP T12'!C:C,'HVP T12'!$B:$B,'P&amp;Ls Detailed'!$G101)</f>
        <v>400</v>
      </c>
      <c r="I101" s="444">
        <f>SUMIFS('HVP T12'!D:D,'HVP T12'!$B:$B,'P&amp;Ls Detailed'!$G101)</f>
        <v>1200</v>
      </c>
      <c r="J101" s="444">
        <f>SUMIFS('HVP T12'!E:E,'HVP T12'!$B:$B,'P&amp;Ls Detailed'!$G101)</f>
        <v>1600</v>
      </c>
      <c r="K101" s="444">
        <f>SUMIFS('HVP T12'!F:F,'HVP T12'!$B:$B,'P&amp;Ls Detailed'!$G101)</f>
        <v>400</v>
      </c>
      <c r="L101" s="444">
        <f>SUMIFS('HVP T12'!G:G,'HVP T12'!$B:$B,'P&amp;Ls Detailed'!$G101)</f>
        <v>400</v>
      </c>
      <c r="M101" s="444">
        <f>SUMIFS('HVP T12'!H:H,'HVP T12'!$B:$B,'P&amp;Ls Detailed'!$G101)</f>
        <v>0</v>
      </c>
      <c r="N101" s="444">
        <f>SUMIFS('HVP T12'!I:I,'HVP T12'!$B:$B,'P&amp;Ls Detailed'!$G101)</f>
        <v>800</v>
      </c>
      <c r="O101" s="444">
        <f>SUMIFS('HVP T12'!J:J,'HVP T12'!$B:$B,'P&amp;Ls Detailed'!$G101)</f>
        <v>400</v>
      </c>
      <c r="P101" s="444">
        <f>SUMIFS('HVP T12'!K:K,'HVP T12'!$B:$B,'P&amp;Ls Detailed'!$G101)</f>
        <v>800</v>
      </c>
      <c r="Q101" s="444">
        <f>SUMIFS('HVP T12'!L:L,'HVP T12'!$B:$B,'P&amp;Ls Detailed'!$G101)</f>
        <v>400</v>
      </c>
      <c r="R101" s="444">
        <f>SUMIFS('HVP T12'!M:M,'HVP T12'!$B:$B,'P&amp;Ls Detailed'!$G101)</f>
        <v>400</v>
      </c>
      <c r="S101" s="444">
        <f>SUMIFS('HVP T12'!N:N,'HVP T12'!$B:$B,'P&amp;Ls Detailed'!$G101)</f>
        <v>0</v>
      </c>
      <c r="T101" s="697"/>
      <c r="U101" s="444"/>
      <c r="V101" s="698"/>
      <c r="W101" s="489">
        <f>SUM(H101:S101)</f>
        <v>6800</v>
      </c>
      <c r="X101" s="490">
        <f>SUM(K101:S101)/9*12</f>
        <v>4800</v>
      </c>
      <c r="Y101" s="490">
        <f>SUM(N101:S101)/6*12</f>
        <v>5600</v>
      </c>
      <c r="Z101" s="490">
        <f>SUM(Q101:S101)/3*12</f>
        <v>3200</v>
      </c>
      <c r="AA101" s="490">
        <f>S101*12</f>
        <v>0</v>
      </c>
      <c r="AB101" s="491"/>
      <c r="AC101" s="491"/>
      <c r="AD101" s="9"/>
      <c r="AE101" s="498"/>
      <c r="AF101" s="499"/>
      <c r="AG101" s="499"/>
      <c r="AH101" s="499"/>
      <c r="AI101" s="499"/>
      <c r="AJ101" s="499"/>
      <c r="AK101" s="499"/>
      <c r="AL101" s="499"/>
      <c r="AM101" s="499"/>
      <c r="AN101" s="499"/>
      <c r="AO101" s="499"/>
      <c r="AP101" s="499"/>
      <c r="AQ101" s="499"/>
      <c r="AR101" s="499"/>
      <c r="AS101" s="9"/>
      <c r="AT101" s="9"/>
      <c r="AU101" s="9"/>
    </row>
    <row r="102" spans="1:47" s="88" customFormat="1" x14ac:dyDescent="0.25">
      <c r="A102" s="9"/>
      <c r="B102" s="9"/>
      <c r="C102" s="9"/>
      <c r="D102" s="487" t="str">
        <f t="shared" si="32"/>
        <v>Hudson View Park</v>
      </c>
      <c r="E102" s="488" t="s">
        <v>202</v>
      </c>
      <c r="F102" s="488"/>
      <c r="G102" s="443" t="s">
        <v>1600</v>
      </c>
      <c r="H102" s="444">
        <f>SUMIFS('HVP T12'!C:C,'HVP T12'!$B:$B,'P&amp;Ls Detailed'!$G102)</f>
        <v>0</v>
      </c>
      <c r="I102" s="444">
        <f>SUMIFS('HVP T12'!D:D,'HVP T12'!$B:$B,'P&amp;Ls Detailed'!$G102)</f>
        <v>0</v>
      </c>
      <c r="J102" s="444">
        <f>SUMIFS('HVP T12'!E:E,'HVP T12'!$B:$B,'P&amp;Ls Detailed'!$G102)</f>
        <v>0</v>
      </c>
      <c r="K102" s="444">
        <f>SUMIFS('HVP T12'!F:F,'HVP T12'!$B:$B,'P&amp;Ls Detailed'!$G102)</f>
        <v>0</v>
      </c>
      <c r="L102" s="444">
        <f>SUMIFS('HVP T12'!G:G,'HVP T12'!$B:$B,'P&amp;Ls Detailed'!$G102)</f>
        <v>0</v>
      </c>
      <c r="M102" s="444">
        <f>SUMIFS('HVP T12'!H:H,'HVP T12'!$B:$B,'P&amp;Ls Detailed'!$G102)</f>
        <v>0</v>
      </c>
      <c r="N102" s="444">
        <f>SUMIFS('HVP T12'!I:I,'HVP T12'!$B:$B,'P&amp;Ls Detailed'!$G102)</f>
        <v>0</v>
      </c>
      <c r="O102" s="444">
        <f>SUMIFS('HVP T12'!J:J,'HVP T12'!$B:$B,'P&amp;Ls Detailed'!$G102)</f>
        <v>0</v>
      </c>
      <c r="P102" s="444">
        <f>SUMIFS('HVP T12'!K:K,'HVP T12'!$B:$B,'P&amp;Ls Detailed'!$G102)</f>
        <v>20</v>
      </c>
      <c r="Q102" s="444">
        <f>SUMIFS('HVP T12'!L:L,'HVP T12'!$B:$B,'P&amp;Ls Detailed'!$G102)</f>
        <v>0</v>
      </c>
      <c r="R102" s="444">
        <f>SUMIFS('HVP T12'!M:M,'HVP T12'!$B:$B,'P&amp;Ls Detailed'!$G102)</f>
        <v>0</v>
      </c>
      <c r="S102" s="444">
        <f>SUMIFS('HVP T12'!N:N,'HVP T12'!$B:$B,'P&amp;Ls Detailed'!$G102)</f>
        <v>0</v>
      </c>
      <c r="T102" s="697"/>
      <c r="U102" s="444"/>
      <c r="V102" s="698"/>
      <c r="W102" s="489">
        <f>SUM(H102:S102)</f>
        <v>20</v>
      </c>
      <c r="X102" s="490">
        <f>SUM(K102:S102)/9*12</f>
        <v>26.666666666666668</v>
      </c>
      <c r="Y102" s="490">
        <f>SUM(N102:S102)/6*12</f>
        <v>40</v>
      </c>
      <c r="Z102" s="490">
        <f>SUM(Q102:S102)/3*12</f>
        <v>0</v>
      </c>
      <c r="AA102" s="490">
        <f>S102*12</f>
        <v>0</v>
      </c>
      <c r="AB102" s="491"/>
      <c r="AC102" s="491"/>
      <c r="AD102" s="9"/>
      <c r="AE102" s="9"/>
      <c r="AF102" s="499"/>
      <c r="AG102" s="499"/>
      <c r="AH102" s="499"/>
      <c r="AI102" s="499"/>
      <c r="AJ102" s="499"/>
      <c r="AK102" s="499"/>
      <c r="AL102" s="499"/>
      <c r="AM102" s="499"/>
      <c r="AN102" s="499"/>
      <c r="AO102" s="499"/>
      <c r="AP102" s="499"/>
      <c r="AQ102" s="499"/>
      <c r="AR102" s="499"/>
      <c r="AS102" s="9"/>
      <c r="AT102" s="9"/>
      <c r="AU102" s="9"/>
    </row>
    <row r="103" spans="1:47" s="88" customFormat="1" x14ac:dyDescent="0.25">
      <c r="A103" s="9"/>
      <c r="B103" s="9"/>
      <c r="C103" s="9"/>
      <c r="D103" s="487" t="str">
        <f t="shared" si="32"/>
        <v>Hudson View Park</v>
      </c>
      <c r="E103" s="488" t="s">
        <v>202</v>
      </c>
      <c r="F103" s="488"/>
      <c r="G103" s="443" t="s">
        <v>1602</v>
      </c>
      <c r="H103" s="444">
        <f>SUMIFS('HVP T12'!C:C,'HVP T12'!$B:$B,'P&amp;Ls Detailed'!$G103)</f>
        <v>810</v>
      </c>
      <c r="I103" s="444">
        <f>SUMIFS('HVP T12'!D:D,'HVP T12'!$B:$B,'P&amp;Ls Detailed'!$G103)</f>
        <v>810</v>
      </c>
      <c r="J103" s="444">
        <f>SUMIFS('HVP T12'!E:E,'HVP T12'!$B:$B,'P&amp;Ls Detailed'!$G103)</f>
        <v>810</v>
      </c>
      <c r="K103" s="444">
        <f>SUMIFS('HVP T12'!F:F,'HVP T12'!$B:$B,'P&amp;Ls Detailed'!$G103)</f>
        <v>810</v>
      </c>
      <c r="L103" s="444">
        <f>SUMIFS('HVP T12'!G:G,'HVP T12'!$B:$B,'P&amp;Ls Detailed'!$G103)</f>
        <v>810</v>
      </c>
      <c r="M103" s="444">
        <f>SUMIFS('HVP T12'!H:H,'HVP T12'!$B:$B,'P&amp;Ls Detailed'!$G103)</f>
        <v>828.87</v>
      </c>
      <c r="N103" s="444">
        <f>SUMIFS('HVP T12'!I:I,'HVP T12'!$B:$B,'P&amp;Ls Detailed'!$G103)</f>
        <v>875</v>
      </c>
      <c r="O103" s="444">
        <f>SUMIFS('HVP T12'!J:J,'HVP T12'!$B:$B,'P&amp;Ls Detailed'!$G103)</f>
        <v>875</v>
      </c>
      <c r="P103" s="444">
        <f>SUMIFS('HVP T12'!K:K,'HVP T12'!$B:$B,'P&amp;Ls Detailed'!$G103)</f>
        <v>875</v>
      </c>
      <c r="Q103" s="444">
        <f>SUMIFS('HVP T12'!L:L,'HVP T12'!$B:$B,'P&amp;Ls Detailed'!$G103)</f>
        <v>875</v>
      </c>
      <c r="R103" s="444">
        <f>SUMIFS('HVP T12'!M:M,'HVP T12'!$B:$B,'P&amp;Ls Detailed'!$G103)</f>
        <v>875</v>
      </c>
      <c r="S103" s="444">
        <f>SUMIFS('HVP T12'!N:N,'HVP T12'!$B:$B,'P&amp;Ls Detailed'!$G103)</f>
        <v>875</v>
      </c>
      <c r="T103" s="697"/>
      <c r="U103" s="444"/>
      <c r="V103" s="698"/>
      <c r="W103" s="489">
        <f>SUM(H103:S103)</f>
        <v>10128.869999999999</v>
      </c>
      <c r="X103" s="490">
        <f>SUM(K103:S103)/9*12</f>
        <v>10265.16</v>
      </c>
      <c r="Y103" s="490">
        <f>SUM(N103:S103)/6*12</f>
        <v>10500</v>
      </c>
      <c r="Z103" s="490">
        <f>SUM(Q103:S103)/3*12</f>
        <v>10500</v>
      </c>
      <c r="AA103" s="490">
        <f>S103*12</f>
        <v>10500</v>
      </c>
      <c r="AB103" s="491"/>
      <c r="AC103" s="491"/>
      <c r="AD103" s="9"/>
      <c r="AE103" s="9"/>
      <c r="AF103" s="613"/>
      <c r="AG103" s="613"/>
      <c r="AH103" s="613"/>
      <c r="AI103" s="613"/>
      <c r="AJ103" s="613"/>
      <c r="AK103" s="613"/>
      <c r="AL103" s="613"/>
      <c r="AM103" s="613"/>
      <c r="AN103" s="613"/>
      <c r="AO103" s="613"/>
      <c r="AP103" s="613"/>
      <c r="AQ103" s="613"/>
      <c r="AR103" s="613"/>
      <c r="AS103" s="9"/>
      <c r="AT103" s="9"/>
      <c r="AU103" s="9"/>
    </row>
    <row r="104" spans="1:47" s="88" customFormat="1" x14ac:dyDescent="0.25">
      <c r="A104" s="9"/>
      <c r="B104" s="9"/>
      <c r="C104" s="9"/>
      <c r="D104" s="487" t="str">
        <f t="shared" si="32"/>
        <v>Hudson View Park</v>
      </c>
      <c r="E104" s="488"/>
      <c r="F104" s="488"/>
      <c r="G104" s="456" t="s">
        <v>1603</v>
      </c>
      <c r="H104" s="447">
        <f t="shared" ref="H104:W104" si="40">SUM(H101:H103)</f>
        <v>1210</v>
      </c>
      <c r="I104" s="447">
        <f t="shared" si="40"/>
        <v>2010</v>
      </c>
      <c r="J104" s="447">
        <f t="shared" si="40"/>
        <v>2410</v>
      </c>
      <c r="K104" s="447">
        <f t="shared" si="40"/>
        <v>1210</v>
      </c>
      <c r="L104" s="447">
        <f t="shared" si="40"/>
        <v>1210</v>
      </c>
      <c r="M104" s="447">
        <f t="shared" si="40"/>
        <v>828.87</v>
      </c>
      <c r="N104" s="447">
        <f t="shared" si="40"/>
        <v>1675</v>
      </c>
      <c r="O104" s="447">
        <f t="shared" si="40"/>
        <v>1275</v>
      </c>
      <c r="P104" s="447">
        <f t="shared" si="40"/>
        <v>1695</v>
      </c>
      <c r="Q104" s="447">
        <f t="shared" si="40"/>
        <v>1275</v>
      </c>
      <c r="R104" s="447">
        <f t="shared" si="40"/>
        <v>1275</v>
      </c>
      <c r="S104" s="447">
        <f t="shared" si="40"/>
        <v>875</v>
      </c>
      <c r="T104" s="628"/>
      <c r="U104" s="447"/>
      <c r="V104" s="699"/>
      <c r="W104" s="567">
        <f t="shared" si="40"/>
        <v>16948.87</v>
      </c>
      <c r="X104" s="497">
        <f>SUM(K104:S104)/9*12</f>
        <v>15091.826666666664</v>
      </c>
      <c r="Y104" s="497">
        <f>SUM(N104:S104)/6*12</f>
        <v>16140</v>
      </c>
      <c r="Z104" s="497">
        <f>SUM(Q104:S104)/3*12</f>
        <v>13700</v>
      </c>
      <c r="AA104" s="497">
        <f>S104*12</f>
        <v>10500</v>
      </c>
      <c r="AB104" s="491"/>
      <c r="AC104" s="491"/>
      <c r="AD104" s="9"/>
      <c r="AE104" s="498"/>
      <c r="AF104" s="613"/>
      <c r="AG104" s="613"/>
      <c r="AH104" s="613"/>
      <c r="AI104" s="613"/>
      <c r="AJ104" s="613"/>
      <c r="AK104" s="613"/>
      <c r="AL104" s="613"/>
      <c r="AM104" s="613"/>
      <c r="AN104" s="613"/>
      <c r="AO104" s="613"/>
      <c r="AP104" s="613"/>
      <c r="AQ104" s="613"/>
      <c r="AR104" s="613"/>
      <c r="AS104" s="9"/>
      <c r="AT104" s="9"/>
      <c r="AU104" s="9"/>
    </row>
    <row r="105" spans="1:47" s="88" customFormat="1" x14ac:dyDescent="0.25">
      <c r="A105" s="9"/>
      <c r="B105" s="9"/>
      <c r="C105" s="9"/>
      <c r="D105" s="487" t="str">
        <f t="shared" si="32"/>
        <v>Hudson View Park</v>
      </c>
      <c r="E105" s="488"/>
      <c r="F105" s="488"/>
      <c r="G105" s="456" t="s">
        <v>1604</v>
      </c>
      <c r="H105" s="444"/>
      <c r="I105" s="444"/>
      <c r="J105" s="444"/>
      <c r="K105" s="444"/>
      <c r="L105" s="444"/>
      <c r="M105" s="444"/>
      <c r="N105" s="444"/>
      <c r="O105" s="444"/>
      <c r="P105" s="444"/>
      <c r="Q105" s="444"/>
      <c r="R105" s="444"/>
      <c r="S105" s="444"/>
      <c r="T105" s="697"/>
      <c r="U105" s="444"/>
      <c r="V105" s="698"/>
      <c r="W105" s="489"/>
      <c r="X105" s="490"/>
      <c r="Y105" s="490"/>
      <c r="Z105" s="490"/>
      <c r="AA105" s="490"/>
      <c r="AB105" s="491"/>
      <c r="AC105" s="491"/>
      <c r="AD105" s="9"/>
      <c r="AE105" s="498"/>
      <c r="AF105" s="499"/>
      <c r="AG105" s="499"/>
      <c r="AH105" s="499"/>
      <c r="AI105" s="499"/>
      <c r="AJ105" s="499"/>
      <c r="AK105" s="499"/>
      <c r="AL105" s="499"/>
      <c r="AM105" s="499"/>
      <c r="AN105" s="499"/>
      <c r="AO105" s="499"/>
      <c r="AP105" s="499"/>
      <c r="AQ105" s="499"/>
      <c r="AR105" s="499"/>
      <c r="AS105" s="9"/>
      <c r="AT105" s="9"/>
      <c r="AU105" s="9"/>
    </row>
    <row r="106" spans="1:47" s="88" customFormat="1" x14ac:dyDescent="0.25">
      <c r="A106" s="9"/>
      <c r="B106" s="9"/>
      <c r="C106" s="9"/>
      <c r="D106" s="487" t="str">
        <f t="shared" si="32"/>
        <v>Hudson View Park</v>
      </c>
      <c r="E106" s="488" t="s">
        <v>8</v>
      </c>
      <c r="F106" s="488"/>
      <c r="G106" s="443" t="s">
        <v>1606</v>
      </c>
      <c r="H106" s="444">
        <f>SUMIFS('HVP T12'!C:C,'HVP T12'!$B:$B,'P&amp;Ls Detailed'!$G106)</f>
        <v>42349</v>
      </c>
      <c r="I106" s="444">
        <f>SUMIFS('HVP T12'!D:D,'HVP T12'!$B:$B,'P&amp;Ls Detailed'!$G106)</f>
        <v>42321</v>
      </c>
      <c r="J106" s="444">
        <f>SUMIFS('HVP T12'!E:E,'HVP T12'!$B:$B,'P&amp;Ls Detailed'!$G106)</f>
        <v>42660</v>
      </c>
      <c r="K106" s="444">
        <f>SUMIFS('HVP T12'!F:F,'HVP T12'!$B:$B,'P&amp;Ls Detailed'!$G106)</f>
        <v>42848</v>
      </c>
      <c r="L106" s="444">
        <f>SUMIFS('HVP T12'!G:G,'HVP T12'!$B:$B,'P&amp;Ls Detailed'!$G106)</f>
        <v>43638</v>
      </c>
      <c r="M106" s="444">
        <f>SUMIFS('HVP T12'!H:H,'HVP T12'!$B:$B,'P&amp;Ls Detailed'!$G106)</f>
        <v>43914</v>
      </c>
      <c r="N106" s="444">
        <f>SUMIFS('HVP T12'!I:I,'HVP T12'!$B:$B,'P&amp;Ls Detailed'!$G106)</f>
        <v>43962</v>
      </c>
      <c r="O106" s="444">
        <f>SUMIFS('HVP T12'!J:J,'HVP T12'!$B:$B,'P&amp;Ls Detailed'!$G106)</f>
        <v>49199</v>
      </c>
      <c r="P106" s="444">
        <f>SUMIFS('HVP T12'!K:K,'HVP T12'!$B:$B,'P&amp;Ls Detailed'!$G106)</f>
        <v>44485</v>
      </c>
      <c r="Q106" s="444">
        <f>SUMIFS('HVP T12'!L:L,'HVP T12'!$B:$B,'P&amp;Ls Detailed'!$G106)</f>
        <v>44887</v>
      </c>
      <c r="R106" s="444">
        <f>SUMIFS('HVP T12'!M:M,'HVP T12'!$B:$B,'P&amp;Ls Detailed'!$G106)</f>
        <v>45107</v>
      </c>
      <c r="S106" s="444">
        <f>SUMIFS('HVP T12'!N:N,'HVP T12'!$B:$B,'P&amp;Ls Detailed'!$G106)</f>
        <v>45202</v>
      </c>
      <c r="T106" s="697"/>
      <c r="U106" s="444"/>
      <c r="V106" s="698"/>
      <c r="W106" s="489">
        <f>SUM(H106:S106)</f>
        <v>530572</v>
      </c>
      <c r="X106" s="490">
        <f>SUM(K106:S106)/9*12</f>
        <v>537656</v>
      </c>
      <c r="Y106" s="490">
        <f>SUM(N106:S106)/6*12</f>
        <v>545684</v>
      </c>
      <c r="Z106" s="490">
        <f>SUM(Q106:S106)/3*12</f>
        <v>540784</v>
      </c>
      <c r="AA106" s="490">
        <f>S106*12</f>
        <v>542424</v>
      </c>
      <c r="AB106" s="491"/>
      <c r="AC106" s="491"/>
      <c r="AD106" s="9"/>
      <c r="AE106" s="498"/>
      <c r="AF106" s="499"/>
      <c r="AG106" s="499"/>
      <c r="AH106" s="499"/>
      <c r="AI106" s="499"/>
      <c r="AJ106" s="499"/>
      <c r="AK106" s="499"/>
      <c r="AL106" s="499"/>
      <c r="AM106" s="499"/>
      <c r="AN106" s="499"/>
      <c r="AO106" s="499"/>
      <c r="AP106" s="499"/>
      <c r="AQ106" s="499"/>
      <c r="AR106" s="499"/>
      <c r="AS106" s="9"/>
      <c r="AT106" s="9"/>
      <c r="AU106" s="9"/>
    </row>
    <row r="107" spans="1:47" s="88" customFormat="1" x14ac:dyDescent="0.25">
      <c r="A107" s="9"/>
      <c r="B107" s="9"/>
      <c r="C107" s="9"/>
      <c r="D107" s="487" t="str">
        <f t="shared" si="32"/>
        <v>Hudson View Park</v>
      </c>
      <c r="E107" s="488"/>
      <c r="F107" s="488"/>
      <c r="G107" s="456" t="s">
        <v>1607</v>
      </c>
      <c r="H107" s="609">
        <f t="shared" ref="H107:S107" si="41">H106</f>
        <v>42349</v>
      </c>
      <c r="I107" s="609">
        <f t="shared" si="41"/>
        <v>42321</v>
      </c>
      <c r="J107" s="609">
        <f t="shared" si="41"/>
        <v>42660</v>
      </c>
      <c r="K107" s="609">
        <f t="shared" si="41"/>
        <v>42848</v>
      </c>
      <c r="L107" s="609">
        <f t="shared" si="41"/>
        <v>43638</v>
      </c>
      <c r="M107" s="609">
        <f t="shared" si="41"/>
        <v>43914</v>
      </c>
      <c r="N107" s="609">
        <f t="shared" si="41"/>
        <v>43962</v>
      </c>
      <c r="O107" s="609">
        <f t="shared" si="41"/>
        <v>49199</v>
      </c>
      <c r="P107" s="609">
        <f t="shared" si="41"/>
        <v>44485</v>
      </c>
      <c r="Q107" s="609">
        <f t="shared" si="41"/>
        <v>44887</v>
      </c>
      <c r="R107" s="609">
        <f t="shared" si="41"/>
        <v>45107</v>
      </c>
      <c r="S107" s="609">
        <f t="shared" si="41"/>
        <v>45202</v>
      </c>
      <c r="T107" s="706"/>
      <c r="U107" s="609"/>
      <c r="V107" s="707"/>
      <c r="W107" s="608">
        <f>SUM(H107:S107)</f>
        <v>530572</v>
      </c>
      <c r="X107" s="490">
        <f>SUM(K107:S107)/9*12</f>
        <v>537656</v>
      </c>
      <c r="Y107" s="490">
        <f>SUM(N107:S107)/6*12</f>
        <v>545684</v>
      </c>
      <c r="Z107" s="490">
        <f>SUM(Q107:S107)/3*12</f>
        <v>540784</v>
      </c>
      <c r="AA107" s="490">
        <f>S107*12</f>
        <v>542424</v>
      </c>
      <c r="AB107" s="491"/>
      <c r="AC107" s="491"/>
      <c r="AD107" s="9"/>
      <c r="AE107" s="498"/>
      <c r="AF107" s="613"/>
      <c r="AG107" s="613"/>
      <c r="AH107" s="613"/>
      <c r="AI107" s="613"/>
      <c r="AJ107" s="613"/>
      <c r="AK107" s="613"/>
      <c r="AL107" s="613"/>
      <c r="AM107" s="613"/>
      <c r="AN107" s="613"/>
      <c r="AO107" s="613"/>
      <c r="AP107" s="613"/>
      <c r="AQ107" s="613"/>
      <c r="AR107" s="613"/>
      <c r="AS107" s="9"/>
      <c r="AT107" s="9"/>
      <c r="AU107" s="9"/>
    </row>
    <row r="108" spans="1:47" s="88" customFormat="1" x14ac:dyDescent="0.25">
      <c r="A108" s="9"/>
      <c r="B108" s="9"/>
      <c r="C108" s="9"/>
      <c r="D108" s="487" t="str">
        <f t="shared" si="32"/>
        <v>Hudson View Park</v>
      </c>
      <c r="E108" s="488"/>
      <c r="F108" s="488"/>
      <c r="G108" s="456" t="s">
        <v>1608</v>
      </c>
      <c r="H108" s="444"/>
      <c r="I108" s="444"/>
      <c r="J108" s="444"/>
      <c r="K108" s="444"/>
      <c r="L108" s="444"/>
      <c r="M108" s="444"/>
      <c r="N108" s="444"/>
      <c r="O108" s="444"/>
      <c r="P108" s="444"/>
      <c r="Q108" s="444"/>
      <c r="R108" s="444"/>
      <c r="S108" s="444"/>
      <c r="T108" s="697"/>
      <c r="U108" s="444"/>
      <c r="V108" s="698"/>
      <c r="W108" s="489"/>
      <c r="X108" s="490"/>
      <c r="Y108" s="490"/>
      <c r="Z108" s="490"/>
      <c r="AA108" s="490"/>
      <c r="AB108" s="491"/>
      <c r="AC108" s="491"/>
      <c r="AD108" s="9"/>
      <c r="AE108" s="498"/>
      <c r="AF108" s="499"/>
      <c r="AG108" s="499"/>
      <c r="AH108" s="499"/>
      <c r="AI108" s="499"/>
      <c r="AJ108" s="499"/>
      <c r="AK108" s="499"/>
      <c r="AL108" s="499"/>
      <c r="AM108" s="499"/>
      <c r="AN108" s="499"/>
      <c r="AO108" s="499"/>
      <c r="AP108" s="499"/>
      <c r="AQ108" s="499"/>
      <c r="AR108" s="499"/>
      <c r="AS108" s="9"/>
      <c r="AT108" s="9"/>
      <c r="AU108" s="9"/>
    </row>
    <row r="109" spans="1:47" s="88" customFormat="1" x14ac:dyDescent="0.25">
      <c r="A109" s="9"/>
      <c r="B109" s="9"/>
      <c r="C109" s="9"/>
      <c r="D109" s="487" t="str">
        <f t="shared" si="32"/>
        <v>Hudson View Park</v>
      </c>
      <c r="E109" s="488" t="s">
        <v>39</v>
      </c>
      <c r="F109" s="488"/>
      <c r="G109" s="443" t="s">
        <v>1610</v>
      </c>
      <c r="H109" s="444">
        <f>SUMIFS('HVP T12'!C:C,'HVP T12'!$B:$B,'P&amp;Ls Detailed'!$G109)</f>
        <v>17152.080000000002</v>
      </c>
      <c r="I109" s="444">
        <f>SUMIFS('HVP T12'!D:D,'HVP T12'!$B:$B,'P&amp;Ls Detailed'!$G109)</f>
        <v>8042.1</v>
      </c>
      <c r="J109" s="444">
        <f>SUMIFS('HVP T12'!E:E,'HVP T12'!$B:$B,'P&amp;Ls Detailed'!$G109)</f>
        <v>9971.4599999999991</v>
      </c>
      <c r="K109" s="444">
        <f>SUMIFS('HVP T12'!F:F,'HVP T12'!$B:$B,'P&amp;Ls Detailed'!$G109)</f>
        <v>8644.66</v>
      </c>
      <c r="L109" s="444">
        <f>SUMIFS('HVP T12'!G:G,'HVP T12'!$B:$B,'P&amp;Ls Detailed'!$G109)</f>
        <v>11456.13</v>
      </c>
      <c r="M109" s="444">
        <f>SUMIFS('HVP T12'!H:H,'HVP T12'!$B:$B,'P&amp;Ls Detailed'!$G109)</f>
        <v>20029.95</v>
      </c>
      <c r="N109" s="444">
        <f>SUMIFS('HVP T12'!I:I,'HVP T12'!$B:$B,'P&amp;Ls Detailed'!$G109)</f>
        <v>27161.42</v>
      </c>
      <c r="O109" s="444">
        <f>SUMIFS('HVP T12'!J:J,'HVP T12'!$B:$B,'P&amp;Ls Detailed'!$G109)</f>
        <v>43548.46</v>
      </c>
      <c r="P109" s="444">
        <f>SUMIFS('HVP T12'!K:K,'HVP T12'!$B:$B,'P&amp;Ls Detailed'!$G109)</f>
        <v>41188.07</v>
      </c>
      <c r="Q109" s="444">
        <f>SUMIFS('HVP T12'!L:L,'HVP T12'!$B:$B,'P&amp;Ls Detailed'!$G109)</f>
        <v>36127.019999999997</v>
      </c>
      <c r="R109" s="444">
        <f>SUMIFS('HVP T12'!M:M,'HVP T12'!$B:$B,'P&amp;Ls Detailed'!$G109)</f>
        <v>33813.839999999997</v>
      </c>
      <c r="S109" s="444">
        <f>SUMIFS('HVP T12'!N:N,'HVP T12'!$B:$B,'P&amp;Ls Detailed'!$G109)</f>
        <v>25777.09</v>
      </c>
      <c r="T109" s="697"/>
      <c r="U109" s="444"/>
      <c r="V109" s="698"/>
      <c r="W109" s="489">
        <f>SUM(H109:S109)</f>
        <v>282912.28000000003</v>
      </c>
      <c r="X109" s="490">
        <f>SUM(K109:S109)/9*12</f>
        <v>330328.85333333333</v>
      </c>
      <c r="Y109" s="490">
        <f>SUM(N109:S109)/6*12</f>
        <v>415231.80000000005</v>
      </c>
      <c r="Z109" s="490">
        <f>SUM(Q109:S109)/3*12</f>
        <v>382871.79999999993</v>
      </c>
      <c r="AA109" s="490">
        <f>S109*12</f>
        <v>309325.08</v>
      </c>
      <c r="AB109" s="491"/>
      <c r="AC109" s="491"/>
      <c r="AD109" s="9"/>
      <c r="AE109" s="498"/>
      <c r="AF109" s="499"/>
      <c r="AG109" s="499"/>
      <c r="AH109" s="499"/>
      <c r="AI109" s="499"/>
      <c r="AJ109" s="499"/>
      <c r="AK109" s="499"/>
      <c r="AL109" s="499"/>
      <c r="AM109" s="499"/>
      <c r="AN109" s="499"/>
      <c r="AO109" s="499"/>
      <c r="AP109" s="499"/>
      <c r="AQ109" s="499"/>
      <c r="AR109" s="499"/>
      <c r="AS109" s="9"/>
      <c r="AT109" s="9"/>
      <c r="AU109" s="9"/>
    </row>
    <row r="110" spans="1:47" s="88" customFormat="1" x14ac:dyDescent="0.25">
      <c r="A110" s="9"/>
      <c r="B110" s="9"/>
      <c r="C110" s="9"/>
      <c r="D110" s="487" t="str">
        <f t="shared" si="32"/>
        <v>Hudson View Park</v>
      </c>
      <c r="E110" s="488" t="s">
        <v>40</v>
      </c>
      <c r="F110" s="488"/>
      <c r="G110" s="443" t="s">
        <v>1612</v>
      </c>
      <c r="H110" s="444">
        <f>SUMIFS('HVP T12'!C:C,'HVP T12'!$B:$B,'P&amp;Ls Detailed'!$G110)</f>
        <v>5667.04</v>
      </c>
      <c r="I110" s="444">
        <f>SUMIFS('HVP T12'!D:D,'HVP T12'!$B:$B,'P&amp;Ls Detailed'!$G110)</f>
        <v>4776.2299999999996</v>
      </c>
      <c r="J110" s="444">
        <f>SUMIFS('HVP T12'!E:E,'HVP T12'!$B:$B,'P&amp;Ls Detailed'!$G110)</f>
        <v>5875.13</v>
      </c>
      <c r="K110" s="444">
        <f>SUMIFS('HVP T12'!F:F,'HVP T12'!$B:$B,'P&amp;Ls Detailed'!$G110)</f>
        <v>6825.24</v>
      </c>
      <c r="L110" s="444">
        <f>SUMIFS('HVP T12'!G:G,'HVP T12'!$B:$B,'P&amp;Ls Detailed'!$G110)</f>
        <v>6187.51</v>
      </c>
      <c r="M110" s="444">
        <f>SUMIFS('HVP T12'!H:H,'HVP T12'!$B:$B,'P&amp;Ls Detailed'!$G110)</f>
        <v>7601.99</v>
      </c>
      <c r="N110" s="444">
        <f>SUMIFS('HVP T12'!I:I,'HVP T12'!$B:$B,'P&amp;Ls Detailed'!$G110)</f>
        <v>7339.54</v>
      </c>
      <c r="O110" s="444">
        <f>SUMIFS('HVP T12'!J:J,'HVP T12'!$B:$B,'P&amp;Ls Detailed'!$G110)</f>
        <v>9460.19</v>
      </c>
      <c r="P110" s="444">
        <f>SUMIFS('HVP T12'!K:K,'HVP T12'!$B:$B,'P&amp;Ls Detailed'!$G110)</f>
        <v>8120.92</v>
      </c>
      <c r="Q110" s="444">
        <f>SUMIFS('HVP T12'!L:L,'HVP T12'!$B:$B,'P&amp;Ls Detailed'!$G110)</f>
        <v>6882.78</v>
      </c>
      <c r="R110" s="444">
        <f>SUMIFS('HVP T12'!M:M,'HVP T12'!$B:$B,'P&amp;Ls Detailed'!$G110)</f>
        <v>7095.09</v>
      </c>
      <c r="S110" s="444">
        <f>SUMIFS('HVP T12'!N:N,'HVP T12'!$B:$B,'P&amp;Ls Detailed'!$G110)</f>
        <v>7333.54</v>
      </c>
      <c r="T110" s="697"/>
      <c r="U110" s="444"/>
      <c r="V110" s="698"/>
      <c r="W110" s="489">
        <f>SUM(H110:S110)</f>
        <v>83165.2</v>
      </c>
      <c r="X110" s="490">
        <f>SUM(K110:S110)/9*12</f>
        <v>89129.066666666651</v>
      </c>
      <c r="Y110" s="490">
        <f>SUM(N110:S110)/6*12</f>
        <v>92464.12000000001</v>
      </c>
      <c r="Z110" s="490">
        <f>SUM(Q110:S110)/3*12</f>
        <v>85245.64</v>
      </c>
      <c r="AA110" s="490">
        <f>S110*12</f>
        <v>88002.48</v>
      </c>
      <c r="AB110" s="491"/>
      <c r="AC110" s="491"/>
      <c r="AD110" s="9"/>
      <c r="AE110" s="9"/>
      <c r="AF110" s="499"/>
      <c r="AG110" s="499"/>
      <c r="AH110" s="499"/>
      <c r="AI110" s="499"/>
      <c r="AJ110" s="499"/>
      <c r="AK110" s="499"/>
      <c r="AL110" s="499"/>
      <c r="AM110" s="499"/>
      <c r="AN110" s="499"/>
      <c r="AO110" s="499"/>
      <c r="AP110" s="499"/>
      <c r="AQ110" s="499"/>
      <c r="AR110" s="499"/>
      <c r="AS110" s="9"/>
      <c r="AT110" s="9"/>
      <c r="AU110" s="9"/>
    </row>
    <row r="111" spans="1:47" s="88" customFormat="1" x14ac:dyDescent="0.25">
      <c r="A111" s="9"/>
      <c r="B111" s="9"/>
      <c r="C111" s="9"/>
      <c r="D111" s="487" t="str">
        <f t="shared" si="32"/>
        <v>Hudson View Park</v>
      </c>
      <c r="E111" s="488" t="s">
        <v>38</v>
      </c>
      <c r="F111" s="488"/>
      <c r="G111" s="443" t="s">
        <v>1614</v>
      </c>
      <c r="H111" s="444">
        <f>SUMIFS('HVP T12'!C:C,'HVP T12'!$B:$B,'P&amp;Ls Detailed'!$G111)</f>
        <v>10836.79</v>
      </c>
      <c r="I111" s="444">
        <f>SUMIFS('HVP T12'!D:D,'HVP T12'!$B:$B,'P&amp;Ls Detailed'!$G111)</f>
        <v>10900</v>
      </c>
      <c r="J111" s="444">
        <f>SUMIFS('HVP T12'!E:E,'HVP T12'!$B:$B,'P&amp;Ls Detailed'!$G111)</f>
        <v>11300</v>
      </c>
      <c r="K111" s="444">
        <f>SUMIFS('HVP T12'!F:F,'HVP T12'!$B:$B,'P&amp;Ls Detailed'!$G111)</f>
        <v>10585</v>
      </c>
      <c r="L111" s="444">
        <f>SUMIFS('HVP T12'!G:G,'HVP T12'!$B:$B,'P&amp;Ls Detailed'!$G111)</f>
        <v>10330.09</v>
      </c>
      <c r="M111" s="444">
        <f>SUMIFS('HVP T12'!H:H,'HVP T12'!$B:$B,'P&amp;Ls Detailed'!$G111)</f>
        <v>11420</v>
      </c>
      <c r="N111" s="444">
        <f>SUMIFS('HVP T12'!I:I,'HVP T12'!$B:$B,'P&amp;Ls Detailed'!$G111)</f>
        <v>8852.2099999999991</v>
      </c>
      <c r="O111" s="444">
        <f>SUMIFS('HVP T12'!J:J,'HVP T12'!$B:$B,'P&amp;Ls Detailed'!$G111)</f>
        <v>10425</v>
      </c>
      <c r="P111" s="444">
        <f>SUMIFS('HVP T12'!K:K,'HVP T12'!$B:$B,'P&amp;Ls Detailed'!$G111)</f>
        <v>10425</v>
      </c>
      <c r="Q111" s="444">
        <f>SUMIFS('HVP T12'!L:L,'HVP T12'!$B:$B,'P&amp;Ls Detailed'!$G111)</f>
        <v>9415</v>
      </c>
      <c r="R111" s="444">
        <f>SUMIFS('HVP T12'!M:M,'HVP T12'!$B:$B,'P&amp;Ls Detailed'!$G111)</f>
        <v>10582.35</v>
      </c>
      <c r="S111" s="444">
        <f>SUMIFS('HVP T12'!N:N,'HVP T12'!$B:$B,'P&amp;Ls Detailed'!$G111)</f>
        <v>10200</v>
      </c>
      <c r="T111" s="697"/>
      <c r="U111" s="444"/>
      <c r="V111" s="698"/>
      <c r="W111" s="489">
        <f>SUM(H111:S111)</f>
        <v>125271.44</v>
      </c>
      <c r="X111" s="490">
        <f>SUM(K111:S111)/9*12</f>
        <v>122979.53333333335</v>
      </c>
      <c r="Y111" s="490">
        <f>SUM(N111:S111)/6*12</f>
        <v>119799.12</v>
      </c>
      <c r="Z111" s="490">
        <f>SUM(Q111:S111)/3*12</f>
        <v>120789.4</v>
      </c>
      <c r="AA111" s="490">
        <f>S111*12</f>
        <v>122400</v>
      </c>
      <c r="AB111" s="491"/>
      <c r="AC111" s="491"/>
      <c r="AD111" s="9"/>
      <c r="AE111" s="9"/>
      <c r="AF111" s="613"/>
      <c r="AG111" s="613"/>
      <c r="AH111" s="613"/>
      <c r="AI111" s="613"/>
      <c r="AJ111" s="613"/>
      <c r="AK111" s="613"/>
      <c r="AL111" s="613"/>
      <c r="AM111" s="613"/>
      <c r="AN111" s="613"/>
      <c r="AO111" s="613"/>
      <c r="AP111" s="613"/>
      <c r="AQ111" s="613"/>
      <c r="AR111" s="613"/>
      <c r="AS111" s="9"/>
      <c r="AT111" s="9"/>
      <c r="AU111" s="9"/>
    </row>
    <row r="112" spans="1:47" s="88" customFormat="1" x14ac:dyDescent="0.25">
      <c r="A112" s="9"/>
      <c r="B112" s="9"/>
      <c r="C112" s="9"/>
      <c r="D112" s="487" t="str">
        <f t="shared" si="32"/>
        <v>Hudson View Park</v>
      </c>
      <c r="E112" s="488" t="s">
        <v>38</v>
      </c>
      <c r="F112" s="488"/>
      <c r="G112" s="443" t="s">
        <v>1616</v>
      </c>
      <c r="H112" s="444">
        <f>SUMIFS('HVP T12'!C:C,'HVP T12'!$B:$B,'P&amp;Ls Detailed'!$G112)</f>
        <v>8038.4</v>
      </c>
      <c r="I112" s="444">
        <f>SUMIFS('HVP T12'!D:D,'HVP T12'!$B:$B,'P&amp;Ls Detailed'!$G112)</f>
        <v>8100</v>
      </c>
      <c r="J112" s="444">
        <f>SUMIFS('HVP T12'!E:E,'HVP T12'!$B:$B,'P&amp;Ls Detailed'!$G112)</f>
        <v>8400</v>
      </c>
      <c r="K112" s="444">
        <f>SUMIFS('HVP T12'!F:F,'HVP T12'!$B:$B,'P&amp;Ls Detailed'!$G112)</f>
        <v>7854</v>
      </c>
      <c r="L112" s="444">
        <f>SUMIFS('HVP T12'!G:G,'HVP T12'!$B:$B,'P&amp;Ls Detailed'!$G112)</f>
        <v>7675.25</v>
      </c>
      <c r="M112" s="444">
        <f>SUMIFS('HVP T12'!H:H,'HVP T12'!$B:$B,'P&amp;Ls Detailed'!$G112)</f>
        <v>8475</v>
      </c>
      <c r="N112" s="444">
        <f>SUMIFS('HVP T12'!I:I,'HVP T12'!$B:$B,'P&amp;Ls Detailed'!$G112)</f>
        <v>6582.77</v>
      </c>
      <c r="O112" s="444">
        <f>SUMIFS('HVP T12'!J:J,'HVP T12'!$B:$B,'P&amp;Ls Detailed'!$G112)</f>
        <v>7745</v>
      </c>
      <c r="P112" s="444">
        <f>SUMIFS('HVP T12'!K:K,'HVP T12'!$B:$B,'P&amp;Ls Detailed'!$G112)</f>
        <v>7745</v>
      </c>
      <c r="Q112" s="444">
        <f>SUMIFS('HVP T12'!L:L,'HVP T12'!$B:$B,'P&amp;Ls Detailed'!$G112)</f>
        <v>6995</v>
      </c>
      <c r="R112" s="444">
        <f>SUMIFS('HVP T12'!M:M,'HVP T12'!$B:$B,'P&amp;Ls Detailed'!$G112)</f>
        <v>9381.33</v>
      </c>
      <c r="S112" s="444">
        <f>SUMIFS('HVP T12'!N:N,'HVP T12'!$B:$B,'P&amp;Ls Detailed'!$G112)</f>
        <v>7900</v>
      </c>
      <c r="T112" s="697"/>
      <c r="U112" s="444"/>
      <c r="V112" s="698"/>
      <c r="W112" s="489">
        <f>SUM(H112:S112)</f>
        <v>94891.75</v>
      </c>
      <c r="X112" s="490">
        <f>SUM(K112:S112)/9*12</f>
        <v>93804.466666666674</v>
      </c>
      <c r="Y112" s="490">
        <f>SUM(N112:S112)/6*12</f>
        <v>92698.2</v>
      </c>
      <c r="Z112" s="490">
        <f>SUM(Q112:S112)/3*12</f>
        <v>97105.32</v>
      </c>
      <c r="AA112" s="490">
        <f>S112*12</f>
        <v>94800</v>
      </c>
      <c r="AB112" s="491"/>
      <c r="AC112" s="491"/>
      <c r="AD112" s="9"/>
      <c r="AE112" s="9"/>
      <c r="AF112" s="613"/>
      <c r="AG112" s="613"/>
      <c r="AH112" s="613"/>
      <c r="AI112" s="613"/>
      <c r="AJ112" s="613"/>
      <c r="AK112" s="613"/>
      <c r="AL112" s="613"/>
      <c r="AM112" s="613"/>
      <c r="AN112" s="613"/>
      <c r="AO112" s="613"/>
      <c r="AP112" s="613"/>
      <c r="AQ112" s="613"/>
      <c r="AR112" s="613"/>
      <c r="AS112" s="9"/>
      <c r="AT112" s="9"/>
      <c r="AU112" s="9"/>
    </row>
    <row r="113" spans="1:47" s="88" customFormat="1" x14ac:dyDescent="0.25">
      <c r="A113" s="9"/>
      <c r="B113" s="9"/>
      <c r="C113" s="9"/>
      <c r="D113" s="487" t="str">
        <f t="shared" si="32"/>
        <v>Hudson View Park</v>
      </c>
      <c r="E113" s="488"/>
      <c r="F113" s="488"/>
      <c r="G113" s="456" t="s">
        <v>1617</v>
      </c>
      <c r="H113" s="447">
        <f t="shared" ref="H113:W113" si="42">SUM(H109:H112)</f>
        <v>41694.310000000005</v>
      </c>
      <c r="I113" s="447">
        <f t="shared" si="42"/>
        <v>31818.33</v>
      </c>
      <c r="J113" s="447">
        <f t="shared" si="42"/>
        <v>35546.589999999997</v>
      </c>
      <c r="K113" s="447">
        <f t="shared" si="42"/>
        <v>33908.9</v>
      </c>
      <c r="L113" s="447">
        <f t="shared" si="42"/>
        <v>35648.979999999996</v>
      </c>
      <c r="M113" s="447">
        <f t="shared" si="42"/>
        <v>47526.94</v>
      </c>
      <c r="N113" s="447">
        <f t="shared" si="42"/>
        <v>49935.94</v>
      </c>
      <c r="O113" s="447">
        <f t="shared" si="42"/>
        <v>71178.649999999994</v>
      </c>
      <c r="P113" s="447">
        <f t="shared" si="42"/>
        <v>67478.989999999991</v>
      </c>
      <c r="Q113" s="447">
        <f t="shared" si="42"/>
        <v>59419.799999999996</v>
      </c>
      <c r="R113" s="447">
        <f t="shared" si="42"/>
        <v>60872.609999999993</v>
      </c>
      <c r="S113" s="447">
        <f t="shared" si="42"/>
        <v>51210.63</v>
      </c>
      <c r="T113" s="628"/>
      <c r="U113" s="447"/>
      <c r="V113" s="699"/>
      <c r="W113" s="567">
        <f t="shared" si="42"/>
        <v>586240.67000000004</v>
      </c>
      <c r="X113" s="497">
        <f>SUM(K113:S113)/9*12</f>
        <v>636241.92000000004</v>
      </c>
      <c r="Y113" s="497">
        <f>SUM(N113:S113)/6*12</f>
        <v>720193.24</v>
      </c>
      <c r="Z113" s="497">
        <f>SUM(Q113:S113)/3*12</f>
        <v>686012.15999999992</v>
      </c>
      <c r="AA113" s="497">
        <f>S113*12</f>
        <v>614527.55999999994</v>
      </c>
      <c r="AB113" s="491"/>
      <c r="AC113" s="491"/>
      <c r="AD113" s="9"/>
      <c r="AE113" s="498"/>
      <c r="AF113" s="613"/>
      <c r="AG113" s="613"/>
      <c r="AH113" s="613"/>
      <c r="AI113" s="613"/>
      <c r="AJ113" s="613"/>
      <c r="AK113" s="613"/>
      <c r="AL113" s="613"/>
      <c r="AM113" s="613"/>
      <c r="AN113" s="613"/>
      <c r="AO113" s="613"/>
      <c r="AP113" s="613"/>
      <c r="AQ113" s="613"/>
      <c r="AR113" s="613"/>
      <c r="AS113" s="9"/>
      <c r="AT113" s="9"/>
      <c r="AU113" s="9"/>
    </row>
    <row r="114" spans="1:47" s="88" customFormat="1" x14ac:dyDescent="0.25">
      <c r="A114" s="9"/>
      <c r="B114" s="9"/>
      <c r="C114" s="9"/>
      <c r="D114" s="487" t="str">
        <f t="shared" si="32"/>
        <v>Hudson View Park</v>
      </c>
      <c r="E114" s="488"/>
      <c r="F114" s="488"/>
      <c r="G114" s="456" t="s">
        <v>1618</v>
      </c>
      <c r="H114" s="444"/>
      <c r="I114" s="444"/>
      <c r="J114" s="444"/>
      <c r="K114" s="444"/>
      <c r="L114" s="444"/>
      <c r="M114" s="444"/>
      <c r="N114" s="444"/>
      <c r="O114" s="444"/>
      <c r="P114" s="444"/>
      <c r="Q114" s="444"/>
      <c r="R114" s="444"/>
      <c r="S114" s="444"/>
      <c r="T114" s="697"/>
      <c r="U114" s="444"/>
      <c r="V114" s="698"/>
      <c r="W114" s="489"/>
      <c r="X114" s="490"/>
      <c r="Y114" s="490"/>
      <c r="Z114" s="490"/>
      <c r="AA114" s="490"/>
      <c r="AB114" s="491"/>
      <c r="AC114" s="491"/>
      <c r="AD114" s="9"/>
      <c r="AE114" s="498"/>
      <c r="AF114" s="499"/>
      <c r="AG114" s="499"/>
      <c r="AH114" s="499"/>
      <c r="AI114" s="499"/>
      <c r="AJ114" s="499"/>
      <c r="AK114" s="499"/>
      <c r="AL114" s="499"/>
      <c r="AM114" s="499"/>
      <c r="AN114" s="499"/>
      <c r="AO114" s="499"/>
      <c r="AP114" s="499"/>
      <c r="AQ114" s="499"/>
      <c r="AR114" s="499"/>
      <c r="AS114" s="9"/>
      <c r="AT114" s="9"/>
      <c r="AU114" s="9"/>
    </row>
    <row r="115" spans="1:47" s="88" customFormat="1" x14ac:dyDescent="0.25">
      <c r="A115" s="9"/>
      <c r="B115" s="9"/>
      <c r="C115" s="9"/>
      <c r="D115" s="487" t="str">
        <f t="shared" si="32"/>
        <v>Hudson View Park</v>
      </c>
      <c r="E115" s="488"/>
      <c r="F115" s="488"/>
      <c r="G115" s="456" t="s">
        <v>1619</v>
      </c>
      <c r="H115" s="444"/>
      <c r="I115" s="444"/>
      <c r="J115" s="444"/>
      <c r="K115" s="444"/>
      <c r="L115" s="444"/>
      <c r="M115" s="444"/>
      <c r="N115" s="444"/>
      <c r="O115" s="444"/>
      <c r="P115" s="444"/>
      <c r="Q115" s="444"/>
      <c r="R115" s="444"/>
      <c r="S115" s="444"/>
      <c r="T115" s="697"/>
      <c r="U115" s="444"/>
      <c r="V115" s="698"/>
      <c r="W115" s="489"/>
      <c r="X115" s="490"/>
      <c r="Y115" s="490"/>
      <c r="Z115" s="490"/>
      <c r="AA115" s="490"/>
      <c r="AB115" s="491"/>
      <c r="AC115" s="491"/>
      <c r="AD115" s="9"/>
      <c r="AE115" s="498"/>
      <c r="AF115" s="499"/>
      <c r="AG115" s="499"/>
      <c r="AH115" s="499"/>
      <c r="AI115" s="499"/>
      <c r="AJ115" s="499"/>
      <c r="AK115" s="499"/>
      <c r="AL115" s="499"/>
      <c r="AM115" s="499"/>
      <c r="AN115" s="499"/>
      <c r="AO115" s="499"/>
      <c r="AP115" s="499"/>
      <c r="AQ115" s="499"/>
      <c r="AR115" s="499"/>
      <c r="AS115" s="9"/>
      <c r="AT115" s="9"/>
      <c r="AU115" s="9"/>
    </row>
    <row r="116" spans="1:47" s="88" customFormat="1" x14ac:dyDescent="0.25">
      <c r="A116" s="9"/>
      <c r="B116" s="9"/>
      <c r="C116" s="9"/>
      <c r="D116" s="487" t="str">
        <f t="shared" si="32"/>
        <v>Hudson View Park</v>
      </c>
      <c r="E116" s="488" t="s">
        <v>52</v>
      </c>
      <c r="F116" s="488"/>
      <c r="G116" s="443" t="s">
        <v>1621</v>
      </c>
      <c r="H116" s="444">
        <f>SUMIFS('HVP T12'!C:C,'HVP T12'!$B:$B,'P&amp;Ls Detailed'!$G116)</f>
        <v>23088.67</v>
      </c>
      <c r="I116" s="444">
        <f>SUMIFS('HVP T12'!D:D,'HVP T12'!$B:$B,'P&amp;Ls Detailed'!$G116)</f>
        <v>23088.67</v>
      </c>
      <c r="J116" s="444">
        <f>SUMIFS('HVP T12'!E:E,'HVP T12'!$B:$B,'P&amp;Ls Detailed'!$G116)</f>
        <v>23088.67</v>
      </c>
      <c r="K116" s="444">
        <f>SUMIFS('HVP T12'!F:F,'HVP T12'!$B:$B,'P&amp;Ls Detailed'!$G116)</f>
        <v>23088.67</v>
      </c>
      <c r="L116" s="444">
        <f>SUMIFS('HVP T12'!G:G,'HVP T12'!$B:$B,'P&amp;Ls Detailed'!$G116)</f>
        <v>23088.67</v>
      </c>
      <c r="M116" s="444">
        <f>SUMIFS('HVP T12'!H:H,'HVP T12'!$B:$B,'P&amp;Ls Detailed'!$G116)</f>
        <v>23088.67</v>
      </c>
      <c r="N116" s="444">
        <f>SUMIFS('HVP T12'!I:I,'HVP T12'!$B:$B,'P&amp;Ls Detailed'!$G116)</f>
        <v>23088.67</v>
      </c>
      <c r="O116" s="444">
        <f>SUMIFS('HVP T12'!J:J,'HVP T12'!$B:$B,'P&amp;Ls Detailed'!$G116)</f>
        <v>23088.69</v>
      </c>
      <c r="P116" s="444">
        <f>SUMIFS('HVP T12'!K:K,'HVP T12'!$B:$B,'P&amp;Ls Detailed'!$G116)</f>
        <v>23896.85</v>
      </c>
      <c r="Q116" s="444">
        <f>SUMIFS('HVP T12'!L:L,'HVP T12'!$B:$B,'P&amp;Ls Detailed'!$G116)</f>
        <v>23896.85</v>
      </c>
      <c r="R116" s="444">
        <f>SUMIFS('HVP T12'!M:M,'HVP T12'!$B:$B,'P&amp;Ls Detailed'!$G116)</f>
        <v>23896.85</v>
      </c>
      <c r="S116" s="444">
        <f>SUMIFS('HVP T12'!N:N,'HVP T12'!$B:$B,'P&amp;Ls Detailed'!$G116)</f>
        <v>23896.85</v>
      </c>
      <c r="T116" s="697"/>
      <c r="U116" s="444"/>
      <c r="V116" s="698"/>
      <c r="W116" s="489">
        <f>SUM(H116:S116)</f>
        <v>280296.78000000003</v>
      </c>
      <c r="X116" s="490">
        <f t="shared" ref="X116:X121" si="43">SUM(K116:S116)/9*12</f>
        <v>281374.36</v>
      </c>
      <c r="Y116" s="490">
        <f t="shared" ref="Y116:Y121" si="44">SUM(N116:S116)/6*12</f>
        <v>283529.52</v>
      </c>
      <c r="Z116" s="490">
        <f t="shared" ref="Z116:Z121" si="45">SUM(Q116:S116)/3*12</f>
        <v>286762.19999999995</v>
      </c>
      <c r="AA116" s="490">
        <f t="shared" ref="AA116:AA121" si="46">S116*12</f>
        <v>286762.19999999995</v>
      </c>
      <c r="AB116" s="491"/>
      <c r="AC116" s="491"/>
      <c r="AD116" s="9"/>
      <c r="AE116" s="9"/>
      <c r="AF116" s="613"/>
      <c r="AG116" s="613"/>
      <c r="AH116" s="613"/>
      <c r="AI116" s="613"/>
      <c r="AJ116" s="613"/>
      <c r="AK116" s="613"/>
      <c r="AL116" s="613"/>
      <c r="AM116" s="613"/>
      <c r="AN116" s="613"/>
      <c r="AO116" s="613"/>
      <c r="AP116" s="613"/>
      <c r="AQ116" s="613"/>
      <c r="AR116" s="613"/>
      <c r="AS116" s="9"/>
      <c r="AT116" s="9"/>
      <c r="AU116" s="9"/>
    </row>
    <row r="117" spans="1:47" s="88" customFormat="1" x14ac:dyDescent="0.25">
      <c r="A117" s="9"/>
      <c r="B117" s="9"/>
      <c r="C117" s="9"/>
      <c r="D117" s="487" t="str">
        <f t="shared" si="32"/>
        <v>Hudson View Park</v>
      </c>
      <c r="E117" s="488" t="s">
        <v>52</v>
      </c>
      <c r="F117" s="488"/>
      <c r="G117" s="443" t="s">
        <v>1623</v>
      </c>
      <c r="H117" s="444">
        <f>SUMIFS('HVP T12'!C:C,'HVP T12'!$B:$B,'P&amp;Ls Detailed'!$G117)</f>
        <v>1084.3</v>
      </c>
      <c r="I117" s="444">
        <f>SUMIFS('HVP T12'!D:D,'HVP T12'!$B:$B,'P&amp;Ls Detailed'!$G117)</f>
        <v>1084.3</v>
      </c>
      <c r="J117" s="444">
        <f>SUMIFS('HVP T12'!E:E,'HVP T12'!$B:$B,'P&amp;Ls Detailed'!$G117)</f>
        <v>1084.3</v>
      </c>
      <c r="K117" s="444">
        <f>SUMIFS('HVP T12'!F:F,'HVP T12'!$B:$B,'P&amp;Ls Detailed'!$G117)</f>
        <v>1084.3</v>
      </c>
      <c r="L117" s="444">
        <f>SUMIFS('HVP T12'!G:G,'HVP T12'!$B:$B,'P&amp;Ls Detailed'!$G117)</f>
        <v>1084.3</v>
      </c>
      <c r="M117" s="444">
        <f>SUMIFS('HVP T12'!H:H,'HVP T12'!$B:$B,'P&amp;Ls Detailed'!$G117)</f>
        <v>1084.3</v>
      </c>
      <c r="N117" s="444">
        <f>SUMIFS('HVP T12'!I:I,'HVP T12'!$B:$B,'P&amp;Ls Detailed'!$G117)</f>
        <v>1084.3</v>
      </c>
      <c r="O117" s="444">
        <f>SUMIFS('HVP T12'!J:J,'HVP T12'!$B:$B,'P&amp;Ls Detailed'!$G117)</f>
        <v>1084.3</v>
      </c>
      <c r="P117" s="444">
        <f>SUMIFS('HVP T12'!K:K,'HVP T12'!$B:$B,'P&amp;Ls Detailed'!$G117)</f>
        <v>874.99</v>
      </c>
      <c r="Q117" s="444">
        <f>SUMIFS('HVP T12'!L:L,'HVP T12'!$B:$B,'P&amp;Ls Detailed'!$G117)</f>
        <v>874.99</v>
      </c>
      <c r="R117" s="444">
        <f>SUMIFS('HVP T12'!M:M,'HVP T12'!$B:$B,'P&amp;Ls Detailed'!$G117)</f>
        <v>874.99</v>
      </c>
      <c r="S117" s="444">
        <f>SUMIFS('HVP T12'!N:N,'HVP T12'!$B:$B,'P&amp;Ls Detailed'!$G117)</f>
        <v>874.99</v>
      </c>
      <c r="T117" s="697"/>
      <c r="U117" s="444"/>
      <c r="V117" s="698"/>
      <c r="W117" s="489">
        <f>SUM(H117:S117)</f>
        <v>12174.359999999999</v>
      </c>
      <c r="X117" s="490">
        <f t="shared" si="43"/>
        <v>11895.279999999999</v>
      </c>
      <c r="Y117" s="490">
        <f t="shared" si="44"/>
        <v>11337.119999999999</v>
      </c>
      <c r="Z117" s="490">
        <f t="shared" si="45"/>
        <v>10499.880000000001</v>
      </c>
      <c r="AA117" s="490">
        <f t="shared" si="46"/>
        <v>10499.880000000001</v>
      </c>
      <c r="AB117" s="491"/>
      <c r="AC117" s="491"/>
      <c r="AD117" s="9"/>
      <c r="AE117" s="9"/>
      <c r="AF117" s="613"/>
      <c r="AG117" s="613"/>
      <c r="AH117" s="613"/>
      <c r="AI117" s="613"/>
      <c r="AJ117" s="613"/>
      <c r="AK117" s="613"/>
      <c r="AL117" s="613"/>
      <c r="AM117" s="613"/>
      <c r="AN117" s="613"/>
      <c r="AO117" s="613"/>
      <c r="AP117" s="613"/>
      <c r="AQ117" s="613"/>
      <c r="AR117" s="613"/>
      <c r="AS117" s="9"/>
      <c r="AT117" s="9"/>
      <c r="AU117" s="9"/>
    </row>
    <row r="118" spans="1:47" s="88" customFormat="1" x14ac:dyDescent="0.25">
      <c r="A118" s="9"/>
      <c r="B118" s="9"/>
      <c r="C118" s="9"/>
      <c r="D118" s="487" t="str">
        <f t="shared" si="32"/>
        <v>Hudson View Park</v>
      </c>
      <c r="E118" s="488" t="s">
        <v>52</v>
      </c>
      <c r="F118" s="488"/>
      <c r="G118" s="443" t="s">
        <v>1625</v>
      </c>
      <c r="H118" s="444">
        <f>SUMIFS('HVP T12'!C:C,'HVP T12'!$B:$B,'P&amp;Ls Detailed'!$G118)</f>
        <v>4024.23</v>
      </c>
      <c r="I118" s="444">
        <f>SUMIFS('HVP T12'!D:D,'HVP T12'!$B:$B,'P&amp;Ls Detailed'!$G118)</f>
        <v>4024.23</v>
      </c>
      <c r="J118" s="444">
        <f>SUMIFS('HVP T12'!E:E,'HVP T12'!$B:$B,'P&amp;Ls Detailed'!$G118)</f>
        <v>4024.23</v>
      </c>
      <c r="K118" s="444">
        <f>SUMIFS('HVP T12'!F:F,'HVP T12'!$B:$B,'P&amp;Ls Detailed'!$G118)</f>
        <v>4024.23</v>
      </c>
      <c r="L118" s="444">
        <f>SUMIFS('HVP T12'!G:G,'HVP T12'!$B:$B,'P&amp;Ls Detailed'!$G118)</f>
        <v>4024.23</v>
      </c>
      <c r="M118" s="444">
        <f>SUMIFS('HVP T12'!H:H,'HVP T12'!$B:$B,'P&amp;Ls Detailed'!$G118)</f>
        <v>4024.23</v>
      </c>
      <c r="N118" s="444">
        <f>SUMIFS('HVP T12'!I:I,'HVP T12'!$B:$B,'P&amp;Ls Detailed'!$G118)</f>
        <v>4024.23</v>
      </c>
      <c r="O118" s="444">
        <f>SUMIFS('HVP T12'!J:J,'HVP T12'!$B:$B,'P&amp;Ls Detailed'!$G118)</f>
        <v>4024.23</v>
      </c>
      <c r="P118" s="444">
        <f>SUMIFS('HVP T12'!K:K,'HVP T12'!$B:$B,'P&amp;Ls Detailed'!$G118)</f>
        <v>8120.19</v>
      </c>
      <c r="Q118" s="444">
        <f>SUMIFS('HVP T12'!L:L,'HVP T12'!$B:$B,'P&amp;Ls Detailed'!$G118)</f>
        <v>8120.19</v>
      </c>
      <c r="R118" s="444">
        <f>SUMIFS('HVP T12'!M:M,'HVP T12'!$B:$B,'P&amp;Ls Detailed'!$G118)</f>
        <v>8120.19</v>
      </c>
      <c r="S118" s="444">
        <f>SUMIFS('HVP T12'!N:N,'HVP T12'!$B:$B,'P&amp;Ls Detailed'!$G118)</f>
        <v>8120.19</v>
      </c>
      <c r="T118" s="697"/>
      <c r="U118" s="444"/>
      <c r="V118" s="698"/>
      <c r="W118" s="489">
        <f>SUM(H118:S118)</f>
        <v>64674.600000000006</v>
      </c>
      <c r="X118" s="490">
        <f t="shared" si="43"/>
        <v>70135.88</v>
      </c>
      <c r="Y118" s="490">
        <f t="shared" si="44"/>
        <v>81058.44</v>
      </c>
      <c r="Z118" s="490">
        <f t="shared" si="45"/>
        <v>97442.28</v>
      </c>
      <c r="AA118" s="490">
        <f t="shared" si="46"/>
        <v>97442.28</v>
      </c>
      <c r="AB118" s="491"/>
      <c r="AC118" s="491"/>
      <c r="AD118" s="9"/>
      <c r="AE118" s="9"/>
      <c r="AF118" s="613"/>
      <c r="AG118" s="613"/>
      <c r="AH118" s="613"/>
      <c r="AI118" s="613"/>
      <c r="AJ118" s="613"/>
      <c r="AK118" s="613"/>
      <c r="AL118" s="613"/>
      <c r="AM118" s="613"/>
      <c r="AN118" s="613"/>
      <c r="AO118" s="613"/>
      <c r="AP118" s="613"/>
      <c r="AQ118" s="613"/>
      <c r="AR118" s="613"/>
      <c r="AS118" s="9"/>
      <c r="AT118" s="9"/>
      <c r="AU118" s="9"/>
    </row>
    <row r="119" spans="1:47" s="88" customFormat="1" x14ac:dyDescent="0.25">
      <c r="A119" s="9"/>
      <c r="B119" s="9"/>
      <c r="C119" s="9"/>
      <c r="D119" s="487" t="str">
        <f t="shared" si="32"/>
        <v>Hudson View Park</v>
      </c>
      <c r="E119" s="488"/>
      <c r="F119" s="488"/>
      <c r="G119" s="456" t="s">
        <v>1626</v>
      </c>
      <c r="H119" s="447">
        <f t="shared" ref="H119:W119" si="47">SUM(H116:H118)</f>
        <v>28197.199999999997</v>
      </c>
      <c r="I119" s="447">
        <f t="shared" si="47"/>
        <v>28197.199999999997</v>
      </c>
      <c r="J119" s="447">
        <f t="shared" si="47"/>
        <v>28197.199999999997</v>
      </c>
      <c r="K119" s="447">
        <f t="shared" si="47"/>
        <v>28197.199999999997</v>
      </c>
      <c r="L119" s="447">
        <f t="shared" si="47"/>
        <v>28197.199999999997</v>
      </c>
      <c r="M119" s="447">
        <f t="shared" si="47"/>
        <v>28197.199999999997</v>
      </c>
      <c r="N119" s="447">
        <f t="shared" si="47"/>
        <v>28197.199999999997</v>
      </c>
      <c r="O119" s="447">
        <f t="shared" si="47"/>
        <v>28197.219999999998</v>
      </c>
      <c r="P119" s="447">
        <f t="shared" si="47"/>
        <v>32892.03</v>
      </c>
      <c r="Q119" s="447">
        <f t="shared" si="47"/>
        <v>32892.03</v>
      </c>
      <c r="R119" s="447">
        <f t="shared" si="47"/>
        <v>32892.03</v>
      </c>
      <c r="S119" s="447">
        <f t="shared" si="47"/>
        <v>32892.03</v>
      </c>
      <c r="T119" s="628"/>
      <c r="U119" s="447"/>
      <c r="V119" s="699"/>
      <c r="W119" s="567">
        <f t="shared" si="47"/>
        <v>357145.74</v>
      </c>
      <c r="X119" s="497">
        <f t="shared" si="43"/>
        <v>363405.52</v>
      </c>
      <c r="Y119" s="497">
        <f t="shared" si="44"/>
        <v>375925.08</v>
      </c>
      <c r="Z119" s="497">
        <f t="shared" si="45"/>
        <v>394704.36</v>
      </c>
      <c r="AA119" s="497">
        <f t="shared" si="46"/>
        <v>394704.36</v>
      </c>
      <c r="AB119" s="491"/>
      <c r="AC119" s="491"/>
      <c r="AD119" s="9"/>
      <c r="AE119" s="498"/>
      <c r="AF119" s="613"/>
      <c r="AG119" s="613"/>
      <c r="AH119" s="613"/>
      <c r="AI119" s="613"/>
      <c r="AJ119" s="613"/>
      <c r="AK119" s="613"/>
      <c r="AL119" s="613"/>
      <c r="AM119" s="613"/>
      <c r="AN119" s="613"/>
      <c r="AO119" s="613"/>
      <c r="AP119" s="613"/>
      <c r="AQ119" s="613"/>
      <c r="AR119" s="613"/>
      <c r="AS119" s="9"/>
      <c r="AT119" s="9"/>
      <c r="AU119" s="9"/>
    </row>
    <row r="120" spans="1:47" s="88" customFormat="1" x14ac:dyDescent="0.25">
      <c r="A120" s="9"/>
      <c r="B120" s="9"/>
      <c r="C120" s="9"/>
      <c r="D120" s="487" t="str">
        <f t="shared" si="32"/>
        <v>Hudson View Park</v>
      </c>
      <c r="E120" s="488" t="s">
        <v>52</v>
      </c>
      <c r="F120" s="488"/>
      <c r="G120" s="443" t="s">
        <v>1628</v>
      </c>
      <c r="H120" s="444">
        <f>SUMIFS('HVP T12'!C:C,'HVP T12'!$B:$B,'P&amp;Ls Detailed'!$G120)</f>
        <v>69987.899999999994</v>
      </c>
      <c r="I120" s="444">
        <f>SUMIFS('HVP T12'!D:D,'HVP T12'!$B:$B,'P&amp;Ls Detailed'!$G120)</f>
        <v>69987.899999999994</v>
      </c>
      <c r="J120" s="444">
        <f>SUMIFS('HVP T12'!E:E,'HVP T12'!$B:$B,'P&amp;Ls Detailed'!$G120)</f>
        <v>72148.39</v>
      </c>
      <c r="K120" s="444">
        <f>SUMIFS('HVP T12'!F:F,'HVP T12'!$B:$B,'P&amp;Ls Detailed'!$G120)</f>
        <v>72148.39</v>
      </c>
      <c r="L120" s="444">
        <f>SUMIFS('HVP T12'!G:G,'HVP T12'!$B:$B,'P&amp;Ls Detailed'!$G120)</f>
        <v>72148.39</v>
      </c>
      <c r="M120" s="444">
        <f>SUMIFS('HVP T12'!H:H,'HVP T12'!$B:$B,'P&amp;Ls Detailed'!$G120)</f>
        <v>72148.39</v>
      </c>
      <c r="N120" s="444">
        <f>SUMIFS('HVP T12'!I:I,'HVP T12'!$B:$B,'P&amp;Ls Detailed'!$G120)</f>
        <v>72148.39</v>
      </c>
      <c r="O120" s="444">
        <f>SUMIFS('HVP T12'!J:J,'HVP T12'!$B:$B,'P&amp;Ls Detailed'!$G120)</f>
        <v>72148.41</v>
      </c>
      <c r="P120" s="444">
        <f>SUMIFS('HVP T12'!K:K,'HVP T12'!$B:$B,'P&amp;Ls Detailed'!$G120)</f>
        <v>72148.399999999994</v>
      </c>
      <c r="Q120" s="444">
        <f>SUMIFS('HVP T12'!L:L,'HVP T12'!$B:$B,'P&amp;Ls Detailed'!$G120)</f>
        <v>72148.399999999994</v>
      </c>
      <c r="R120" s="444">
        <f>SUMIFS('HVP T12'!M:M,'HVP T12'!$B:$B,'P&amp;Ls Detailed'!$G120)</f>
        <v>72148.399999999994</v>
      </c>
      <c r="S120" s="444">
        <f>SUMIFS('HVP T12'!N:N,'HVP T12'!$B:$B,'P&amp;Ls Detailed'!$G120)</f>
        <v>72148.399999999994</v>
      </c>
      <c r="T120" s="697"/>
      <c r="U120" s="444"/>
      <c r="V120" s="698"/>
      <c r="W120" s="489">
        <f>SUM(H120:S120)</f>
        <v>861459.76000000013</v>
      </c>
      <c r="X120" s="490">
        <f t="shared" si="43"/>
        <v>865780.76</v>
      </c>
      <c r="Y120" s="490">
        <f t="shared" si="44"/>
        <v>865780.8</v>
      </c>
      <c r="Z120" s="490">
        <f t="shared" si="45"/>
        <v>865780.79999999993</v>
      </c>
      <c r="AA120" s="490">
        <f t="shared" si="46"/>
        <v>865780.79999999993</v>
      </c>
      <c r="AB120" s="491"/>
      <c r="AC120" s="491"/>
      <c r="AD120" s="9"/>
      <c r="AE120" s="498"/>
      <c r="AF120" s="499"/>
      <c r="AG120" s="499"/>
      <c r="AH120" s="499"/>
      <c r="AI120" s="499"/>
      <c r="AJ120" s="499"/>
      <c r="AK120" s="499"/>
      <c r="AL120" s="499"/>
      <c r="AM120" s="499"/>
      <c r="AN120" s="499"/>
      <c r="AO120" s="499"/>
      <c r="AP120" s="499"/>
      <c r="AQ120" s="499"/>
      <c r="AR120" s="499"/>
      <c r="AS120" s="9"/>
      <c r="AT120" s="9"/>
      <c r="AU120" s="9"/>
    </row>
    <row r="121" spans="1:47" s="88" customFormat="1" x14ac:dyDescent="0.25">
      <c r="A121" s="9"/>
      <c r="B121" s="9"/>
      <c r="C121" s="9"/>
      <c r="D121" s="487" t="str">
        <f t="shared" si="32"/>
        <v>Hudson View Park</v>
      </c>
      <c r="E121" s="488"/>
      <c r="F121" s="488"/>
      <c r="G121" s="456" t="s">
        <v>1629</v>
      </c>
      <c r="H121" s="447">
        <f t="shared" ref="H121:W121" si="48">SUM(H119:H120)</f>
        <v>98185.099999999991</v>
      </c>
      <c r="I121" s="447">
        <f t="shared" si="48"/>
        <v>98185.099999999991</v>
      </c>
      <c r="J121" s="447">
        <f t="shared" si="48"/>
        <v>100345.59</v>
      </c>
      <c r="K121" s="447">
        <f t="shared" si="48"/>
        <v>100345.59</v>
      </c>
      <c r="L121" s="447">
        <f t="shared" si="48"/>
        <v>100345.59</v>
      </c>
      <c r="M121" s="447">
        <f t="shared" si="48"/>
        <v>100345.59</v>
      </c>
      <c r="N121" s="447">
        <f t="shared" si="48"/>
        <v>100345.59</v>
      </c>
      <c r="O121" s="447">
        <f t="shared" si="48"/>
        <v>100345.63</v>
      </c>
      <c r="P121" s="447">
        <f t="shared" si="48"/>
        <v>105040.43</v>
      </c>
      <c r="Q121" s="447">
        <f t="shared" si="48"/>
        <v>105040.43</v>
      </c>
      <c r="R121" s="447">
        <f t="shared" si="48"/>
        <v>105040.43</v>
      </c>
      <c r="S121" s="447">
        <f t="shared" si="48"/>
        <v>105040.43</v>
      </c>
      <c r="T121" s="628"/>
      <c r="U121" s="447"/>
      <c r="V121" s="699"/>
      <c r="W121" s="567">
        <f t="shared" si="48"/>
        <v>1218605.5</v>
      </c>
      <c r="X121" s="497">
        <f t="shared" si="43"/>
        <v>1229186.2799999998</v>
      </c>
      <c r="Y121" s="497">
        <f t="shared" si="44"/>
        <v>1241705.8799999999</v>
      </c>
      <c r="Z121" s="497">
        <f t="shared" si="45"/>
        <v>1260485.1599999999</v>
      </c>
      <c r="AA121" s="497">
        <f t="shared" si="46"/>
        <v>1260485.1599999999</v>
      </c>
      <c r="AB121" s="491"/>
      <c r="AC121" s="491"/>
      <c r="AD121" s="9"/>
      <c r="AE121" s="498"/>
      <c r="AF121" s="613"/>
      <c r="AG121" s="613"/>
      <c r="AH121" s="613"/>
      <c r="AI121" s="613"/>
      <c r="AJ121" s="613"/>
      <c r="AK121" s="613"/>
      <c r="AL121" s="613"/>
      <c r="AM121" s="613"/>
      <c r="AN121" s="613"/>
      <c r="AO121" s="613"/>
      <c r="AP121" s="613"/>
      <c r="AQ121" s="613"/>
      <c r="AR121" s="613"/>
      <c r="AS121" s="9"/>
      <c r="AT121" s="9"/>
      <c r="AU121" s="9"/>
    </row>
    <row r="122" spans="1:47" s="88" customFormat="1" x14ac:dyDescent="0.25">
      <c r="A122" s="9"/>
      <c r="B122" s="9"/>
      <c r="C122" s="9"/>
      <c r="D122" s="487" t="str">
        <f t="shared" si="32"/>
        <v>Hudson View Park</v>
      </c>
      <c r="E122" s="488"/>
      <c r="F122" s="488"/>
      <c r="G122" s="456" t="s">
        <v>1630</v>
      </c>
      <c r="H122" s="444"/>
      <c r="I122" s="444"/>
      <c r="J122" s="444"/>
      <c r="K122" s="444"/>
      <c r="L122" s="444"/>
      <c r="M122" s="444"/>
      <c r="N122" s="444"/>
      <c r="O122" s="444"/>
      <c r="P122" s="444"/>
      <c r="Q122" s="444"/>
      <c r="R122" s="444"/>
      <c r="S122" s="444"/>
      <c r="T122" s="697"/>
      <c r="U122" s="444"/>
      <c r="V122" s="698"/>
      <c r="W122" s="489"/>
      <c r="X122" s="490"/>
      <c r="Y122" s="490"/>
      <c r="Z122" s="490"/>
      <c r="AA122" s="490"/>
      <c r="AB122" s="491"/>
      <c r="AC122" s="491"/>
      <c r="AD122" s="9"/>
      <c r="AE122" s="498"/>
      <c r="AF122" s="499"/>
      <c r="AG122" s="499"/>
      <c r="AH122" s="499"/>
      <c r="AI122" s="499"/>
      <c r="AJ122" s="499"/>
      <c r="AK122" s="499"/>
      <c r="AL122" s="499"/>
      <c r="AM122" s="499"/>
      <c r="AN122" s="499"/>
      <c r="AO122" s="499"/>
      <c r="AP122" s="499"/>
      <c r="AQ122" s="499"/>
      <c r="AR122" s="499"/>
      <c r="AS122" s="9"/>
      <c r="AT122" s="9"/>
      <c r="AU122" s="9"/>
    </row>
    <row r="123" spans="1:47" s="88" customFormat="1" x14ac:dyDescent="0.25">
      <c r="A123" s="9"/>
      <c r="B123" s="9"/>
      <c r="C123" s="9"/>
      <c r="D123" s="487" t="str">
        <f t="shared" si="32"/>
        <v>Hudson View Park</v>
      </c>
      <c r="E123" s="488" t="s">
        <v>10</v>
      </c>
      <c r="F123" s="488"/>
      <c r="G123" s="443" t="s">
        <v>1632</v>
      </c>
      <c r="H123" s="444">
        <f>SUMIFS('HVP T12'!C:C,'HVP T12'!$B:$B,'P&amp;Ls Detailed'!$G123)</f>
        <v>21108.26</v>
      </c>
      <c r="I123" s="444">
        <f>SUMIFS('HVP T12'!D:D,'HVP T12'!$B:$B,'P&amp;Ls Detailed'!$G123)</f>
        <v>21108.25</v>
      </c>
      <c r="J123" s="444">
        <f>SUMIFS('HVP T12'!E:E,'HVP T12'!$B:$B,'P&amp;Ls Detailed'!$G123)</f>
        <v>21108.25</v>
      </c>
      <c r="K123" s="444">
        <f>SUMIFS('HVP T12'!F:F,'HVP T12'!$B:$B,'P&amp;Ls Detailed'!$G123)</f>
        <v>21838.95</v>
      </c>
      <c r="L123" s="444">
        <f>SUMIFS('HVP T12'!G:G,'HVP T12'!$B:$B,'P&amp;Ls Detailed'!$G123)</f>
        <v>22569.62</v>
      </c>
      <c r="M123" s="444">
        <f>SUMIFS('HVP T12'!H:H,'HVP T12'!$B:$B,'P&amp;Ls Detailed'!$G123)</f>
        <v>22569.62</v>
      </c>
      <c r="N123" s="444">
        <f>SUMIFS('HVP T12'!I:I,'HVP T12'!$B:$B,'P&amp;Ls Detailed'!$G123)</f>
        <v>22569.62</v>
      </c>
      <c r="O123" s="444">
        <f>SUMIFS('HVP T12'!J:J,'HVP T12'!$B:$B,'P&amp;Ls Detailed'!$G123)</f>
        <v>23564.47</v>
      </c>
      <c r="P123" s="444">
        <f>SUMIFS('HVP T12'!K:K,'HVP T12'!$B:$B,'P&amp;Ls Detailed'!$G123)</f>
        <v>22790.7</v>
      </c>
      <c r="Q123" s="444">
        <f>SUMIFS('HVP T12'!L:L,'HVP T12'!$B:$B,'P&amp;Ls Detailed'!$G123)</f>
        <v>22790.7</v>
      </c>
      <c r="R123" s="444">
        <f>SUMIFS('HVP T12'!M:M,'HVP T12'!$B:$B,'P&amp;Ls Detailed'!$G123)</f>
        <v>22790.7</v>
      </c>
      <c r="S123" s="444">
        <f>SUMIFS('HVP T12'!N:N,'HVP T12'!$B:$B,'P&amp;Ls Detailed'!$G123)</f>
        <v>22790.7</v>
      </c>
      <c r="T123" s="697"/>
      <c r="U123" s="444"/>
      <c r="V123" s="698"/>
      <c r="W123" s="489">
        <f>SUM(H123:S123)</f>
        <v>267599.84000000003</v>
      </c>
      <c r="X123" s="490">
        <f>SUM(K123:S123)/9*12</f>
        <v>272366.77333333337</v>
      </c>
      <c r="Y123" s="490">
        <f>SUM(N123:S123)/6*12</f>
        <v>274593.77999999997</v>
      </c>
      <c r="Z123" s="490">
        <f>SUM(Q123:S123)/3*12</f>
        <v>273488.40000000002</v>
      </c>
      <c r="AA123" s="490">
        <f>S123*12</f>
        <v>273488.40000000002</v>
      </c>
      <c r="AB123" s="491"/>
      <c r="AC123" s="491"/>
      <c r="AD123" s="9"/>
      <c r="AE123" s="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9"/>
      <c r="AT123" s="9"/>
      <c r="AU123" s="9"/>
    </row>
    <row r="124" spans="1:47" s="88" customFormat="1" x14ac:dyDescent="0.25">
      <c r="A124" s="9"/>
      <c r="B124" s="9"/>
      <c r="C124" s="9"/>
      <c r="D124" s="487" t="str">
        <f t="shared" si="32"/>
        <v>Hudson View Park</v>
      </c>
      <c r="E124" s="488" t="s">
        <v>7</v>
      </c>
      <c r="F124" s="488"/>
      <c r="G124" s="443" t="s">
        <v>1634</v>
      </c>
      <c r="H124" s="444">
        <f>SUMIFS('HVP T12'!C:C,'HVP T12'!$B:$B,'P&amp;Ls Detailed'!$G124)</f>
        <v>636.5</v>
      </c>
      <c r="I124" s="444">
        <f>SUMIFS('HVP T12'!D:D,'HVP T12'!$B:$B,'P&amp;Ls Detailed'!$G124)</f>
        <v>636.5</v>
      </c>
      <c r="J124" s="444">
        <f>SUMIFS('HVP T12'!E:E,'HVP T12'!$B:$B,'P&amp;Ls Detailed'!$G124)</f>
        <v>636.5</v>
      </c>
      <c r="K124" s="444">
        <f>SUMIFS('HVP T12'!F:F,'HVP T12'!$B:$B,'P&amp;Ls Detailed'!$G124)</f>
        <v>814.13</v>
      </c>
      <c r="L124" s="444">
        <f>SUMIFS('HVP T12'!G:G,'HVP T12'!$B:$B,'P&amp;Ls Detailed'!$G124)</f>
        <v>991.75</v>
      </c>
      <c r="M124" s="444">
        <f>SUMIFS('HVP T12'!H:H,'HVP T12'!$B:$B,'P&amp;Ls Detailed'!$G124)</f>
        <v>991.75</v>
      </c>
      <c r="N124" s="444">
        <f>SUMIFS('HVP T12'!I:I,'HVP T12'!$B:$B,'P&amp;Ls Detailed'!$G124)</f>
        <v>991.75</v>
      </c>
      <c r="O124" s="444">
        <f>SUMIFS('HVP T12'!J:J,'HVP T12'!$B:$B,'P&amp;Ls Detailed'!$G124)</f>
        <v>991.75</v>
      </c>
      <c r="P124" s="444">
        <f>SUMIFS('HVP T12'!K:K,'HVP T12'!$B:$B,'P&amp;Ls Detailed'!$G124)</f>
        <v>991.75</v>
      </c>
      <c r="Q124" s="444">
        <f>SUMIFS('HVP T12'!L:L,'HVP T12'!$B:$B,'P&amp;Ls Detailed'!$G124)</f>
        <v>991.75</v>
      </c>
      <c r="R124" s="444">
        <f>SUMIFS('HVP T12'!M:M,'HVP T12'!$B:$B,'P&amp;Ls Detailed'!$G124)</f>
        <v>991.75</v>
      </c>
      <c r="S124" s="444">
        <f>SUMIFS('HVP T12'!N:N,'HVP T12'!$B:$B,'P&amp;Ls Detailed'!$G124)</f>
        <v>991.75</v>
      </c>
      <c r="T124" s="697"/>
      <c r="U124" s="444"/>
      <c r="V124" s="698"/>
      <c r="W124" s="489">
        <f>SUM(H124:S124)</f>
        <v>10657.630000000001</v>
      </c>
      <c r="X124" s="490">
        <f>SUM(K124:S124)/9*12</f>
        <v>11664.173333333334</v>
      </c>
      <c r="Y124" s="490">
        <f>SUM(N124:S124)/6*12</f>
        <v>11901</v>
      </c>
      <c r="Z124" s="490">
        <f>SUM(Q124:S124)/3*12</f>
        <v>11901</v>
      </c>
      <c r="AA124" s="490">
        <f>S124*12</f>
        <v>11901</v>
      </c>
      <c r="AB124" s="491"/>
      <c r="AC124" s="491"/>
      <c r="AD124" s="9"/>
      <c r="AE124" s="9"/>
      <c r="AF124" s="613"/>
      <c r="AG124" s="613"/>
      <c r="AH124" s="613"/>
      <c r="AI124" s="613"/>
      <c r="AJ124" s="613"/>
      <c r="AK124" s="613"/>
      <c r="AL124" s="613"/>
      <c r="AM124" s="613"/>
      <c r="AN124" s="613"/>
      <c r="AO124" s="613"/>
      <c r="AP124" s="613"/>
      <c r="AQ124" s="613"/>
      <c r="AR124" s="613"/>
      <c r="AS124" s="9"/>
      <c r="AT124" s="9"/>
      <c r="AU124" s="9"/>
    </row>
    <row r="125" spans="1:47" s="88" customFormat="1" x14ac:dyDescent="0.25">
      <c r="A125" s="9"/>
      <c r="B125" s="9"/>
      <c r="C125" s="9"/>
      <c r="D125" s="487" t="str">
        <f t="shared" si="32"/>
        <v>Hudson View Park</v>
      </c>
      <c r="E125" s="488" t="s">
        <v>10</v>
      </c>
      <c r="F125" s="488"/>
      <c r="G125" s="443" t="s">
        <v>1636</v>
      </c>
      <c r="H125" s="444">
        <f>SUMIFS('HVP T12'!C:C,'HVP T12'!$B:$B,'P&amp;Ls Detailed'!$G125)</f>
        <v>7824.5</v>
      </c>
      <c r="I125" s="444">
        <f>SUMIFS('HVP T12'!D:D,'HVP T12'!$B:$B,'P&amp;Ls Detailed'!$G125)</f>
        <v>7824.5</v>
      </c>
      <c r="J125" s="444">
        <f>SUMIFS('HVP T12'!E:E,'HVP T12'!$B:$B,'P&amp;Ls Detailed'!$G125)</f>
        <v>7824.5</v>
      </c>
      <c r="K125" s="444">
        <f>SUMIFS('HVP T12'!F:F,'HVP T12'!$B:$B,'P&amp;Ls Detailed'!$G125)</f>
        <v>8305.35</v>
      </c>
      <c r="L125" s="444">
        <f>SUMIFS('HVP T12'!G:G,'HVP T12'!$B:$B,'P&amp;Ls Detailed'!$G125)</f>
        <v>8786.19</v>
      </c>
      <c r="M125" s="444">
        <f>SUMIFS('HVP T12'!H:H,'HVP T12'!$B:$B,'P&amp;Ls Detailed'!$G125)</f>
        <v>8786.19</v>
      </c>
      <c r="N125" s="444">
        <f>SUMIFS('HVP T12'!I:I,'HVP T12'!$B:$B,'P&amp;Ls Detailed'!$G125)</f>
        <v>8786.19</v>
      </c>
      <c r="O125" s="444">
        <f>SUMIFS('HVP T12'!J:J,'HVP T12'!$B:$B,'P&amp;Ls Detailed'!$G125)</f>
        <v>8786.2000000000007</v>
      </c>
      <c r="P125" s="444">
        <f>SUMIFS('HVP T12'!K:K,'HVP T12'!$B:$B,'P&amp;Ls Detailed'!$G125)</f>
        <v>8786.19</v>
      </c>
      <c r="Q125" s="444">
        <f>SUMIFS('HVP T12'!L:L,'HVP T12'!$B:$B,'P&amp;Ls Detailed'!$G125)</f>
        <v>8786.19</v>
      </c>
      <c r="R125" s="444">
        <f>SUMIFS('HVP T12'!M:M,'HVP T12'!$B:$B,'P&amp;Ls Detailed'!$G125)</f>
        <v>8786.19</v>
      </c>
      <c r="S125" s="444">
        <f>SUMIFS('HVP T12'!N:N,'HVP T12'!$B:$B,'P&amp;Ls Detailed'!$G125)</f>
        <v>8786.19</v>
      </c>
      <c r="T125" s="697"/>
      <c r="U125" s="444"/>
      <c r="V125" s="698"/>
      <c r="W125" s="489">
        <f>SUM(H125:S125)</f>
        <v>102068.38000000002</v>
      </c>
      <c r="X125" s="490">
        <f>SUM(K125:S125)/9*12</f>
        <v>104793.17333333337</v>
      </c>
      <c r="Y125" s="490">
        <f>SUM(N125:S125)/6*12</f>
        <v>105434.30000000002</v>
      </c>
      <c r="Z125" s="490">
        <f>SUM(Q125:S125)/3*12</f>
        <v>105434.28</v>
      </c>
      <c r="AA125" s="490">
        <f>S125*12</f>
        <v>105434.28</v>
      </c>
      <c r="AB125" s="491"/>
      <c r="AC125" s="491"/>
      <c r="AD125" s="9"/>
      <c r="AE125" s="9"/>
      <c r="AF125" s="613"/>
      <c r="AG125" s="613"/>
      <c r="AH125" s="613"/>
      <c r="AI125" s="613"/>
      <c r="AJ125" s="613"/>
      <c r="AK125" s="613"/>
      <c r="AL125" s="613"/>
      <c r="AM125" s="613"/>
      <c r="AN125" s="613"/>
      <c r="AO125" s="613"/>
      <c r="AP125" s="613"/>
      <c r="AQ125" s="613"/>
      <c r="AR125" s="613"/>
      <c r="AS125" s="9"/>
      <c r="AT125" s="9"/>
      <c r="AU125" s="9"/>
    </row>
    <row r="126" spans="1:47" s="88" customFormat="1" x14ac:dyDescent="0.25">
      <c r="A126" s="9"/>
      <c r="B126" s="9"/>
      <c r="C126" s="9"/>
      <c r="D126" s="487" t="str">
        <f t="shared" si="32"/>
        <v>Hudson View Park</v>
      </c>
      <c r="E126" s="488"/>
      <c r="F126" s="488"/>
      <c r="G126" s="456" t="s">
        <v>1637</v>
      </c>
      <c r="H126" s="447">
        <f t="shared" ref="H126:W126" si="49">SUM(H123:H125)</f>
        <v>29569.26</v>
      </c>
      <c r="I126" s="447">
        <f t="shared" si="49"/>
        <v>29569.25</v>
      </c>
      <c r="J126" s="447">
        <f t="shared" si="49"/>
        <v>29569.25</v>
      </c>
      <c r="K126" s="447">
        <f t="shared" si="49"/>
        <v>30958.43</v>
      </c>
      <c r="L126" s="447">
        <f t="shared" si="49"/>
        <v>32347.559999999998</v>
      </c>
      <c r="M126" s="447">
        <f t="shared" si="49"/>
        <v>32347.559999999998</v>
      </c>
      <c r="N126" s="447">
        <f t="shared" si="49"/>
        <v>32347.559999999998</v>
      </c>
      <c r="O126" s="447">
        <f t="shared" si="49"/>
        <v>33342.42</v>
      </c>
      <c r="P126" s="447">
        <f t="shared" si="49"/>
        <v>32568.639999999999</v>
      </c>
      <c r="Q126" s="447">
        <f t="shared" si="49"/>
        <v>32568.639999999999</v>
      </c>
      <c r="R126" s="447">
        <f t="shared" si="49"/>
        <v>32568.639999999999</v>
      </c>
      <c r="S126" s="447">
        <f t="shared" si="49"/>
        <v>32568.639999999999</v>
      </c>
      <c r="T126" s="628"/>
      <c r="U126" s="447"/>
      <c r="V126" s="699"/>
      <c r="W126" s="567">
        <f t="shared" si="49"/>
        <v>380325.85000000003</v>
      </c>
      <c r="X126" s="497">
        <f>SUM(K126:S126)/9*12</f>
        <v>388824.12</v>
      </c>
      <c r="Y126" s="497">
        <f>SUM(N126:S126)/6*12</f>
        <v>391929.07999999996</v>
      </c>
      <c r="Z126" s="497">
        <f>SUM(Q126:S126)/3*12</f>
        <v>390823.67999999999</v>
      </c>
      <c r="AA126" s="497">
        <f>S126*12</f>
        <v>390823.67999999999</v>
      </c>
      <c r="AB126" s="491"/>
      <c r="AC126" s="491"/>
      <c r="AD126" s="9"/>
      <c r="AE126" s="498"/>
      <c r="AF126" s="613"/>
      <c r="AG126" s="613"/>
      <c r="AH126" s="613"/>
      <c r="AI126" s="613"/>
      <c r="AJ126" s="613"/>
      <c r="AK126" s="613"/>
      <c r="AL126" s="613"/>
      <c r="AM126" s="613"/>
      <c r="AN126" s="613"/>
      <c r="AO126" s="613"/>
      <c r="AP126" s="613"/>
      <c r="AQ126" s="613"/>
      <c r="AR126" s="613"/>
      <c r="AS126" s="9"/>
      <c r="AT126" s="9"/>
      <c r="AU126" s="9"/>
    </row>
    <row r="127" spans="1:47" s="88" customFormat="1" x14ac:dyDescent="0.25">
      <c r="A127" s="9"/>
      <c r="B127" s="9"/>
      <c r="C127" s="9"/>
      <c r="D127" s="487" t="str">
        <f t="shared" si="32"/>
        <v>Hudson View Park</v>
      </c>
      <c r="E127" s="488"/>
      <c r="F127" s="488"/>
      <c r="G127" s="221"/>
      <c r="H127" s="444"/>
      <c r="I127" s="444"/>
      <c r="J127" s="444"/>
      <c r="K127" s="444"/>
      <c r="L127" s="444"/>
      <c r="M127" s="444"/>
      <c r="N127" s="444"/>
      <c r="O127" s="444"/>
      <c r="P127" s="444"/>
      <c r="Q127" s="444"/>
      <c r="R127" s="444"/>
      <c r="S127" s="444"/>
      <c r="T127" s="697"/>
      <c r="U127" s="444"/>
      <c r="V127" s="698"/>
      <c r="W127" s="489"/>
      <c r="X127" s="490"/>
      <c r="Y127" s="490"/>
      <c r="Z127" s="490"/>
      <c r="AA127" s="490"/>
      <c r="AB127" s="491"/>
      <c r="AC127" s="491"/>
      <c r="AD127" s="9"/>
      <c r="AE127" s="498"/>
      <c r="AF127" s="499"/>
      <c r="AG127" s="499"/>
      <c r="AH127" s="499"/>
      <c r="AI127" s="499"/>
      <c r="AJ127" s="499"/>
      <c r="AK127" s="499"/>
      <c r="AL127" s="499"/>
      <c r="AM127" s="499"/>
      <c r="AN127" s="499"/>
      <c r="AO127" s="499"/>
      <c r="AP127" s="499"/>
      <c r="AQ127" s="499"/>
      <c r="AR127" s="499"/>
      <c r="AS127" s="9"/>
      <c r="AT127" s="9"/>
      <c r="AU127" s="9"/>
    </row>
    <row r="128" spans="1:47" s="494" customFormat="1" x14ac:dyDescent="0.25">
      <c r="D128" s="487" t="str">
        <f t="shared" si="32"/>
        <v>Hudson View Park</v>
      </c>
      <c r="E128" s="488"/>
      <c r="F128" s="488"/>
      <c r="G128" s="492" t="s">
        <v>66</v>
      </c>
      <c r="H128" s="495">
        <f t="shared" ref="H128:AA128" si="50">SUM(H61,H81,H99,H104,H107,H113,H121,H126)</f>
        <v>440254.57</v>
      </c>
      <c r="I128" s="495">
        <f t="shared" si="50"/>
        <v>433075.26</v>
      </c>
      <c r="J128" s="495">
        <f t="shared" si="50"/>
        <v>457537.33999999997</v>
      </c>
      <c r="K128" s="495">
        <f t="shared" si="50"/>
        <v>509077.91</v>
      </c>
      <c r="L128" s="495">
        <f t="shared" si="50"/>
        <v>418247.79</v>
      </c>
      <c r="M128" s="495">
        <f t="shared" si="50"/>
        <v>467705.23000000004</v>
      </c>
      <c r="N128" s="495">
        <f t="shared" si="50"/>
        <v>454059.23000000004</v>
      </c>
      <c r="O128" s="495">
        <f t="shared" si="50"/>
        <v>507708.76999999996</v>
      </c>
      <c r="P128" s="495">
        <f t="shared" si="50"/>
        <v>491643.7</v>
      </c>
      <c r="Q128" s="495">
        <f t="shared" si="50"/>
        <v>444431.12</v>
      </c>
      <c r="R128" s="495">
        <f t="shared" si="50"/>
        <v>453167.9</v>
      </c>
      <c r="S128" s="495">
        <f t="shared" si="50"/>
        <v>440869.37</v>
      </c>
      <c r="T128" s="700"/>
      <c r="U128" s="495"/>
      <c r="V128" s="701"/>
      <c r="W128" s="496">
        <f t="shared" si="50"/>
        <v>5517778.1899999995</v>
      </c>
      <c r="X128" s="497">
        <f t="shared" si="50"/>
        <v>5582548.0266666664</v>
      </c>
      <c r="Y128" s="497">
        <f t="shared" si="50"/>
        <v>5583760.1800000006</v>
      </c>
      <c r="Z128" s="497">
        <f t="shared" si="50"/>
        <v>5353873.5599999996</v>
      </c>
      <c r="AA128" s="497">
        <f t="shared" si="50"/>
        <v>5290432.4399999995</v>
      </c>
      <c r="AB128" s="491"/>
      <c r="AC128" s="491"/>
      <c r="AE128" s="498"/>
      <c r="AF128" s="499"/>
      <c r="AG128" s="499"/>
      <c r="AH128" s="499"/>
      <c r="AI128" s="499"/>
      <c r="AJ128" s="499"/>
      <c r="AK128" s="499"/>
      <c r="AL128" s="499"/>
      <c r="AM128" s="499"/>
      <c r="AN128" s="499"/>
      <c r="AO128" s="499"/>
      <c r="AP128" s="499"/>
      <c r="AQ128" s="499"/>
      <c r="AR128" s="499"/>
      <c r="AU128" s="9"/>
    </row>
    <row r="129" spans="4:44" s="494" customFormat="1" x14ac:dyDescent="0.25">
      <c r="D129" s="487" t="str">
        <f t="shared" si="32"/>
        <v>Hudson View Park</v>
      </c>
      <c r="E129" s="488"/>
      <c r="F129" s="488"/>
      <c r="G129" s="493" t="s">
        <v>226</v>
      </c>
      <c r="H129" s="502">
        <f t="shared" ref="H129:AA129" si="51">H43-H128</f>
        <v>516736.05</v>
      </c>
      <c r="I129" s="502">
        <f t="shared" si="51"/>
        <v>519602.14</v>
      </c>
      <c r="J129" s="502">
        <f t="shared" si="51"/>
        <v>502573.03</v>
      </c>
      <c r="K129" s="502">
        <f t="shared" si="51"/>
        <v>455701.26000000018</v>
      </c>
      <c r="L129" s="502">
        <f t="shared" si="51"/>
        <v>564241.88000000012</v>
      </c>
      <c r="M129" s="502">
        <f t="shared" si="51"/>
        <v>517070.79999999987</v>
      </c>
      <c r="N129" s="502">
        <f t="shared" si="51"/>
        <v>540494.34000000008</v>
      </c>
      <c r="O129" s="502">
        <f t="shared" si="51"/>
        <v>480169.90000000008</v>
      </c>
      <c r="P129" s="502">
        <f t="shared" si="51"/>
        <v>506066.84</v>
      </c>
      <c r="Q129" s="502">
        <f t="shared" si="51"/>
        <v>557644.1</v>
      </c>
      <c r="R129" s="502">
        <f t="shared" si="51"/>
        <v>564128.77999999991</v>
      </c>
      <c r="S129" s="502">
        <f t="shared" si="51"/>
        <v>575234.04</v>
      </c>
      <c r="T129" s="708"/>
      <c r="U129" s="502"/>
      <c r="V129" s="709"/>
      <c r="W129" s="627">
        <f t="shared" si="51"/>
        <v>6299663.1600000001</v>
      </c>
      <c r="X129" s="497">
        <f t="shared" si="51"/>
        <v>6347669.2533333329</v>
      </c>
      <c r="Y129" s="497">
        <f t="shared" si="51"/>
        <v>6447475.9999999991</v>
      </c>
      <c r="Z129" s="497">
        <f t="shared" si="51"/>
        <v>6788027.6800000025</v>
      </c>
      <c r="AA129" s="497">
        <f t="shared" si="51"/>
        <v>6902808.4800000004</v>
      </c>
      <c r="AB129" s="491"/>
      <c r="AC129" s="491"/>
      <c r="AE129" s="498"/>
      <c r="AF129" s="499"/>
      <c r="AG129" s="499"/>
      <c r="AH129" s="499"/>
      <c r="AI129" s="499"/>
      <c r="AJ129" s="499"/>
      <c r="AK129" s="499"/>
      <c r="AL129" s="499"/>
      <c r="AM129" s="499"/>
      <c r="AN129" s="499"/>
      <c r="AO129" s="499"/>
      <c r="AP129" s="499"/>
      <c r="AQ129" s="499"/>
      <c r="AR129" s="499"/>
    </row>
    <row r="130" spans="4:44" x14ac:dyDescent="0.25">
      <c r="D130" s="487" t="str">
        <f t="shared" ref="D130:D162" si="52">$AB$3</f>
        <v>Hudson View Park</v>
      </c>
      <c r="E130" s="488"/>
      <c r="F130" s="488"/>
      <c r="G130" s="456" t="s">
        <v>1640</v>
      </c>
      <c r="H130" s="444"/>
      <c r="I130" s="444"/>
      <c r="J130" s="444"/>
      <c r="K130" s="444"/>
      <c r="L130" s="444"/>
      <c r="M130" s="444"/>
      <c r="N130" s="444"/>
      <c r="O130" s="444"/>
      <c r="P130" s="444"/>
      <c r="Q130" s="444"/>
      <c r="R130" s="444"/>
      <c r="S130" s="444"/>
      <c r="T130" s="697"/>
      <c r="U130" s="444"/>
      <c r="V130" s="698"/>
      <c r="W130" s="489"/>
      <c r="X130" s="490"/>
      <c r="Y130" s="490"/>
      <c r="Z130" s="490"/>
      <c r="AA130" s="490"/>
      <c r="AB130" s="491"/>
      <c r="AC130" s="491"/>
      <c r="AE130" s="498"/>
      <c r="AF130" s="499"/>
      <c r="AG130" s="499"/>
      <c r="AH130" s="499"/>
      <c r="AI130" s="499"/>
      <c r="AJ130" s="499"/>
      <c r="AK130" s="499"/>
      <c r="AL130" s="499"/>
      <c r="AM130" s="499"/>
      <c r="AN130" s="499"/>
      <c r="AO130" s="499"/>
      <c r="AP130" s="499"/>
      <c r="AQ130" s="499"/>
      <c r="AR130" s="499"/>
    </row>
    <row r="131" spans="4:44" x14ac:dyDescent="0.25">
      <c r="D131" s="487" t="str">
        <f t="shared" si="52"/>
        <v>Hudson View Park</v>
      </c>
      <c r="E131" s="488"/>
      <c r="F131" s="488"/>
      <c r="G131" s="456" t="s">
        <v>1641</v>
      </c>
      <c r="H131" s="444"/>
      <c r="I131" s="444"/>
      <c r="J131" s="444"/>
      <c r="K131" s="444"/>
      <c r="L131" s="444"/>
      <c r="M131" s="444"/>
      <c r="N131" s="444"/>
      <c r="O131" s="444"/>
      <c r="P131" s="444"/>
      <c r="Q131" s="444"/>
      <c r="R131" s="444"/>
      <c r="S131" s="444"/>
      <c r="T131" s="697"/>
      <c r="U131" s="444"/>
      <c r="V131" s="698"/>
      <c r="W131" s="489"/>
      <c r="X131" s="490"/>
      <c r="Y131" s="490"/>
      <c r="Z131" s="490"/>
      <c r="AA131" s="490"/>
      <c r="AB131" s="491"/>
      <c r="AC131" s="491"/>
      <c r="AE131" s="498"/>
      <c r="AF131" s="499"/>
      <c r="AG131" s="499"/>
      <c r="AH131" s="499"/>
      <c r="AI131" s="499"/>
      <c r="AJ131" s="499"/>
      <c r="AK131" s="499"/>
      <c r="AL131" s="499"/>
      <c r="AM131" s="499"/>
      <c r="AN131" s="499"/>
      <c r="AO131" s="499"/>
      <c r="AP131" s="499"/>
      <c r="AQ131" s="499"/>
      <c r="AR131" s="499"/>
    </row>
    <row r="132" spans="4:44" x14ac:dyDescent="0.25">
      <c r="D132" s="487" t="str">
        <f t="shared" si="52"/>
        <v>Hudson View Park</v>
      </c>
      <c r="E132" s="488"/>
      <c r="F132" s="488"/>
      <c r="G132" s="443" t="s">
        <v>1643</v>
      </c>
      <c r="H132" s="444">
        <f>SUMIFS('HVP T12'!C:C,'HVP T12'!$B:$B,'P&amp;Ls Detailed'!$G132)</f>
        <v>337.07</v>
      </c>
      <c r="I132" s="444">
        <f>SUMIFS('HVP T12'!D:D,'HVP T12'!$B:$B,'P&amp;Ls Detailed'!$G132)</f>
        <v>324.08</v>
      </c>
      <c r="J132" s="444">
        <f>SUMIFS('HVP T12'!E:E,'HVP T12'!$B:$B,'P&amp;Ls Detailed'!$G132)</f>
        <v>320.64999999999998</v>
      </c>
      <c r="K132" s="444">
        <f>SUMIFS('HVP T12'!F:F,'HVP T12'!$B:$B,'P&amp;Ls Detailed'!$G132)</f>
        <v>292.02999999999997</v>
      </c>
      <c r="L132" s="444">
        <f>SUMIFS('HVP T12'!G:G,'HVP T12'!$B:$B,'P&amp;Ls Detailed'!$G132)</f>
        <v>261.76</v>
      </c>
      <c r="M132" s="444">
        <f>SUMIFS('HVP T12'!H:H,'HVP T12'!$B:$B,'P&amp;Ls Detailed'!$G132)</f>
        <v>261.73</v>
      </c>
      <c r="N132" s="444">
        <f>SUMIFS('HVP T12'!I:I,'HVP T12'!$B:$B,'P&amp;Ls Detailed'!$G132)</f>
        <v>192.05</v>
      </c>
      <c r="O132" s="444">
        <f>SUMIFS('HVP T12'!J:J,'HVP T12'!$B:$B,'P&amp;Ls Detailed'!$G132)</f>
        <v>128.43</v>
      </c>
      <c r="P132" s="444">
        <f>SUMIFS('HVP T12'!K:K,'HVP T12'!$B:$B,'P&amp;Ls Detailed'!$G132)</f>
        <v>87.42</v>
      </c>
      <c r="Q132" s="444">
        <f>SUMIFS('HVP T12'!L:L,'HVP T12'!$B:$B,'P&amp;Ls Detailed'!$G132)</f>
        <v>58.35</v>
      </c>
      <c r="R132" s="444">
        <f>SUMIFS('HVP T12'!M:M,'HVP T12'!$B:$B,'P&amp;Ls Detailed'!$G132)</f>
        <v>68.819999999999993</v>
      </c>
      <c r="S132" s="444">
        <f>SUMIFS('HVP T12'!N:N,'HVP T12'!$B:$B,'P&amp;Ls Detailed'!$G132)</f>
        <v>163.76</v>
      </c>
      <c r="T132" s="697"/>
      <c r="U132" s="444"/>
      <c r="V132" s="698"/>
      <c r="W132" s="489">
        <f>SUM(H132:S132)</f>
        <v>2496.1499999999996</v>
      </c>
      <c r="X132" s="490">
        <f>SUM(K132:S132)/9*12</f>
        <v>2019.1333333333332</v>
      </c>
      <c r="Y132" s="490">
        <f>SUM(N132:S132)/6*12</f>
        <v>1397.66</v>
      </c>
      <c r="Z132" s="490">
        <f>SUM(Q132:S132)/3*12</f>
        <v>1163.7199999999998</v>
      </c>
      <c r="AA132" s="490">
        <f>S132*12</f>
        <v>1965.12</v>
      </c>
      <c r="AB132" s="491"/>
      <c r="AC132" s="491"/>
      <c r="AF132" s="499"/>
      <c r="AG132" s="499"/>
      <c r="AH132" s="499"/>
      <c r="AI132" s="499"/>
      <c r="AJ132" s="499"/>
      <c r="AK132" s="499"/>
      <c r="AL132" s="499"/>
      <c r="AM132" s="499"/>
      <c r="AN132" s="499"/>
      <c r="AO132" s="499"/>
      <c r="AP132" s="499"/>
      <c r="AQ132" s="499"/>
      <c r="AR132" s="499"/>
    </row>
    <row r="133" spans="4:44" x14ac:dyDescent="0.25">
      <c r="D133" s="487" t="str">
        <f t="shared" si="52"/>
        <v>Hudson View Park</v>
      </c>
      <c r="E133" s="488"/>
      <c r="F133" s="488"/>
      <c r="G133" s="443" t="s">
        <v>1645</v>
      </c>
      <c r="H133" s="444">
        <f>SUMIFS('HVP T12'!C:C,'HVP T12'!$B:$B,'P&amp;Ls Detailed'!$G133)</f>
        <v>11493.04</v>
      </c>
      <c r="I133" s="444">
        <f>SUMIFS('HVP T12'!D:D,'HVP T12'!$B:$B,'P&amp;Ls Detailed'!$G133)</f>
        <v>9498.07</v>
      </c>
      <c r="J133" s="444">
        <f>SUMIFS('HVP T12'!E:E,'HVP T12'!$B:$B,'P&amp;Ls Detailed'!$G133)</f>
        <v>264.05</v>
      </c>
      <c r="K133" s="444">
        <f>SUMIFS('HVP T12'!F:F,'HVP T12'!$B:$B,'P&amp;Ls Detailed'!$G133)</f>
        <v>121.09</v>
      </c>
      <c r="L133" s="444">
        <f>SUMIFS('HVP T12'!G:G,'HVP T12'!$B:$B,'P&amp;Ls Detailed'!$G133)</f>
        <v>110.83</v>
      </c>
      <c r="M133" s="444">
        <f>SUMIFS('HVP T12'!H:H,'HVP T12'!$B:$B,'P&amp;Ls Detailed'!$G133)</f>
        <v>142.72</v>
      </c>
      <c r="N133" s="444">
        <f>SUMIFS('HVP T12'!I:I,'HVP T12'!$B:$B,'P&amp;Ls Detailed'!$G133)</f>
        <v>121.79</v>
      </c>
      <c r="O133" s="444">
        <f>SUMIFS('HVP T12'!J:J,'HVP T12'!$B:$B,'P&amp;Ls Detailed'!$G133)</f>
        <v>2050.12</v>
      </c>
      <c r="P133" s="444">
        <f>SUMIFS('HVP T12'!K:K,'HVP T12'!$B:$B,'P&amp;Ls Detailed'!$G133)</f>
        <v>92.86</v>
      </c>
      <c r="Q133" s="444">
        <f>SUMIFS('HVP T12'!L:L,'HVP T12'!$B:$B,'P&amp;Ls Detailed'!$G133)</f>
        <v>160.55000000000001</v>
      </c>
      <c r="R133" s="444">
        <f>SUMIFS('HVP T12'!M:M,'HVP T12'!$B:$B,'P&amp;Ls Detailed'!$G133)</f>
        <v>110.36</v>
      </c>
      <c r="S133" s="444">
        <f>SUMIFS('HVP T12'!N:N,'HVP T12'!$B:$B,'P&amp;Ls Detailed'!$G133)</f>
        <v>69.3</v>
      </c>
      <c r="T133" s="697"/>
      <c r="U133" s="444"/>
      <c r="V133" s="698"/>
      <c r="W133" s="489">
        <f>SUM(H133:S133)</f>
        <v>24234.780000000002</v>
      </c>
      <c r="X133" s="490">
        <f>SUM(K133:S133)/9*12</f>
        <v>3972.8266666666668</v>
      </c>
      <c r="Y133" s="490">
        <f>SUM(N133:S133)/6*12</f>
        <v>5209.9600000000009</v>
      </c>
      <c r="Z133" s="490">
        <f>SUM(Q133:S133)/3*12</f>
        <v>1360.8400000000001</v>
      </c>
      <c r="AA133" s="490">
        <f>S133*12</f>
        <v>831.59999999999991</v>
      </c>
      <c r="AB133" s="491"/>
      <c r="AC133" s="491"/>
      <c r="AF133" s="613"/>
      <c r="AG133" s="613"/>
      <c r="AH133" s="613"/>
      <c r="AI133" s="613"/>
      <c r="AJ133" s="613"/>
      <c r="AK133" s="613"/>
      <c r="AL133" s="613"/>
      <c r="AM133" s="613"/>
      <c r="AN133" s="613"/>
      <c r="AO133" s="613"/>
      <c r="AP133" s="613"/>
      <c r="AQ133" s="613"/>
      <c r="AR133" s="613"/>
    </row>
    <row r="134" spans="4:44" x14ac:dyDescent="0.25">
      <c r="D134" s="487" t="str">
        <f t="shared" si="52"/>
        <v>Hudson View Park</v>
      </c>
      <c r="E134" s="488"/>
      <c r="F134" s="488"/>
      <c r="G134" s="443" t="s">
        <v>1647</v>
      </c>
      <c r="H134" s="444">
        <f>SUMIFS('HVP T12'!C:C,'HVP T12'!$B:$B,'P&amp;Ls Detailed'!$G134)</f>
        <v>0</v>
      </c>
      <c r="I134" s="444">
        <f>SUMIFS('HVP T12'!D:D,'HVP T12'!$B:$B,'P&amp;Ls Detailed'!$G134)</f>
        <v>0</v>
      </c>
      <c r="J134" s="444">
        <f>SUMIFS('HVP T12'!E:E,'HVP T12'!$B:$B,'P&amp;Ls Detailed'!$G134)</f>
        <v>0</v>
      </c>
      <c r="K134" s="444">
        <f>SUMIFS('HVP T12'!F:F,'HVP T12'!$B:$B,'P&amp;Ls Detailed'!$G134)</f>
        <v>0</v>
      </c>
      <c r="L134" s="444">
        <f>SUMIFS('HVP T12'!G:G,'HVP T12'!$B:$B,'P&amp;Ls Detailed'!$G134)</f>
        <v>0</v>
      </c>
      <c r="M134" s="444">
        <f>SUMIFS('HVP T12'!H:H,'HVP T12'!$B:$B,'P&amp;Ls Detailed'!$G134)</f>
        <v>0</v>
      </c>
      <c r="N134" s="444">
        <f>SUMIFS('HVP T12'!I:I,'HVP T12'!$B:$B,'P&amp;Ls Detailed'!$G134)</f>
        <v>0</v>
      </c>
      <c r="O134" s="444">
        <f>SUMIFS('HVP T12'!J:J,'HVP T12'!$B:$B,'P&amp;Ls Detailed'!$G134)</f>
        <v>25400</v>
      </c>
      <c r="P134" s="444">
        <f>SUMIFS('HVP T12'!K:K,'HVP T12'!$B:$B,'P&amp;Ls Detailed'!$G134)</f>
        <v>0</v>
      </c>
      <c r="Q134" s="444">
        <f>SUMIFS('HVP T12'!L:L,'HVP T12'!$B:$B,'P&amp;Ls Detailed'!$G134)</f>
        <v>0</v>
      </c>
      <c r="R134" s="444">
        <f>SUMIFS('HVP T12'!M:M,'HVP T12'!$B:$B,'P&amp;Ls Detailed'!$G134)</f>
        <v>0</v>
      </c>
      <c r="S134" s="444">
        <f>SUMIFS('HVP T12'!N:N,'HVP T12'!$B:$B,'P&amp;Ls Detailed'!$G134)</f>
        <v>0</v>
      </c>
      <c r="T134" s="697"/>
      <c r="U134" s="444"/>
      <c r="V134" s="698"/>
      <c r="W134" s="489">
        <f>SUM(H134:S134)</f>
        <v>25400</v>
      </c>
      <c r="X134" s="490">
        <f>SUM(K134:S134)/9*12</f>
        <v>33866.666666666664</v>
      </c>
      <c r="Y134" s="490">
        <f>SUM(N134:S134)/6*12</f>
        <v>50800</v>
      </c>
      <c r="Z134" s="490">
        <f>SUM(Q134:S134)/3*12</f>
        <v>0</v>
      </c>
      <c r="AA134" s="490">
        <f>S134*12</f>
        <v>0</v>
      </c>
      <c r="AB134" s="491"/>
      <c r="AC134" s="491"/>
      <c r="AF134" s="499"/>
      <c r="AG134" s="499"/>
      <c r="AH134" s="499"/>
      <c r="AI134" s="499"/>
      <c r="AJ134" s="499"/>
      <c r="AK134" s="499"/>
      <c r="AL134" s="499"/>
      <c r="AM134" s="499"/>
      <c r="AN134" s="499"/>
      <c r="AO134" s="499"/>
      <c r="AP134" s="499"/>
      <c r="AQ134" s="499"/>
      <c r="AR134" s="499"/>
    </row>
    <row r="135" spans="4:44" x14ac:dyDescent="0.25">
      <c r="D135" s="487" t="str">
        <f t="shared" si="52"/>
        <v>Hudson View Park</v>
      </c>
      <c r="E135" s="488"/>
      <c r="F135" s="488"/>
      <c r="G135" s="443" t="s">
        <v>1649</v>
      </c>
      <c r="H135" s="444">
        <f>SUMIFS('HVP T12'!C:C,'HVP T12'!$B:$B,'P&amp;Ls Detailed'!$G135)</f>
        <v>0</v>
      </c>
      <c r="I135" s="444">
        <f>SUMIFS('HVP T12'!D:D,'HVP T12'!$B:$B,'P&amp;Ls Detailed'!$G135)</f>
        <v>0</v>
      </c>
      <c r="J135" s="444">
        <f>SUMIFS('HVP T12'!E:E,'HVP T12'!$B:$B,'P&amp;Ls Detailed'!$G135)</f>
        <v>0</v>
      </c>
      <c r="K135" s="444">
        <f>SUMIFS('HVP T12'!F:F,'HVP T12'!$B:$B,'P&amp;Ls Detailed'!$G135)</f>
        <v>0</v>
      </c>
      <c r="L135" s="444">
        <f>SUMIFS('HVP T12'!G:G,'HVP T12'!$B:$B,'P&amp;Ls Detailed'!$G135)</f>
        <v>0</v>
      </c>
      <c r="M135" s="444">
        <f>SUMIFS('HVP T12'!H:H,'HVP T12'!$B:$B,'P&amp;Ls Detailed'!$G135)</f>
        <v>0</v>
      </c>
      <c r="N135" s="444">
        <f>SUMIFS('HVP T12'!I:I,'HVP T12'!$B:$B,'P&amp;Ls Detailed'!$G135)</f>
        <v>0</v>
      </c>
      <c r="O135" s="444">
        <f>SUMIFS('HVP T12'!J:J,'HVP T12'!$B:$B,'P&amp;Ls Detailed'!$G135)</f>
        <v>18423</v>
      </c>
      <c r="P135" s="444">
        <f>SUMIFS('HVP T12'!K:K,'HVP T12'!$B:$B,'P&amp;Ls Detailed'!$G135)</f>
        <v>0</v>
      </c>
      <c r="Q135" s="444">
        <f>SUMIFS('HVP T12'!L:L,'HVP T12'!$B:$B,'P&amp;Ls Detailed'!$G135)</f>
        <v>0</v>
      </c>
      <c r="R135" s="444">
        <f>SUMIFS('HVP T12'!M:M,'HVP T12'!$B:$B,'P&amp;Ls Detailed'!$G135)</f>
        <v>0</v>
      </c>
      <c r="S135" s="444">
        <f>SUMIFS('HVP T12'!N:N,'HVP T12'!$B:$B,'P&amp;Ls Detailed'!$G135)</f>
        <v>0</v>
      </c>
      <c r="T135" s="697"/>
      <c r="U135" s="444"/>
      <c r="V135" s="698"/>
      <c r="W135" s="489">
        <f>SUM(H135:S135)</f>
        <v>18423</v>
      </c>
      <c r="X135" s="490">
        <f>SUM(K135:S135)/9*12</f>
        <v>24564</v>
      </c>
      <c r="Y135" s="490">
        <f>SUM(N135:S135)/6*12</f>
        <v>36846</v>
      </c>
      <c r="Z135" s="490">
        <f>SUM(Q135:S135)/3*12</f>
        <v>0</v>
      </c>
      <c r="AA135" s="490">
        <f>S135*12</f>
        <v>0</v>
      </c>
      <c r="AB135" s="491"/>
      <c r="AC135" s="491"/>
      <c r="AF135" s="613"/>
      <c r="AG135" s="613"/>
      <c r="AH135" s="613"/>
      <c r="AI135" s="613"/>
      <c r="AJ135" s="613"/>
      <c r="AK135" s="613"/>
      <c r="AL135" s="613"/>
      <c r="AM135" s="613"/>
      <c r="AN135" s="613"/>
      <c r="AO135" s="613"/>
      <c r="AP135" s="613"/>
      <c r="AQ135" s="613"/>
      <c r="AR135" s="613"/>
    </row>
    <row r="136" spans="4:44" x14ac:dyDescent="0.25">
      <c r="D136" s="487" t="str">
        <f t="shared" si="52"/>
        <v>Hudson View Park</v>
      </c>
      <c r="E136" s="488"/>
      <c r="F136" s="488"/>
      <c r="G136" s="456" t="s">
        <v>1650</v>
      </c>
      <c r="H136" s="609">
        <f>SUMIFS('HVP T12'!C:C,'HVP T12'!$B:$B,'P&amp;Ls Detailed'!$G136)</f>
        <v>11830.11</v>
      </c>
      <c r="I136" s="609">
        <f>SUMIFS('HVP T12'!D:D,'HVP T12'!$B:$B,'P&amp;Ls Detailed'!$G136)</f>
        <v>9822.15</v>
      </c>
      <c r="J136" s="609">
        <f>SUMIFS('HVP T12'!E:E,'HVP T12'!$B:$B,'P&amp;Ls Detailed'!$G136)</f>
        <v>584.70000000000005</v>
      </c>
      <c r="K136" s="609">
        <f>SUMIFS('HVP T12'!F:F,'HVP T12'!$B:$B,'P&amp;Ls Detailed'!$G136)</f>
        <v>413.12</v>
      </c>
      <c r="L136" s="609">
        <f>SUMIFS('HVP T12'!G:G,'HVP T12'!$B:$B,'P&amp;Ls Detailed'!$G136)</f>
        <v>372.59</v>
      </c>
      <c r="M136" s="609">
        <f>SUMIFS('HVP T12'!H:H,'HVP T12'!$B:$B,'P&amp;Ls Detailed'!$G136)</f>
        <v>404.45</v>
      </c>
      <c r="N136" s="609">
        <f>SUMIFS('HVP T12'!I:I,'HVP T12'!$B:$B,'P&amp;Ls Detailed'!$G136)</f>
        <v>313.83999999999997</v>
      </c>
      <c r="O136" s="609">
        <f>SUMIFS('HVP T12'!J:J,'HVP T12'!$B:$B,'P&amp;Ls Detailed'!$G136)</f>
        <v>46001.55</v>
      </c>
      <c r="P136" s="609">
        <f>SUMIFS('HVP T12'!K:K,'HVP T12'!$B:$B,'P&amp;Ls Detailed'!$G136)</f>
        <v>180.28</v>
      </c>
      <c r="Q136" s="609">
        <f>SUMIFS('HVP T12'!L:L,'HVP T12'!$B:$B,'P&amp;Ls Detailed'!$G136)</f>
        <v>218.9</v>
      </c>
      <c r="R136" s="609">
        <f>SUMIFS('HVP T12'!M:M,'HVP T12'!$B:$B,'P&amp;Ls Detailed'!$G136)</f>
        <v>179.18</v>
      </c>
      <c r="S136" s="609">
        <f>SUMIFS('HVP T12'!N:N,'HVP T12'!$B:$B,'P&amp;Ls Detailed'!$G136)</f>
        <v>233.06</v>
      </c>
      <c r="T136" s="706"/>
      <c r="U136" s="609"/>
      <c r="V136" s="707"/>
      <c r="W136" s="608">
        <f>SUM(H136:S136)</f>
        <v>70553.929999999993</v>
      </c>
      <c r="X136" s="490">
        <f>SUM(K136:S136)/9*12</f>
        <v>64422.626666666671</v>
      </c>
      <c r="Y136" s="490">
        <f>SUM(N136:S136)/6*12</f>
        <v>94253.62</v>
      </c>
      <c r="Z136" s="490">
        <f>SUM(Q136:S136)/3*12</f>
        <v>2524.5600000000004</v>
      </c>
      <c r="AA136" s="490">
        <f>S136*12</f>
        <v>2796.7200000000003</v>
      </c>
      <c r="AB136" s="491"/>
      <c r="AC136" s="491"/>
      <c r="AE136" s="498"/>
      <c r="AF136" s="613"/>
      <c r="AG136" s="613"/>
      <c r="AH136" s="613"/>
      <c r="AI136" s="613"/>
      <c r="AJ136" s="613"/>
      <c r="AK136" s="613"/>
      <c r="AL136" s="613"/>
      <c r="AM136" s="613"/>
      <c r="AN136" s="613"/>
      <c r="AO136" s="613"/>
      <c r="AP136" s="613"/>
      <c r="AQ136" s="613"/>
      <c r="AR136" s="613"/>
    </row>
    <row r="137" spans="4:44" x14ac:dyDescent="0.25">
      <c r="D137" s="487" t="str">
        <f t="shared" si="52"/>
        <v>Hudson View Park</v>
      </c>
      <c r="E137" s="488"/>
      <c r="F137" s="488"/>
      <c r="G137" s="456" t="s">
        <v>1651</v>
      </c>
      <c r="H137" s="444"/>
      <c r="I137" s="444"/>
      <c r="J137" s="444"/>
      <c r="K137" s="444"/>
      <c r="L137" s="444"/>
      <c r="M137" s="444"/>
      <c r="N137" s="444"/>
      <c r="O137" s="444"/>
      <c r="P137" s="444"/>
      <c r="Q137" s="444"/>
      <c r="R137" s="444"/>
      <c r="S137" s="444"/>
      <c r="T137" s="697"/>
      <c r="U137" s="444"/>
      <c r="V137" s="698"/>
      <c r="W137" s="489"/>
      <c r="X137" s="490"/>
      <c r="Y137" s="490"/>
      <c r="Z137" s="490"/>
      <c r="AA137" s="490"/>
      <c r="AB137" s="491"/>
      <c r="AC137" s="491"/>
      <c r="AE137" s="498"/>
      <c r="AF137" s="499"/>
      <c r="AG137" s="499"/>
      <c r="AH137" s="499"/>
      <c r="AI137" s="499"/>
      <c r="AJ137" s="499"/>
      <c r="AK137" s="499"/>
      <c r="AL137" s="499"/>
      <c r="AM137" s="499"/>
      <c r="AN137" s="499"/>
      <c r="AO137" s="499"/>
      <c r="AP137" s="499"/>
      <c r="AQ137" s="499"/>
      <c r="AR137" s="499"/>
    </row>
    <row r="138" spans="4:44" x14ac:dyDescent="0.25">
      <c r="D138" s="487" t="str">
        <f t="shared" si="52"/>
        <v>Hudson View Park</v>
      </c>
      <c r="E138" s="488"/>
      <c r="F138" s="488"/>
      <c r="G138" s="456" t="s">
        <v>1652</v>
      </c>
      <c r="H138" s="444"/>
      <c r="I138" s="444"/>
      <c r="J138" s="444"/>
      <c r="K138" s="444"/>
      <c r="L138" s="444"/>
      <c r="M138" s="444"/>
      <c r="N138" s="444"/>
      <c r="O138" s="444"/>
      <c r="P138" s="444"/>
      <c r="Q138" s="444"/>
      <c r="R138" s="444"/>
      <c r="S138" s="444"/>
      <c r="T138" s="697"/>
      <c r="U138" s="444"/>
      <c r="V138" s="698"/>
      <c r="W138" s="489"/>
      <c r="X138" s="490"/>
      <c r="Y138" s="490"/>
      <c r="Z138" s="490"/>
      <c r="AA138" s="490"/>
      <c r="AB138" s="491"/>
      <c r="AC138" s="491"/>
      <c r="AE138" s="498"/>
      <c r="AF138" s="499"/>
      <c r="AG138" s="499"/>
      <c r="AH138" s="499"/>
      <c r="AI138" s="499"/>
      <c r="AJ138" s="499"/>
      <c r="AK138" s="499"/>
      <c r="AL138" s="499"/>
      <c r="AM138" s="499"/>
      <c r="AN138" s="499"/>
      <c r="AO138" s="499"/>
      <c r="AP138" s="499"/>
      <c r="AQ138" s="499"/>
      <c r="AR138" s="499"/>
    </row>
    <row r="139" spans="4:44" x14ac:dyDescent="0.25">
      <c r="D139" s="487" t="str">
        <f t="shared" si="52"/>
        <v>Hudson View Park</v>
      </c>
      <c r="E139" s="488"/>
      <c r="F139" s="488"/>
      <c r="G139" s="443" t="s">
        <v>1654</v>
      </c>
      <c r="H139" s="444">
        <f>SUMIFS('HVP T12'!C:C,'HVP T12'!$B:$B,'P&amp;Ls Detailed'!$G139)</f>
        <v>1856.78</v>
      </c>
      <c r="I139" s="444">
        <f>SUMIFS('HVP T12'!D:D,'HVP T12'!$B:$B,'P&amp;Ls Detailed'!$G139)</f>
        <v>1992.39</v>
      </c>
      <c r="J139" s="444">
        <f>SUMIFS('HVP T12'!E:E,'HVP T12'!$B:$B,'P&amp;Ls Detailed'!$G139)</f>
        <v>845.63</v>
      </c>
      <c r="K139" s="444">
        <f>SUMIFS('HVP T12'!F:F,'HVP T12'!$B:$B,'P&amp;Ls Detailed'!$G139)</f>
        <v>944.14</v>
      </c>
      <c r="L139" s="444">
        <f>SUMIFS('HVP T12'!G:G,'HVP T12'!$B:$B,'P&amp;Ls Detailed'!$G139)</f>
        <v>1044.27</v>
      </c>
      <c r="M139" s="444">
        <f>SUMIFS('HVP T12'!H:H,'HVP T12'!$B:$B,'P&amp;Ls Detailed'!$G139)</f>
        <v>1191.8599999999999</v>
      </c>
      <c r="N139" s="444">
        <f>SUMIFS('HVP T12'!I:I,'HVP T12'!$B:$B,'P&amp;Ls Detailed'!$G139)</f>
        <v>1289.3599999999999</v>
      </c>
      <c r="O139" s="444">
        <f>SUMIFS('HVP T12'!J:J,'HVP T12'!$B:$B,'P&amp;Ls Detailed'!$G139)</f>
        <v>1436.07</v>
      </c>
      <c r="P139" s="444">
        <f>SUMIFS('HVP T12'!K:K,'HVP T12'!$B:$B,'P&amp;Ls Detailed'!$G139)</f>
        <v>822.42</v>
      </c>
      <c r="Q139" s="444">
        <f>SUMIFS('HVP T12'!L:L,'HVP T12'!$B:$B,'P&amp;Ls Detailed'!$G139)</f>
        <v>920.12</v>
      </c>
      <c r="R139" s="444">
        <f>SUMIFS('HVP T12'!M:M,'HVP T12'!$B:$B,'P&amp;Ls Detailed'!$G139)</f>
        <v>1017.96</v>
      </c>
      <c r="S139" s="444">
        <f>SUMIFS('HVP T12'!N:N,'HVP T12'!$B:$B,'P&amp;Ls Detailed'!$G139)</f>
        <v>1163.71</v>
      </c>
      <c r="T139" s="697"/>
      <c r="U139" s="444"/>
      <c r="V139" s="698"/>
      <c r="W139" s="489">
        <f>SUM(H139:S139)</f>
        <v>14524.71</v>
      </c>
      <c r="X139" s="490">
        <f>SUM(K139:S139)/9*12</f>
        <v>13106.546666666665</v>
      </c>
      <c r="Y139" s="490">
        <f>SUM(N139:S139)/6*12</f>
        <v>13299.279999999999</v>
      </c>
      <c r="Z139" s="490">
        <f>SUM(Q139:S139)/3*12</f>
        <v>12407.16</v>
      </c>
      <c r="AA139" s="490">
        <f>S139*12</f>
        <v>13964.52</v>
      </c>
      <c r="AB139" s="491"/>
      <c r="AC139" s="491"/>
      <c r="AE139" s="498"/>
      <c r="AF139" s="499"/>
      <c r="AG139" s="499"/>
      <c r="AH139" s="499"/>
      <c r="AI139" s="499"/>
      <c r="AJ139" s="499"/>
      <c r="AK139" s="499"/>
      <c r="AL139" s="499"/>
      <c r="AM139" s="499"/>
      <c r="AN139" s="499"/>
      <c r="AO139" s="499"/>
      <c r="AP139" s="499"/>
      <c r="AQ139" s="499"/>
      <c r="AR139" s="499"/>
    </row>
    <row r="140" spans="4:44" x14ac:dyDescent="0.25">
      <c r="D140" s="487" t="str">
        <f t="shared" si="52"/>
        <v>Hudson View Park</v>
      </c>
      <c r="E140" s="488"/>
      <c r="F140" s="488"/>
      <c r="G140" s="456" t="s">
        <v>1655</v>
      </c>
      <c r="H140" s="609">
        <f>SUMIFS('HVP T12'!C:C,'HVP T12'!$B:$B,'P&amp;Ls Detailed'!$G140)</f>
        <v>1856.78</v>
      </c>
      <c r="I140" s="609">
        <f>SUMIFS('HVP T12'!D:D,'HVP T12'!$B:$B,'P&amp;Ls Detailed'!$G140)</f>
        <v>1992.39</v>
      </c>
      <c r="J140" s="609">
        <f>SUMIFS('HVP T12'!E:E,'HVP T12'!$B:$B,'P&amp;Ls Detailed'!$G140)</f>
        <v>845.63</v>
      </c>
      <c r="K140" s="609">
        <f>SUMIFS('HVP T12'!F:F,'HVP T12'!$B:$B,'P&amp;Ls Detailed'!$G140)</f>
        <v>944.14</v>
      </c>
      <c r="L140" s="609">
        <f>SUMIFS('HVP T12'!G:G,'HVP T12'!$B:$B,'P&amp;Ls Detailed'!$G140)</f>
        <v>1044.27</v>
      </c>
      <c r="M140" s="609">
        <f>SUMIFS('HVP T12'!H:H,'HVP T12'!$B:$B,'P&amp;Ls Detailed'!$G140)</f>
        <v>1191.8599999999999</v>
      </c>
      <c r="N140" s="609">
        <f>SUMIFS('HVP T12'!I:I,'HVP T12'!$B:$B,'P&amp;Ls Detailed'!$G140)</f>
        <v>1289.3599999999999</v>
      </c>
      <c r="O140" s="609">
        <f>SUMIFS('HVP T12'!J:J,'HVP T12'!$B:$B,'P&amp;Ls Detailed'!$G140)</f>
        <v>1436.07</v>
      </c>
      <c r="P140" s="609">
        <f>SUMIFS('HVP T12'!K:K,'HVP T12'!$B:$B,'P&amp;Ls Detailed'!$G140)</f>
        <v>822.42</v>
      </c>
      <c r="Q140" s="609">
        <f>SUMIFS('HVP T12'!L:L,'HVP T12'!$B:$B,'P&amp;Ls Detailed'!$G140)</f>
        <v>920.12</v>
      </c>
      <c r="R140" s="609">
        <f>SUMIFS('HVP T12'!M:M,'HVP T12'!$B:$B,'P&amp;Ls Detailed'!$G140)</f>
        <v>1017.96</v>
      </c>
      <c r="S140" s="609">
        <f>SUMIFS('HVP T12'!N:N,'HVP T12'!$B:$B,'P&amp;Ls Detailed'!$G140)</f>
        <v>1163.71</v>
      </c>
      <c r="T140" s="706"/>
      <c r="U140" s="609"/>
      <c r="V140" s="707"/>
      <c r="W140" s="608">
        <f>SUM(H140:S140)</f>
        <v>14524.71</v>
      </c>
      <c r="X140" s="490">
        <f>SUM(K140:S140)/9*12</f>
        <v>13106.546666666665</v>
      </c>
      <c r="Y140" s="490">
        <f>SUM(N140:S140)/6*12</f>
        <v>13299.279999999999</v>
      </c>
      <c r="Z140" s="490">
        <f>SUM(Q140:S140)/3*12</f>
        <v>12407.16</v>
      </c>
      <c r="AA140" s="490">
        <f>S140*12</f>
        <v>13964.52</v>
      </c>
      <c r="AB140" s="491"/>
      <c r="AC140" s="491"/>
      <c r="AE140" s="498"/>
      <c r="AF140" s="613"/>
      <c r="AG140" s="613"/>
      <c r="AH140" s="613"/>
      <c r="AI140" s="613"/>
      <c r="AJ140" s="613"/>
      <c r="AK140" s="613"/>
      <c r="AL140" s="613"/>
      <c r="AM140" s="613"/>
      <c r="AN140" s="613"/>
      <c r="AO140" s="613"/>
      <c r="AP140" s="613"/>
      <c r="AQ140" s="613"/>
      <c r="AR140" s="613"/>
    </row>
    <row r="141" spans="4:44" x14ac:dyDescent="0.25">
      <c r="D141" s="487" t="str">
        <f t="shared" si="52"/>
        <v>Hudson View Park</v>
      </c>
      <c r="E141" s="488"/>
      <c r="F141" s="488"/>
      <c r="G141" s="456" t="s">
        <v>1656</v>
      </c>
      <c r="H141" s="444"/>
      <c r="I141" s="444"/>
      <c r="J141" s="444"/>
      <c r="K141" s="444"/>
      <c r="L141" s="444"/>
      <c r="M141" s="444"/>
      <c r="N141" s="444"/>
      <c r="O141" s="444"/>
      <c r="P141" s="444"/>
      <c r="Q141" s="444"/>
      <c r="R141" s="444"/>
      <c r="S141" s="444"/>
      <c r="T141" s="697"/>
      <c r="U141" s="444"/>
      <c r="V141" s="698"/>
      <c r="W141" s="489"/>
      <c r="X141" s="490"/>
      <c r="Y141" s="490"/>
      <c r="Z141" s="490"/>
      <c r="AA141" s="490"/>
      <c r="AB141" s="491"/>
      <c r="AC141" s="491"/>
      <c r="AE141" s="498"/>
      <c r="AF141" s="499"/>
      <c r="AG141" s="499"/>
      <c r="AH141" s="499"/>
      <c r="AI141" s="499"/>
      <c r="AJ141" s="499"/>
      <c r="AK141" s="499"/>
      <c r="AL141" s="499"/>
      <c r="AM141" s="499"/>
      <c r="AN141" s="499"/>
      <c r="AO141" s="499"/>
      <c r="AP141" s="499"/>
      <c r="AQ141" s="499"/>
      <c r="AR141" s="499"/>
    </row>
    <row r="142" spans="4:44" x14ac:dyDescent="0.25">
      <c r="D142" s="487" t="str">
        <f t="shared" si="52"/>
        <v>Hudson View Park</v>
      </c>
      <c r="E142" s="488"/>
      <c r="F142" s="488"/>
      <c r="G142" s="443" t="s">
        <v>1658</v>
      </c>
      <c r="H142" s="444">
        <f>SUMIFS('HVP T12'!C:C,'HVP T12'!$B:$B,'P&amp;Ls Detailed'!$G142)</f>
        <v>150554.99</v>
      </c>
      <c r="I142" s="444">
        <f>SUMIFS('HVP T12'!D:D,'HVP T12'!$B:$B,'P&amp;Ls Detailed'!$G142)</f>
        <v>150301.44</v>
      </c>
      <c r="J142" s="444">
        <f>SUMIFS('HVP T12'!E:E,'HVP T12'!$B:$B,'P&amp;Ls Detailed'!$G142)</f>
        <v>150047.21</v>
      </c>
      <c r="K142" s="444">
        <f>SUMIFS('HVP T12'!F:F,'HVP T12'!$B:$B,'P&amp;Ls Detailed'!$G142)</f>
        <v>149792.29999999999</v>
      </c>
      <c r="L142" s="444">
        <f>SUMIFS('HVP T12'!G:G,'HVP T12'!$B:$B,'P&amp;Ls Detailed'!$G142)</f>
        <v>149536.70000000001</v>
      </c>
      <c r="M142" s="444">
        <f>SUMIFS('HVP T12'!H:H,'HVP T12'!$B:$B,'P&amp;Ls Detailed'!$G142)</f>
        <v>149280.43</v>
      </c>
      <c r="N142" s="444">
        <f>SUMIFS('HVP T12'!I:I,'HVP T12'!$B:$B,'P&amp;Ls Detailed'!$G142)</f>
        <v>149023.47</v>
      </c>
      <c r="O142" s="444">
        <f>SUMIFS('HVP T12'!J:J,'HVP T12'!$B:$B,'P&amp;Ls Detailed'!$G142)</f>
        <v>148765.82</v>
      </c>
      <c r="P142" s="444">
        <f>SUMIFS('HVP T12'!K:K,'HVP T12'!$B:$B,'P&amp;Ls Detailed'!$G142)</f>
        <v>148507.48000000001</v>
      </c>
      <c r="Q142" s="444">
        <f>SUMIFS('HVP T12'!L:L,'HVP T12'!$B:$B,'P&amp;Ls Detailed'!$G142)</f>
        <v>148248.45000000001</v>
      </c>
      <c r="R142" s="444">
        <f>SUMIFS('HVP T12'!M:M,'HVP T12'!$B:$B,'P&amp;Ls Detailed'!$G142)</f>
        <v>147988.73000000001</v>
      </c>
      <c r="S142" s="444">
        <f>SUMIFS('HVP T12'!N:N,'HVP T12'!$B:$B,'P&amp;Ls Detailed'!$G142)</f>
        <v>147728.31</v>
      </c>
      <c r="T142" s="697"/>
      <c r="U142" s="444"/>
      <c r="V142" s="698"/>
      <c r="W142" s="489">
        <f>SUM(H142:S142)</f>
        <v>1789775.3299999998</v>
      </c>
      <c r="X142" s="490">
        <f>SUM(K142:S142)/9*12</f>
        <v>1785162.2533333332</v>
      </c>
      <c r="Y142" s="490">
        <f>SUM(N142:S142)/6*12</f>
        <v>1780524.52</v>
      </c>
      <c r="Z142" s="490">
        <f>SUM(Q142:S142)/3*12</f>
        <v>1775861.96</v>
      </c>
      <c r="AA142" s="490">
        <f>S142*12</f>
        <v>1772739.72</v>
      </c>
      <c r="AB142" s="491"/>
      <c r="AC142" s="491"/>
      <c r="AE142" s="498"/>
      <c r="AF142" s="499"/>
      <c r="AG142" s="499"/>
      <c r="AH142" s="499"/>
      <c r="AI142" s="499"/>
      <c r="AJ142" s="499"/>
      <c r="AK142" s="499"/>
      <c r="AL142" s="499"/>
      <c r="AM142" s="499"/>
      <c r="AN142" s="499"/>
      <c r="AO142" s="499"/>
      <c r="AP142" s="499"/>
      <c r="AQ142" s="499"/>
      <c r="AR142" s="499"/>
    </row>
    <row r="143" spans="4:44" x14ac:dyDescent="0.25">
      <c r="D143" s="487" t="str">
        <f t="shared" si="52"/>
        <v>Hudson View Park</v>
      </c>
      <c r="E143" s="488"/>
      <c r="F143" s="488"/>
      <c r="G143" s="456" t="s">
        <v>1659</v>
      </c>
      <c r="H143" s="609">
        <f>SUMIFS('HVP T12'!C:C,'HVP T12'!$B:$B,'P&amp;Ls Detailed'!$G143)</f>
        <v>150554.99</v>
      </c>
      <c r="I143" s="609">
        <f>SUMIFS('HVP T12'!D:D,'HVP T12'!$B:$B,'P&amp;Ls Detailed'!$G143)</f>
        <v>150301.44</v>
      </c>
      <c r="J143" s="609">
        <f>SUMIFS('HVP T12'!E:E,'HVP T12'!$B:$B,'P&amp;Ls Detailed'!$G143)</f>
        <v>150047.21</v>
      </c>
      <c r="K143" s="609">
        <f>SUMIFS('HVP T12'!F:F,'HVP T12'!$B:$B,'P&amp;Ls Detailed'!$G143)</f>
        <v>149792.29999999999</v>
      </c>
      <c r="L143" s="609">
        <f>SUMIFS('HVP T12'!G:G,'HVP T12'!$B:$B,'P&amp;Ls Detailed'!$G143)</f>
        <v>149536.70000000001</v>
      </c>
      <c r="M143" s="609">
        <f>SUMIFS('HVP T12'!H:H,'HVP T12'!$B:$B,'P&amp;Ls Detailed'!$G143)</f>
        <v>149280.43</v>
      </c>
      <c r="N143" s="609">
        <f>SUMIFS('HVP T12'!I:I,'HVP T12'!$B:$B,'P&amp;Ls Detailed'!$G143)</f>
        <v>149023.47</v>
      </c>
      <c r="O143" s="609">
        <f>SUMIFS('HVP T12'!J:J,'HVP T12'!$B:$B,'P&amp;Ls Detailed'!$G143)</f>
        <v>148765.82</v>
      </c>
      <c r="P143" s="609">
        <f>SUMIFS('HVP T12'!K:K,'HVP T12'!$B:$B,'P&amp;Ls Detailed'!$G143)</f>
        <v>148507.48000000001</v>
      </c>
      <c r="Q143" s="609">
        <f>SUMIFS('HVP T12'!L:L,'HVP T12'!$B:$B,'P&amp;Ls Detailed'!$G143)</f>
        <v>148248.45000000001</v>
      </c>
      <c r="R143" s="609">
        <f>SUMIFS('HVP T12'!M:M,'HVP T12'!$B:$B,'P&amp;Ls Detailed'!$G143)</f>
        <v>147988.73000000001</v>
      </c>
      <c r="S143" s="609">
        <f>SUMIFS('HVP T12'!N:N,'HVP T12'!$B:$B,'P&amp;Ls Detailed'!$G143)</f>
        <v>147728.31</v>
      </c>
      <c r="T143" s="706"/>
      <c r="U143" s="609"/>
      <c r="V143" s="707"/>
      <c r="W143" s="608">
        <f>SUM(H143:S143)</f>
        <v>1789775.3299999998</v>
      </c>
      <c r="X143" s="490">
        <f>SUM(K143:S143)/9*12</f>
        <v>1785162.2533333332</v>
      </c>
      <c r="Y143" s="490">
        <f>SUM(N143:S143)/6*12</f>
        <v>1780524.52</v>
      </c>
      <c r="Z143" s="490">
        <f>SUM(Q143:S143)/3*12</f>
        <v>1775861.96</v>
      </c>
      <c r="AA143" s="490">
        <f>S143*12</f>
        <v>1772739.72</v>
      </c>
      <c r="AB143" s="491"/>
      <c r="AC143" s="491"/>
      <c r="AE143" s="498"/>
      <c r="AF143" s="613"/>
      <c r="AG143" s="613"/>
      <c r="AH143" s="613"/>
      <c r="AI143" s="613"/>
      <c r="AJ143" s="613"/>
      <c r="AK143" s="613"/>
      <c r="AL143" s="613"/>
      <c r="AM143" s="613"/>
      <c r="AN143" s="613"/>
      <c r="AO143" s="613"/>
      <c r="AP143" s="613"/>
      <c r="AQ143" s="613"/>
      <c r="AR143" s="613"/>
    </row>
    <row r="144" spans="4:44" x14ac:dyDescent="0.25">
      <c r="D144" s="487" t="str">
        <f t="shared" si="52"/>
        <v>Hudson View Park</v>
      </c>
      <c r="E144" s="488"/>
      <c r="F144" s="488"/>
      <c r="G144" s="456" t="s">
        <v>1660</v>
      </c>
      <c r="H144" s="444"/>
      <c r="I144" s="444"/>
      <c r="J144" s="444"/>
      <c r="K144" s="444"/>
      <c r="L144" s="444"/>
      <c r="M144" s="444"/>
      <c r="N144" s="444"/>
      <c r="O144" s="444"/>
      <c r="P144" s="444"/>
      <c r="Q144" s="444"/>
      <c r="R144" s="444"/>
      <c r="S144" s="444"/>
      <c r="T144" s="697"/>
      <c r="U144" s="444"/>
      <c r="V144" s="698"/>
      <c r="W144" s="489"/>
      <c r="X144" s="490"/>
      <c r="Y144" s="490"/>
      <c r="Z144" s="490"/>
      <c r="AA144" s="490"/>
      <c r="AB144" s="491"/>
      <c r="AC144" s="491"/>
      <c r="AE144" s="498"/>
      <c r="AF144" s="613"/>
      <c r="AG144" s="613"/>
      <c r="AH144" s="613"/>
      <c r="AI144" s="613"/>
      <c r="AJ144" s="613"/>
      <c r="AK144" s="613"/>
      <c r="AL144" s="613"/>
      <c r="AM144" s="613"/>
      <c r="AN144" s="613"/>
      <c r="AO144" s="613"/>
      <c r="AP144" s="613"/>
      <c r="AQ144" s="613"/>
      <c r="AR144" s="613"/>
    </row>
    <row r="145" spans="4:44" x14ac:dyDescent="0.25">
      <c r="D145" s="487" t="str">
        <f t="shared" si="52"/>
        <v>Hudson View Park</v>
      </c>
      <c r="E145" s="488"/>
      <c r="F145" s="488"/>
      <c r="G145" s="443" t="s">
        <v>1662</v>
      </c>
      <c r="H145" s="444">
        <f>SUMIFS('HVP T12'!C:C,'HVP T12'!$B:$B,'P&amp;Ls Detailed'!$G145)</f>
        <v>11675.68</v>
      </c>
      <c r="I145" s="444">
        <f>SUMIFS('HVP T12'!D:D,'HVP T12'!$B:$B,'P&amp;Ls Detailed'!$G145)</f>
        <v>11675.68</v>
      </c>
      <c r="J145" s="444">
        <f>SUMIFS('HVP T12'!E:E,'HVP T12'!$B:$B,'P&amp;Ls Detailed'!$G145)</f>
        <v>11675.68</v>
      </c>
      <c r="K145" s="444">
        <f>SUMIFS('HVP T12'!F:F,'HVP T12'!$B:$B,'P&amp;Ls Detailed'!$G145)</f>
        <v>11675.68</v>
      </c>
      <c r="L145" s="444">
        <f>SUMIFS('HVP T12'!G:G,'HVP T12'!$B:$B,'P&amp;Ls Detailed'!$G145)</f>
        <v>11675.68</v>
      </c>
      <c r="M145" s="444">
        <f>SUMIFS('HVP T12'!H:H,'HVP T12'!$B:$B,'P&amp;Ls Detailed'!$G145)</f>
        <v>11675.68</v>
      </c>
      <c r="N145" s="444">
        <f>SUMIFS('HVP T12'!I:I,'HVP T12'!$B:$B,'P&amp;Ls Detailed'!$G145)</f>
        <v>11675.68</v>
      </c>
      <c r="O145" s="444">
        <f>SUMIFS('HVP T12'!J:J,'HVP T12'!$B:$B,'P&amp;Ls Detailed'!$G145)</f>
        <v>11675.72</v>
      </c>
      <c r="P145" s="444">
        <f>SUMIFS('HVP T12'!K:K,'HVP T12'!$B:$B,'P&amp;Ls Detailed'!$G145)</f>
        <v>11675.68</v>
      </c>
      <c r="Q145" s="444">
        <f>SUMIFS('HVP T12'!L:L,'HVP T12'!$B:$B,'P&amp;Ls Detailed'!$G145)</f>
        <v>11433.58</v>
      </c>
      <c r="R145" s="444">
        <f>SUMIFS('HVP T12'!M:M,'HVP T12'!$B:$B,'P&amp;Ls Detailed'!$G145)</f>
        <v>11433.58</v>
      </c>
      <c r="S145" s="444">
        <f>SUMIFS('HVP T12'!N:N,'HVP T12'!$B:$B,'P&amp;Ls Detailed'!$G145)</f>
        <v>11433.58</v>
      </c>
      <c r="T145" s="697"/>
      <c r="U145" s="444"/>
      <c r="V145" s="698"/>
      <c r="W145" s="489">
        <f>SUM(H145:S145)</f>
        <v>139381.9</v>
      </c>
      <c r="X145" s="490">
        <f>SUM(K145:S145)/9*12</f>
        <v>139139.81333333332</v>
      </c>
      <c r="Y145" s="490">
        <f>SUM(N145:S145)/6*12</f>
        <v>138655.64000000001</v>
      </c>
      <c r="Z145" s="490">
        <f>SUM(Q145:S145)/3*12</f>
        <v>137202.96</v>
      </c>
      <c r="AA145" s="490">
        <f>S145*12</f>
        <v>137202.96</v>
      </c>
      <c r="AB145" s="491"/>
      <c r="AC145" s="491"/>
      <c r="AE145" s="498"/>
      <c r="AF145" s="499"/>
      <c r="AG145" s="499"/>
      <c r="AH145" s="499"/>
      <c r="AI145" s="499"/>
      <c r="AJ145" s="499"/>
      <c r="AK145" s="499"/>
      <c r="AL145" s="499"/>
      <c r="AM145" s="499"/>
      <c r="AN145" s="499"/>
      <c r="AO145" s="499"/>
      <c r="AP145" s="499"/>
      <c r="AQ145" s="499"/>
      <c r="AR145" s="499"/>
    </row>
    <row r="146" spans="4:44" x14ac:dyDescent="0.25">
      <c r="D146" s="487" t="str">
        <f t="shared" si="52"/>
        <v>Hudson View Park</v>
      </c>
      <c r="E146" s="488"/>
      <c r="F146" s="488"/>
      <c r="G146" s="456" t="s">
        <v>1663</v>
      </c>
      <c r="H146" s="609">
        <f>SUMIFS('HVP T12'!C:C,'HVP T12'!$B:$B,'P&amp;Ls Detailed'!$G146)</f>
        <v>11675.68</v>
      </c>
      <c r="I146" s="609">
        <f>SUMIFS('HVP T12'!D:D,'HVP T12'!$B:$B,'P&amp;Ls Detailed'!$G146)</f>
        <v>11675.68</v>
      </c>
      <c r="J146" s="609">
        <f>SUMIFS('HVP T12'!E:E,'HVP T12'!$B:$B,'P&amp;Ls Detailed'!$G146)</f>
        <v>11675.68</v>
      </c>
      <c r="K146" s="609">
        <f>SUMIFS('HVP T12'!F:F,'HVP T12'!$B:$B,'P&amp;Ls Detailed'!$G146)</f>
        <v>11675.68</v>
      </c>
      <c r="L146" s="609">
        <f>SUMIFS('HVP T12'!G:G,'HVP T12'!$B:$B,'P&amp;Ls Detailed'!$G146)</f>
        <v>11675.68</v>
      </c>
      <c r="M146" s="609">
        <f>SUMIFS('HVP T12'!H:H,'HVP T12'!$B:$B,'P&amp;Ls Detailed'!$G146)</f>
        <v>11675.68</v>
      </c>
      <c r="N146" s="609">
        <f>SUMIFS('HVP T12'!I:I,'HVP T12'!$B:$B,'P&amp;Ls Detailed'!$G146)</f>
        <v>11675.68</v>
      </c>
      <c r="O146" s="609">
        <f>SUMIFS('HVP T12'!J:J,'HVP T12'!$B:$B,'P&amp;Ls Detailed'!$G146)</f>
        <v>11675.72</v>
      </c>
      <c r="P146" s="609">
        <f>SUMIFS('HVP T12'!K:K,'HVP T12'!$B:$B,'P&amp;Ls Detailed'!$G146)</f>
        <v>11675.68</v>
      </c>
      <c r="Q146" s="609">
        <f>SUMIFS('HVP T12'!L:L,'HVP T12'!$B:$B,'P&amp;Ls Detailed'!$G146)</f>
        <v>11433.58</v>
      </c>
      <c r="R146" s="609">
        <f>SUMIFS('HVP T12'!M:M,'HVP T12'!$B:$B,'P&amp;Ls Detailed'!$G146)</f>
        <v>11433.58</v>
      </c>
      <c r="S146" s="609">
        <f>SUMIFS('HVP T12'!N:N,'HVP T12'!$B:$B,'P&amp;Ls Detailed'!$G146)</f>
        <v>11433.58</v>
      </c>
      <c r="T146" s="706"/>
      <c r="U146" s="609"/>
      <c r="V146" s="707"/>
      <c r="W146" s="608">
        <f>SUM(H146:S146)</f>
        <v>139381.9</v>
      </c>
      <c r="X146" s="490">
        <f>SUM(K146:S146)/9*12</f>
        <v>139139.81333333332</v>
      </c>
      <c r="Y146" s="490">
        <f>SUM(N146:S146)/6*12</f>
        <v>138655.64000000001</v>
      </c>
      <c r="Z146" s="490">
        <f>SUM(Q146:S146)/3*12</f>
        <v>137202.96</v>
      </c>
      <c r="AA146" s="490">
        <f>S146*12</f>
        <v>137202.96</v>
      </c>
      <c r="AB146" s="491"/>
      <c r="AC146" s="491"/>
      <c r="AE146" s="498"/>
      <c r="AF146" s="499"/>
      <c r="AG146" s="499"/>
      <c r="AH146" s="499"/>
      <c r="AI146" s="499"/>
      <c r="AJ146" s="499"/>
      <c r="AK146" s="499"/>
      <c r="AL146" s="499"/>
      <c r="AM146" s="499"/>
      <c r="AN146" s="499"/>
      <c r="AO146" s="499"/>
      <c r="AP146" s="499"/>
      <c r="AQ146" s="499"/>
      <c r="AR146" s="499"/>
    </row>
    <row r="147" spans="4:44" x14ac:dyDescent="0.25">
      <c r="D147" s="487" t="str">
        <f t="shared" si="52"/>
        <v>Hudson View Park</v>
      </c>
      <c r="E147" s="488"/>
      <c r="F147" s="488"/>
      <c r="G147" s="456" t="s">
        <v>1664</v>
      </c>
      <c r="H147" s="444"/>
      <c r="I147" s="444"/>
      <c r="J147" s="444"/>
      <c r="K147" s="444"/>
      <c r="L147" s="444"/>
      <c r="M147" s="444"/>
      <c r="N147" s="444"/>
      <c r="O147" s="444"/>
      <c r="P147" s="444"/>
      <c r="Q147" s="444"/>
      <c r="R147" s="444"/>
      <c r="S147" s="444"/>
      <c r="T147" s="697"/>
      <c r="U147" s="444"/>
      <c r="V147" s="698"/>
      <c r="W147" s="489"/>
      <c r="X147" s="490"/>
      <c r="Y147" s="490"/>
      <c r="Z147" s="490"/>
      <c r="AA147" s="490"/>
      <c r="AB147" s="491"/>
      <c r="AC147" s="491"/>
      <c r="AE147" s="498"/>
      <c r="AF147" s="499"/>
      <c r="AG147" s="499"/>
      <c r="AH147" s="499"/>
      <c r="AI147" s="499"/>
      <c r="AJ147" s="499"/>
      <c r="AK147" s="499"/>
      <c r="AL147" s="499"/>
      <c r="AM147" s="499"/>
      <c r="AN147" s="499"/>
      <c r="AO147" s="499"/>
      <c r="AP147" s="499"/>
      <c r="AQ147" s="499"/>
      <c r="AR147" s="499"/>
    </row>
    <row r="148" spans="4:44" x14ac:dyDescent="0.25">
      <c r="D148" s="487" t="str">
        <f t="shared" si="52"/>
        <v>Hudson View Park</v>
      </c>
      <c r="E148" s="488"/>
      <c r="F148" s="488"/>
      <c r="G148" s="443" t="s">
        <v>1666</v>
      </c>
      <c r="H148" s="444">
        <f>SUMIFS('HVP T12'!C:C,'HVP T12'!$B:$B,'P&amp;Ls Detailed'!$G148)</f>
        <v>30862</v>
      </c>
      <c r="I148" s="444">
        <f>SUMIFS('HVP T12'!D:D,'HVP T12'!$B:$B,'P&amp;Ls Detailed'!$G148)</f>
        <v>31101</v>
      </c>
      <c r="J148" s="444">
        <f>SUMIFS('HVP T12'!E:E,'HVP T12'!$B:$B,'P&amp;Ls Detailed'!$G148)</f>
        <v>30912</v>
      </c>
      <c r="K148" s="444">
        <f>SUMIFS('HVP T12'!F:F,'HVP T12'!$B:$B,'P&amp;Ls Detailed'!$G148)</f>
        <v>35781</v>
      </c>
      <c r="L148" s="444">
        <f>SUMIFS('HVP T12'!G:G,'HVP T12'!$B:$B,'P&amp;Ls Detailed'!$G148)</f>
        <v>31785</v>
      </c>
      <c r="M148" s="444">
        <f>SUMIFS('HVP T12'!H:H,'HVP T12'!$B:$B,'P&amp;Ls Detailed'!$G148)</f>
        <v>32943</v>
      </c>
      <c r="N148" s="444">
        <f>SUMIFS('HVP T12'!I:I,'HVP T12'!$B:$B,'P&amp;Ls Detailed'!$G148)</f>
        <v>32711</v>
      </c>
      <c r="O148" s="444">
        <f>SUMIFS('HVP T12'!J:J,'HVP T12'!$B:$B,'P&amp;Ls Detailed'!$G148)</f>
        <v>31469</v>
      </c>
      <c r="P148" s="444">
        <f>SUMIFS('HVP T12'!K:K,'HVP T12'!$B:$B,'P&amp;Ls Detailed'!$G148)</f>
        <v>30661</v>
      </c>
      <c r="Q148" s="444">
        <f>SUMIFS('HVP T12'!L:L,'HVP T12'!$B:$B,'P&amp;Ls Detailed'!$G148)</f>
        <v>30761</v>
      </c>
      <c r="R148" s="444">
        <f>SUMIFS('HVP T12'!M:M,'HVP T12'!$B:$B,'P&amp;Ls Detailed'!$G148)</f>
        <v>31241</v>
      </c>
      <c r="S148" s="444">
        <f>SUMIFS('HVP T12'!N:N,'HVP T12'!$B:$B,'P&amp;Ls Detailed'!$G148)</f>
        <v>31385</v>
      </c>
      <c r="T148" s="697"/>
      <c r="U148" s="444"/>
      <c r="V148" s="698"/>
      <c r="W148" s="489">
        <f>SUM(H148:S148)</f>
        <v>381612</v>
      </c>
      <c r="X148" s="490">
        <f>SUM(K148:S148)/9*12</f>
        <v>384982.66666666669</v>
      </c>
      <c r="Y148" s="490">
        <f>SUM(N148:S148)/6*12</f>
        <v>376456</v>
      </c>
      <c r="Z148" s="490">
        <f>SUM(Q148:S148)/3*12</f>
        <v>373548</v>
      </c>
      <c r="AA148" s="490">
        <f>S148*12</f>
        <v>376620</v>
      </c>
      <c r="AB148" s="491"/>
      <c r="AC148" s="491"/>
      <c r="AE148" s="498"/>
      <c r="AF148" s="499"/>
      <c r="AG148" s="499"/>
      <c r="AH148" s="499"/>
      <c r="AI148" s="499"/>
      <c r="AJ148" s="499"/>
      <c r="AK148" s="499"/>
      <c r="AL148" s="499"/>
      <c r="AM148" s="499"/>
      <c r="AN148" s="499"/>
      <c r="AO148" s="499"/>
      <c r="AP148" s="499"/>
      <c r="AQ148" s="499"/>
      <c r="AR148" s="499"/>
    </row>
    <row r="149" spans="4:44" x14ac:dyDescent="0.25">
      <c r="D149" s="487" t="str">
        <f t="shared" si="52"/>
        <v>Hudson View Park</v>
      </c>
      <c r="E149" s="488"/>
      <c r="F149" s="488"/>
      <c r="G149" s="443" t="s">
        <v>1668</v>
      </c>
      <c r="H149" s="444">
        <f>SUMIFS('HVP T12'!C:C,'HVP T12'!$B:$B,'P&amp;Ls Detailed'!$G149)</f>
        <v>2389</v>
      </c>
      <c r="I149" s="444">
        <f>SUMIFS('HVP T12'!D:D,'HVP T12'!$B:$B,'P&amp;Ls Detailed'!$G149)</f>
        <v>2389</v>
      </c>
      <c r="J149" s="444">
        <f>SUMIFS('HVP T12'!E:E,'HVP T12'!$B:$B,'P&amp;Ls Detailed'!$G149)</f>
        <v>2389</v>
      </c>
      <c r="K149" s="444">
        <f>SUMIFS('HVP T12'!F:F,'HVP T12'!$B:$B,'P&amp;Ls Detailed'!$G149)</f>
        <v>2389</v>
      </c>
      <c r="L149" s="444">
        <f>SUMIFS('HVP T12'!G:G,'HVP T12'!$B:$B,'P&amp;Ls Detailed'!$G149)</f>
        <v>2389</v>
      </c>
      <c r="M149" s="444">
        <f>SUMIFS('HVP T12'!H:H,'HVP T12'!$B:$B,'P&amp;Ls Detailed'!$G149)</f>
        <v>2389</v>
      </c>
      <c r="N149" s="444">
        <f>SUMIFS('HVP T12'!I:I,'HVP T12'!$B:$B,'P&amp;Ls Detailed'!$G149)</f>
        <v>2389</v>
      </c>
      <c r="O149" s="444">
        <f>SUMIFS('HVP T12'!J:J,'HVP T12'!$B:$B,'P&amp;Ls Detailed'!$G149)</f>
        <v>8093</v>
      </c>
      <c r="P149" s="444">
        <f>SUMIFS('HVP T12'!K:K,'HVP T12'!$B:$B,'P&amp;Ls Detailed'!$G149)</f>
        <v>2864</v>
      </c>
      <c r="Q149" s="444">
        <f>SUMIFS('HVP T12'!L:L,'HVP T12'!$B:$B,'P&amp;Ls Detailed'!$G149)</f>
        <v>2864</v>
      </c>
      <c r="R149" s="444">
        <f>SUMIFS('HVP T12'!M:M,'HVP T12'!$B:$B,'P&amp;Ls Detailed'!$G149)</f>
        <v>2864</v>
      </c>
      <c r="S149" s="444">
        <f>SUMIFS('HVP T12'!N:N,'HVP T12'!$B:$B,'P&amp;Ls Detailed'!$G149)</f>
        <v>2864</v>
      </c>
      <c r="T149" s="697"/>
      <c r="U149" s="444"/>
      <c r="V149" s="698"/>
      <c r="W149" s="489">
        <f>SUM(H149:S149)</f>
        <v>36272</v>
      </c>
      <c r="X149" s="490">
        <f>SUM(K149:S149)/9*12</f>
        <v>38806.666666666664</v>
      </c>
      <c r="Y149" s="490">
        <f>SUM(N149:S149)/6*12</f>
        <v>43876</v>
      </c>
      <c r="Z149" s="490">
        <f>SUM(Q149:S149)/3*12</f>
        <v>34368</v>
      </c>
      <c r="AA149" s="490">
        <f>S149*12</f>
        <v>34368</v>
      </c>
      <c r="AB149" s="491"/>
      <c r="AC149" s="491"/>
      <c r="AE149" s="498"/>
      <c r="AF149" s="613"/>
      <c r="AG149" s="613"/>
      <c r="AH149" s="613"/>
      <c r="AI149" s="613"/>
      <c r="AJ149" s="613"/>
      <c r="AK149" s="613"/>
      <c r="AL149" s="613"/>
      <c r="AM149" s="613"/>
      <c r="AN149" s="613"/>
      <c r="AO149" s="613"/>
      <c r="AP149" s="613"/>
      <c r="AQ149" s="613"/>
      <c r="AR149" s="613"/>
    </row>
    <row r="150" spans="4:44" x14ac:dyDescent="0.25">
      <c r="D150" s="487" t="str">
        <f t="shared" si="52"/>
        <v>Hudson View Park</v>
      </c>
      <c r="E150" s="488"/>
      <c r="F150" s="488"/>
      <c r="G150" s="456" t="s">
        <v>1669</v>
      </c>
      <c r="H150" s="609">
        <f>SUMIFS('HVP T12'!C:C,'HVP T12'!$B:$B,'P&amp;Ls Detailed'!$G150)</f>
        <v>33251</v>
      </c>
      <c r="I150" s="609">
        <f>SUMIFS('HVP T12'!D:D,'HVP T12'!$B:$B,'P&amp;Ls Detailed'!$G150)</f>
        <v>33490</v>
      </c>
      <c r="J150" s="609">
        <f>SUMIFS('HVP T12'!E:E,'HVP T12'!$B:$B,'P&amp;Ls Detailed'!$G150)</f>
        <v>33301</v>
      </c>
      <c r="K150" s="609">
        <f>SUMIFS('HVP T12'!F:F,'HVP T12'!$B:$B,'P&amp;Ls Detailed'!$G150)</f>
        <v>38170</v>
      </c>
      <c r="L150" s="609">
        <f>SUMIFS('HVP T12'!G:G,'HVP T12'!$B:$B,'P&amp;Ls Detailed'!$G150)</f>
        <v>34174</v>
      </c>
      <c r="M150" s="609">
        <f>SUMIFS('HVP T12'!H:H,'HVP T12'!$B:$B,'P&amp;Ls Detailed'!$G150)</f>
        <v>35332</v>
      </c>
      <c r="N150" s="609">
        <f>SUMIFS('HVP T12'!I:I,'HVP T12'!$B:$B,'P&amp;Ls Detailed'!$G150)</f>
        <v>35100</v>
      </c>
      <c r="O150" s="609">
        <f>SUMIFS('HVP T12'!J:J,'HVP T12'!$B:$B,'P&amp;Ls Detailed'!$G150)</f>
        <v>39562</v>
      </c>
      <c r="P150" s="609">
        <f>SUMIFS('HVP T12'!K:K,'HVP T12'!$B:$B,'P&amp;Ls Detailed'!$G150)</f>
        <v>33525</v>
      </c>
      <c r="Q150" s="609">
        <f>SUMIFS('HVP T12'!L:L,'HVP T12'!$B:$B,'P&amp;Ls Detailed'!$G150)</f>
        <v>33625</v>
      </c>
      <c r="R150" s="609">
        <f>SUMIFS('HVP T12'!M:M,'HVP T12'!$B:$B,'P&amp;Ls Detailed'!$G150)</f>
        <v>34105</v>
      </c>
      <c r="S150" s="609">
        <f>SUMIFS('HVP T12'!N:N,'HVP T12'!$B:$B,'P&amp;Ls Detailed'!$G150)</f>
        <v>34249</v>
      </c>
      <c r="T150" s="706"/>
      <c r="U150" s="609"/>
      <c r="V150" s="707"/>
      <c r="W150" s="608">
        <f>SUM(H150:S150)</f>
        <v>417884</v>
      </c>
      <c r="X150" s="490">
        <f>SUM(K150:S150)/9*12</f>
        <v>423789.33333333337</v>
      </c>
      <c r="Y150" s="490">
        <f>SUM(N150:S150)/6*12</f>
        <v>420332</v>
      </c>
      <c r="Z150" s="490">
        <f>SUM(Q150:S150)/3*12</f>
        <v>407916</v>
      </c>
      <c r="AA150" s="490">
        <f>S150*12</f>
        <v>410988</v>
      </c>
      <c r="AB150" s="491"/>
      <c r="AC150" s="491"/>
      <c r="AE150" s="498"/>
      <c r="AF150" s="616"/>
      <c r="AG150" s="498"/>
      <c r="AH150" s="498"/>
      <c r="AI150" s="498"/>
      <c r="AJ150" s="498"/>
      <c r="AK150" s="498"/>
      <c r="AL150" s="498"/>
      <c r="AM150" s="498"/>
      <c r="AN150" s="498"/>
      <c r="AO150" s="498"/>
      <c r="AP150" s="498"/>
      <c r="AQ150" s="498"/>
      <c r="AR150" s="616"/>
    </row>
    <row r="151" spans="4:44" x14ac:dyDescent="0.25">
      <c r="D151" s="487" t="str">
        <f t="shared" si="52"/>
        <v>Hudson View Park</v>
      </c>
      <c r="E151" s="488"/>
      <c r="F151" s="488"/>
      <c r="G151" s="456" t="s">
        <v>1670</v>
      </c>
      <c r="H151" s="444"/>
      <c r="I151" s="444"/>
      <c r="J151" s="444"/>
      <c r="K151" s="444"/>
      <c r="L151" s="444"/>
      <c r="M151" s="444"/>
      <c r="N151" s="444"/>
      <c r="O151" s="444"/>
      <c r="P151" s="444"/>
      <c r="Q151" s="444"/>
      <c r="R151" s="444"/>
      <c r="S151" s="444"/>
      <c r="T151" s="697"/>
      <c r="U151" s="444"/>
      <c r="V151" s="698"/>
      <c r="W151" s="489"/>
      <c r="X151" s="490"/>
      <c r="Y151" s="490"/>
      <c r="Z151" s="490"/>
      <c r="AA151" s="490"/>
      <c r="AB151" s="491"/>
      <c r="AC151" s="491"/>
      <c r="AE151" s="498"/>
      <c r="AF151" s="616"/>
      <c r="AG151" s="498"/>
      <c r="AH151" s="498"/>
      <c r="AI151" s="498"/>
      <c r="AJ151" s="498"/>
      <c r="AK151" s="498"/>
      <c r="AL151" s="498"/>
      <c r="AM151" s="498"/>
      <c r="AN151" s="498"/>
      <c r="AO151" s="498"/>
      <c r="AP151" s="498"/>
      <c r="AQ151" s="498"/>
      <c r="AR151" s="616"/>
    </row>
    <row r="152" spans="4:44" ht="15" customHeight="1" x14ac:dyDescent="0.25">
      <c r="D152" s="487" t="str">
        <f t="shared" si="52"/>
        <v>Hudson View Park</v>
      </c>
      <c r="E152" s="488"/>
      <c r="F152" s="488"/>
      <c r="G152" s="443" t="s">
        <v>1672</v>
      </c>
      <c r="H152" s="444">
        <f>SUMIFS('HVP T12'!C:C,'HVP T12'!$B:$B,'P&amp;Ls Detailed'!$G152)</f>
        <v>0</v>
      </c>
      <c r="I152" s="444">
        <f>SUMIFS('HVP T12'!D:D,'HVP T12'!$B:$B,'P&amp;Ls Detailed'!$G152)</f>
        <v>0</v>
      </c>
      <c r="J152" s="444">
        <f>SUMIFS('HVP T12'!E:E,'HVP T12'!$B:$B,'P&amp;Ls Detailed'!$G152)</f>
        <v>2500</v>
      </c>
      <c r="K152" s="444">
        <f>SUMIFS('HVP T12'!F:F,'HVP T12'!$B:$B,'P&amp;Ls Detailed'!$G152)</f>
        <v>4760</v>
      </c>
      <c r="L152" s="444">
        <f>SUMIFS('HVP T12'!G:G,'HVP T12'!$B:$B,'P&amp;Ls Detailed'!$G152)</f>
        <v>0</v>
      </c>
      <c r="M152" s="444">
        <f>SUMIFS('HVP T12'!H:H,'HVP T12'!$B:$B,'P&amp;Ls Detailed'!$G152)</f>
        <v>7080</v>
      </c>
      <c r="N152" s="444">
        <f>SUMIFS('HVP T12'!I:I,'HVP T12'!$B:$B,'P&amp;Ls Detailed'!$G152)</f>
        <v>2440</v>
      </c>
      <c r="O152" s="444">
        <f>SUMIFS('HVP T12'!J:J,'HVP T12'!$B:$B,'P&amp;Ls Detailed'!$G152)</f>
        <v>10430.34</v>
      </c>
      <c r="P152" s="444">
        <f>SUMIFS('HVP T12'!K:K,'HVP T12'!$B:$B,'P&amp;Ls Detailed'!$G152)</f>
        <v>4975.07</v>
      </c>
      <c r="Q152" s="444">
        <f>SUMIFS('HVP T12'!L:L,'HVP T12'!$B:$B,'P&amp;Ls Detailed'!$G152)</f>
        <v>2427.44</v>
      </c>
      <c r="R152" s="444">
        <f>SUMIFS('HVP T12'!M:M,'HVP T12'!$B:$B,'P&amp;Ls Detailed'!$G152)</f>
        <v>12171.31</v>
      </c>
      <c r="S152" s="444">
        <f>SUMIFS('HVP T12'!N:N,'HVP T12'!$B:$B,'P&amp;Ls Detailed'!$G152)</f>
        <v>24616.28</v>
      </c>
      <c r="T152" s="697"/>
      <c r="U152" s="444"/>
      <c r="V152" s="698"/>
      <c r="W152" s="489">
        <f t="shared" ref="W152:W159" si="53">SUM(H152:S152)</f>
        <v>71400.44</v>
      </c>
      <c r="X152" s="490">
        <f t="shared" ref="X152:X159" si="54">SUM(K152:S152)/9*12</f>
        <v>91867.253333333341</v>
      </c>
      <c r="Y152" s="490">
        <f t="shared" ref="Y152:Y159" si="55">SUM(N152:S152)/6*12</f>
        <v>114120.87999999998</v>
      </c>
      <c r="Z152" s="490">
        <f t="shared" ref="Z152:Z159" si="56">SUM(Q152:S152)/3*12</f>
        <v>156860.12</v>
      </c>
      <c r="AA152" s="490">
        <f t="shared" ref="AA152:AA159" si="57">S152*12</f>
        <v>295395.36</v>
      </c>
      <c r="AB152" s="491"/>
      <c r="AC152" s="491"/>
      <c r="AE152" s="498"/>
      <c r="AF152" s="616"/>
      <c r="AG152" s="498"/>
      <c r="AH152" s="498"/>
      <c r="AI152" s="498"/>
      <c r="AJ152" s="498"/>
      <c r="AK152" s="498"/>
      <c r="AL152" s="498"/>
      <c r="AM152" s="498"/>
      <c r="AN152" s="498"/>
      <c r="AO152" s="498"/>
      <c r="AP152" s="498"/>
      <c r="AQ152" s="498"/>
      <c r="AR152" s="616"/>
    </row>
    <row r="153" spans="4:44" x14ac:dyDescent="0.25">
      <c r="D153" s="487" t="str">
        <f t="shared" si="52"/>
        <v>Hudson View Park</v>
      </c>
      <c r="E153" s="488"/>
      <c r="F153" s="488"/>
      <c r="G153" s="443" t="s">
        <v>1674</v>
      </c>
      <c r="H153" s="444">
        <f>SUMIFS('HVP T12'!C:C,'HVP T12'!$B:$B,'P&amp;Ls Detailed'!$G153)</f>
        <v>17328.36</v>
      </c>
      <c r="I153" s="444">
        <f>SUMIFS('HVP T12'!D:D,'HVP T12'!$B:$B,'P&amp;Ls Detailed'!$G153)</f>
        <v>16457.990000000002</v>
      </c>
      <c r="J153" s="444">
        <f>SUMIFS('HVP T12'!E:E,'HVP T12'!$B:$B,'P&amp;Ls Detailed'!$G153)</f>
        <v>40205.730000000003</v>
      </c>
      <c r="K153" s="444">
        <f>SUMIFS('HVP T12'!F:F,'HVP T12'!$B:$B,'P&amp;Ls Detailed'!$G153)</f>
        <v>17145.150000000001</v>
      </c>
      <c r="L153" s="444">
        <f>SUMIFS('HVP T12'!G:G,'HVP T12'!$B:$B,'P&amp;Ls Detailed'!$G153)</f>
        <v>34851.86</v>
      </c>
      <c r="M153" s="444">
        <f>SUMIFS('HVP T12'!H:H,'HVP T12'!$B:$B,'P&amp;Ls Detailed'!$G153)</f>
        <v>15297.01</v>
      </c>
      <c r="N153" s="444">
        <f>SUMIFS('HVP T12'!I:I,'HVP T12'!$B:$B,'P&amp;Ls Detailed'!$G153)</f>
        <v>34265.910000000003</v>
      </c>
      <c r="O153" s="444">
        <f>SUMIFS('HVP T12'!J:J,'HVP T12'!$B:$B,'P&amp;Ls Detailed'!$G153)</f>
        <v>39550.620000000003</v>
      </c>
      <c r="P153" s="444">
        <f>SUMIFS('HVP T12'!K:K,'HVP T12'!$B:$B,'P&amp;Ls Detailed'!$G153)</f>
        <v>21996.22</v>
      </c>
      <c r="Q153" s="444">
        <f>SUMIFS('HVP T12'!L:L,'HVP T12'!$B:$B,'P&amp;Ls Detailed'!$G153)</f>
        <v>9007.75</v>
      </c>
      <c r="R153" s="444">
        <f>SUMIFS('HVP T12'!M:M,'HVP T12'!$B:$B,'P&amp;Ls Detailed'!$G153)</f>
        <v>11038.75</v>
      </c>
      <c r="S153" s="444">
        <f>SUMIFS('HVP T12'!N:N,'HVP T12'!$B:$B,'P&amp;Ls Detailed'!$G153)</f>
        <v>39861.54</v>
      </c>
      <c r="T153" s="697"/>
      <c r="U153" s="444"/>
      <c r="V153" s="698"/>
      <c r="W153" s="489">
        <f t="shared" si="53"/>
        <v>297006.89</v>
      </c>
      <c r="X153" s="490">
        <f t="shared" si="54"/>
        <v>297353.08</v>
      </c>
      <c r="Y153" s="490">
        <f t="shared" si="55"/>
        <v>311441.58</v>
      </c>
      <c r="Z153" s="490">
        <f t="shared" si="56"/>
        <v>239632.16000000003</v>
      </c>
      <c r="AA153" s="490">
        <f t="shared" si="57"/>
        <v>478338.48</v>
      </c>
      <c r="AB153" s="491"/>
      <c r="AC153" s="491"/>
      <c r="AF153" s="613"/>
      <c r="AG153" s="613"/>
      <c r="AH153" s="613"/>
      <c r="AI153" s="613"/>
      <c r="AJ153" s="613"/>
      <c r="AK153" s="613"/>
      <c r="AL153" s="613"/>
      <c r="AM153" s="613"/>
      <c r="AN153" s="613"/>
      <c r="AO153" s="613"/>
      <c r="AP153" s="613"/>
      <c r="AQ153" s="613"/>
      <c r="AR153" s="613"/>
    </row>
    <row r="154" spans="4:44" x14ac:dyDescent="0.25">
      <c r="D154" s="487" t="str">
        <f t="shared" si="52"/>
        <v>Hudson View Park</v>
      </c>
      <c r="E154" s="488"/>
      <c r="F154" s="488"/>
      <c r="G154" s="443" t="s">
        <v>1676</v>
      </c>
      <c r="H154" s="444">
        <f>SUMIFS('HVP T12'!C:C,'HVP T12'!$B:$B,'P&amp;Ls Detailed'!$G154)</f>
        <v>14487.23</v>
      </c>
      <c r="I154" s="444">
        <f>SUMIFS('HVP T12'!D:D,'HVP T12'!$B:$B,'P&amp;Ls Detailed'!$G154)</f>
        <v>196.01</v>
      </c>
      <c r="J154" s="444">
        <f>SUMIFS('HVP T12'!E:E,'HVP T12'!$B:$B,'P&amp;Ls Detailed'!$G154)</f>
        <v>7591.12</v>
      </c>
      <c r="K154" s="444">
        <f>SUMIFS('HVP T12'!F:F,'HVP T12'!$B:$B,'P&amp;Ls Detailed'!$G154)</f>
        <v>6970.81</v>
      </c>
      <c r="L154" s="444">
        <f>SUMIFS('HVP T12'!G:G,'HVP T12'!$B:$B,'P&amp;Ls Detailed'!$G154)</f>
        <v>4639.07</v>
      </c>
      <c r="M154" s="444">
        <f>SUMIFS('HVP T12'!H:H,'HVP T12'!$B:$B,'P&amp;Ls Detailed'!$G154)</f>
        <v>3823.23</v>
      </c>
      <c r="N154" s="444">
        <f>SUMIFS('HVP T12'!I:I,'HVP T12'!$B:$B,'P&amp;Ls Detailed'!$G154)</f>
        <v>430.34</v>
      </c>
      <c r="O154" s="444">
        <f>SUMIFS('HVP T12'!J:J,'HVP T12'!$B:$B,'P&amp;Ls Detailed'!$G154)</f>
        <v>5282.56</v>
      </c>
      <c r="P154" s="444">
        <f>SUMIFS('HVP T12'!K:K,'HVP T12'!$B:$B,'P&amp;Ls Detailed'!$G154)</f>
        <v>10961.05</v>
      </c>
      <c r="Q154" s="444">
        <f>SUMIFS('HVP T12'!L:L,'HVP T12'!$B:$B,'P&amp;Ls Detailed'!$G154)</f>
        <v>11343.09</v>
      </c>
      <c r="R154" s="444">
        <f>SUMIFS('HVP T12'!M:M,'HVP T12'!$B:$B,'P&amp;Ls Detailed'!$G154)</f>
        <v>7504.48</v>
      </c>
      <c r="S154" s="444">
        <f>SUMIFS('HVP T12'!N:N,'HVP T12'!$B:$B,'P&amp;Ls Detailed'!$G154)</f>
        <v>13514.88</v>
      </c>
      <c r="T154" s="697"/>
      <c r="U154" s="444"/>
      <c r="V154" s="698"/>
      <c r="W154" s="489">
        <f t="shared" si="53"/>
        <v>86743.87</v>
      </c>
      <c r="X154" s="490">
        <f t="shared" si="54"/>
        <v>85959.346666666665</v>
      </c>
      <c r="Y154" s="490">
        <f t="shared" si="55"/>
        <v>98072.8</v>
      </c>
      <c r="Z154" s="490">
        <f t="shared" si="56"/>
        <v>129449.79999999999</v>
      </c>
      <c r="AA154" s="490">
        <f t="shared" si="57"/>
        <v>162178.56</v>
      </c>
      <c r="AB154" s="491"/>
      <c r="AC154" s="491"/>
      <c r="AE154" s="498"/>
      <c r="AF154" s="613"/>
      <c r="AG154" s="613"/>
      <c r="AH154" s="613"/>
      <c r="AI154" s="613"/>
      <c r="AJ154" s="613"/>
      <c r="AK154" s="613"/>
      <c r="AL154" s="613"/>
      <c r="AM154" s="613"/>
      <c r="AN154" s="613"/>
      <c r="AO154" s="613"/>
      <c r="AP154" s="613"/>
      <c r="AQ154" s="613"/>
      <c r="AR154" s="613"/>
    </row>
    <row r="155" spans="4:44" x14ac:dyDescent="0.25">
      <c r="D155" s="487" t="str">
        <f t="shared" si="52"/>
        <v>Hudson View Park</v>
      </c>
      <c r="E155" s="488"/>
      <c r="F155" s="488"/>
      <c r="G155" s="443" t="s">
        <v>1678</v>
      </c>
      <c r="H155" s="444">
        <f>SUMIFS('HVP T12'!C:C,'HVP T12'!$B:$B,'P&amp;Ls Detailed'!$G155)</f>
        <v>0</v>
      </c>
      <c r="I155" s="444">
        <f>SUMIFS('HVP T12'!D:D,'HVP T12'!$B:$B,'P&amp;Ls Detailed'!$G155)</f>
        <v>5932.63</v>
      </c>
      <c r="J155" s="444">
        <f>SUMIFS('HVP T12'!E:E,'HVP T12'!$B:$B,'P&amp;Ls Detailed'!$G155)</f>
        <v>841.89</v>
      </c>
      <c r="K155" s="444">
        <f>SUMIFS('HVP T12'!F:F,'HVP T12'!$B:$B,'P&amp;Ls Detailed'!$G155)</f>
        <v>902.28</v>
      </c>
      <c r="L155" s="444">
        <f>SUMIFS('HVP T12'!G:G,'HVP T12'!$B:$B,'P&amp;Ls Detailed'!$G155)</f>
        <v>1138.5899999999999</v>
      </c>
      <c r="M155" s="444">
        <f>SUMIFS('HVP T12'!H:H,'HVP T12'!$B:$B,'P&amp;Ls Detailed'!$G155)</f>
        <v>-58.23</v>
      </c>
      <c r="N155" s="444">
        <f>SUMIFS('HVP T12'!I:I,'HVP T12'!$B:$B,'P&amp;Ls Detailed'!$G155)</f>
        <v>9891.07</v>
      </c>
      <c r="O155" s="444">
        <f>SUMIFS('HVP T12'!J:J,'HVP T12'!$B:$B,'P&amp;Ls Detailed'!$G155)</f>
        <v>449.54</v>
      </c>
      <c r="P155" s="444">
        <f>SUMIFS('HVP T12'!K:K,'HVP T12'!$B:$B,'P&amp;Ls Detailed'!$G155)</f>
        <v>0</v>
      </c>
      <c r="Q155" s="444">
        <f>SUMIFS('HVP T12'!L:L,'HVP T12'!$B:$B,'P&amp;Ls Detailed'!$G155)</f>
        <v>1328.84</v>
      </c>
      <c r="R155" s="444">
        <f>SUMIFS('HVP T12'!M:M,'HVP T12'!$B:$B,'P&amp;Ls Detailed'!$G155)</f>
        <v>728.53</v>
      </c>
      <c r="S155" s="444">
        <f>SUMIFS('HVP T12'!N:N,'HVP T12'!$B:$B,'P&amp;Ls Detailed'!$G155)</f>
        <v>2885.15</v>
      </c>
      <c r="T155" s="697"/>
      <c r="U155" s="444"/>
      <c r="V155" s="698"/>
      <c r="W155" s="489">
        <f t="shared" si="53"/>
        <v>24040.29</v>
      </c>
      <c r="X155" s="490">
        <f t="shared" si="54"/>
        <v>23021.026666666665</v>
      </c>
      <c r="Y155" s="490">
        <f t="shared" si="55"/>
        <v>30566.260000000002</v>
      </c>
      <c r="Z155" s="490">
        <f t="shared" si="56"/>
        <v>19770.080000000002</v>
      </c>
      <c r="AA155" s="490">
        <f t="shared" si="57"/>
        <v>34621.800000000003</v>
      </c>
      <c r="AB155" s="491"/>
      <c r="AC155" s="491"/>
      <c r="AE155" s="498"/>
      <c r="AF155" s="499"/>
      <c r="AG155" s="499"/>
      <c r="AH155" s="499"/>
      <c r="AI155" s="499"/>
      <c r="AJ155" s="499"/>
      <c r="AK155" s="499"/>
      <c r="AL155" s="499"/>
      <c r="AM155" s="499"/>
      <c r="AN155" s="499"/>
      <c r="AO155" s="499"/>
      <c r="AP155" s="499"/>
      <c r="AQ155" s="499"/>
      <c r="AR155" s="499"/>
    </row>
    <row r="156" spans="4:44" x14ac:dyDescent="0.25">
      <c r="D156" s="487" t="str">
        <f t="shared" si="52"/>
        <v>Hudson View Park</v>
      </c>
      <c r="E156" s="488"/>
      <c r="F156" s="488"/>
      <c r="G156" s="443" t="s">
        <v>1680</v>
      </c>
      <c r="H156" s="444">
        <f>SUMIFS('HVP T12'!C:C,'HVP T12'!$B:$B,'P&amp;Ls Detailed'!$G156)</f>
        <v>372.61</v>
      </c>
      <c r="I156" s="444">
        <f>SUMIFS('HVP T12'!D:D,'HVP T12'!$B:$B,'P&amp;Ls Detailed'!$G156)</f>
        <v>0</v>
      </c>
      <c r="J156" s="444">
        <f>SUMIFS('HVP T12'!E:E,'HVP T12'!$B:$B,'P&amp;Ls Detailed'!$G156)</f>
        <v>937.6</v>
      </c>
      <c r="K156" s="444">
        <f>SUMIFS('HVP T12'!F:F,'HVP T12'!$B:$B,'P&amp;Ls Detailed'!$G156)</f>
        <v>28647.38</v>
      </c>
      <c r="L156" s="444">
        <f>SUMIFS('HVP T12'!G:G,'HVP T12'!$B:$B,'P&amp;Ls Detailed'!$G156)</f>
        <v>247.61</v>
      </c>
      <c r="M156" s="444">
        <f>SUMIFS('HVP T12'!H:H,'HVP T12'!$B:$B,'P&amp;Ls Detailed'!$G156)</f>
        <v>1272.72</v>
      </c>
      <c r="N156" s="444">
        <f>SUMIFS('HVP T12'!I:I,'HVP T12'!$B:$B,'P&amp;Ls Detailed'!$G156)</f>
        <v>768.28</v>
      </c>
      <c r="O156" s="444">
        <f>SUMIFS('HVP T12'!J:J,'HVP T12'!$B:$B,'P&amp;Ls Detailed'!$G156)</f>
        <v>149.84</v>
      </c>
      <c r="P156" s="444">
        <f>SUMIFS('HVP T12'!K:K,'HVP T12'!$B:$B,'P&amp;Ls Detailed'!$G156)</f>
        <v>21447.98</v>
      </c>
      <c r="Q156" s="444">
        <f>SUMIFS('HVP T12'!L:L,'HVP T12'!$B:$B,'P&amp;Ls Detailed'!$G156)</f>
        <v>1568.8</v>
      </c>
      <c r="R156" s="444">
        <f>SUMIFS('HVP T12'!M:M,'HVP T12'!$B:$B,'P&amp;Ls Detailed'!$G156)</f>
        <v>9653.4500000000007</v>
      </c>
      <c r="S156" s="444">
        <f>SUMIFS('HVP T12'!N:N,'HVP T12'!$B:$B,'P&amp;Ls Detailed'!$G156)</f>
        <v>2205.6</v>
      </c>
      <c r="T156" s="697"/>
      <c r="U156" s="444"/>
      <c r="V156" s="698"/>
      <c r="W156" s="489">
        <f t="shared" si="53"/>
        <v>67271.87000000001</v>
      </c>
      <c r="X156" s="490">
        <f t="shared" si="54"/>
        <v>87948.88</v>
      </c>
      <c r="Y156" s="490">
        <f t="shared" si="55"/>
        <v>71587.899999999994</v>
      </c>
      <c r="Z156" s="490">
        <f t="shared" si="56"/>
        <v>53711.399999999994</v>
      </c>
      <c r="AA156" s="490">
        <f t="shared" si="57"/>
        <v>26467.199999999997</v>
      </c>
      <c r="AB156" s="491"/>
      <c r="AC156" s="491"/>
      <c r="AE156" s="498"/>
      <c r="AF156" s="499"/>
      <c r="AG156" s="499"/>
      <c r="AH156" s="499"/>
      <c r="AI156" s="499"/>
      <c r="AJ156" s="499"/>
      <c r="AK156" s="499"/>
      <c r="AL156" s="499"/>
      <c r="AM156" s="499"/>
      <c r="AN156" s="499"/>
      <c r="AO156" s="499"/>
      <c r="AP156" s="499"/>
      <c r="AQ156" s="499"/>
      <c r="AR156" s="499"/>
    </row>
    <row r="157" spans="4:44" x14ac:dyDescent="0.25">
      <c r="D157" s="487" t="str">
        <f t="shared" si="52"/>
        <v>Hudson View Park</v>
      </c>
      <c r="E157" s="488"/>
      <c r="F157" s="488"/>
      <c r="G157" s="443" t="s">
        <v>1682</v>
      </c>
      <c r="H157" s="444">
        <f>SUMIFS('HVP T12'!C:C,'HVP T12'!$B:$B,'P&amp;Ls Detailed'!$G157)</f>
        <v>20552.990000000002</v>
      </c>
      <c r="I157" s="444">
        <f>SUMIFS('HVP T12'!D:D,'HVP T12'!$B:$B,'P&amp;Ls Detailed'!$G157)</f>
        <v>10076.93</v>
      </c>
      <c r="J157" s="444">
        <f>SUMIFS('HVP T12'!E:E,'HVP T12'!$B:$B,'P&amp;Ls Detailed'!$G157)</f>
        <v>7282.38</v>
      </c>
      <c r="K157" s="444">
        <f>SUMIFS('HVP T12'!F:F,'HVP T12'!$B:$B,'P&amp;Ls Detailed'!$G157)</f>
        <v>2707.26</v>
      </c>
      <c r="L157" s="444">
        <f>SUMIFS('HVP T12'!G:G,'HVP T12'!$B:$B,'P&amp;Ls Detailed'!$G157)</f>
        <v>7780.02</v>
      </c>
      <c r="M157" s="444">
        <f>SUMIFS('HVP T12'!H:H,'HVP T12'!$B:$B,'P&amp;Ls Detailed'!$G157)</f>
        <v>12695.33</v>
      </c>
      <c r="N157" s="444">
        <f>SUMIFS('HVP T12'!I:I,'HVP T12'!$B:$B,'P&amp;Ls Detailed'!$G157)</f>
        <v>13258.65</v>
      </c>
      <c r="O157" s="444">
        <f>SUMIFS('HVP T12'!J:J,'HVP T12'!$B:$B,'P&amp;Ls Detailed'!$G157)</f>
        <v>10819.38</v>
      </c>
      <c r="P157" s="444">
        <f>SUMIFS('HVP T12'!K:K,'HVP T12'!$B:$B,'P&amp;Ls Detailed'!$G157)</f>
        <v>17661.7</v>
      </c>
      <c r="Q157" s="444">
        <f>SUMIFS('HVP T12'!L:L,'HVP T12'!$B:$B,'P&amp;Ls Detailed'!$G157)</f>
        <v>635.22</v>
      </c>
      <c r="R157" s="444">
        <f>SUMIFS('HVP T12'!M:M,'HVP T12'!$B:$B,'P&amp;Ls Detailed'!$G157)</f>
        <v>11388.43</v>
      </c>
      <c r="S157" s="444">
        <f>SUMIFS('HVP T12'!N:N,'HVP T12'!$B:$B,'P&amp;Ls Detailed'!$G157)</f>
        <v>28140.560000000001</v>
      </c>
      <c r="T157" s="697"/>
      <c r="U157" s="444"/>
      <c r="V157" s="698"/>
      <c r="W157" s="489">
        <f t="shared" si="53"/>
        <v>142998.85</v>
      </c>
      <c r="X157" s="490">
        <f t="shared" si="54"/>
        <v>140115.4</v>
      </c>
      <c r="Y157" s="490">
        <f t="shared" si="55"/>
        <v>163807.88</v>
      </c>
      <c r="Z157" s="490">
        <f t="shared" si="56"/>
        <v>160656.84</v>
      </c>
      <c r="AA157" s="490">
        <f t="shared" si="57"/>
        <v>337686.72000000003</v>
      </c>
      <c r="AB157" s="491"/>
      <c r="AC157" s="491"/>
      <c r="AE157" s="498"/>
      <c r="AF157" s="499"/>
      <c r="AG157" s="499"/>
      <c r="AH157" s="499"/>
      <c r="AI157" s="499"/>
      <c r="AJ157" s="499"/>
      <c r="AK157" s="499"/>
      <c r="AL157" s="499"/>
      <c r="AM157" s="499"/>
      <c r="AN157" s="499"/>
      <c r="AO157" s="499"/>
      <c r="AP157" s="499"/>
      <c r="AQ157" s="499"/>
      <c r="AR157" s="499"/>
    </row>
    <row r="158" spans="4:44" x14ac:dyDescent="0.25">
      <c r="D158" s="487" t="str">
        <f t="shared" si="52"/>
        <v>Hudson View Park</v>
      </c>
      <c r="E158" s="488"/>
      <c r="F158" s="488"/>
      <c r="G158" s="443" t="s">
        <v>1684</v>
      </c>
      <c r="H158" s="444">
        <f>SUMIFS('HVP T12'!C:C,'HVP T12'!$B:$B,'P&amp;Ls Detailed'!$G158)</f>
        <v>2157.4</v>
      </c>
      <c r="I158" s="444">
        <f>SUMIFS('HVP T12'!D:D,'HVP T12'!$B:$B,'P&amp;Ls Detailed'!$G158)</f>
        <v>4043</v>
      </c>
      <c r="J158" s="444">
        <f>SUMIFS('HVP T12'!E:E,'HVP T12'!$B:$B,'P&amp;Ls Detailed'!$G158)</f>
        <v>123.42</v>
      </c>
      <c r="K158" s="444">
        <f>SUMIFS('HVP T12'!F:F,'HVP T12'!$B:$B,'P&amp;Ls Detailed'!$G158)</f>
        <v>780</v>
      </c>
      <c r="L158" s="444">
        <f>SUMIFS('HVP T12'!G:G,'HVP T12'!$B:$B,'P&amp;Ls Detailed'!$G158)</f>
        <v>1297.44</v>
      </c>
      <c r="M158" s="444">
        <f>SUMIFS('HVP T12'!H:H,'HVP T12'!$B:$B,'P&amp;Ls Detailed'!$G158)</f>
        <v>862.84</v>
      </c>
      <c r="N158" s="444">
        <f>SUMIFS('HVP T12'!I:I,'HVP T12'!$B:$B,'P&amp;Ls Detailed'!$G158)</f>
        <v>0</v>
      </c>
      <c r="O158" s="444">
        <f>SUMIFS('HVP T12'!J:J,'HVP T12'!$B:$B,'P&amp;Ls Detailed'!$G158)</f>
        <v>0</v>
      </c>
      <c r="P158" s="444">
        <f>SUMIFS('HVP T12'!K:K,'HVP T12'!$B:$B,'P&amp;Ls Detailed'!$G158)</f>
        <v>0</v>
      </c>
      <c r="Q158" s="444">
        <f>SUMIFS('HVP T12'!L:L,'HVP T12'!$B:$B,'P&amp;Ls Detailed'!$G158)</f>
        <v>0</v>
      </c>
      <c r="R158" s="444">
        <f>SUMIFS('HVP T12'!M:M,'HVP T12'!$B:$B,'P&amp;Ls Detailed'!$G158)</f>
        <v>0</v>
      </c>
      <c r="S158" s="444">
        <f>SUMIFS('HVP T12'!N:N,'HVP T12'!$B:$B,'P&amp;Ls Detailed'!$G158)</f>
        <v>0</v>
      </c>
      <c r="T158" s="697"/>
      <c r="U158" s="444"/>
      <c r="V158" s="698"/>
      <c r="W158" s="489">
        <f t="shared" si="53"/>
        <v>9264.1</v>
      </c>
      <c r="X158" s="490">
        <f t="shared" si="54"/>
        <v>3920.3733333333334</v>
      </c>
      <c r="Y158" s="490">
        <f t="shared" si="55"/>
        <v>0</v>
      </c>
      <c r="Z158" s="490">
        <f t="shared" si="56"/>
        <v>0</v>
      </c>
      <c r="AA158" s="490">
        <f t="shared" si="57"/>
        <v>0</v>
      </c>
      <c r="AB158" s="491"/>
      <c r="AC158" s="491"/>
    </row>
    <row r="159" spans="4:44" x14ac:dyDescent="0.25">
      <c r="D159" s="487" t="str">
        <f t="shared" si="52"/>
        <v>Hudson View Park</v>
      </c>
      <c r="E159" s="488"/>
      <c r="F159" s="488"/>
      <c r="G159" s="456" t="s">
        <v>1685</v>
      </c>
      <c r="H159" s="609">
        <f>SUMIFS('HVP T12'!C:C,'HVP T12'!$B:$B,'P&amp;Ls Detailed'!$G159)</f>
        <v>54898.59</v>
      </c>
      <c r="I159" s="609">
        <f>SUMIFS('HVP T12'!D:D,'HVP T12'!$B:$B,'P&amp;Ls Detailed'!$G159)</f>
        <v>36706.559999999998</v>
      </c>
      <c r="J159" s="609">
        <f>SUMIFS('HVP T12'!E:E,'HVP T12'!$B:$B,'P&amp;Ls Detailed'!$G159)</f>
        <v>59482.14</v>
      </c>
      <c r="K159" s="609">
        <f>SUMIFS('HVP T12'!F:F,'HVP T12'!$B:$B,'P&amp;Ls Detailed'!$G159)</f>
        <v>61912.88</v>
      </c>
      <c r="L159" s="609">
        <f>SUMIFS('HVP T12'!G:G,'HVP T12'!$B:$B,'P&amp;Ls Detailed'!$G159)</f>
        <v>49954.59</v>
      </c>
      <c r="M159" s="609">
        <f>SUMIFS('HVP T12'!H:H,'HVP T12'!$B:$B,'P&amp;Ls Detailed'!$G159)</f>
        <v>40972.9</v>
      </c>
      <c r="N159" s="609">
        <f>SUMIFS('HVP T12'!I:I,'HVP T12'!$B:$B,'P&amp;Ls Detailed'!$G159)</f>
        <v>61054.25</v>
      </c>
      <c r="O159" s="609">
        <f>SUMIFS('HVP T12'!J:J,'HVP T12'!$B:$B,'P&amp;Ls Detailed'!$G159)</f>
        <v>66682.28</v>
      </c>
      <c r="P159" s="609">
        <f>SUMIFS('HVP T12'!K:K,'HVP T12'!$B:$B,'P&amp;Ls Detailed'!$G159)</f>
        <v>77042.02</v>
      </c>
      <c r="Q159" s="609">
        <f>SUMIFS('HVP T12'!L:L,'HVP T12'!$B:$B,'P&amp;Ls Detailed'!$G159)</f>
        <v>26311.14</v>
      </c>
      <c r="R159" s="609">
        <f>SUMIFS('HVP T12'!M:M,'HVP T12'!$B:$B,'P&amp;Ls Detailed'!$G159)</f>
        <v>52484.95</v>
      </c>
      <c r="S159" s="609">
        <f>SUMIFS('HVP T12'!N:N,'HVP T12'!$B:$B,'P&amp;Ls Detailed'!$G159)</f>
        <v>111224.01</v>
      </c>
      <c r="T159" s="706"/>
      <c r="U159" s="609"/>
      <c r="V159" s="707"/>
      <c r="W159" s="608">
        <f t="shared" si="53"/>
        <v>698726.31</v>
      </c>
      <c r="X159" s="490">
        <f t="shared" si="54"/>
        <v>730185.36</v>
      </c>
      <c r="Y159" s="490">
        <f t="shared" si="55"/>
        <v>789597.3</v>
      </c>
      <c r="Z159" s="490">
        <f t="shared" si="56"/>
        <v>760080.39999999991</v>
      </c>
      <c r="AA159" s="490">
        <f t="shared" si="57"/>
        <v>1334688.1199999999</v>
      </c>
      <c r="AB159" s="491"/>
      <c r="AC159" s="491"/>
    </row>
    <row r="160" spans="4:44" x14ac:dyDescent="0.25">
      <c r="D160" s="487" t="str">
        <f t="shared" si="52"/>
        <v>Hudson View Park</v>
      </c>
      <c r="E160" s="488"/>
      <c r="F160" s="488"/>
      <c r="G160" s="221"/>
      <c r="H160" s="444"/>
      <c r="I160" s="444"/>
      <c r="J160" s="444"/>
      <c r="K160" s="444"/>
      <c r="L160" s="444"/>
      <c r="M160" s="444"/>
      <c r="N160" s="444"/>
      <c r="O160" s="444"/>
      <c r="P160" s="444"/>
      <c r="Q160" s="444"/>
      <c r="R160" s="444"/>
      <c r="S160" s="444"/>
      <c r="T160" s="697"/>
      <c r="U160" s="444"/>
      <c r="V160" s="698"/>
      <c r="W160" s="489"/>
      <c r="X160" s="490"/>
      <c r="Y160" s="490"/>
      <c r="Z160" s="490"/>
      <c r="AA160" s="490"/>
      <c r="AB160" s="491"/>
      <c r="AC160" s="491"/>
    </row>
    <row r="161" spans="4:47" s="494" customFormat="1" x14ac:dyDescent="0.25">
      <c r="D161" s="487" t="str">
        <f t="shared" si="52"/>
        <v>Hudson View Park</v>
      </c>
      <c r="E161" s="488"/>
      <c r="F161" s="488"/>
      <c r="G161" s="492" t="s">
        <v>1686</v>
      </c>
      <c r="H161" s="615">
        <f>SUM(H140,H143,H146,H150,H159)</f>
        <v>252237.03999999998</v>
      </c>
      <c r="I161" s="495">
        <f t="shared" ref="I161:AB161" si="58">SUM(I140,I143,I146,I150,I159)</f>
        <v>234166.07</v>
      </c>
      <c r="J161" s="495">
        <f t="shared" si="58"/>
        <v>255351.65999999997</v>
      </c>
      <c r="K161" s="495">
        <f t="shared" si="58"/>
        <v>262495</v>
      </c>
      <c r="L161" s="495">
        <f t="shared" si="58"/>
        <v>246385.24</v>
      </c>
      <c r="M161" s="495">
        <f t="shared" si="58"/>
        <v>238452.86999999997</v>
      </c>
      <c r="N161" s="495">
        <f t="shared" si="58"/>
        <v>258142.75999999998</v>
      </c>
      <c r="O161" s="495">
        <f t="shared" si="58"/>
        <v>268121.89</v>
      </c>
      <c r="P161" s="495">
        <f t="shared" si="58"/>
        <v>271572.60000000003</v>
      </c>
      <c r="Q161" s="495">
        <f t="shared" si="58"/>
        <v>220538.28999999998</v>
      </c>
      <c r="R161" s="495">
        <f t="shared" si="58"/>
        <v>247030.21999999997</v>
      </c>
      <c r="S161" s="495">
        <f t="shared" si="58"/>
        <v>305798.61</v>
      </c>
      <c r="T161" s="700"/>
      <c r="U161" s="495"/>
      <c r="V161" s="701"/>
      <c r="W161" s="496">
        <f t="shared" si="58"/>
        <v>3060292.2499999995</v>
      </c>
      <c r="X161" s="497">
        <f t="shared" si="58"/>
        <v>3091383.3066666662</v>
      </c>
      <c r="Y161" s="497">
        <f t="shared" si="58"/>
        <v>3142408.74</v>
      </c>
      <c r="Z161" s="497">
        <f t="shared" si="58"/>
        <v>3093468.48</v>
      </c>
      <c r="AA161" s="497">
        <f t="shared" si="58"/>
        <v>3669583.3200000003</v>
      </c>
      <c r="AB161" s="491">
        <f t="shared" si="58"/>
        <v>0</v>
      </c>
      <c r="AC161" s="491"/>
      <c r="AU161" s="9"/>
    </row>
    <row r="162" spans="4:47" s="494" customFormat="1" x14ac:dyDescent="0.25">
      <c r="D162" s="487" t="str">
        <f t="shared" si="52"/>
        <v>Hudson View Park</v>
      </c>
      <c r="E162" s="488"/>
      <c r="F162" s="488"/>
      <c r="G162" s="638" t="s">
        <v>1687</v>
      </c>
      <c r="H162" s="615">
        <f t="shared" ref="H162:AB162" si="59">H136-H161</f>
        <v>-240406.93</v>
      </c>
      <c r="I162" s="495">
        <f t="shared" si="59"/>
        <v>-224343.92</v>
      </c>
      <c r="J162" s="495">
        <f t="shared" si="59"/>
        <v>-254766.95999999996</v>
      </c>
      <c r="K162" s="495">
        <f t="shared" si="59"/>
        <v>-262081.88</v>
      </c>
      <c r="L162" s="495">
        <f t="shared" si="59"/>
        <v>-246012.65</v>
      </c>
      <c r="M162" s="495">
        <f t="shared" si="59"/>
        <v>-238048.41999999995</v>
      </c>
      <c r="N162" s="495">
        <f t="shared" si="59"/>
        <v>-257828.91999999998</v>
      </c>
      <c r="O162" s="495">
        <f t="shared" si="59"/>
        <v>-222120.34000000003</v>
      </c>
      <c r="P162" s="495">
        <f t="shared" si="59"/>
        <v>-271392.32</v>
      </c>
      <c r="Q162" s="495">
        <f t="shared" si="59"/>
        <v>-220319.38999999998</v>
      </c>
      <c r="R162" s="495">
        <f t="shared" si="59"/>
        <v>-246851.03999999998</v>
      </c>
      <c r="S162" s="495">
        <f t="shared" si="59"/>
        <v>-305565.55</v>
      </c>
      <c r="T162" s="700"/>
      <c r="U162" s="495"/>
      <c r="V162" s="701"/>
      <c r="W162" s="496">
        <f t="shared" si="59"/>
        <v>-2989738.3199999994</v>
      </c>
      <c r="X162" s="497">
        <f t="shared" si="59"/>
        <v>-3026960.6799999997</v>
      </c>
      <c r="Y162" s="497">
        <f t="shared" si="59"/>
        <v>-3048155.12</v>
      </c>
      <c r="Z162" s="497">
        <f t="shared" si="59"/>
        <v>-3090943.92</v>
      </c>
      <c r="AA162" s="497">
        <f t="shared" si="59"/>
        <v>-3666786.6</v>
      </c>
      <c r="AB162" s="491">
        <f t="shared" si="59"/>
        <v>0</v>
      </c>
      <c r="AC162" s="491"/>
      <c r="AU162" s="9"/>
    </row>
    <row r="163" spans="4:47" s="494" customFormat="1" x14ac:dyDescent="0.25">
      <c r="D163" s="500"/>
      <c r="E163" s="501"/>
      <c r="F163" s="501"/>
      <c r="G163" s="493" t="s">
        <v>1757</v>
      </c>
      <c r="H163" s="502">
        <f t="shared" ref="H163:AA163" si="60">H129+H162</f>
        <v>276329.12</v>
      </c>
      <c r="I163" s="502">
        <f t="shared" si="60"/>
        <v>295258.21999999997</v>
      </c>
      <c r="J163" s="502">
        <f t="shared" si="60"/>
        <v>247806.07000000007</v>
      </c>
      <c r="K163" s="502">
        <f t="shared" si="60"/>
        <v>193619.38000000018</v>
      </c>
      <c r="L163" s="502">
        <f t="shared" si="60"/>
        <v>318229.2300000001</v>
      </c>
      <c r="M163" s="502">
        <f t="shared" si="60"/>
        <v>279022.37999999989</v>
      </c>
      <c r="N163" s="502">
        <f t="shared" si="60"/>
        <v>282665.4200000001</v>
      </c>
      <c r="O163" s="502">
        <f t="shared" si="60"/>
        <v>258049.56000000006</v>
      </c>
      <c r="P163" s="502">
        <f t="shared" si="60"/>
        <v>234674.52000000002</v>
      </c>
      <c r="Q163" s="502">
        <f t="shared" si="60"/>
        <v>337324.70999999996</v>
      </c>
      <c r="R163" s="502">
        <f t="shared" si="60"/>
        <v>317277.73999999993</v>
      </c>
      <c r="S163" s="502">
        <f t="shared" si="60"/>
        <v>269668.49000000005</v>
      </c>
      <c r="T163" s="710"/>
      <c r="U163" s="711"/>
      <c r="V163" s="712"/>
      <c r="W163" s="503">
        <f t="shared" si="60"/>
        <v>3309924.8400000008</v>
      </c>
      <c r="X163" s="497">
        <f t="shared" si="60"/>
        <v>3320708.5733333332</v>
      </c>
      <c r="Y163" s="497">
        <f t="shared" si="60"/>
        <v>3399320.879999999</v>
      </c>
      <c r="Z163" s="497">
        <f t="shared" si="60"/>
        <v>3697083.7600000026</v>
      </c>
      <c r="AA163" s="497">
        <f t="shared" si="60"/>
        <v>3236021.8800000004</v>
      </c>
      <c r="AB163" s="491"/>
      <c r="AC163" s="491"/>
    </row>
    <row r="164" spans="4:47" s="95" customFormat="1" ht="7.35" customHeight="1" x14ac:dyDescent="0.25">
      <c r="D164" s="93"/>
      <c r="E164" s="93"/>
      <c r="F164" s="93"/>
      <c r="G164" s="96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444"/>
      <c r="U164" s="444"/>
      <c r="V164" s="444"/>
      <c r="W164" s="444"/>
      <c r="X164" s="94"/>
      <c r="Y164" s="94"/>
      <c r="Z164" s="94"/>
      <c r="AA164" s="94"/>
      <c r="AB164" s="93"/>
      <c r="AC164" s="93"/>
    </row>
    <row r="165" spans="4:47" s="95" customFormat="1" ht="7.35" customHeight="1" x14ac:dyDescent="0.25">
      <c r="D165" s="93"/>
      <c r="E165" s="93"/>
      <c r="F165" s="93"/>
      <c r="G165" s="96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444"/>
      <c r="U165" s="444"/>
      <c r="V165" s="444"/>
      <c r="W165" s="444"/>
      <c r="X165" s="94"/>
      <c r="Y165" s="94"/>
      <c r="Z165" s="94"/>
      <c r="AA165" s="94"/>
      <c r="AB165" s="93"/>
      <c r="AC165" s="93"/>
    </row>
    <row r="166" spans="4:47" x14ac:dyDescent="0.25">
      <c r="G166" s="97" t="s">
        <v>50</v>
      </c>
      <c r="H166" s="640" t="b">
        <f t="shared" ref="H166:W166" si="61">H43=H172</f>
        <v>1</v>
      </c>
      <c r="I166" s="640" t="b">
        <f t="shared" si="61"/>
        <v>1</v>
      </c>
      <c r="J166" s="640" t="b">
        <f t="shared" si="61"/>
        <v>1</v>
      </c>
      <c r="K166" s="640" t="b">
        <f t="shared" si="61"/>
        <v>1</v>
      </c>
      <c r="L166" s="640" t="b">
        <f t="shared" si="61"/>
        <v>1</v>
      </c>
      <c r="M166" s="640" t="b">
        <f t="shared" si="61"/>
        <v>1</v>
      </c>
      <c r="N166" s="640" t="b">
        <f t="shared" si="61"/>
        <v>1</v>
      </c>
      <c r="O166" s="640" t="b">
        <f t="shared" si="61"/>
        <v>1</v>
      </c>
      <c r="P166" s="640" t="b">
        <f t="shared" si="61"/>
        <v>1</v>
      </c>
      <c r="Q166" s="640" t="b">
        <f t="shared" si="61"/>
        <v>1</v>
      </c>
      <c r="R166" s="640" t="b">
        <f t="shared" si="61"/>
        <v>1</v>
      </c>
      <c r="S166" s="640" t="b">
        <f t="shared" si="61"/>
        <v>1</v>
      </c>
      <c r="T166" s="640"/>
      <c r="U166" s="640"/>
      <c r="V166" s="640"/>
      <c r="W166" s="640" t="b">
        <f t="shared" si="61"/>
        <v>1</v>
      </c>
    </row>
    <row r="167" spans="4:47" x14ac:dyDescent="0.25">
      <c r="G167" s="97" t="s">
        <v>30</v>
      </c>
      <c r="H167" s="640" t="b">
        <f t="shared" ref="H167:W167" si="62">H128=H173</f>
        <v>1</v>
      </c>
      <c r="I167" s="640" t="b">
        <f t="shared" si="62"/>
        <v>1</v>
      </c>
      <c r="J167" s="640" t="b">
        <f t="shared" si="62"/>
        <v>1</v>
      </c>
      <c r="K167" s="640" t="b">
        <f t="shared" si="62"/>
        <v>1</v>
      </c>
      <c r="L167" s="640" t="b">
        <f t="shared" si="62"/>
        <v>1</v>
      </c>
      <c r="M167" s="640" t="b">
        <f t="shared" si="62"/>
        <v>1</v>
      </c>
      <c r="N167" s="640" t="b">
        <f t="shared" si="62"/>
        <v>1</v>
      </c>
      <c r="O167" s="640" t="b">
        <f t="shared" si="62"/>
        <v>1</v>
      </c>
      <c r="P167" s="640" t="b">
        <f t="shared" si="62"/>
        <v>1</v>
      </c>
      <c r="Q167" s="640" t="b">
        <f t="shared" si="62"/>
        <v>1</v>
      </c>
      <c r="R167" s="640" t="b">
        <f t="shared" si="62"/>
        <v>1</v>
      </c>
      <c r="S167" s="640" t="b">
        <f t="shared" si="62"/>
        <v>1</v>
      </c>
      <c r="T167" s="640"/>
      <c r="U167" s="640"/>
      <c r="V167" s="640"/>
      <c r="W167" s="640" t="b">
        <f t="shared" si="62"/>
        <v>1</v>
      </c>
    </row>
    <row r="168" spans="4:47" x14ac:dyDescent="0.25">
      <c r="G168" s="97" t="s">
        <v>67</v>
      </c>
      <c r="H168" s="640" t="b">
        <f t="shared" ref="H168:W168" si="63">H129=H174</f>
        <v>1</v>
      </c>
      <c r="I168" s="640" t="b">
        <f t="shared" si="63"/>
        <v>1</v>
      </c>
      <c r="J168" s="640" t="b">
        <f t="shared" si="63"/>
        <v>1</v>
      </c>
      <c r="K168" s="640" t="b">
        <f t="shared" si="63"/>
        <v>1</v>
      </c>
      <c r="L168" s="640" t="b">
        <f t="shared" si="63"/>
        <v>1</v>
      </c>
      <c r="M168" s="640" t="b">
        <f t="shared" si="63"/>
        <v>1</v>
      </c>
      <c r="N168" s="640" t="b">
        <f t="shared" si="63"/>
        <v>1</v>
      </c>
      <c r="O168" s="640" t="b">
        <f t="shared" si="63"/>
        <v>1</v>
      </c>
      <c r="P168" s="640" t="b">
        <f t="shared" si="63"/>
        <v>1</v>
      </c>
      <c r="Q168" s="640" t="b">
        <f t="shared" si="63"/>
        <v>1</v>
      </c>
      <c r="R168" s="640" t="b">
        <f t="shared" si="63"/>
        <v>1</v>
      </c>
      <c r="S168" s="640" t="b">
        <f t="shared" si="63"/>
        <v>1</v>
      </c>
      <c r="T168" s="640"/>
      <c r="U168" s="640"/>
      <c r="V168" s="640"/>
      <c r="W168" s="640" t="b">
        <f t="shared" si="63"/>
        <v>1</v>
      </c>
    </row>
    <row r="169" spans="4:47" x14ac:dyDescent="0.25">
      <c r="G169" s="88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</row>
    <row r="170" spans="4:47" x14ac:dyDescent="0.25">
      <c r="G170" s="88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</row>
    <row r="171" spans="4:47" x14ac:dyDescent="0.25">
      <c r="G171" s="97" t="s">
        <v>68</v>
      </c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</row>
    <row r="172" spans="4:47" x14ac:dyDescent="0.25">
      <c r="G172" s="97" t="s">
        <v>50</v>
      </c>
      <c r="H172" s="639">
        <f>'HVP T12'!C47</f>
        <v>956990.62</v>
      </c>
      <c r="I172" s="639">
        <f>'HVP T12'!D47</f>
        <v>952677.4</v>
      </c>
      <c r="J172" s="639">
        <f>'HVP T12'!E47</f>
        <v>960110.37</v>
      </c>
      <c r="K172" s="639">
        <f>'HVP T12'!F47</f>
        <v>964779.17</v>
      </c>
      <c r="L172" s="639">
        <f>'HVP T12'!G47</f>
        <v>982489.67</v>
      </c>
      <c r="M172" s="639">
        <f>'HVP T12'!H47</f>
        <v>984776.03</v>
      </c>
      <c r="N172" s="639">
        <f>'HVP T12'!I47</f>
        <v>994553.57</v>
      </c>
      <c r="O172" s="639">
        <f>'HVP T12'!J47</f>
        <v>987878.67</v>
      </c>
      <c r="P172" s="639">
        <f>'HVP T12'!K47</f>
        <v>997710.54</v>
      </c>
      <c r="Q172" s="639">
        <f>'HVP T12'!L47</f>
        <v>1002075.22</v>
      </c>
      <c r="R172" s="639">
        <f>'HVP T12'!M47</f>
        <v>1017296.68</v>
      </c>
      <c r="S172" s="639">
        <f>'HVP T12'!N47</f>
        <v>1016103.41</v>
      </c>
      <c r="T172" s="639"/>
      <c r="U172" s="639"/>
      <c r="V172" s="639"/>
      <c r="W172" s="639">
        <f>'HVP T12'!O47</f>
        <v>11817441.35</v>
      </c>
    </row>
    <row r="173" spans="4:47" x14ac:dyDescent="0.25">
      <c r="G173" s="97" t="s">
        <v>30</v>
      </c>
      <c r="H173" s="639">
        <f>'HVP T12'!C128</f>
        <v>440254.57</v>
      </c>
      <c r="I173" s="639">
        <f>'HVP T12'!D128</f>
        <v>433075.26</v>
      </c>
      <c r="J173" s="639">
        <f>'HVP T12'!E128</f>
        <v>457537.34</v>
      </c>
      <c r="K173" s="639">
        <f>'HVP T12'!F128</f>
        <v>509077.91</v>
      </c>
      <c r="L173" s="639">
        <f>'HVP T12'!G128</f>
        <v>418247.79</v>
      </c>
      <c r="M173" s="639">
        <f>'HVP T12'!H128</f>
        <v>467705.23</v>
      </c>
      <c r="N173" s="639">
        <f>'HVP T12'!I128</f>
        <v>454059.23</v>
      </c>
      <c r="O173" s="639">
        <f>'HVP T12'!J128</f>
        <v>507708.77</v>
      </c>
      <c r="P173" s="639">
        <f>'HVP T12'!K128</f>
        <v>491643.7</v>
      </c>
      <c r="Q173" s="639">
        <f>'HVP T12'!L128</f>
        <v>444431.12</v>
      </c>
      <c r="R173" s="639">
        <f>'HVP T12'!M128</f>
        <v>453167.9</v>
      </c>
      <c r="S173" s="639">
        <f>'HVP T12'!N128</f>
        <v>440869.37</v>
      </c>
      <c r="T173" s="639"/>
      <c r="U173" s="639"/>
      <c r="V173" s="639"/>
      <c r="W173" s="639">
        <f>'HVP T12'!O128</f>
        <v>5517778.1900000004</v>
      </c>
    </row>
    <row r="174" spans="4:47" x14ac:dyDescent="0.25">
      <c r="G174" s="97" t="s">
        <v>67</v>
      </c>
      <c r="H174" s="639">
        <f>'HVP T12'!C130</f>
        <v>516736.05</v>
      </c>
      <c r="I174" s="639">
        <f>'HVP T12'!D130</f>
        <v>519602.14</v>
      </c>
      <c r="J174" s="639">
        <f>'HVP T12'!E130</f>
        <v>502573.03</v>
      </c>
      <c r="K174" s="639">
        <f>'HVP T12'!F130</f>
        <v>455701.26</v>
      </c>
      <c r="L174" s="639">
        <f>'HVP T12'!G130</f>
        <v>564241.88</v>
      </c>
      <c r="M174" s="639">
        <f>'HVP T12'!H130</f>
        <v>517070.8</v>
      </c>
      <c r="N174" s="639">
        <f>'HVP T12'!I130</f>
        <v>540494.34</v>
      </c>
      <c r="O174" s="639">
        <f>'HVP T12'!J130</f>
        <v>480169.9</v>
      </c>
      <c r="P174" s="639">
        <f>'HVP T12'!K130</f>
        <v>506066.84</v>
      </c>
      <c r="Q174" s="639">
        <f>'HVP T12'!L130</f>
        <v>557644.1</v>
      </c>
      <c r="R174" s="639">
        <f>'HVP T12'!M130</f>
        <v>564128.78</v>
      </c>
      <c r="S174" s="639">
        <f>'HVP T12'!N130</f>
        <v>575234.04</v>
      </c>
      <c r="T174" s="639"/>
      <c r="U174" s="639"/>
      <c r="V174" s="639"/>
      <c r="W174" s="639">
        <f>'HVP T12'!O130</f>
        <v>6299663.1600000001</v>
      </c>
    </row>
    <row r="175" spans="4:47" x14ac:dyDescent="0.25">
      <c r="G175" s="88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</row>
    <row r="176" spans="4:47" x14ac:dyDescent="0.25">
      <c r="G176" s="88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</row>
    <row r="177" spans="7:23" x14ac:dyDescent="0.25">
      <c r="G177" s="97" t="s">
        <v>69</v>
      </c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</row>
    <row r="178" spans="7:23" x14ac:dyDescent="0.25">
      <c r="G178" s="97" t="s">
        <v>50</v>
      </c>
      <c r="H178" s="641">
        <f t="shared" ref="H178:W178" si="64">H43-H172</f>
        <v>0</v>
      </c>
      <c r="I178" s="641">
        <f t="shared" si="64"/>
        <v>0</v>
      </c>
      <c r="J178" s="641">
        <f t="shared" si="64"/>
        <v>0</v>
      </c>
      <c r="K178" s="641">
        <f t="shared" si="64"/>
        <v>0</v>
      </c>
      <c r="L178" s="641">
        <f t="shared" si="64"/>
        <v>0</v>
      </c>
      <c r="M178" s="641">
        <f t="shared" si="64"/>
        <v>0</v>
      </c>
      <c r="N178" s="641">
        <f t="shared" si="64"/>
        <v>0</v>
      </c>
      <c r="O178" s="641">
        <f t="shared" si="64"/>
        <v>0</v>
      </c>
      <c r="P178" s="641">
        <f t="shared" si="64"/>
        <v>0</v>
      </c>
      <c r="Q178" s="641">
        <f t="shared" si="64"/>
        <v>0</v>
      </c>
      <c r="R178" s="641">
        <f t="shared" si="64"/>
        <v>0</v>
      </c>
      <c r="S178" s="641">
        <f t="shared" si="64"/>
        <v>0</v>
      </c>
      <c r="T178" s="641"/>
      <c r="U178" s="641"/>
      <c r="V178" s="641"/>
      <c r="W178" s="641">
        <f t="shared" si="64"/>
        <v>0</v>
      </c>
    </row>
    <row r="179" spans="7:23" x14ac:dyDescent="0.25">
      <c r="G179" s="97" t="s">
        <v>30</v>
      </c>
      <c r="H179" s="641">
        <f t="shared" ref="H179:W179" si="65">H128-H173</f>
        <v>0</v>
      </c>
      <c r="I179" s="641">
        <f t="shared" si="65"/>
        <v>0</v>
      </c>
      <c r="J179" s="641">
        <f t="shared" si="65"/>
        <v>0</v>
      </c>
      <c r="K179" s="641">
        <f t="shared" si="65"/>
        <v>0</v>
      </c>
      <c r="L179" s="641">
        <f t="shared" si="65"/>
        <v>0</v>
      </c>
      <c r="M179" s="641">
        <f t="shared" si="65"/>
        <v>0</v>
      </c>
      <c r="N179" s="641">
        <f t="shared" si="65"/>
        <v>0</v>
      </c>
      <c r="O179" s="641">
        <f t="shared" si="65"/>
        <v>0</v>
      </c>
      <c r="P179" s="641">
        <f t="shared" si="65"/>
        <v>0</v>
      </c>
      <c r="Q179" s="641">
        <f t="shared" si="65"/>
        <v>0</v>
      </c>
      <c r="R179" s="641">
        <f t="shared" si="65"/>
        <v>0</v>
      </c>
      <c r="S179" s="641">
        <f t="shared" si="65"/>
        <v>0</v>
      </c>
      <c r="T179" s="641"/>
      <c r="U179" s="641"/>
      <c r="V179" s="641"/>
      <c r="W179" s="641">
        <f t="shared" si="65"/>
        <v>0</v>
      </c>
    </row>
    <row r="180" spans="7:23" x14ac:dyDescent="0.25">
      <c r="G180" s="97" t="s">
        <v>67</v>
      </c>
      <c r="H180" s="641">
        <f t="shared" ref="H180:W180" si="66">H129-H174</f>
        <v>0</v>
      </c>
      <c r="I180" s="641">
        <f t="shared" si="66"/>
        <v>0</v>
      </c>
      <c r="J180" s="641">
        <f t="shared" si="66"/>
        <v>0</v>
      </c>
      <c r="K180" s="641">
        <f t="shared" si="66"/>
        <v>0</v>
      </c>
      <c r="L180" s="641">
        <f t="shared" si="66"/>
        <v>0</v>
      </c>
      <c r="M180" s="641">
        <f t="shared" si="66"/>
        <v>0</v>
      </c>
      <c r="N180" s="641">
        <f t="shared" si="66"/>
        <v>0</v>
      </c>
      <c r="O180" s="641">
        <f t="shared" si="66"/>
        <v>0</v>
      </c>
      <c r="P180" s="641">
        <f t="shared" si="66"/>
        <v>0</v>
      </c>
      <c r="Q180" s="641">
        <f t="shared" si="66"/>
        <v>0</v>
      </c>
      <c r="R180" s="641">
        <f t="shared" si="66"/>
        <v>0</v>
      </c>
      <c r="S180" s="641">
        <f t="shared" si="66"/>
        <v>0</v>
      </c>
      <c r="T180" s="641"/>
      <c r="U180" s="641"/>
      <c r="V180" s="641"/>
      <c r="W180" s="641">
        <f t="shared" si="66"/>
        <v>0</v>
      </c>
    </row>
  </sheetData>
  <conditionalFormatting sqref="G7:G42">
    <cfRule type="duplicateValues" dxfId="12" priority="9"/>
  </conditionalFormatting>
  <conditionalFormatting sqref="G43:G45">
    <cfRule type="duplicateValues" dxfId="11" priority="6"/>
    <cfRule type="duplicateValues" dxfId="10" priority="7"/>
  </conditionalFormatting>
  <conditionalFormatting sqref="G46">
    <cfRule type="duplicateValues" dxfId="9" priority="5"/>
  </conditionalFormatting>
  <conditionalFormatting sqref="G47">
    <cfRule type="duplicateValues" dxfId="8" priority="3"/>
  </conditionalFormatting>
  <conditionalFormatting sqref="G48:G60">
    <cfRule type="duplicateValues" dxfId="7" priority="4"/>
  </conditionalFormatting>
  <conditionalFormatting sqref="G61">
    <cfRule type="duplicateValues" dxfId="6" priority="2"/>
  </conditionalFormatting>
  <conditionalFormatting sqref="G63:G126">
    <cfRule type="duplicateValues" dxfId="5" priority="146"/>
  </conditionalFormatting>
  <conditionalFormatting sqref="G127 G62">
    <cfRule type="duplicateValues" dxfId="4" priority="8"/>
  </conditionalFormatting>
  <conditionalFormatting sqref="G130:G159">
    <cfRule type="duplicateValues" dxfId="3" priority="155"/>
  </conditionalFormatting>
  <conditionalFormatting sqref="G160">
    <cfRule type="duplicateValues" dxfId="2" priority="1"/>
  </conditionalFormatting>
  <dataValidations disablePrompts="1" count="2">
    <dataValidation type="list" allowBlank="1" showInputMessage="1" showErrorMessage="1" sqref="F7:F163" xr:uid="{D5A56E67-293E-476C-9A94-B66EDD2C7683}">
      <formula1>"Exclude"</formula1>
    </dataValidation>
    <dataValidation type="list" allowBlank="1" showInputMessage="1" showErrorMessage="1" sqref="E164:F165" xr:uid="{F84E08E2-D1AE-419A-9F2C-EB91FF08E304}">
      <formula1>$AU$8:$AU$46</formula1>
    </dataValidation>
  </dataValidations>
  <pageMargins left="0.35" right="0.35" top="0.75" bottom="0.75" header="0.3" footer="0.3"/>
  <pageSetup scale="37" fitToHeight="0" orientation="portrait" r:id="rId1"/>
  <headerFooter>
    <oddFooter>&amp;C&amp;P of 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A4F037E-5F8F-4A83-BEAF-1D92CEA1EF27}">
          <x14:formula1>
            <xm:f>'P&amp;Ls Summary'!$D$100:$D$126</xm:f>
          </x14:formula1>
          <xm:sqref>E7:E163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A2CE-4EA6-4038-B13F-53DF999C4F7D}">
  <sheetPr codeName="Sheet18">
    <tabColor theme="8" tint="0.79998168889431442"/>
    <pageSetUpPr fitToPage="1"/>
  </sheetPr>
  <dimension ref="C1:AI753"/>
  <sheetViews>
    <sheetView showGridLines="0" view="pageBreakPreview" zoomScale="85" zoomScaleNormal="100" zoomScaleSheetLayoutView="85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5.85546875" style="103" hidden="1" customWidth="1" outlineLevel="1"/>
    <col min="5" max="5" width="29.85546875" style="103" bestFit="1" customWidth="1" collapsed="1"/>
    <col min="6" max="6" width="12.85546875" style="103" customWidth="1"/>
    <col min="7" max="7" width="14" style="103" bestFit="1" customWidth="1"/>
    <col min="8" max="8" width="12.85546875" style="103" customWidth="1"/>
    <col min="9" max="11" width="16.140625" style="103" customWidth="1"/>
    <col min="12" max="14" width="16.140625" style="103" hidden="1" customWidth="1" outlineLevel="1"/>
    <col min="15" max="15" width="16.140625" style="103" customWidth="1" collapsed="1"/>
    <col min="16" max="17" width="16.140625" style="103" customWidth="1"/>
    <col min="18" max="20" width="16.140625" style="103" hidden="1" customWidth="1" outlineLevel="1"/>
    <col min="21" max="21" width="16.140625" style="103" hidden="1" customWidth="1" outlineLevel="1" collapsed="1"/>
    <col min="22" max="22" width="16.140625" style="103" customWidth="1" collapsed="1"/>
    <col min="23" max="23" width="16.140625" style="103" hidden="1" customWidth="1" outlineLevel="1"/>
    <col min="24" max="24" width="0.85546875" style="105" hidden="1" customWidth="1" outlineLevel="1"/>
    <col min="25" max="25" width="0.85546875" style="105" customWidth="1" collapsed="1"/>
    <col min="26" max="26" width="0.85546875" style="105" customWidth="1"/>
    <col min="27" max="28" width="14.140625" style="103" customWidth="1"/>
    <col min="29" max="29" width="17.140625" style="103" customWidth="1"/>
    <col min="30" max="30" width="10.85546875" style="103" bestFit="1" customWidth="1"/>
    <col min="31" max="33" width="9.42578125" style="103"/>
    <col min="34" max="34" width="15.85546875" style="103" customWidth="1"/>
    <col min="35" max="16384" width="9.42578125" style="103"/>
  </cols>
  <sheetData>
    <row r="1" spans="3:35" ht="4.3499999999999996" customHeight="1" x14ac:dyDescent="0.25">
      <c r="F1" s="104"/>
    </row>
    <row r="2" spans="3:35" ht="4.3499999999999996" customHeight="1" x14ac:dyDescent="0.25">
      <c r="F2" s="104"/>
    </row>
    <row r="3" spans="3:35" ht="21.75" customHeight="1" thickBot="1" x14ac:dyDescent="0.35">
      <c r="C3" s="89" t="s">
        <v>97</v>
      </c>
      <c r="D3" s="89"/>
      <c r="E3" s="89"/>
      <c r="F3" s="89"/>
      <c r="G3" s="90"/>
      <c r="H3" s="89"/>
      <c r="I3" s="89"/>
      <c r="J3" s="89"/>
      <c r="K3" s="106"/>
      <c r="L3" s="89"/>
      <c r="M3" s="89"/>
      <c r="N3" s="89"/>
      <c r="O3" s="99"/>
      <c r="P3" s="99"/>
      <c r="Q3" s="99"/>
      <c r="R3" s="106"/>
      <c r="S3" s="106"/>
      <c r="T3" s="106"/>
      <c r="U3" s="106"/>
      <c r="V3" s="106"/>
      <c r="W3" s="99"/>
      <c r="X3" s="99"/>
      <c r="Y3" s="107" t="str">
        <f>'Exec Summ'!$F$6</f>
        <v>Hudson View Park</v>
      </c>
      <c r="Z3" s="107"/>
      <c r="AA3" s="286">
        <f>OneLineRR!$C$70</f>
        <v>45931</v>
      </c>
      <c r="AB3" s="145" t="s">
        <v>196</v>
      </c>
      <c r="AC3" s="287" t="str">
        <f>IF(COUNTIF(E83:AB85,"False")=0,"OK","ERROR")</f>
        <v>OK</v>
      </c>
    </row>
    <row r="4" spans="3:35" ht="20.100000000000001" customHeight="1" thickTop="1" thickBot="1" x14ac:dyDescent="0.35">
      <c r="C4" s="108"/>
      <c r="O4" s="555"/>
      <c r="X4" s="103"/>
    </row>
    <row r="5" spans="3:35" ht="22.35" customHeight="1" x14ac:dyDescent="0.4">
      <c r="C5" s="526"/>
      <c r="D5" s="527" t="s">
        <v>22</v>
      </c>
      <c r="E5" s="527" t="s">
        <v>98</v>
      </c>
      <c r="F5" s="528" t="s">
        <v>17</v>
      </c>
      <c r="G5" s="528" t="s">
        <v>134</v>
      </c>
      <c r="H5" s="528" t="s">
        <v>102</v>
      </c>
      <c r="I5" s="529" t="s">
        <v>126</v>
      </c>
      <c r="J5" s="528" t="s">
        <v>241</v>
      </c>
      <c r="K5" s="530" t="s">
        <v>242</v>
      </c>
      <c r="L5" s="529" t="s">
        <v>229</v>
      </c>
      <c r="M5" s="528" t="s">
        <v>247</v>
      </c>
      <c r="N5" s="530" t="s">
        <v>248</v>
      </c>
      <c r="O5" s="529" t="s">
        <v>103</v>
      </c>
      <c r="P5" s="528" t="s">
        <v>243</v>
      </c>
      <c r="Q5" s="530" t="s">
        <v>244</v>
      </c>
      <c r="R5" s="529" t="s">
        <v>105</v>
      </c>
      <c r="S5" s="528" t="s">
        <v>245</v>
      </c>
      <c r="T5" s="530" t="s">
        <v>246</v>
      </c>
      <c r="U5" s="528" t="s">
        <v>1698</v>
      </c>
      <c r="V5" s="528" t="s">
        <v>1697</v>
      </c>
      <c r="W5" s="528" t="s">
        <v>106</v>
      </c>
      <c r="X5" s="531"/>
      <c r="AA5" s="109" t="s">
        <v>99</v>
      </c>
      <c r="AB5" s="109" t="s">
        <v>107</v>
      </c>
      <c r="AC5" s="278" t="s">
        <v>201</v>
      </c>
      <c r="AD5" s="468"/>
      <c r="AH5" s="560" t="s">
        <v>236</v>
      </c>
      <c r="AI5" s="560" t="s">
        <v>1785</v>
      </c>
    </row>
    <row r="6" spans="3:35" ht="14.1" customHeight="1" x14ac:dyDescent="0.25">
      <c r="D6" s="110" t="str">
        <f>OneLineRR!B5</f>
        <v>Hudson View Park</v>
      </c>
      <c r="E6" s="111" t="str">
        <f>OneLineRR!C5</f>
        <v>Studio - Small, Gold</v>
      </c>
      <c r="F6" s="574">
        <f>COUNTIFS('Rent Roll'!$G:$G,'Unit Mix'!$E6,'Rent Roll'!$D:$D,'Unit Mix'!D6)</f>
        <v>0</v>
      </c>
      <c r="G6" s="575">
        <f>SUMIFS('Rent Roll'!$K:$K,'Rent Roll'!$G:$G,'Unit Mix'!$E6,'Rent Roll'!$D:$D,'Unit Mix'!D6)</f>
        <v>0</v>
      </c>
      <c r="H6" s="575" t="e">
        <f>G6/F6</f>
        <v>#DIV/0!</v>
      </c>
      <c r="I6" s="301">
        <f>SUMIFS('Rent Roll'!$M:$M,'Rent Roll'!$G:$G,'Unit Mix'!$E6,'Rent Roll'!$D:$D,'Unit Mix'!D6)+SUMIFS('Rent Roll'!$N:$N,'Rent Roll'!$G:$G,'Unit Mix'!$E6,'Rent Roll'!$D:$D,'Unit Mix'!D6)</f>
        <v>0</v>
      </c>
      <c r="J6" s="576" t="str">
        <f t="shared" ref="J6:J37" si="0">IFERROR(I6/F6,"")</f>
        <v/>
      </c>
      <c r="K6" s="577" t="str">
        <f>IFERROR(J6/H6,"")</f>
        <v/>
      </c>
      <c r="L6" s="301">
        <f>SUMIFS('Rent Roll'!$O:$O,'Rent Roll'!$G:$G,'Unit Mix'!$E6,'Rent Roll'!$D:$D,'Unit Mix'!D6)</f>
        <v>0</v>
      </c>
      <c r="M6" s="576" t="e">
        <f t="shared" ref="M6" si="1">L6/F6</f>
        <v>#DIV/0!</v>
      </c>
      <c r="N6" s="577" t="str">
        <f>IFERROR(M6/H6,"")</f>
        <v/>
      </c>
      <c r="O6" s="301" t="e">
        <f>P6*F6</f>
        <v>#DIV/0!</v>
      </c>
      <c r="P6" s="788" t="e">
        <f>MAX(M6,V6)</f>
        <v>#DIV/0!</v>
      </c>
      <c r="Q6" s="577" t="str">
        <f t="shared" ref="Q6" si="2">IFERROR(P6/H6,"")</f>
        <v/>
      </c>
      <c r="R6" s="312" t="e">
        <f>S6*F6</f>
        <v>#DIV/0!</v>
      </c>
      <c r="S6" s="318" t="e">
        <f t="shared" ref="S6:S37" si="3">IF($S$83=0,P6,ROUNDUP(P6*(1+$S$83),-2))</f>
        <v>#DIV/0!</v>
      </c>
      <c r="T6" s="313" t="str">
        <f>IFERROR(S6/H6,"")</f>
        <v/>
      </c>
      <c r="U6" s="114">
        <f>_xlfn.MINIFS('Rent Roll'!$M:$M,'Rent Roll'!$G:$G,'Unit Mix'!E6,'Rent Roll'!$D:$D,'Unit Mix'!D6,'Rent Roll'!$J:$J,"&lt;&gt;Vacant",'Rent Roll'!$M:$M,"&gt;100")</f>
        <v>0</v>
      </c>
      <c r="V6" s="114">
        <f>_xlfn.MAXIFS('Rent Roll'!$M:$M,'Rent Roll'!$G:$G,'Unit Mix'!E6,'Rent Roll'!$D:$D,'Unit Mix'!D6,'Rent Roll'!$J:$J,"&lt;&gt;Vacant")</f>
        <v>0</v>
      </c>
      <c r="W6" s="311">
        <f>SUMIFS('Rent Roll'!$Q:$Q,'Rent Roll'!$G:$G,'Unit Mix'!$E6,'Rent Roll'!$D:$D,'Unit Mix'!D6)</f>
        <v>0</v>
      </c>
      <c r="AA6" s="586">
        <f>COUNTIFS('Rent Roll'!$G:$G,'Unit Mix'!$E6,'Rent Roll'!$L:$L,"Occ",'Rent Roll'!$D:$D,'Unit Mix'!D6)+COUNTIFS('Rent Roll'!$G:$G,'Unit Mix'!$E6,'Rent Roll'!$L:$L,"Admin",'Rent Roll'!$D:$D,'Unit Mix'!D6)+COUNTIFS('Rent Roll'!$G:$G,'Unit Mix'!$E6,'Rent Roll'!$L:$L,"Model",'Rent Roll'!$D:$D,'Unit Mix'!D6)+COUNTIFS('Rent Roll'!$G:$G,'Unit Mix'!$E6,'Rent Roll'!$L:$L,"Down",'Rent Roll'!$D:$D,'Unit Mix'!D6)</f>
        <v>0</v>
      </c>
      <c r="AB6" s="575">
        <f>SUMIFS('Rent Roll'!$K:$K,'Rent Roll'!$G:$G,'Unit Mix'!$E6,'Rent Roll'!$L:$L,"Occ",'Rent Roll'!$D:$D,'Unit Mix'!D6)+SUMIFS('Rent Roll'!$K:$K,'Rent Roll'!$G:$G,'Unit Mix'!$E6,'Rent Roll'!$L:$L,"Admin",'Rent Roll'!$D:$D,'Unit Mix'!D6)+SUMIFS('Rent Roll'!$K:$K,'Rent Roll'!$G:$G,'Unit Mix'!$E6,'Rent Roll'!$L:$L,"Model",'Rent Roll'!$D:$D,'Unit Mix'!D6)+SUMIFS('Rent Roll'!$K:$K,'Rent Roll'!$G:$G,'Unit Mix'!$E6,'Rent Roll'!$L:$L,"Down",'Rent Roll'!$D:$D,'Unit Mix'!D6)</f>
        <v>0</v>
      </c>
      <c r="AC6" s="691" t="e" cm="1">
        <f t="array" ref="AC6">INDEX('Lease Comps'!$I$10:$I$24,MATCH('Unit Mix'!AI6,'Lease Comps'!$A$10:$A$24,0)+1)</f>
        <v>#DIV/0!</v>
      </c>
      <c r="AD6" s="460"/>
      <c r="AE6" s="515"/>
      <c r="AG6" s="220"/>
      <c r="AH6" s="557" t="str">
        <f>IF(LEFT($E6,1)="1","1 Bedroom",IF(LEFT($E6,1)="2","2 Bedroom",IF(LEFT($E6,1)="3","3 Bedroom",IF(LEFT($E6,1)="4","4 Bedroom","Studio"))))</f>
        <v>Studio</v>
      </c>
      <c r="AI6" s="557" t="str">
        <f>IF(LEFT($E6,1)="1","1BR",IF(LEFT($E6,1)="2","2BR",IF(LEFT($E6,1)="3","3BR",IF(LEFT($E6,1)="4","4BR","Studio"))))</f>
        <v>Studio</v>
      </c>
    </row>
    <row r="7" spans="3:35" ht="14.1" customHeight="1" x14ac:dyDescent="0.25">
      <c r="D7" s="110" t="str">
        <f>OneLineRR!B6</f>
        <v>Hudson View Park</v>
      </c>
      <c r="E7" s="111" t="str">
        <f>OneLineRR!C6</f>
        <v>Studio - Small, Platinum</v>
      </c>
      <c r="F7" s="574">
        <f>COUNTIFS('Rent Roll'!$G:$G,'Unit Mix'!$E7,'Rent Roll'!$D:$D,'Unit Mix'!D7)</f>
        <v>0</v>
      </c>
      <c r="G7" s="575">
        <f>SUMIFS('Rent Roll'!$K:$K,'Rent Roll'!$G:$G,'Unit Mix'!$E7,'Rent Roll'!$D:$D,'Unit Mix'!D7)</f>
        <v>0</v>
      </c>
      <c r="H7" s="575" t="e">
        <f t="shared" ref="H7:H62" si="4">G7/F7</f>
        <v>#DIV/0!</v>
      </c>
      <c r="I7" s="301">
        <f>SUMIFS('Rent Roll'!$M:$M,'Rent Roll'!$G:$G,'Unit Mix'!$E7,'Rent Roll'!$D:$D,'Unit Mix'!D7)+SUMIFS('Rent Roll'!$N:$N,'Rent Roll'!$G:$G,'Unit Mix'!$E7,'Rent Roll'!$D:$D,'Unit Mix'!D7)</f>
        <v>0</v>
      </c>
      <c r="J7" s="576" t="str">
        <f t="shared" si="0"/>
        <v/>
      </c>
      <c r="K7" s="577" t="str">
        <f t="shared" ref="K7:K62" si="5">IFERROR(J7/H7,"")</f>
        <v/>
      </c>
      <c r="L7" s="301">
        <f>SUMIFS('Rent Roll'!$O:$O,'Rent Roll'!$G:$G,'Unit Mix'!$E7,'Rent Roll'!$D:$D,'Unit Mix'!D7)</f>
        <v>0</v>
      </c>
      <c r="M7" s="576" t="e">
        <f t="shared" ref="M7:M62" si="6">L7/F7</f>
        <v>#DIV/0!</v>
      </c>
      <c r="N7" s="577" t="str">
        <f t="shared" ref="N7:N62" si="7">IFERROR(M7/H7,"")</f>
        <v/>
      </c>
      <c r="O7" s="301" t="e">
        <f t="shared" ref="O7:O62" si="8">P7*F7</f>
        <v>#DIV/0!</v>
      </c>
      <c r="P7" s="788" t="e">
        <f t="shared" ref="P7:P62" si="9">MAX(M7,V7)</f>
        <v>#DIV/0!</v>
      </c>
      <c r="Q7" s="577" t="str">
        <f t="shared" ref="Q7:Q62" si="10">IFERROR(P7/H7,"")</f>
        <v/>
      </c>
      <c r="R7" s="312" t="e">
        <f t="shared" ref="R7:R62" si="11">S7*F7</f>
        <v>#DIV/0!</v>
      </c>
      <c r="S7" s="318" t="e">
        <f t="shared" si="3"/>
        <v>#DIV/0!</v>
      </c>
      <c r="T7" s="313" t="str">
        <f t="shared" ref="T7:T62" si="12">IFERROR(S7/H7,"")</f>
        <v/>
      </c>
      <c r="U7" s="114">
        <f>_xlfn.MINIFS('Rent Roll'!$M:$M,'Rent Roll'!$G:$G,'Unit Mix'!E7,'Rent Roll'!$D:$D,'Unit Mix'!D7,'Rent Roll'!$J:$J,"&lt;&gt;Vacant",'Rent Roll'!$M:$M,"&gt;100")</f>
        <v>0</v>
      </c>
      <c r="V7" s="114">
        <f>_xlfn.MAXIFS('Rent Roll'!$M:$M,'Rent Roll'!$G:$G,'Unit Mix'!E7,'Rent Roll'!$D:$D,'Unit Mix'!D7,'Rent Roll'!$J:$J,"&lt;&gt;Vacant")</f>
        <v>0</v>
      </c>
      <c r="W7" s="311">
        <f>SUMIFS('Rent Roll'!$Q:$Q,'Rent Roll'!$G:$G,'Unit Mix'!$E7,'Rent Roll'!$D:$D,'Unit Mix'!D7)</f>
        <v>0</v>
      </c>
      <c r="AA7" s="586">
        <f>COUNTIFS('Rent Roll'!$G:$G,'Unit Mix'!$E7,'Rent Roll'!$L:$L,"Occ",'Rent Roll'!$D:$D,'Unit Mix'!D7)+COUNTIFS('Rent Roll'!$G:$G,'Unit Mix'!$E7,'Rent Roll'!$L:$L,"Admin",'Rent Roll'!$D:$D,'Unit Mix'!D7)+COUNTIFS('Rent Roll'!$G:$G,'Unit Mix'!$E7,'Rent Roll'!$L:$L,"Model",'Rent Roll'!$D:$D,'Unit Mix'!D7)+COUNTIFS('Rent Roll'!$G:$G,'Unit Mix'!$E7,'Rent Roll'!$L:$L,"Down",'Rent Roll'!$D:$D,'Unit Mix'!D7)</f>
        <v>0</v>
      </c>
      <c r="AB7" s="575">
        <f>SUMIFS('Rent Roll'!$K:$K,'Rent Roll'!$G:$G,'Unit Mix'!$E7,'Rent Roll'!$L:$L,"Occ",'Rent Roll'!$D:$D,'Unit Mix'!D7)+SUMIFS('Rent Roll'!$K:$K,'Rent Roll'!$G:$G,'Unit Mix'!$E7,'Rent Roll'!$L:$L,"Admin",'Rent Roll'!$D:$D,'Unit Mix'!D7)+SUMIFS('Rent Roll'!$K:$K,'Rent Roll'!$G:$G,'Unit Mix'!$E7,'Rent Roll'!$L:$L,"Model",'Rent Roll'!$D:$D,'Unit Mix'!D7)+SUMIFS('Rent Roll'!$K:$K,'Rent Roll'!$G:$G,'Unit Mix'!$E7,'Rent Roll'!$L:$L,"Down",'Rent Roll'!$D:$D,'Unit Mix'!D7)</f>
        <v>0</v>
      </c>
      <c r="AC7" s="691" t="e" cm="1">
        <f t="array" ref="AC7">INDEX('Lease Comps'!$I$10:$I$24,MATCH('Unit Mix'!AI7,'Lease Comps'!$A$10:$A$24,0)+1)</f>
        <v>#DIV/0!</v>
      </c>
      <c r="AD7" s="460"/>
      <c r="AE7" s="515"/>
      <c r="AF7" s="515"/>
      <c r="AG7" s="220"/>
      <c r="AH7" s="557" t="str">
        <f t="shared" ref="AH7:AH62" si="13">IF(LEFT($E7,1)="1","1 Bedroom",IF(LEFT($E7,1)="2","2 Bedroom",IF(LEFT($E7,1)="3","3 Bedroom",IF(LEFT($E7,1)="4","4 Bedroom","Studio"))))</f>
        <v>Studio</v>
      </c>
      <c r="AI7" s="557" t="str">
        <f t="shared" ref="AI7:AI62" si="14">IF(LEFT($E7,1)="1","1BR",IF(LEFT($E7,1)="2","2BR",IF(LEFT($E7,1)="3","3BR",IF(LEFT($E7,1)="4","4BR","Studio"))))</f>
        <v>Studio</v>
      </c>
    </row>
    <row r="8" spans="3:35" ht="14.1" customHeight="1" x14ac:dyDescent="0.25">
      <c r="D8" s="110" t="str">
        <f>OneLineRR!B7</f>
        <v>Hudson View Park</v>
      </c>
      <c r="E8" s="111" t="str">
        <f>OneLineRR!C7</f>
        <v>Studio - Medium, Gold</v>
      </c>
      <c r="F8" s="574">
        <f>COUNTIFS('Rent Roll'!$G:$G,'Unit Mix'!$E8,'Rent Roll'!$D:$D,'Unit Mix'!D8)</f>
        <v>0</v>
      </c>
      <c r="G8" s="575">
        <f>SUMIFS('Rent Roll'!$K:$K,'Rent Roll'!$G:$G,'Unit Mix'!$E8,'Rent Roll'!$D:$D,'Unit Mix'!D8)</f>
        <v>0</v>
      </c>
      <c r="H8" s="575" t="e">
        <f t="shared" si="4"/>
        <v>#DIV/0!</v>
      </c>
      <c r="I8" s="301">
        <f>SUMIFS('Rent Roll'!$M:$M,'Rent Roll'!$G:$G,'Unit Mix'!$E8,'Rent Roll'!$D:$D,'Unit Mix'!D8)+SUMIFS('Rent Roll'!$N:$N,'Rent Roll'!$G:$G,'Unit Mix'!$E8,'Rent Roll'!$D:$D,'Unit Mix'!D8)</f>
        <v>0</v>
      </c>
      <c r="J8" s="576" t="str">
        <f t="shared" si="0"/>
        <v/>
      </c>
      <c r="K8" s="577" t="str">
        <f t="shared" si="5"/>
        <v/>
      </c>
      <c r="L8" s="301">
        <f>SUMIFS('Rent Roll'!$O:$O,'Rent Roll'!$G:$G,'Unit Mix'!$E8,'Rent Roll'!$D:$D,'Unit Mix'!D8)</f>
        <v>0</v>
      </c>
      <c r="M8" s="576" t="e">
        <f t="shared" si="6"/>
        <v>#DIV/0!</v>
      </c>
      <c r="N8" s="577" t="str">
        <f t="shared" si="7"/>
        <v/>
      </c>
      <c r="O8" s="301" t="e">
        <f t="shared" si="8"/>
        <v>#DIV/0!</v>
      </c>
      <c r="P8" s="788" t="e">
        <f t="shared" si="9"/>
        <v>#DIV/0!</v>
      </c>
      <c r="Q8" s="577" t="str">
        <f t="shared" si="10"/>
        <v/>
      </c>
      <c r="R8" s="312" t="e">
        <f t="shared" si="11"/>
        <v>#DIV/0!</v>
      </c>
      <c r="S8" s="318" t="e">
        <f t="shared" si="3"/>
        <v>#DIV/0!</v>
      </c>
      <c r="T8" s="313" t="str">
        <f t="shared" si="12"/>
        <v/>
      </c>
      <c r="U8" s="114">
        <f>_xlfn.MINIFS('Rent Roll'!$M:$M,'Rent Roll'!$G:$G,'Unit Mix'!E8,'Rent Roll'!$D:$D,'Unit Mix'!D8,'Rent Roll'!$J:$J,"&lt;&gt;Vacant",'Rent Roll'!$M:$M,"&gt;100")</f>
        <v>0</v>
      </c>
      <c r="V8" s="114">
        <f>_xlfn.MAXIFS('Rent Roll'!$M:$M,'Rent Roll'!$G:$G,'Unit Mix'!E8,'Rent Roll'!$D:$D,'Unit Mix'!D8,'Rent Roll'!$J:$J,"&lt;&gt;Vacant")</f>
        <v>0</v>
      </c>
      <c r="W8" s="311">
        <f>SUMIFS('Rent Roll'!$Q:$Q,'Rent Roll'!$G:$G,'Unit Mix'!$E8,'Rent Roll'!$D:$D,'Unit Mix'!D8)</f>
        <v>0</v>
      </c>
      <c r="AA8" s="586">
        <f>COUNTIFS('Rent Roll'!$G:$G,'Unit Mix'!$E8,'Rent Roll'!$L:$L,"Occ",'Rent Roll'!$D:$D,'Unit Mix'!D8)+COUNTIFS('Rent Roll'!$G:$G,'Unit Mix'!$E8,'Rent Roll'!$L:$L,"Admin",'Rent Roll'!$D:$D,'Unit Mix'!D8)+COUNTIFS('Rent Roll'!$G:$G,'Unit Mix'!$E8,'Rent Roll'!$L:$L,"Model",'Rent Roll'!$D:$D,'Unit Mix'!D8)+COUNTIFS('Rent Roll'!$G:$G,'Unit Mix'!$E8,'Rent Roll'!$L:$L,"Down",'Rent Roll'!$D:$D,'Unit Mix'!D8)</f>
        <v>0</v>
      </c>
      <c r="AB8" s="575">
        <f>SUMIFS('Rent Roll'!$K:$K,'Rent Roll'!$G:$G,'Unit Mix'!$E8,'Rent Roll'!$L:$L,"Occ",'Rent Roll'!$D:$D,'Unit Mix'!D8)+SUMIFS('Rent Roll'!$K:$K,'Rent Roll'!$G:$G,'Unit Mix'!$E8,'Rent Roll'!$L:$L,"Admin",'Rent Roll'!$D:$D,'Unit Mix'!D8)+SUMIFS('Rent Roll'!$K:$K,'Rent Roll'!$G:$G,'Unit Mix'!$E8,'Rent Roll'!$L:$L,"Model",'Rent Roll'!$D:$D,'Unit Mix'!D8)+SUMIFS('Rent Roll'!$K:$K,'Rent Roll'!$G:$G,'Unit Mix'!$E8,'Rent Roll'!$L:$L,"Down",'Rent Roll'!$D:$D,'Unit Mix'!D8)</f>
        <v>0</v>
      </c>
      <c r="AC8" s="691" t="e" cm="1">
        <f t="array" ref="AC8">INDEX('Lease Comps'!$I$10:$I$24,MATCH('Unit Mix'!AI8,'Lease Comps'!$A$10:$A$24,0)+1)</f>
        <v>#DIV/0!</v>
      </c>
      <c r="AD8" s="460"/>
      <c r="AE8" s="515"/>
      <c r="AF8" s="515"/>
      <c r="AG8" s="220"/>
      <c r="AH8" s="557" t="str">
        <f t="shared" si="13"/>
        <v>Studio</v>
      </c>
      <c r="AI8" s="557" t="str">
        <f t="shared" si="14"/>
        <v>Studio</v>
      </c>
    </row>
    <row r="9" spans="3:35" ht="14.1" customHeight="1" x14ac:dyDescent="0.25">
      <c r="D9" s="110" t="str">
        <f>OneLineRR!B8</f>
        <v>Hudson View Park</v>
      </c>
      <c r="E9" s="111" t="str">
        <f>OneLineRR!C8</f>
        <v>Studio - Medium, Platinum</v>
      </c>
      <c r="F9" s="574">
        <f>COUNTIFS('Rent Roll'!$G:$G,'Unit Mix'!$E9,'Rent Roll'!$D:$D,'Unit Mix'!D9)</f>
        <v>0</v>
      </c>
      <c r="G9" s="575">
        <f>SUMIFS('Rent Roll'!$K:$K,'Rent Roll'!$G:$G,'Unit Mix'!$E9,'Rent Roll'!$D:$D,'Unit Mix'!D9)</f>
        <v>0</v>
      </c>
      <c r="H9" s="575" t="e">
        <f t="shared" si="4"/>
        <v>#DIV/0!</v>
      </c>
      <c r="I9" s="301">
        <f>SUMIFS('Rent Roll'!$M:$M,'Rent Roll'!$G:$G,'Unit Mix'!$E9,'Rent Roll'!$D:$D,'Unit Mix'!D9)+SUMIFS('Rent Roll'!$N:$N,'Rent Roll'!$G:$G,'Unit Mix'!$E9,'Rent Roll'!$D:$D,'Unit Mix'!D9)</f>
        <v>0</v>
      </c>
      <c r="J9" s="576" t="str">
        <f t="shared" si="0"/>
        <v/>
      </c>
      <c r="K9" s="577" t="str">
        <f t="shared" si="5"/>
        <v/>
      </c>
      <c r="L9" s="301">
        <f>SUMIFS('Rent Roll'!$O:$O,'Rent Roll'!$G:$G,'Unit Mix'!$E9,'Rent Roll'!$D:$D,'Unit Mix'!D9)</f>
        <v>0</v>
      </c>
      <c r="M9" s="576" t="e">
        <f t="shared" si="6"/>
        <v>#DIV/0!</v>
      </c>
      <c r="N9" s="577" t="str">
        <f t="shared" si="7"/>
        <v/>
      </c>
      <c r="O9" s="301" t="e">
        <f t="shared" si="8"/>
        <v>#DIV/0!</v>
      </c>
      <c r="P9" s="788" t="e">
        <f t="shared" si="9"/>
        <v>#DIV/0!</v>
      </c>
      <c r="Q9" s="577" t="str">
        <f t="shared" si="10"/>
        <v/>
      </c>
      <c r="R9" s="312" t="e">
        <f t="shared" si="11"/>
        <v>#DIV/0!</v>
      </c>
      <c r="S9" s="318" t="e">
        <f t="shared" si="3"/>
        <v>#DIV/0!</v>
      </c>
      <c r="T9" s="313" t="str">
        <f t="shared" si="12"/>
        <v/>
      </c>
      <c r="U9" s="114">
        <f>_xlfn.MINIFS('Rent Roll'!$M:$M,'Rent Roll'!$G:$G,'Unit Mix'!E9,'Rent Roll'!$D:$D,'Unit Mix'!D9,'Rent Roll'!$J:$J,"&lt;&gt;Vacant",'Rent Roll'!$M:$M,"&gt;100")</f>
        <v>0</v>
      </c>
      <c r="V9" s="114">
        <f>_xlfn.MAXIFS('Rent Roll'!$M:$M,'Rent Roll'!$G:$G,'Unit Mix'!E9,'Rent Roll'!$D:$D,'Unit Mix'!D9,'Rent Roll'!$J:$J,"&lt;&gt;Vacant")</f>
        <v>0</v>
      </c>
      <c r="W9" s="311">
        <f>SUMIFS('Rent Roll'!$Q:$Q,'Rent Roll'!$G:$G,'Unit Mix'!$E9,'Rent Roll'!$D:$D,'Unit Mix'!D9)</f>
        <v>0</v>
      </c>
      <c r="AA9" s="586">
        <f>COUNTIFS('Rent Roll'!$G:$G,'Unit Mix'!$E9,'Rent Roll'!$L:$L,"Occ",'Rent Roll'!$D:$D,'Unit Mix'!D9)+COUNTIFS('Rent Roll'!$G:$G,'Unit Mix'!$E9,'Rent Roll'!$L:$L,"Admin",'Rent Roll'!$D:$D,'Unit Mix'!D9)+COUNTIFS('Rent Roll'!$G:$G,'Unit Mix'!$E9,'Rent Roll'!$L:$L,"Model",'Rent Roll'!$D:$D,'Unit Mix'!D9)+COUNTIFS('Rent Roll'!$G:$G,'Unit Mix'!$E9,'Rent Roll'!$L:$L,"Down",'Rent Roll'!$D:$D,'Unit Mix'!D9)</f>
        <v>0</v>
      </c>
      <c r="AB9" s="575">
        <f>SUMIFS('Rent Roll'!$K:$K,'Rent Roll'!$G:$G,'Unit Mix'!$E9,'Rent Roll'!$L:$L,"Occ",'Rent Roll'!$D:$D,'Unit Mix'!D9)+SUMIFS('Rent Roll'!$K:$K,'Rent Roll'!$G:$G,'Unit Mix'!$E9,'Rent Roll'!$L:$L,"Admin",'Rent Roll'!$D:$D,'Unit Mix'!D9)+SUMIFS('Rent Roll'!$K:$K,'Rent Roll'!$G:$G,'Unit Mix'!$E9,'Rent Roll'!$L:$L,"Model",'Rent Roll'!$D:$D,'Unit Mix'!D9)+SUMIFS('Rent Roll'!$K:$K,'Rent Roll'!$G:$G,'Unit Mix'!$E9,'Rent Roll'!$L:$L,"Down",'Rent Roll'!$D:$D,'Unit Mix'!D9)</f>
        <v>0</v>
      </c>
      <c r="AC9" s="691" t="e" cm="1">
        <f t="array" ref="AC9">INDEX('Lease Comps'!$I$10:$I$24,MATCH('Unit Mix'!AI9,'Lease Comps'!$A$10:$A$24,0)+1)</f>
        <v>#DIV/0!</v>
      </c>
      <c r="AD9" s="460"/>
      <c r="AE9" s="515"/>
      <c r="AF9" s="515"/>
      <c r="AG9" s="220"/>
      <c r="AH9" s="557" t="str">
        <f t="shared" si="13"/>
        <v>Studio</v>
      </c>
      <c r="AI9" s="557" t="str">
        <f t="shared" si="14"/>
        <v>Studio</v>
      </c>
    </row>
    <row r="10" spans="3:35" ht="14.1" customHeight="1" x14ac:dyDescent="0.25">
      <c r="D10" s="110" t="str">
        <f>OneLineRR!B9</f>
        <v>Hudson View Park</v>
      </c>
      <c r="E10" s="111" t="str">
        <f>OneLineRR!C9</f>
        <v>Studio - Medium, Silver</v>
      </c>
      <c r="F10" s="574">
        <f>COUNTIFS('Rent Roll'!$G:$G,'Unit Mix'!$E10,'Rent Roll'!$D:$D,'Unit Mix'!D10)</f>
        <v>0</v>
      </c>
      <c r="G10" s="575">
        <f>SUMIFS('Rent Roll'!$K:$K,'Rent Roll'!$G:$G,'Unit Mix'!$E10,'Rent Roll'!$D:$D,'Unit Mix'!D10)</f>
        <v>0</v>
      </c>
      <c r="H10" s="575" t="e">
        <f t="shared" si="4"/>
        <v>#DIV/0!</v>
      </c>
      <c r="I10" s="301">
        <f>SUMIFS('Rent Roll'!$M:$M,'Rent Roll'!$G:$G,'Unit Mix'!$E10,'Rent Roll'!$D:$D,'Unit Mix'!D10)+SUMIFS('Rent Roll'!$N:$N,'Rent Roll'!$G:$G,'Unit Mix'!$E10,'Rent Roll'!$D:$D,'Unit Mix'!D10)</f>
        <v>0</v>
      </c>
      <c r="J10" s="576" t="str">
        <f t="shared" si="0"/>
        <v/>
      </c>
      <c r="K10" s="577" t="str">
        <f t="shared" si="5"/>
        <v/>
      </c>
      <c r="L10" s="301">
        <f>SUMIFS('Rent Roll'!$O:$O,'Rent Roll'!$G:$G,'Unit Mix'!$E10,'Rent Roll'!$D:$D,'Unit Mix'!D10)</f>
        <v>0</v>
      </c>
      <c r="M10" s="576" t="e">
        <f t="shared" si="6"/>
        <v>#DIV/0!</v>
      </c>
      <c r="N10" s="577" t="str">
        <f t="shared" si="7"/>
        <v/>
      </c>
      <c r="O10" s="301" t="e">
        <f t="shared" si="8"/>
        <v>#DIV/0!</v>
      </c>
      <c r="P10" s="788" t="e">
        <f t="shared" si="9"/>
        <v>#DIV/0!</v>
      </c>
      <c r="Q10" s="577" t="str">
        <f t="shared" si="10"/>
        <v/>
      </c>
      <c r="R10" s="312" t="e">
        <f t="shared" si="11"/>
        <v>#DIV/0!</v>
      </c>
      <c r="S10" s="318" t="e">
        <f t="shared" si="3"/>
        <v>#DIV/0!</v>
      </c>
      <c r="T10" s="313" t="str">
        <f t="shared" si="12"/>
        <v/>
      </c>
      <c r="U10" s="114">
        <f>_xlfn.MINIFS('Rent Roll'!$M:$M,'Rent Roll'!$G:$G,'Unit Mix'!E10,'Rent Roll'!$D:$D,'Unit Mix'!D10,'Rent Roll'!$J:$J,"&lt;&gt;Vacant",'Rent Roll'!$M:$M,"&gt;100")</f>
        <v>0</v>
      </c>
      <c r="V10" s="114">
        <f>_xlfn.MAXIFS('Rent Roll'!$M:$M,'Rent Roll'!$G:$G,'Unit Mix'!E10,'Rent Roll'!$D:$D,'Unit Mix'!D10,'Rent Roll'!$J:$J,"&lt;&gt;Vacant")</f>
        <v>0</v>
      </c>
      <c r="W10" s="311">
        <f>SUMIFS('Rent Roll'!$Q:$Q,'Rent Roll'!$G:$G,'Unit Mix'!$E10,'Rent Roll'!$D:$D,'Unit Mix'!D10)</f>
        <v>0</v>
      </c>
      <c r="AA10" s="586">
        <f>COUNTIFS('Rent Roll'!$G:$G,'Unit Mix'!$E10,'Rent Roll'!$L:$L,"Occ",'Rent Roll'!$D:$D,'Unit Mix'!D10)+COUNTIFS('Rent Roll'!$G:$G,'Unit Mix'!$E10,'Rent Roll'!$L:$L,"Admin",'Rent Roll'!$D:$D,'Unit Mix'!D10)+COUNTIFS('Rent Roll'!$G:$G,'Unit Mix'!$E10,'Rent Roll'!$L:$L,"Model",'Rent Roll'!$D:$D,'Unit Mix'!D10)+COUNTIFS('Rent Roll'!$G:$G,'Unit Mix'!$E10,'Rent Roll'!$L:$L,"Down",'Rent Roll'!$D:$D,'Unit Mix'!D10)</f>
        <v>0</v>
      </c>
      <c r="AB10" s="575">
        <f>SUMIFS('Rent Roll'!$K:$K,'Rent Roll'!$G:$G,'Unit Mix'!$E10,'Rent Roll'!$L:$L,"Occ",'Rent Roll'!$D:$D,'Unit Mix'!D10)+SUMIFS('Rent Roll'!$K:$K,'Rent Roll'!$G:$G,'Unit Mix'!$E10,'Rent Roll'!$L:$L,"Admin",'Rent Roll'!$D:$D,'Unit Mix'!D10)+SUMIFS('Rent Roll'!$K:$K,'Rent Roll'!$G:$G,'Unit Mix'!$E10,'Rent Roll'!$L:$L,"Model",'Rent Roll'!$D:$D,'Unit Mix'!D10)+SUMIFS('Rent Roll'!$K:$K,'Rent Roll'!$G:$G,'Unit Mix'!$E10,'Rent Roll'!$L:$L,"Down",'Rent Roll'!$D:$D,'Unit Mix'!D10)</f>
        <v>0</v>
      </c>
      <c r="AC10" s="691" t="e" cm="1">
        <f t="array" ref="AC10">INDEX('Lease Comps'!$I$10:$I$24,MATCH('Unit Mix'!AI10,'Lease Comps'!$A$10:$A$24,0)+1)</f>
        <v>#DIV/0!</v>
      </c>
      <c r="AD10" s="460"/>
      <c r="AE10" s="515"/>
      <c r="AF10" s="515"/>
      <c r="AG10" s="220"/>
      <c r="AH10" s="557" t="str">
        <f t="shared" si="13"/>
        <v>Studio</v>
      </c>
      <c r="AI10" s="557" t="str">
        <f t="shared" si="14"/>
        <v>Studio</v>
      </c>
    </row>
    <row r="11" spans="3:35" ht="14.1" customHeight="1" x14ac:dyDescent="0.25">
      <c r="D11" s="110" t="str">
        <f>OneLineRR!B10</f>
        <v>Hudson View Park</v>
      </c>
      <c r="E11" s="111" t="str">
        <f>OneLineRR!C10</f>
        <v>Studio - Large, Gold</v>
      </c>
      <c r="F11" s="574">
        <f>COUNTIFS('Rent Roll'!$G:$G,'Unit Mix'!$E11,'Rent Roll'!$D:$D,'Unit Mix'!D11)</f>
        <v>0</v>
      </c>
      <c r="G11" s="575">
        <f>SUMIFS('Rent Roll'!$K:$K,'Rent Roll'!$G:$G,'Unit Mix'!$E11,'Rent Roll'!$D:$D,'Unit Mix'!D11)</f>
        <v>0</v>
      </c>
      <c r="H11" s="575" t="e">
        <f t="shared" si="4"/>
        <v>#DIV/0!</v>
      </c>
      <c r="I11" s="301">
        <f>SUMIFS('Rent Roll'!$M:$M,'Rent Roll'!$G:$G,'Unit Mix'!$E11,'Rent Roll'!$D:$D,'Unit Mix'!D11)+SUMIFS('Rent Roll'!$N:$N,'Rent Roll'!$G:$G,'Unit Mix'!$E11,'Rent Roll'!$D:$D,'Unit Mix'!D11)</f>
        <v>0</v>
      </c>
      <c r="J11" s="576" t="str">
        <f t="shared" si="0"/>
        <v/>
      </c>
      <c r="K11" s="577" t="str">
        <f t="shared" si="5"/>
        <v/>
      </c>
      <c r="L11" s="301">
        <f>SUMIFS('Rent Roll'!$O:$O,'Rent Roll'!$G:$G,'Unit Mix'!$E11,'Rent Roll'!$D:$D,'Unit Mix'!D11)</f>
        <v>0</v>
      </c>
      <c r="M11" s="576" t="e">
        <f t="shared" si="6"/>
        <v>#DIV/0!</v>
      </c>
      <c r="N11" s="577" t="str">
        <f t="shared" si="7"/>
        <v/>
      </c>
      <c r="O11" s="301" t="e">
        <f t="shared" si="8"/>
        <v>#DIV/0!</v>
      </c>
      <c r="P11" s="788" t="e">
        <f t="shared" si="9"/>
        <v>#DIV/0!</v>
      </c>
      <c r="Q11" s="577" t="str">
        <f t="shared" si="10"/>
        <v/>
      </c>
      <c r="R11" s="312" t="e">
        <f t="shared" si="11"/>
        <v>#DIV/0!</v>
      </c>
      <c r="S11" s="318" t="e">
        <f t="shared" si="3"/>
        <v>#DIV/0!</v>
      </c>
      <c r="T11" s="313" t="str">
        <f t="shared" si="12"/>
        <v/>
      </c>
      <c r="U11" s="114">
        <f>_xlfn.MINIFS('Rent Roll'!$M:$M,'Rent Roll'!$G:$G,'Unit Mix'!E11,'Rent Roll'!$D:$D,'Unit Mix'!D11,'Rent Roll'!$J:$J,"&lt;&gt;Vacant",'Rent Roll'!$M:$M,"&gt;100")</f>
        <v>0</v>
      </c>
      <c r="V11" s="114">
        <f>_xlfn.MAXIFS('Rent Roll'!$M:$M,'Rent Roll'!$G:$G,'Unit Mix'!E11,'Rent Roll'!$D:$D,'Unit Mix'!D11,'Rent Roll'!$J:$J,"&lt;&gt;Vacant")</f>
        <v>0</v>
      </c>
      <c r="W11" s="311">
        <f>SUMIFS('Rent Roll'!$Q:$Q,'Rent Roll'!$G:$G,'Unit Mix'!$E11,'Rent Roll'!$D:$D,'Unit Mix'!D11)</f>
        <v>0</v>
      </c>
      <c r="AA11" s="586">
        <f>COUNTIFS('Rent Roll'!$G:$G,'Unit Mix'!$E11,'Rent Roll'!$L:$L,"Occ",'Rent Roll'!$D:$D,'Unit Mix'!D11)+COUNTIFS('Rent Roll'!$G:$G,'Unit Mix'!$E11,'Rent Roll'!$L:$L,"Admin",'Rent Roll'!$D:$D,'Unit Mix'!D11)+COUNTIFS('Rent Roll'!$G:$G,'Unit Mix'!$E11,'Rent Roll'!$L:$L,"Model",'Rent Roll'!$D:$D,'Unit Mix'!D11)+COUNTIFS('Rent Roll'!$G:$G,'Unit Mix'!$E11,'Rent Roll'!$L:$L,"Down",'Rent Roll'!$D:$D,'Unit Mix'!D11)</f>
        <v>0</v>
      </c>
      <c r="AB11" s="575">
        <f>SUMIFS('Rent Roll'!$K:$K,'Rent Roll'!$G:$G,'Unit Mix'!$E11,'Rent Roll'!$L:$L,"Occ",'Rent Roll'!$D:$D,'Unit Mix'!D11)+SUMIFS('Rent Roll'!$K:$K,'Rent Roll'!$G:$G,'Unit Mix'!$E11,'Rent Roll'!$L:$L,"Admin",'Rent Roll'!$D:$D,'Unit Mix'!D11)+SUMIFS('Rent Roll'!$K:$K,'Rent Roll'!$G:$G,'Unit Mix'!$E11,'Rent Roll'!$L:$L,"Model",'Rent Roll'!$D:$D,'Unit Mix'!D11)+SUMIFS('Rent Roll'!$K:$K,'Rent Roll'!$G:$G,'Unit Mix'!$E11,'Rent Roll'!$L:$L,"Down",'Rent Roll'!$D:$D,'Unit Mix'!D11)</f>
        <v>0</v>
      </c>
      <c r="AC11" s="691" t="e" cm="1">
        <f t="array" ref="AC11">INDEX('Lease Comps'!$I$10:$I$24,MATCH('Unit Mix'!AI11,'Lease Comps'!$A$10:$A$24,0)+1)</f>
        <v>#DIV/0!</v>
      </c>
      <c r="AD11" s="460"/>
      <c r="AE11" s="515"/>
      <c r="AF11" s="515"/>
      <c r="AG11" s="220"/>
      <c r="AH11" s="557" t="str">
        <f t="shared" si="13"/>
        <v>Studio</v>
      </c>
      <c r="AI11" s="557" t="str">
        <f t="shared" si="14"/>
        <v>Studio</v>
      </c>
    </row>
    <row r="12" spans="3:35" ht="14.1" customHeight="1" x14ac:dyDescent="0.25">
      <c r="D12" s="110" t="str">
        <f>OneLineRR!B11</f>
        <v>Hudson View Park</v>
      </c>
      <c r="E12" s="111" t="str">
        <f>OneLineRR!C11</f>
        <v>Studio - Large, Platinum</v>
      </c>
      <c r="F12" s="574">
        <f>COUNTIFS('Rent Roll'!$G:$G,'Unit Mix'!$E12,'Rent Roll'!$D:$D,'Unit Mix'!D12)</f>
        <v>0</v>
      </c>
      <c r="G12" s="575">
        <f>SUMIFS('Rent Roll'!$K:$K,'Rent Roll'!$G:$G,'Unit Mix'!$E12,'Rent Roll'!$D:$D,'Unit Mix'!D12)</f>
        <v>0</v>
      </c>
      <c r="H12" s="575" t="e">
        <f t="shared" si="4"/>
        <v>#DIV/0!</v>
      </c>
      <c r="I12" s="301">
        <f>SUMIFS('Rent Roll'!$M:$M,'Rent Roll'!$G:$G,'Unit Mix'!$E12,'Rent Roll'!$D:$D,'Unit Mix'!D12)+SUMIFS('Rent Roll'!$N:$N,'Rent Roll'!$G:$G,'Unit Mix'!$E12,'Rent Roll'!$D:$D,'Unit Mix'!D12)</f>
        <v>0</v>
      </c>
      <c r="J12" s="576" t="str">
        <f t="shared" si="0"/>
        <v/>
      </c>
      <c r="K12" s="577" t="str">
        <f t="shared" si="5"/>
        <v/>
      </c>
      <c r="L12" s="301">
        <f>SUMIFS('Rent Roll'!$O:$O,'Rent Roll'!$G:$G,'Unit Mix'!$E12,'Rent Roll'!$D:$D,'Unit Mix'!D12)</f>
        <v>0</v>
      </c>
      <c r="M12" s="576" t="e">
        <f t="shared" si="6"/>
        <v>#DIV/0!</v>
      </c>
      <c r="N12" s="577" t="str">
        <f t="shared" si="7"/>
        <v/>
      </c>
      <c r="O12" s="301" t="e">
        <f t="shared" si="8"/>
        <v>#DIV/0!</v>
      </c>
      <c r="P12" s="788" t="e">
        <f t="shared" si="9"/>
        <v>#DIV/0!</v>
      </c>
      <c r="Q12" s="577" t="str">
        <f t="shared" si="10"/>
        <v/>
      </c>
      <c r="R12" s="312" t="e">
        <f t="shared" si="11"/>
        <v>#DIV/0!</v>
      </c>
      <c r="S12" s="318" t="e">
        <f t="shared" si="3"/>
        <v>#DIV/0!</v>
      </c>
      <c r="T12" s="313" t="str">
        <f t="shared" si="12"/>
        <v/>
      </c>
      <c r="U12" s="114">
        <f>_xlfn.MINIFS('Rent Roll'!$M:$M,'Rent Roll'!$G:$G,'Unit Mix'!E12,'Rent Roll'!$D:$D,'Unit Mix'!D12,'Rent Roll'!$J:$J,"&lt;&gt;Vacant",'Rent Roll'!$M:$M,"&gt;100")</f>
        <v>0</v>
      </c>
      <c r="V12" s="114">
        <f>_xlfn.MAXIFS('Rent Roll'!$M:$M,'Rent Roll'!$G:$G,'Unit Mix'!E12,'Rent Roll'!$D:$D,'Unit Mix'!D12,'Rent Roll'!$J:$J,"&lt;&gt;Vacant")</f>
        <v>0</v>
      </c>
      <c r="W12" s="311">
        <f>SUMIFS('Rent Roll'!$Q:$Q,'Rent Roll'!$G:$G,'Unit Mix'!$E12,'Rent Roll'!$D:$D,'Unit Mix'!D12)</f>
        <v>0</v>
      </c>
      <c r="AA12" s="586">
        <f>COUNTIFS('Rent Roll'!$G:$G,'Unit Mix'!$E12,'Rent Roll'!$L:$L,"Occ",'Rent Roll'!$D:$D,'Unit Mix'!D12)+COUNTIFS('Rent Roll'!$G:$G,'Unit Mix'!$E12,'Rent Roll'!$L:$L,"Admin",'Rent Roll'!$D:$D,'Unit Mix'!D12)+COUNTIFS('Rent Roll'!$G:$G,'Unit Mix'!$E12,'Rent Roll'!$L:$L,"Model",'Rent Roll'!$D:$D,'Unit Mix'!D12)+COUNTIFS('Rent Roll'!$G:$G,'Unit Mix'!$E12,'Rent Roll'!$L:$L,"Down",'Rent Roll'!$D:$D,'Unit Mix'!D12)</f>
        <v>0</v>
      </c>
      <c r="AB12" s="575">
        <f>SUMIFS('Rent Roll'!$K:$K,'Rent Roll'!$G:$G,'Unit Mix'!$E12,'Rent Roll'!$L:$L,"Occ",'Rent Roll'!$D:$D,'Unit Mix'!D12)+SUMIFS('Rent Roll'!$K:$K,'Rent Roll'!$G:$G,'Unit Mix'!$E12,'Rent Roll'!$L:$L,"Admin",'Rent Roll'!$D:$D,'Unit Mix'!D12)+SUMIFS('Rent Roll'!$K:$K,'Rent Roll'!$G:$G,'Unit Mix'!$E12,'Rent Roll'!$L:$L,"Model",'Rent Roll'!$D:$D,'Unit Mix'!D12)+SUMIFS('Rent Roll'!$K:$K,'Rent Roll'!$G:$G,'Unit Mix'!$E12,'Rent Roll'!$L:$L,"Down",'Rent Roll'!$D:$D,'Unit Mix'!D12)</f>
        <v>0</v>
      </c>
      <c r="AC12" s="691" t="e" cm="1">
        <f t="array" ref="AC12">INDEX('Lease Comps'!$I$10:$I$24,MATCH('Unit Mix'!AI12,'Lease Comps'!$A$10:$A$24,0)+1)</f>
        <v>#DIV/0!</v>
      </c>
      <c r="AD12" s="460"/>
      <c r="AE12" s="515"/>
      <c r="AF12" s="515"/>
      <c r="AG12" s="220"/>
      <c r="AH12" s="557" t="str">
        <f t="shared" si="13"/>
        <v>Studio</v>
      </c>
      <c r="AI12" s="557" t="str">
        <f t="shared" si="14"/>
        <v>Studio</v>
      </c>
    </row>
    <row r="13" spans="3:35" ht="14.1" customHeight="1" x14ac:dyDescent="0.25">
      <c r="D13" s="110" t="str">
        <f>OneLineRR!B12</f>
        <v>Hudson View Park</v>
      </c>
      <c r="E13" s="111" t="str">
        <f>OneLineRR!C12</f>
        <v>Studio - Large, Silver</v>
      </c>
      <c r="F13" s="574">
        <f>COUNTIFS('Rent Roll'!$G:$G,'Unit Mix'!$E13,'Rent Roll'!$D:$D,'Unit Mix'!D13)</f>
        <v>0</v>
      </c>
      <c r="G13" s="575">
        <f>SUMIFS('Rent Roll'!$K:$K,'Rent Roll'!$G:$G,'Unit Mix'!$E13,'Rent Roll'!$D:$D,'Unit Mix'!D13)</f>
        <v>0</v>
      </c>
      <c r="H13" s="575" t="e">
        <f t="shared" si="4"/>
        <v>#DIV/0!</v>
      </c>
      <c r="I13" s="301">
        <f>SUMIFS('Rent Roll'!$M:$M,'Rent Roll'!$G:$G,'Unit Mix'!$E13,'Rent Roll'!$D:$D,'Unit Mix'!D13)+SUMIFS('Rent Roll'!$N:$N,'Rent Roll'!$G:$G,'Unit Mix'!$E13,'Rent Roll'!$D:$D,'Unit Mix'!D13)</f>
        <v>0</v>
      </c>
      <c r="J13" s="576" t="str">
        <f t="shared" si="0"/>
        <v/>
      </c>
      <c r="K13" s="577" t="str">
        <f t="shared" si="5"/>
        <v/>
      </c>
      <c r="L13" s="301">
        <f>SUMIFS('Rent Roll'!$O:$O,'Rent Roll'!$G:$G,'Unit Mix'!$E13,'Rent Roll'!$D:$D,'Unit Mix'!D13)</f>
        <v>0</v>
      </c>
      <c r="M13" s="576" t="e">
        <f t="shared" si="6"/>
        <v>#DIV/0!</v>
      </c>
      <c r="N13" s="577" t="str">
        <f t="shared" si="7"/>
        <v/>
      </c>
      <c r="O13" s="301" t="e">
        <f t="shared" si="8"/>
        <v>#DIV/0!</v>
      </c>
      <c r="P13" s="788" t="e">
        <f t="shared" si="9"/>
        <v>#DIV/0!</v>
      </c>
      <c r="Q13" s="577" t="str">
        <f t="shared" si="10"/>
        <v/>
      </c>
      <c r="R13" s="312" t="e">
        <f t="shared" si="11"/>
        <v>#DIV/0!</v>
      </c>
      <c r="S13" s="318" t="e">
        <f t="shared" si="3"/>
        <v>#DIV/0!</v>
      </c>
      <c r="T13" s="313" t="str">
        <f t="shared" si="12"/>
        <v/>
      </c>
      <c r="U13" s="114">
        <f>_xlfn.MINIFS('Rent Roll'!$M:$M,'Rent Roll'!$G:$G,'Unit Mix'!E13,'Rent Roll'!$D:$D,'Unit Mix'!D13,'Rent Roll'!$J:$J,"&lt;&gt;Vacant",'Rent Roll'!$M:$M,"&gt;100")</f>
        <v>0</v>
      </c>
      <c r="V13" s="114">
        <f>_xlfn.MAXIFS('Rent Roll'!$M:$M,'Rent Roll'!$G:$G,'Unit Mix'!E13,'Rent Roll'!$D:$D,'Unit Mix'!D13,'Rent Roll'!$J:$J,"&lt;&gt;Vacant")</f>
        <v>0</v>
      </c>
      <c r="W13" s="311">
        <f>SUMIFS('Rent Roll'!$Q:$Q,'Rent Roll'!$G:$G,'Unit Mix'!$E13,'Rent Roll'!$D:$D,'Unit Mix'!D13)</f>
        <v>0</v>
      </c>
      <c r="AA13" s="586">
        <f>COUNTIFS('Rent Roll'!$G:$G,'Unit Mix'!$E13,'Rent Roll'!$L:$L,"Occ",'Rent Roll'!$D:$D,'Unit Mix'!D13)+COUNTIFS('Rent Roll'!$G:$G,'Unit Mix'!$E13,'Rent Roll'!$L:$L,"Admin",'Rent Roll'!$D:$D,'Unit Mix'!D13)+COUNTIFS('Rent Roll'!$G:$G,'Unit Mix'!$E13,'Rent Roll'!$L:$L,"Model",'Rent Roll'!$D:$D,'Unit Mix'!D13)+COUNTIFS('Rent Roll'!$G:$G,'Unit Mix'!$E13,'Rent Roll'!$L:$L,"Down",'Rent Roll'!$D:$D,'Unit Mix'!D13)</f>
        <v>0</v>
      </c>
      <c r="AB13" s="575">
        <f>SUMIFS('Rent Roll'!$K:$K,'Rent Roll'!$G:$G,'Unit Mix'!$E13,'Rent Roll'!$L:$L,"Occ",'Rent Roll'!$D:$D,'Unit Mix'!D13)+SUMIFS('Rent Roll'!$K:$K,'Rent Roll'!$G:$G,'Unit Mix'!$E13,'Rent Roll'!$L:$L,"Admin",'Rent Roll'!$D:$D,'Unit Mix'!D13)+SUMIFS('Rent Roll'!$K:$K,'Rent Roll'!$G:$G,'Unit Mix'!$E13,'Rent Roll'!$L:$L,"Model",'Rent Roll'!$D:$D,'Unit Mix'!D13)+SUMIFS('Rent Roll'!$K:$K,'Rent Roll'!$G:$G,'Unit Mix'!$E13,'Rent Roll'!$L:$L,"Down",'Rent Roll'!$D:$D,'Unit Mix'!D13)</f>
        <v>0</v>
      </c>
      <c r="AC13" s="691" t="e" cm="1">
        <f t="array" ref="AC13">INDEX('Lease Comps'!$I$10:$I$24,MATCH('Unit Mix'!AI13,'Lease Comps'!$A$10:$A$24,0)+1)</f>
        <v>#DIV/0!</v>
      </c>
      <c r="AD13" s="460"/>
      <c r="AE13" s="515"/>
      <c r="AF13" s="515"/>
      <c r="AG13" s="220"/>
      <c r="AH13" s="557" t="str">
        <f t="shared" si="13"/>
        <v>Studio</v>
      </c>
      <c r="AI13" s="557" t="str">
        <f t="shared" si="14"/>
        <v>Studio</v>
      </c>
    </row>
    <row r="14" spans="3:35" ht="14.1" customHeight="1" x14ac:dyDescent="0.25">
      <c r="D14" s="110" t="str">
        <f>OneLineRR!B13</f>
        <v>Hudson View Park</v>
      </c>
      <c r="E14" s="111" t="str">
        <f>OneLineRR!C13</f>
        <v>1BD - Small I, Gold</v>
      </c>
      <c r="F14" s="574">
        <f>COUNTIFS('Rent Roll'!$G:$G,'Unit Mix'!$E14,'Rent Roll'!$D:$D,'Unit Mix'!D14)</f>
        <v>0</v>
      </c>
      <c r="G14" s="575">
        <f>SUMIFS('Rent Roll'!$K:$K,'Rent Roll'!$G:$G,'Unit Mix'!$E14,'Rent Roll'!$D:$D,'Unit Mix'!D14)</f>
        <v>0</v>
      </c>
      <c r="H14" s="575" t="e">
        <f t="shared" si="4"/>
        <v>#DIV/0!</v>
      </c>
      <c r="I14" s="301">
        <f>SUMIFS('Rent Roll'!$M:$M,'Rent Roll'!$G:$G,'Unit Mix'!$E14,'Rent Roll'!$D:$D,'Unit Mix'!D14)+SUMIFS('Rent Roll'!$N:$N,'Rent Roll'!$G:$G,'Unit Mix'!$E14,'Rent Roll'!$D:$D,'Unit Mix'!D14)</f>
        <v>0</v>
      </c>
      <c r="J14" s="576" t="str">
        <f t="shared" si="0"/>
        <v/>
      </c>
      <c r="K14" s="577" t="str">
        <f t="shared" si="5"/>
        <v/>
      </c>
      <c r="L14" s="301">
        <f>SUMIFS('Rent Roll'!$O:$O,'Rent Roll'!$G:$G,'Unit Mix'!$E14,'Rent Roll'!$D:$D,'Unit Mix'!D14)</f>
        <v>0</v>
      </c>
      <c r="M14" s="576" t="e">
        <f t="shared" si="6"/>
        <v>#DIV/0!</v>
      </c>
      <c r="N14" s="577" t="str">
        <f t="shared" si="7"/>
        <v/>
      </c>
      <c r="O14" s="301" t="e">
        <f t="shared" si="8"/>
        <v>#DIV/0!</v>
      </c>
      <c r="P14" s="788" t="e">
        <f t="shared" si="9"/>
        <v>#DIV/0!</v>
      </c>
      <c r="Q14" s="577" t="str">
        <f t="shared" si="10"/>
        <v/>
      </c>
      <c r="R14" s="312" t="e">
        <f t="shared" si="11"/>
        <v>#DIV/0!</v>
      </c>
      <c r="S14" s="318" t="e">
        <f t="shared" si="3"/>
        <v>#DIV/0!</v>
      </c>
      <c r="T14" s="313" t="str">
        <f t="shared" si="12"/>
        <v/>
      </c>
      <c r="U14" s="114">
        <f>_xlfn.MINIFS('Rent Roll'!$M:$M,'Rent Roll'!$G:$G,'Unit Mix'!E14,'Rent Roll'!$D:$D,'Unit Mix'!D14,'Rent Roll'!$J:$J,"&lt;&gt;Vacant",'Rent Roll'!$M:$M,"&gt;100")</f>
        <v>0</v>
      </c>
      <c r="V14" s="114">
        <f>_xlfn.MAXIFS('Rent Roll'!$M:$M,'Rent Roll'!$G:$G,'Unit Mix'!E14,'Rent Roll'!$D:$D,'Unit Mix'!D14,'Rent Roll'!$J:$J,"&lt;&gt;Vacant")</f>
        <v>0</v>
      </c>
      <c r="W14" s="311">
        <f>SUMIFS('Rent Roll'!$Q:$Q,'Rent Roll'!$G:$G,'Unit Mix'!$E14,'Rent Roll'!$D:$D,'Unit Mix'!D14)</f>
        <v>0</v>
      </c>
      <c r="AA14" s="586">
        <f>COUNTIFS('Rent Roll'!$G:$G,'Unit Mix'!$E14,'Rent Roll'!$L:$L,"Occ",'Rent Roll'!$D:$D,'Unit Mix'!D14)+COUNTIFS('Rent Roll'!$G:$G,'Unit Mix'!$E14,'Rent Roll'!$L:$L,"Admin",'Rent Roll'!$D:$D,'Unit Mix'!D14)+COUNTIFS('Rent Roll'!$G:$G,'Unit Mix'!$E14,'Rent Roll'!$L:$L,"Model",'Rent Roll'!$D:$D,'Unit Mix'!D14)+COUNTIFS('Rent Roll'!$G:$G,'Unit Mix'!$E14,'Rent Roll'!$L:$L,"Down",'Rent Roll'!$D:$D,'Unit Mix'!D14)</f>
        <v>0</v>
      </c>
      <c r="AB14" s="575">
        <f>SUMIFS('Rent Roll'!$K:$K,'Rent Roll'!$G:$G,'Unit Mix'!$E14,'Rent Roll'!$L:$L,"Occ",'Rent Roll'!$D:$D,'Unit Mix'!D14)+SUMIFS('Rent Roll'!$K:$K,'Rent Roll'!$G:$G,'Unit Mix'!$E14,'Rent Roll'!$L:$L,"Admin",'Rent Roll'!$D:$D,'Unit Mix'!D14)+SUMIFS('Rent Roll'!$K:$K,'Rent Roll'!$G:$G,'Unit Mix'!$E14,'Rent Roll'!$L:$L,"Model",'Rent Roll'!$D:$D,'Unit Mix'!D14)+SUMIFS('Rent Roll'!$K:$K,'Rent Roll'!$G:$G,'Unit Mix'!$E14,'Rent Roll'!$L:$L,"Down",'Rent Roll'!$D:$D,'Unit Mix'!D14)</f>
        <v>0</v>
      </c>
      <c r="AC14" s="691" t="e" cm="1">
        <f t="array" ref="AC14">INDEX('Lease Comps'!$I$10:$I$24,MATCH('Unit Mix'!AI14,'Lease Comps'!$A$10:$A$24,0)+1)</f>
        <v>#DIV/0!</v>
      </c>
      <c r="AD14" s="460"/>
      <c r="AE14" s="515"/>
      <c r="AF14" s="515"/>
      <c r="AG14" s="220"/>
      <c r="AH14" s="557" t="str">
        <f t="shared" si="13"/>
        <v>1 Bedroom</v>
      </c>
      <c r="AI14" s="557" t="str">
        <f t="shared" si="14"/>
        <v>1BR</v>
      </c>
    </row>
    <row r="15" spans="3:35" ht="14.1" customHeight="1" x14ac:dyDescent="0.25">
      <c r="D15" s="110" t="str">
        <f>OneLineRR!B14</f>
        <v>Hudson View Park</v>
      </c>
      <c r="E15" s="111" t="str">
        <f>OneLineRR!C14</f>
        <v>1BD - Small I, Platinum</v>
      </c>
      <c r="F15" s="574">
        <f>COUNTIFS('Rent Roll'!$G:$G,'Unit Mix'!$E15,'Rent Roll'!$D:$D,'Unit Mix'!D15)</f>
        <v>0</v>
      </c>
      <c r="G15" s="575">
        <f>SUMIFS('Rent Roll'!$K:$K,'Rent Roll'!$G:$G,'Unit Mix'!$E15,'Rent Roll'!$D:$D,'Unit Mix'!D15)</f>
        <v>0</v>
      </c>
      <c r="H15" s="575" t="e">
        <f t="shared" si="4"/>
        <v>#DIV/0!</v>
      </c>
      <c r="I15" s="301">
        <f>SUMIFS('Rent Roll'!$M:$M,'Rent Roll'!$G:$G,'Unit Mix'!$E15,'Rent Roll'!$D:$D,'Unit Mix'!D15)+SUMIFS('Rent Roll'!$N:$N,'Rent Roll'!$G:$G,'Unit Mix'!$E15,'Rent Roll'!$D:$D,'Unit Mix'!D15)</f>
        <v>0</v>
      </c>
      <c r="J15" s="576" t="str">
        <f t="shared" si="0"/>
        <v/>
      </c>
      <c r="K15" s="577" t="str">
        <f t="shared" si="5"/>
        <v/>
      </c>
      <c r="L15" s="301">
        <f>SUMIFS('Rent Roll'!$O:$O,'Rent Roll'!$G:$G,'Unit Mix'!$E15,'Rent Roll'!$D:$D,'Unit Mix'!D15)</f>
        <v>0</v>
      </c>
      <c r="M15" s="576" t="e">
        <f t="shared" si="6"/>
        <v>#DIV/0!</v>
      </c>
      <c r="N15" s="577" t="str">
        <f t="shared" si="7"/>
        <v/>
      </c>
      <c r="O15" s="301" t="e">
        <f t="shared" si="8"/>
        <v>#DIV/0!</v>
      </c>
      <c r="P15" s="788" t="e">
        <f t="shared" si="9"/>
        <v>#DIV/0!</v>
      </c>
      <c r="Q15" s="577" t="str">
        <f t="shared" si="10"/>
        <v/>
      </c>
      <c r="R15" s="312" t="e">
        <f t="shared" si="11"/>
        <v>#DIV/0!</v>
      </c>
      <c r="S15" s="318" t="e">
        <f t="shared" si="3"/>
        <v>#DIV/0!</v>
      </c>
      <c r="T15" s="313" t="str">
        <f t="shared" si="12"/>
        <v/>
      </c>
      <c r="U15" s="114">
        <f>_xlfn.MINIFS('Rent Roll'!$M:$M,'Rent Roll'!$G:$G,'Unit Mix'!E15,'Rent Roll'!$D:$D,'Unit Mix'!D15,'Rent Roll'!$J:$J,"&lt;&gt;Vacant",'Rent Roll'!$M:$M,"&gt;100")</f>
        <v>0</v>
      </c>
      <c r="V15" s="114">
        <f>_xlfn.MAXIFS('Rent Roll'!$M:$M,'Rent Roll'!$G:$G,'Unit Mix'!E15,'Rent Roll'!$D:$D,'Unit Mix'!D15,'Rent Roll'!$J:$J,"&lt;&gt;Vacant")</f>
        <v>0</v>
      </c>
      <c r="W15" s="311">
        <f>SUMIFS('Rent Roll'!$Q:$Q,'Rent Roll'!$G:$G,'Unit Mix'!$E15,'Rent Roll'!$D:$D,'Unit Mix'!D15)</f>
        <v>0</v>
      </c>
      <c r="AA15" s="586">
        <f>COUNTIFS('Rent Roll'!$G:$G,'Unit Mix'!$E15,'Rent Roll'!$L:$L,"Occ",'Rent Roll'!$D:$D,'Unit Mix'!D15)+COUNTIFS('Rent Roll'!$G:$G,'Unit Mix'!$E15,'Rent Roll'!$L:$L,"Admin",'Rent Roll'!$D:$D,'Unit Mix'!D15)+COUNTIFS('Rent Roll'!$G:$G,'Unit Mix'!$E15,'Rent Roll'!$L:$L,"Model",'Rent Roll'!$D:$D,'Unit Mix'!D15)+COUNTIFS('Rent Roll'!$G:$G,'Unit Mix'!$E15,'Rent Roll'!$L:$L,"Down",'Rent Roll'!$D:$D,'Unit Mix'!D15)</f>
        <v>0</v>
      </c>
      <c r="AB15" s="575">
        <f>SUMIFS('Rent Roll'!$K:$K,'Rent Roll'!$G:$G,'Unit Mix'!$E15,'Rent Roll'!$L:$L,"Occ",'Rent Roll'!$D:$D,'Unit Mix'!D15)+SUMIFS('Rent Roll'!$K:$K,'Rent Roll'!$G:$G,'Unit Mix'!$E15,'Rent Roll'!$L:$L,"Admin",'Rent Roll'!$D:$D,'Unit Mix'!D15)+SUMIFS('Rent Roll'!$K:$K,'Rent Roll'!$G:$G,'Unit Mix'!$E15,'Rent Roll'!$L:$L,"Model",'Rent Roll'!$D:$D,'Unit Mix'!D15)+SUMIFS('Rent Roll'!$K:$K,'Rent Roll'!$G:$G,'Unit Mix'!$E15,'Rent Roll'!$L:$L,"Down",'Rent Roll'!$D:$D,'Unit Mix'!D15)</f>
        <v>0</v>
      </c>
      <c r="AC15" s="691" t="e" cm="1">
        <f t="array" ref="AC15">INDEX('Lease Comps'!$I$10:$I$24,MATCH('Unit Mix'!AI15,'Lease Comps'!$A$10:$A$24,0)+1)</f>
        <v>#DIV/0!</v>
      </c>
      <c r="AD15" s="460"/>
      <c r="AE15" s="515"/>
      <c r="AF15" s="515"/>
      <c r="AG15" s="220"/>
      <c r="AH15" s="557" t="str">
        <f t="shared" si="13"/>
        <v>1 Bedroom</v>
      </c>
      <c r="AI15" s="557" t="str">
        <f t="shared" si="14"/>
        <v>1BR</v>
      </c>
    </row>
    <row r="16" spans="3:35" ht="14.1" customHeight="1" x14ac:dyDescent="0.25">
      <c r="D16" s="110" t="str">
        <f>OneLineRR!B15</f>
        <v>Hudson View Park</v>
      </c>
      <c r="E16" s="111" t="str">
        <f>OneLineRR!C15</f>
        <v>1BD - Small II, Gold</v>
      </c>
      <c r="F16" s="574">
        <f>COUNTIFS('Rent Roll'!$G:$G,'Unit Mix'!$E16,'Rent Roll'!$D:$D,'Unit Mix'!D16)</f>
        <v>0</v>
      </c>
      <c r="G16" s="575">
        <f>SUMIFS('Rent Roll'!$K:$K,'Rent Roll'!$G:$G,'Unit Mix'!$E16,'Rent Roll'!$D:$D,'Unit Mix'!D16)</f>
        <v>0</v>
      </c>
      <c r="H16" s="575" t="e">
        <f t="shared" si="4"/>
        <v>#DIV/0!</v>
      </c>
      <c r="I16" s="301">
        <f>SUMIFS('Rent Roll'!$M:$M,'Rent Roll'!$G:$G,'Unit Mix'!$E16,'Rent Roll'!$D:$D,'Unit Mix'!D16)+SUMIFS('Rent Roll'!$N:$N,'Rent Roll'!$G:$G,'Unit Mix'!$E16,'Rent Roll'!$D:$D,'Unit Mix'!D16)</f>
        <v>0</v>
      </c>
      <c r="J16" s="576" t="str">
        <f t="shared" si="0"/>
        <v/>
      </c>
      <c r="K16" s="577" t="str">
        <f t="shared" si="5"/>
        <v/>
      </c>
      <c r="L16" s="301">
        <f>SUMIFS('Rent Roll'!$O:$O,'Rent Roll'!$G:$G,'Unit Mix'!$E16,'Rent Roll'!$D:$D,'Unit Mix'!D16)</f>
        <v>0</v>
      </c>
      <c r="M16" s="576" t="e">
        <f t="shared" si="6"/>
        <v>#DIV/0!</v>
      </c>
      <c r="N16" s="577" t="str">
        <f t="shared" si="7"/>
        <v/>
      </c>
      <c r="O16" s="301" t="e">
        <f t="shared" si="8"/>
        <v>#DIV/0!</v>
      </c>
      <c r="P16" s="788" t="e">
        <f t="shared" si="9"/>
        <v>#DIV/0!</v>
      </c>
      <c r="Q16" s="577" t="str">
        <f t="shared" si="10"/>
        <v/>
      </c>
      <c r="R16" s="312" t="e">
        <f t="shared" si="11"/>
        <v>#DIV/0!</v>
      </c>
      <c r="S16" s="318" t="e">
        <f t="shared" si="3"/>
        <v>#DIV/0!</v>
      </c>
      <c r="T16" s="313" t="str">
        <f t="shared" si="12"/>
        <v/>
      </c>
      <c r="U16" s="114">
        <f>_xlfn.MINIFS('Rent Roll'!$M:$M,'Rent Roll'!$G:$G,'Unit Mix'!E16,'Rent Roll'!$D:$D,'Unit Mix'!D16,'Rent Roll'!$J:$J,"&lt;&gt;Vacant",'Rent Roll'!$M:$M,"&gt;100")</f>
        <v>0</v>
      </c>
      <c r="V16" s="114">
        <f>_xlfn.MAXIFS('Rent Roll'!$M:$M,'Rent Roll'!$G:$G,'Unit Mix'!E16,'Rent Roll'!$D:$D,'Unit Mix'!D16,'Rent Roll'!$J:$J,"&lt;&gt;Vacant")</f>
        <v>0</v>
      </c>
      <c r="W16" s="311">
        <f>SUMIFS('Rent Roll'!$Q:$Q,'Rent Roll'!$G:$G,'Unit Mix'!$E16,'Rent Roll'!$D:$D,'Unit Mix'!D16)</f>
        <v>0</v>
      </c>
      <c r="AA16" s="586">
        <f>COUNTIFS('Rent Roll'!$G:$G,'Unit Mix'!$E16,'Rent Roll'!$L:$L,"Occ",'Rent Roll'!$D:$D,'Unit Mix'!D16)+COUNTIFS('Rent Roll'!$G:$G,'Unit Mix'!$E16,'Rent Roll'!$L:$L,"Admin",'Rent Roll'!$D:$D,'Unit Mix'!D16)+COUNTIFS('Rent Roll'!$G:$G,'Unit Mix'!$E16,'Rent Roll'!$L:$L,"Model",'Rent Roll'!$D:$D,'Unit Mix'!D16)+COUNTIFS('Rent Roll'!$G:$G,'Unit Mix'!$E16,'Rent Roll'!$L:$L,"Down",'Rent Roll'!$D:$D,'Unit Mix'!D16)</f>
        <v>0</v>
      </c>
      <c r="AB16" s="575">
        <f>SUMIFS('Rent Roll'!$K:$K,'Rent Roll'!$G:$G,'Unit Mix'!$E16,'Rent Roll'!$L:$L,"Occ",'Rent Roll'!$D:$D,'Unit Mix'!D16)+SUMIFS('Rent Roll'!$K:$K,'Rent Roll'!$G:$G,'Unit Mix'!$E16,'Rent Roll'!$L:$L,"Admin",'Rent Roll'!$D:$D,'Unit Mix'!D16)+SUMIFS('Rent Roll'!$K:$K,'Rent Roll'!$G:$G,'Unit Mix'!$E16,'Rent Roll'!$L:$L,"Model",'Rent Roll'!$D:$D,'Unit Mix'!D16)+SUMIFS('Rent Roll'!$K:$K,'Rent Roll'!$G:$G,'Unit Mix'!$E16,'Rent Roll'!$L:$L,"Down",'Rent Roll'!$D:$D,'Unit Mix'!D16)</f>
        <v>0</v>
      </c>
      <c r="AC16" s="691" t="e" cm="1">
        <f t="array" ref="AC16">INDEX('Lease Comps'!$I$10:$I$24,MATCH('Unit Mix'!AI16,'Lease Comps'!$A$10:$A$24,0)+1)</f>
        <v>#DIV/0!</v>
      </c>
      <c r="AD16" s="460"/>
      <c r="AE16" s="515"/>
      <c r="AF16" s="515"/>
      <c r="AG16" s="220"/>
      <c r="AH16" s="557" t="str">
        <f t="shared" si="13"/>
        <v>1 Bedroom</v>
      </c>
      <c r="AI16" s="557" t="str">
        <f t="shared" si="14"/>
        <v>1BR</v>
      </c>
    </row>
    <row r="17" spans="4:35" ht="14.1" customHeight="1" x14ac:dyDescent="0.25">
      <c r="D17" s="110" t="str">
        <f>OneLineRR!B16</f>
        <v>Hudson View Park</v>
      </c>
      <c r="E17" s="111" t="str">
        <f>OneLineRR!C16</f>
        <v>1BD - Small II, Platinum</v>
      </c>
      <c r="F17" s="574">
        <f>COUNTIFS('Rent Roll'!$G:$G,'Unit Mix'!$E17,'Rent Roll'!$D:$D,'Unit Mix'!D17)</f>
        <v>0</v>
      </c>
      <c r="G17" s="575">
        <f>SUMIFS('Rent Roll'!$K:$K,'Rent Roll'!$G:$G,'Unit Mix'!$E17,'Rent Roll'!$D:$D,'Unit Mix'!D17)</f>
        <v>0</v>
      </c>
      <c r="H17" s="575" t="e">
        <f t="shared" si="4"/>
        <v>#DIV/0!</v>
      </c>
      <c r="I17" s="301">
        <f>SUMIFS('Rent Roll'!$M:$M,'Rent Roll'!$G:$G,'Unit Mix'!$E17,'Rent Roll'!$D:$D,'Unit Mix'!D17)+SUMIFS('Rent Roll'!$N:$N,'Rent Roll'!$G:$G,'Unit Mix'!$E17,'Rent Roll'!$D:$D,'Unit Mix'!D17)</f>
        <v>0</v>
      </c>
      <c r="J17" s="576" t="str">
        <f t="shared" si="0"/>
        <v/>
      </c>
      <c r="K17" s="577" t="str">
        <f t="shared" si="5"/>
        <v/>
      </c>
      <c r="L17" s="301">
        <f>SUMIFS('Rent Roll'!$O:$O,'Rent Roll'!$G:$G,'Unit Mix'!$E17,'Rent Roll'!$D:$D,'Unit Mix'!D17)</f>
        <v>0</v>
      </c>
      <c r="M17" s="576" t="e">
        <f t="shared" si="6"/>
        <v>#DIV/0!</v>
      </c>
      <c r="N17" s="577" t="str">
        <f t="shared" si="7"/>
        <v/>
      </c>
      <c r="O17" s="301" t="e">
        <f t="shared" si="8"/>
        <v>#DIV/0!</v>
      </c>
      <c r="P17" s="788" t="e">
        <f t="shared" si="9"/>
        <v>#DIV/0!</v>
      </c>
      <c r="Q17" s="577" t="str">
        <f t="shared" si="10"/>
        <v/>
      </c>
      <c r="R17" s="312" t="e">
        <f t="shared" si="11"/>
        <v>#DIV/0!</v>
      </c>
      <c r="S17" s="318" t="e">
        <f t="shared" si="3"/>
        <v>#DIV/0!</v>
      </c>
      <c r="T17" s="313" t="str">
        <f t="shared" si="12"/>
        <v/>
      </c>
      <c r="U17" s="114">
        <f>_xlfn.MINIFS('Rent Roll'!$M:$M,'Rent Roll'!$G:$G,'Unit Mix'!E17,'Rent Roll'!$D:$D,'Unit Mix'!D17,'Rent Roll'!$J:$J,"&lt;&gt;Vacant",'Rent Roll'!$M:$M,"&gt;100")</f>
        <v>0</v>
      </c>
      <c r="V17" s="114">
        <f>_xlfn.MAXIFS('Rent Roll'!$M:$M,'Rent Roll'!$G:$G,'Unit Mix'!E17,'Rent Roll'!$D:$D,'Unit Mix'!D17,'Rent Roll'!$J:$J,"&lt;&gt;Vacant")</f>
        <v>0</v>
      </c>
      <c r="W17" s="311">
        <f>SUMIFS('Rent Roll'!$Q:$Q,'Rent Roll'!$G:$G,'Unit Mix'!$E17,'Rent Roll'!$D:$D,'Unit Mix'!D17)</f>
        <v>0</v>
      </c>
      <c r="AA17" s="586">
        <f>COUNTIFS('Rent Roll'!$G:$G,'Unit Mix'!$E17,'Rent Roll'!$L:$L,"Occ",'Rent Roll'!$D:$D,'Unit Mix'!D17)+COUNTIFS('Rent Roll'!$G:$G,'Unit Mix'!$E17,'Rent Roll'!$L:$L,"Admin",'Rent Roll'!$D:$D,'Unit Mix'!D17)+COUNTIFS('Rent Roll'!$G:$G,'Unit Mix'!$E17,'Rent Roll'!$L:$L,"Model",'Rent Roll'!$D:$D,'Unit Mix'!D17)+COUNTIFS('Rent Roll'!$G:$G,'Unit Mix'!$E17,'Rent Roll'!$L:$L,"Down",'Rent Roll'!$D:$D,'Unit Mix'!D17)</f>
        <v>0</v>
      </c>
      <c r="AB17" s="575">
        <f>SUMIFS('Rent Roll'!$K:$K,'Rent Roll'!$G:$G,'Unit Mix'!$E17,'Rent Roll'!$L:$L,"Occ",'Rent Roll'!$D:$D,'Unit Mix'!D17)+SUMIFS('Rent Roll'!$K:$K,'Rent Roll'!$G:$G,'Unit Mix'!$E17,'Rent Roll'!$L:$L,"Admin",'Rent Roll'!$D:$D,'Unit Mix'!D17)+SUMIFS('Rent Roll'!$K:$K,'Rent Roll'!$G:$G,'Unit Mix'!$E17,'Rent Roll'!$L:$L,"Model",'Rent Roll'!$D:$D,'Unit Mix'!D17)+SUMIFS('Rent Roll'!$K:$K,'Rent Roll'!$G:$G,'Unit Mix'!$E17,'Rent Roll'!$L:$L,"Down",'Rent Roll'!$D:$D,'Unit Mix'!D17)</f>
        <v>0</v>
      </c>
      <c r="AC17" s="691" t="e" cm="1">
        <f t="array" ref="AC17">INDEX('Lease Comps'!$I$10:$I$24,MATCH('Unit Mix'!AI17,'Lease Comps'!$A$10:$A$24,0)+1)</f>
        <v>#DIV/0!</v>
      </c>
      <c r="AD17" s="460"/>
      <c r="AE17" s="515"/>
      <c r="AF17" s="515"/>
      <c r="AG17" s="220"/>
      <c r="AH17" s="557" t="str">
        <f t="shared" si="13"/>
        <v>1 Bedroom</v>
      </c>
      <c r="AI17" s="557" t="str">
        <f t="shared" si="14"/>
        <v>1BR</v>
      </c>
    </row>
    <row r="18" spans="4:35" ht="14.1" customHeight="1" x14ac:dyDescent="0.25">
      <c r="D18" s="110" t="str">
        <f>OneLineRR!B17</f>
        <v>Hudson View Park</v>
      </c>
      <c r="E18" s="111" t="str">
        <f>OneLineRR!C17</f>
        <v>1BD - Small II, Silver</v>
      </c>
      <c r="F18" s="574">
        <f>COUNTIFS('Rent Roll'!$G:$G,'Unit Mix'!$E18,'Rent Roll'!$D:$D,'Unit Mix'!D18)</f>
        <v>0</v>
      </c>
      <c r="G18" s="575">
        <f>SUMIFS('Rent Roll'!$K:$K,'Rent Roll'!$G:$G,'Unit Mix'!$E18,'Rent Roll'!$D:$D,'Unit Mix'!D18)</f>
        <v>0</v>
      </c>
      <c r="H18" s="575" t="e">
        <f t="shared" si="4"/>
        <v>#DIV/0!</v>
      </c>
      <c r="I18" s="301">
        <f>SUMIFS('Rent Roll'!$M:$M,'Rent Roll'!$G:$G,'Unit Mix'!$E18,'Rent Roll'!$D:$D,'Unit Mix'!D18)+SUMIFS('Rent Roll'!$N:$N,'Rent Roll'!$G:$G,'Unit Mix'!$E18,'Rent Roll'!$D:$D,'Unit Mix'!D18)</f>
        <v>0</v>
      </c>
      <c r="J18" s="576" t="str">
        <f t="shared" si="0"/>
        <v/>
      </c>
      <c r="K18" s="577" t="str">
        <f t="shared" si="5"/>
        <v/>
      </c>
      <c r="L18" s="301">
        <f>SUMIFS('Rent Roll'!$O:$O,'Rent Roll'!$G:$G,'Unit Mix'!$E18,'Rent Roll'!$D:$D,'Unit Mix'!D18)</f>
        <v>0</v>
      </c>
      <c r="M18" s="576" t="e">
        <f t="shared" si="6"/>
        <v>#DIV/0!</v>
      </c>
      <c r="N18" s="577" t="str">
        <f t="shared" si="7"/>
        <v/>
      </c>
      <c r="O18" s="301" t="e">
        <f t="shared" si="8"/>
        <v>#DIV/0!</v>
      </c>
      <c r="P18" s="788" t="e">
        <f t="shared" si="9"/>
        <v>#DIV/0!</v>
      </c>
      <c r="Q18" s="577" t="str">
        <f t="shared" si="10"/>
        <v/>
      </c>
      <c r="R18" s="312" t="e">
        <f t="shared" si="11"/>
        <v>#DIV/0!</v>
      </c>
      <c r="S18" s="318" t="e">
        <f t="shared" si="3"/>
        <v>#DIV/0!</v>
      </c>
      <c r="T18" s="313" t="str">
        <f t="shared" si="12"/>
        <v/>
      </c>
      <c r="U18" s="114">
        <f>_xlfn.MINIFS('Rent Roll'!$M:$M,'Rent Roll'!$G:$G,'Unit Mix'!E18,'Rent Roll'!$D:$D,'Unit Mix'!D18,'Rent Roll'!$J:$J,"&lt;&gt;Vacant",'Rent Roll'!$M:$M,"&gt;100")</f>
        <v>0</v>
      </c>
      <c r="V18" s="114">
        <f>_xlfn.MAXIFS('Rent Roll'!$M:$M,'Rent Roll'!$G:$G,'Unit Mix'!E18,'Rent Roll'!$D:$D,'Unit Mix'!D18,'Rent Roll'!$J:$J,"&lt;&gt;Vacant")</f>
        <v>0</v>
      </c>
      <c r="W18" s="311">
        <f>SUMIFS('Rent Roll'!$Q:$Q,'Rent Roll'!$G:$G,'Unit Mix'!$E18,'Rent Roll'!$D:$D,'Unit Mix'!D18)</f>
        <v>0</v>
      </c>
      <c r="AA18" s="586">
        <f>COUNTIFS('Rent Roll'!$G:$G,'Unit Mix'!$E18,'Rent Roll'!$L:$L,"Occ",'Rent Roll'!$D:$D,'Unit Mix'!D18)+COUNTIFS('Rent Roll'!$G:$G,'Unit Mix'!$E18,'Rent Roll'!$L:$L,"Admin",'Rent Roll'!$D:$D,'Unit Mix'!D18)+COUNTIFS('Rent Roll'!$G:$G,'Unit Mix'!$E18,'Rent Roll'!$L:$L,"Model",'Rent Roll'!$D:$D,'Unit Mix'!D18)+COUNTIFS('Rent Roll'!$G:$G,'Unit Mix'!$E18,'Rent Roll'!$L:$L,"Down",'Rent Roll'!$D:$D,'Unit Mix'!D18)</f>
        <v>0</v>
      </c>
      <c r="AB18" s="575">
        <f>SUMIFS('Rent Roll'!$K:$K,'Rent Roll'!$G:$G,'Unit Mix'!$E18,'Rent Roll'!$L:$L,"Occ",'Rent Roll'!$D:$D,'Unit Mix'!D18)+SUMIFS('Rent Roll'!$K:$K,'Rent Roll'!$G:$G,'Unit Mix'!$E18,'Rent Roll'!$L:$L,"Admin",'Rent Roll'!$D:$D,'Unit Mix'!D18)+SUMIFS('Rent Roll'!$K:$K,'Rent Roll'!$G:$G,'Unit Mix'!$E18,'Rent Roll'!$L:$L,"Model",'Rent Roll'!$D:$D,'Unit Mix'!D18)+SUMIFS('Rent Roll'!$K:$K,'Rent Roll'!$G:$G,'Unit Mix'!$E18,'Rent Roll'!$L:$L,"Down",'Rent Roll'!$D:$D,'Unit Mix'!D18)</f>
        <v>0</v>
      </c>
      <c r="AC18" s="691" t="e" cm="1">
        <f t="array" ref="AC18">INDEX('Lease Comps'!$I$10:$I$24,MATCH('Unit Mix'!AI18,'Lease Comps'!$A$10:$A$24,0)+1)</f>
        <v>#DIV/0!</v>
      </c>
      <c r="AD18" s="460"/>
      <c r="AE18" s="515"/>
      <c r="AF18" s="515"/>
      <c r="AG18" s="220"/>
      <c r="AH18" s="557" t="str">
        <f t="shared" si="13"/>
        <v>1 Bedroom</v>
      </c>
      <c r="AI18" s="557" t="str">
        <f t="shared" si="14"/>
        <v>1BR</v>
      </c>
    </row>
    <row r="19" spans="4:35" ht="14.1" customHeight="1" x14ac:dyDescent="0.25">
      <c r="D19" s="110" t="str">
        <f>OneLineRR!B18</f>
        <v>Hudson View Park</v>
      </c>
      <c r="E19" s="111" t="str">
        <f>OneLineRR!C18</f>
        <v>1BD - Small III, Gold</v>
      </c>
      <c r="F19" s="574">
        <f>COUNTIFS('Rent Roll'!$G:$G,'Unit Mix'!$E19,'Rent Roll'!$D:$D,'Unit Mix'!D19)</f>
        <v>0</v>
      </c>
      <c r="G19" s="575">
        <f>SUMIFS('Rent Roll'!$K:$K,'Rent Roll'!$G:$G,'Unit Mix'!$E19,'Rent Roll'!$D:$D,'Unit Mix'!D19)</f>
        <v>0</v>
      </c>
      <c r="H19" s="575" t="e">
        <f t="shared" si="4"/>
        <v>#DIV/0!</v>
      </c>
      <c r="I19" s="301">
        <f>SUMIFS('Rent Roll'!$M:$M,'Rent Roll'!$G:$G,'Unit Mix'!$E19,'Rent Roll'!$D:$D,'Unit Mix'!D19)+SUMIFS('Rent Roll'!$N:$N,'Rent Roll'!$G:$G,'Unit Mix'!$E19,'Rent Roll'!$D:$D,'Unit Mix'!D19)</f>
        <v>0</v>
      </c>
      <c r="J19" s="576" t="str">
        <f t="shared" si="0"/>
        <v/>
      </c>
      <c r="K19" s="577" t="str">
        <f t="shared" si="5"/>
        <v/>
      </c>
      <c r="L19" s="301">
        <f>SUMIFS('Rent Roll'!$O:$O,'Rent Roll'!$G:$G,'Unit Mix'!$E19,'Rent Roll'!$D:$D,'Unit Mix'!D19)</f>
        <v>0</v>
      </c>
      <c r="M19" s="576" t="e">
        <f t="shared" si="6"/>
        <v>#DIV/0!</v>
      </c>
      <c r="N19" s="577" t="str">
        <f t="shared" si="7"/>
        <v/>
      </c>
      <c r="O19" s="301" t="e">
        <f t="shared" si="8"/>
        <v>#DIV/0!</v>
      </c>
      <c r="P19" s="788" t="e">
        <f t="shared" si="9"/>
        <v>#DIV/0!</v>
      </c>
      <c r="Q19" s="577" t="str">
        <f t="shared" si="10"/>
        <v/>
      </c>
      <c r="R19" s="312" t="e">
        <f t="shared" si="11"/>
        <v>#DIV/0!</v>
      </c>
      <c r="S19" s="318" t="e">
        <f t="shared" si="3"/>
        <v>#DIV/0!</v>
      </c>
      <c r="T19" s="313" t="str">
        <f t="shared" si="12"/>
        <v/>
      </c>
      <c r="U19" s="114">
        <f>_xlfn.MINIFS('Rent Roll'!$M:$M,'Rent Roll'!$G:$G,'Unit Mix'!E19,'Rent Roll'!$D:$D,'Unit Mix'!D19,'Rent Roll'!$J:$J,"&lt;&gt;Vacant",'Rent Roll'!$M:$M,"&gt;100")</f>
        <v>0</v>
      </c>
      <c r="V19" s="114">
        <f>_xlfn.MAXIFS('Rent Roll'!$M:$M,'Rent Roll'!$G:$G,'Unit Mix'!E19,'Rent Roll'!$D:$D,'Unit Mix'!D19,'Rent Roll'!$J:$J,"&lt;&gt;Vacant")</f>
        <v>0</v>
      </c>
      <c r="W19" s="311">
        <f>SUMIFS('Rent Roll'!$Q:$Q,'Rent Roll'!$G:$G,'Unit Mix'!$E19,'Rent Roll'!$D:$D,'Unit Mix'!D19)</f>
        <v>0</v>
      </c>
      <c r="AA19" s="586">
        <f>COUNTIFS('Rent Roll'!$G:$G,'Unit Mix'!$E19,'Rent Roll'!$L:$L,"Occ",'Rent Roll'!$D:$D,'Unit Mix'!D19)+COUNTIFS('Rent Roll'!$G:$G,'Unit Mix'!$E19,'Rent Roll'!$L:$L,"Admin",'Rent Roll'!$D:$D,'Unit Mix'!D19)+COUNTIFS('Rent Roll'!$G:$G,'Unit Mix'!$E19,'Rent Roll'!$L:$L,"Model",'Rent Roll'!$D:$D,'Unit Mix'!D19)+COUNTIFS('Rent Roll'!$G:$G,'Unit Mix'!$E19,'Rent Roll'!$L:$L,"Down",'Rent Roll'!$D:$D,'Unit Mix'!D19)</f>
        <v>0</v>
      </c>
      <c r="AB19" s="575">
        <f>SUMIFS('Rent Roll'!$K:$K,'Rent Roll'!$G:$G,'Unit Mix'!$E19,'Rent Roll'!$L:$L,"Occ",'Rent Roll'!$D:$D,'Unit Mix'!D19)+SUMIFS('Rent Roll'!$K:$K,'Rent Roll'!$G:$G,'Unit Mix'!$E19,'Rent Roll'!$L:$L,"Admin",'Rent Roll'!$D:$D,'Unit Mix'!D19)+SUMIFS('Rent Roll'!$K:$K,'Rent Roll'!$G:$G,'Unit Mix'!$E19,'Rent Roll'!$L:$L,"Model",'Rent Roll'!$D:$D,'Unit Mix'!D19)+SUMIFS('Rent Roll'!$K:$K,'Rent Roll'!$G:$G,'Unit Mix'!$E19,'Rent Roll'!$L:$L,"Down",'Rent Roll'!$D:$D,'Unit Mix'!D19)</f>
        <v>0</v>
      </c>
      <c r="AC19" s="691" t="e" cm="1">
        <f t="array" ref="AC19">INDEX('Lease Comps'!$I$10:$I$24,MATCH('Unit Mix'!AI19,'Lease Comps'!$A$10:$A$24,0)+1)</f>
        <v>#DIV/0!</v>
      </c>
      <c r="AD19" s="460"/>
      <c r="AE19" s="515"/>
      <c r="AF19" s="515"/>
      <c r="AG19" s="220"/>
      <c r="AH19" s="557" t="str">
        <f t="shared" si="13"/>
        <v>1 Bedroom</v>
      </c>
      <c r="AI19" s="557" t="str">
        <f t="shared" si="14"/>
        <v>1BR</v>
      </c>
    </row>
    <row r="20" spans="4:35" ht="14.1" customHeight="1" x14ac:dyDescent="0.25">
      <c r="D20" s="110" t="str">
        <f>OneLineRR!B19</f>
        <v>Hudson View Park</v>
      </c>
      <c r="E20" s="111" t="str">
        <f>OneLineRR!C19</f>
        <v>1BD - Small III, Platinum</v>
      </c>
      <c r="F20" s="574">
        <f>COUNTIFS('Rent Roll'!$G:$G,'Unit Mix'!$E20,'Rent Roll'!$D:$D,'Unit Mix'!D20)</f>
        <v>0</v>
      </c>
      <c r="G20" s="575">
        <f>SUMIFS('Rent Roll'!$K:$K,'Rent Roll'!$G:$G,'Unit Mix'!$E20,'Rent Roll'!$D:$D,'Unit Mix'!D20)</f>
        <v>0</v>
      </c>
      <c r="H20" s="575" t="e">
        <f t="shared" si="4"/>
        <v>#DIV/0!</v>
      </c>
      <c r="I20" s="301">
        <f>SUMIFS('Rent Roll'!$M:$M,'Rent Roll'!$G:$G,'Unit Mix'!$E20,'Rent Roll'!$D:$D,'Unit Mix'!D20)+SUMIFS('Rent Roll'!$N:$N,'Rent Roll'!$G:$G,'Unit Mix'!$E20,'Rent Roll'!$D:$D,'Unit Mix'!D20)</f>
        <v>0</v>
      </c>
      <c r="J20" s="576" t="str">
        <f t="shared" si="0"/>
        <v/>
      </c>
      <c r="K20" s="577" t="str">
        <f t="shared" si="5"/>
        <v/>
      </c>
      <c r="L20" s="301">
        <f>SUMIFS('Rent Roll'!$O:$O,'Rent Roll'!$G:$G,'Unit Mix'!$E20,'Rent Roll'!$D:$D,'Unit Mix'!D20)</f>
        <v>0</v>
      </c>
      <c r="M20" s="576" t="e">
        <f t="shared" si="6"/>
        <v>#DIV/0!</v>
      </c>
      <c r="N20" s="577" t="str">
        <f t="shared" si="7"/>
        <v/>
      </c>
      <c r="O20" s="301" t="e">
        <f t="shared" si="8"/>
        <v>#DIV/0!</v>
      </c>
      <c r="P20" s="788" t="e">
        <f t="shared" si="9"/>
        <v>#DIV/0!</v>
      </c>
      <c r="Q20" s="577" t="str">
        <f t="shared" si="10"/>
        <v/>
      </c>
      <c r="R20" s="312" t="e">
        <f t="shared" si="11"/>
        <v>#DIV/0!</v>
      </c>
      <c r="S20" s="318" t="e">
        <f t="shared" si="3"/>
        <v>#DIV/0!</v>
      </c>
      <c r="T20" s="313" t="str">
        <f t="shared" si="12"/>
        <v/>
      </c>
      <c r="U20" s="114">
        <f>_xlfn.MINIFS('Rent Roll'!$M:$M,'Rent Roll'!$G:$G,'Unit Mix'!E20,'Rent Roll'!$D:$D,'Unit Mix'!D20,'Rent Roll'!$J:$J,"&lt;&gt;Vacant",'Rent Roll'!$M:$M,"&gt;100")</f>
        <v>0</v>
      </c>
      <c r="V20" s="114">
        <f>_xlfn.MAXIFS('Rent Roll'!$M:$M,'Rent Roll'!$G:$G,'Unit Mix'!E20,'Rent Roll'!$D:$D,'Unit Mix'!D20,'Rent Roll'!$J:$J,"&lt;&gt;Vacant")</f>
        <v>0</v>
      </c>
      <c r="W20" s="311">
        <f>SUMIFS('Rent Roll'!$Q:$Q,'Rent Roll'!$G:$G,'Unit Mix'!$E20,'Rent Roll'!$D:$D,'Unit Mix'!D20)</f>
        <v>0</v>
      </c>
      <c r="AA20" s="586">
        <f>COUNTIFS('Rent Roll'!$G:$G,'Unit Mix'!$E20,'Rent Roll'!$L:$L,"Occ",'Rent Roll'!$D:$D,'Unit Mix'!D20)+COUNTIFS('Rent Roll'!$G:$G,'Unit Mix'!$E20,'Rent Roll'!$L:$L,"Admin",'Rent Roll'!$D:$D,'Unit Mix'!D20)+COUNTIFS('Rent Roll'!$G:$G,'Unit Mix'!$E20,'Rent Roll'!$L:$L,"Model",'Rent Roll'!$D:$D,'Unit Mix'!D20)+COUNTIFS('Rent Roll'!$G:$G,'Unit Mix'!$E20,'Rent Roll'!$L:$L,"Down",'Rent Roll'!$D:$D,'Unit Mix'!D20)</f>
        <v>0</v>
      </c>
      <c r="AB20" s="575">
        <f>SUMIFS('Rent Roll'!$K:$K,'Rent Roll'!$G:$G,'Unit Mix'!$E20,'Rent Roll'!$L:$L,"Occ",'Rent Roll'!$D:$D,'Unit Mix'!D20)+SUMIFS('Rent Roll'!$K:$K,'Rent Roll'!$G:$G,'Unit Mix'!$E20,'Rent Roll'!$L:$L,"Admin",'Rent Roll'!$D:$D,'Unit Mix'!D20)+SUMIFS('Rent Roll'!$K:$K,'Rent Roll'!$G:$G,'Unit Mix'!$E20,'Rent Roll'!$L:$L,"Model",'Rent Roll'!$D:$D,'Unit Mix'!D20)+SUMIFS('Rent Roll'!$K:$K,'Rent Roll'!$G:$G,'Unit Mix'!$E20,'Rent Roll'!$L:$L,"Down",'Rent Roll'!$D:$D,'Unit Mix'!D20)</f>
        <v>0</v>
      </c>
      <c r="AC20" s="691" t="e" cm="1">
        <f t="array" ref="AC20">INDEX('Lease Comps'!$I$10:$I$24,MATCH('Unit Mix'!AI20,'Lease Comps'!$A$10:$A$24,0)+1)</f>
        <v>#DIV/0!</v>
      </c>
      <c r="AD20" s="460"/>
      <c r="AE20" s="515"/>
      <c r="AF20" s="515"/>
      <c r="AG20" s="220"/>
      <c r="AH20" s="557" t="str">
        <f t="shared" si="13"/>
        <v>1 Bedroom</v>
      </c>
      <c r="AI20" s="557" t="str">
        <f t="shared" si="14"/>
        <v>1BR</v>
      </c>
    </row>
    <row r="21" spans="4:35" ht="14.1" customHeight="1" x14ac:dyDescent="0.25">
      <c r="D21" s="110" t="str">
        <f>OneLineRR!B20</f>
        <v>Hudson View Park</v>
      </c>
      <c r="E21" s="111" t="str">
        <f>OneLineRR!C20</f>
        <v>1BD - Small III, Silver</v>
      </c>
      <c r="F21" s="574">
        <f>COUNTIFS('Rent Roll'!$G:$G,'Unit Mix'!$E21,'Rent Roll'!$D:$D,'Unit Mix'!D21)</f>
        <v>0</v>
      </c>
      <c r="G21" s="575">
        <f>SUMIFS('Rent Roll'!$K:$K,'Rent Roll'!$G:$G,'Unit Mix'!$E21,'Rent Roll'!$D:$D,'Unit Mix'!D21)</f>
        <v>0</v>
      </c>
      <c r="H21" s="575" t="e">
        <f t="shared" si="4"/>
        <v>#DIV/0!</v>
      </c>
      <c r="I21" s="301">
        <f>SUMIFS('Rent Roll'!$M:$M,'Rent Roll'!$G:$G,'Unit Mix'!$E21,'Rent Roll'!$D:$D,'Unit Mix'!D21)+SUMIFS('Rent Roll'!$N:$N,'Rent Roll'!$G:$G,'Unit Mix'!$E21,'Rent Roll'!$D:$D,'Unit Mix'!D21)</f>
        <v>0</v>
      </c>
      <c r="J21" s="576" t="str">
        <f t="shared" si="0"/>
        <v/>
      </c>
      <c r="K21" s="577" t="str">
        <f t="shared" si="5"/>
        <v/>
      </c>
      <c r="L21" s="301">
        <f>SUMIFS('Rent Roll'!$O:$O,'Rent Roll'!$G:$G,'Unit Mix'!$E21,'Rent Roll'!$D:$D,'Unit Mix'!D21)</f>
        <v>0</v>
      </c>
      <c r="M21" s="576" t="e">
        <f t="shared" si="6"/>
        <v>#DIV/0!</v>
      </c>
      <c r="N21" s="577" t="str">
        <f t="shared" si="7"/>
        <v/>
      </c>
      <c r="O21" s="301" t="e">
        <f t="shared" si="8"/>
        <v>#DIV/0!</v>
      </c>
      <c r="P21" s="788" t="e">
        <f t="shared" si="9"/>
        <v>#DIV/0!</v>
      </c>
      <c r="Q21" s="577" t="str">
        <f t="shared" si="10"/>
        <v/>
      </c>
      <c r="R21" s="312" t="e">
        <f t="shared" si="11"/>
        <v>#DIV/0!</v>
      </c>
      <c r="S21" s="318" t="e">
        <f t="shared" si="3"/>
        <v>#DIV/0!</v>
      </c>
      <c r="T21" s="313" t="str">
        <f t="shared" si="12"/>
        <v/>
      </c>
      <c r="U21" s="114">
        <f>_xlfn.MINIFS('Rent Roll'!$M:$M,'Rent Roll'!$G:$G,'Unit Mix'!E21,'Rent Roll'!$D:$D,'Unit Mix'!D21,'Rent Roll'!$J:$J,"&lt;&gt;Vacant",'Rent Roll'!$M:$M,"&gt;100")</f>
        <v>0</v>
      </c>
      <c r="V21" s="114">
        <f>_xlfn.MAXIFS('Rent Roll'!$M:$M,'Rent Roll'!$G:$G,'Unit Mix'!E21,'Rent Roll'!$D:$D,'Unit Mix'!D21,'Rent Roll'!$J:$J,"&lt;&gt;Vacant")</f>
        <v>0</v>
      </c>
      <c r="W21" s="311">
        <f>SUMIFS('Rent Roll'!$Q:$Q,'Rent Roll'!$G:$G,'Unit Mix'!$E21,'Rent Roll'!$D:$D,'Unit Mix'!D21)</f>
        <v>0</v>
      </c>
      <c r="AA21" s="586">
        <f>COUNTIFS('Rent Roll'!$G:$G,'Unit Mix'!$E21,'Rent Roll'!$L:$L,"Occ",'Rent Roll'!$D:$D,'Unit Mix'!D21)+COUNTIFS('Rent Roll'!$G:$G,'Unit Mix'!$E21,'Rent Roll'!$L:$L,"Admin",'Rent Roll'!$D:$D,'Unit Mix'!D21)+COUNTIFS('Rent Roll'!$G:$G,'Unit Mix'!$E21,'Rent Roll'!$L:$L,"Model",'Rent Roll'!$D:$D,'Unit Mix'!D21)+COUNTIFS('Rent Roll'!$G:$G,'Unit Mix'!$E21,'Rent Roll'!$L:$L,"Down",'Rent Roll'!$D:$D,'Unit Mix'!D21)</f>
        <v>0</v>
      </c>
      <c r="AB21" s="575">
        <f>SUMIFS('Rent Roll'!$K:$K,'Rent Roll'!$G:$G,'Unit Mix'!$E21,'Rent Roll'!$L:$L,"Occ",'Rent Roll'!$D:$D,'Unit Mix'!D21)+SUMIFS('Rent Roll'!$K:$K,'Rent Roll'!$G:$G,'Unit Mix'!$E21,'Rent Roll'!$L:$L,"Admin",'Rent Roll'!$D:$D,'Unit Mix'!D21)+SUMIFS('Rent Roll'!$K:$K,'Rent Roll'!$G:$G,'Unit Mix'!$E21,'Rent Roll'!$L:$L,"Model",'Rent Roll'!$D:$D,'Unit Mix'!D21)+SUMIFS('Rent Roll'!$K:$K,'Rent Roll'!$G:$G,'Unit Mix'!$E21,'Rent Roll'!$L:$L,"Down",'Rent Roll'!$D:$D,'Unit Mix'!D21)</f>
        <v>0</v>
      </c>
      <c r="AC21" s="691" t="e" cm="1">
        <f t="array" ref="AC21">INDEX('Lease Comps'!$I$10:$I$24,MATCH('Unit Mix'!AI21,'Lease Comps'!$A$10:$A$24,0)+1)</f>
        <v>#DIV/0!</v>
      </c>
      <c r="AD21" s="460"/>
      <c r="AE21" s="515"/>
      <c r="AF21" s="515"/>
      <c r="AG21" s="220"/>
      <c r="AH21" s="557" t="str">
        <f t="shared" si="13"/>
        <v>1 Bedroom</v>
      </c>
      <c r="AI21" s="557" t="str">
        <f t="shared" si="14"/>
        <v>1BR</v>
      </c>
    </row>
    <row r="22" spans="4:35" ht="14.1" customHeight="1" x14ac:dyDescent="0.25">
      <c r="D22" s="110" t="str">
        <f>OneLineRR!B21</f>
        <v>Hudson View Park</v>
      </c>
      <c r="E22" s="111" t="str">
        <f>OneLineRR!C21</f>
        <v>1BD - Split, Gold</v>
      </c>
      <c r="F22" s="574">
        <f>COUNTIFS('Rent Roll'!$G:$G,'Unit Mix'!$E22,'Rent Roll'!$D:$D,'Unit Mix'!D22)</f>
        <v>0</v>
      </c>
      <c r="G22" s="575">
        <f>SUMIFS('Rent Roll'!$K:$K,'Rent Roll'!$G:$G,'Unit Mix'!$E22,'Rent Roll'!$D:$D,'Unit Mix'!D22)</f>
        <v>0</v>
      </c>
      <c r="H22" s="575" t="e">
        <f t="shared" si="4"/>
        <v>#DIV/0!</v>
      </c>
      <c r="I22" s="301">
        <f>SUMIFS('Rent Roll'!$M:$M,'Rent Roll'!$G:$G,'Unit Mix'!$E22,'Rent Roll'!$D:$D,'Unit Mix'!D22)+SUMIFS('Rent Roll'!$N:$N,'Rent Roll'!$G:$G,'Unit Mix'!$E22,'Rent Roll'!$D:$D,'Unit Mix'!D22)</f>
        <v>0</v>
      </c>
      <c r="J22" s="576" t="str">
        <f t="shared" si="0"/>
        <v/>
      </c>
      <c r="K22" s="577" t="str">
        <f t="shared" si="5"/>
        <v/>
      </c>
      <c r="L22" s="301">
        <f>SUMIFS('Rent Roll'!$O:$O,'Rent Roll'!$G:$G,'Unit Mix'!$E22,'Rent Roll'!$D:$D,'Unit Mix'!D22)</f>
        <v>0</v>
      </c>
      <c r="M22" s="576" t="e">
        <f t="shared" si="6"/>
        <v>#DIV/0!</v>
      </c>
      <c r="N22" s="577" t="str">
        <f t="shared" si="7"/>
        <v/>
      </c>
      <c r="O22" s="301" t="e">
        <f t="shared" si="8"/>
        <v>#DIV/0!</v>
      </c>
      <c r="P22" s="788" t="e">
        <f t="shared" si="9"/>
        <v>#DIV/0!</v>
      </c>
      <c r="Q22" s="577" t="str">
        <f t="shared" si="10"/>
        <v/>
      </c>
      <c r="R22" s="312" t="e">
        <f t="shared" si="11"/>
        <v>#DIV/0!</v>
      </c>
      <c r="S22" s="318" t="e">
        <f t="shared" si="3"/>
        <v>#DIV/0!</v>
      </c>
      <c r="T22" s="313" t="str">
        <f t="shared" si="12"/>
        <v/>
      </c>
      <c r="U22" s="114">
        <f>_xlfn.MINIFS('Rent Roll'!$M:$M,'Rent Roll'!$G:$G,'Unit Mix'!E22,'Rent Roll'!$D:$D,'Unit Mix'!D22,'Rent Roll'!$J:$J,"&lt;&gt;Vacant",'Rent Roll'!$M:$M,"&gt;100")</f>
        <v>0</v>
      </c>
      <c r="V22" s="114">
        <f>_xlfn.MAXIFS('Rent Roll'!$M:$M,'Rent Roll'!$G:$G,'Unit Mix'!E22,'Rent Roll'!$D:$D,'Unit Mix'!D22,'Rent Roll'!$J:$J,"&lt;&gt;Vacant")</f>
        <v>0</v>
      </c>
      <c r="W22" s="311">
        <f>SUMIFS('Rent Roll'!$Q:$Q,'Rent Roll'!$G:$G,'Unit Mix'!$E22,'Rent Roll'!$D:$D,'Unit Mix'!D22)</f>
        <v>0</v>
      </c>
      <c r="AA22" s="586">
        <f>COUNTIFS('Rent Roll'!$G:$G,'Unit Mix'!$E22,'Rent Roll'!$L:$L,"Occ",'Rent Roll'!$D:$D,'Unit Mix'!D22)+COUNTIFS('Rent Roll'!$G:$G,'Unit Mix'!$E22,'Rent Roll'!$L:$L,"Admin",'Rent Roll'!$D:$D,'Unit Mix'!D22)+COUNTIFS('Rent Roll'!$G:$G,'Unit Mix'!$E22,'Rent Roll'!$L:$L,"Model",'Rent Roll'!$D:$D,'Unit Mix'!D22)+COUNTIFS('Rent Roll'!$G:$G,'Unit Mix'!$E22,'Rent Roll'!$L:$L,"Down",'Rent Roll'!$D:$D,'Unit Mix'!D22)</f>
        <v>0</v>
      </c>
      <c r="AB22" s="575">
        <f>SUMIFS('Rent Roll'!$K:$K,'Rent Roll'!$G:$G,'Unit Mix'!$E22,'Rent Roll'!$L:$L,"Occ",'Rent Roll'!$D:$D,'Unit Mix'!D22)+SUMIFS('Rent Roll'!$K:$K,'Rent Roll'!$G:$G,'Unit Mix'!$E22,'Rent Roll'!$L:$L,"Admin",'Rent Roll'!$D:$D,'Unit Mix'!D22)+SUMIFS('Rent Roll'!$K:$K,'Rent Roll'!$G:$G,'Unit Mix'!$E22,'Rent Roll'!$L:$L,"Model",'Rent Roll'!$D:$D,'Unit Mix'!D22)+SUMIFS('Rent Roll'!$K:$K,'Rent Roll'!$G:$G,'Unit Mix'!$E22,'Rent Roll'!$L:$L,"Down",'Rent Roll'!$D:$D,'Unit Mix'!D22)</f>
        <v>0</v>
      </c>
      <c r="AC22" s="691" t="e" cm="1">
        <f t="array" ref="AC22">INDEX('Lease Comps'!$I$10:$I$24,MATCH('Unit Mix'!AI22,'Lease Comps'!$A$10:$A$24,0)+1)</f>
        <v>#DIV/0!</v>
      </c>
      <c r="AD22" s="460"/>
      <c r="AE22" s="515"/>
      <c r="AF22" s="515"/>
      <c r="AG22" s="220"/>
      <c r="AH22" s="557" t="str">
        <f t="shared" si="13"/>
        <v>1 Bedroom</v>
      </c>
      <c r="AI22" s="557" t="str">
        <f t="shared" si="14"/>
        <v>1BR</v>
      </c>
    </row>
    <row r="23" spans="4:35" ht="14.1" customHeight="1" x14ac:dyDescent="0.25">
      <c r="D23" s="110" t="str">
        <f>OneLineRR!B22</f>
        <v>Hudson View Park</v>
      </c>
      <c r="E23" s="111" t="str">
        <f>OneLineRR!C22</f>
        <v>1BD - Split, Platinum</v>
      </c>
      <c r="F23" s="574">
        <f>COUNTIFS('Rent Roll'!$G:$G,'Unit Mix'!$E23,'Rent Roll'!$D:$D,'Unit Mix'!D23)</f>
        <v>0</v>
      </c>
      <c r="G23" s="575">
        <f>SUMIFS('Rent Roll'!$K:$K,'Rent Roll'!$G:$G,'Unit Mix'!$E23,'Rent Roll'!$D:$D,'Unit Mix'!D23)</f>
        <v>0</v>
      </c>
      <c r="H23" s="575" t="e">
        <f t="shared" si="4"/>
        <v>#DIV/0!</v>
      </c>
      <c r="I23" s="301">
        <f>SUMIFS('Rent Roll'!$M:$M,'Rent Roll'!$G:$G,'Unit Mix'!$E23,'Rent Roll'!$D:$D,'Unit Mix'!D23)+SUMIFS('Rent Roll'!$N:$N,'Rent Roll'!$G:$G,'Unit Mix'!$E23,'Rent Roll'!$D:$D,'Unit Mix'!D23)</f>
        <v>0</v>
      </c>
      <c r="J23" s="576" t="str">
        <f t="shared" si="0"/>
        <v/>
      </c>
      <c r="K23" s="577" t="str">
        <f t="shared" si="5"/>
        <v/>
      </c>
      <c r="L23" s="301">
        <f>SUMIFS('Rent Roll'!$O:$O,'Rent Roll'!$G:$G,'Unit Mix'!$E23,'Rent Roll'!$D:$D,'Unit Mix'!D23)</f>
        <v>0</v>
      </c>
      <c r="M23" s="576" t="e">
        <f t="shared" si="6"/>
        <v>#DIV/0!</v>
      </c>
      <c r="N23" s="577" t="str">
        <f t="shared" si="7"/>
        <v/>
      </c>
      <c r="O23" s="301" t="e">
        <f t="shared" si="8"/>
        <v>#DIV/0!</v>
      </c>
      <c r="P23" s="788" t="e">
        <f t="shared" si="9"/>
        <v>#DIV/0!</v>
      </c>
      <c r="Q23" s="577" t="str">
        <f t="shared" si="10"/>
        <v/>
      </c>
      <c r="R23" s="312" t="e">
        <f t="shared" si="11"/>
        <v>#DIV/0!</v>
      </c>
      <c r="S23" s="318" t="e">
        <f t="shared" si="3"/>
        <v>#DIV/0!</v>
      </c>
      <c r="T23" s="313" t="str">
        <f t="shared" si="12"/>
        <v/>
      </c>
      <c r="U23" s="114">
        <f>_xlfn.MINIFS('Rent Roll'!$M:$M,'Rent Roll'!$G:$G,'Unit Mix'!E23,'Rent Roll'!$D:$D,'Unit Mix'!D23,'Rent Roll'!$J:$J,"&lt;&gt;Vacant",'Rent Roll'!$M:$M,"&gt;100")</f>
        <v>0</v>
      </c>
      <c r="V23" s="114">
        <f>_xlfn.MAXIFS('Rent Roll'!$M:$M,'Rent Roll'!$G:$G,'Unit Mix'!E23,'Rent Roll'!$D:$D,'Unit Mix'!D23,'Rent Roll'!$J:$J,"&lt;&gt;Vacant")</f>
        <v>0</v>
      </c>
      <c r="W23" s="311">
        <f>SUMIFS('Rent Roll'!$Q:$Q,'Rent Roll'!$G:$G,'Unit Mix'!$E23,'Rent Roll'!$D:$D,'Unit Mix'!D23)</f>
        <v>0</v>
      </c>
      <c r="AA23" s="586">
        <f>COUNTIFS('Rent Roll'!$G:$G,'Unit Mix'!$E23,'Rent Roll'!$L:$L,"Occ",'Rent Roll'!$D:$D,'Unit Mix'!D23)+COUNTIFS('Rent Roll'!$G:$G,'Unit Mix'!$E23,'Rent Roll'!$L:$L,"Admin",'Rent Roll'!$D:$D,'Unit Mix'!D23)+COUNTIFS('Rent Roll'!$G:$G,'Unit Mix'!$E23,'Rent Roll'!$L:$L,"Model",'Rent Roll'!$D:$D,'Unit Mix'!D23)+COUNTIFS('Rent Roll'!$G:$G,'Unit Mix'!$E23,'Rent Roll'!$L:$L,"Down",'Rent Roll'!$D:$D,'Unit Mix'!D23)</f>
        <v>0</v>
      </c>
      <c r="AB23" s="575">
        <f>SUMIFS('Rent Roll'!$K:$K,'Rent Roll'!$G:$G,'Unit Mix'!$E23,'Rent Roll'!$L:$L,"Occ",'Rent Roll'!$D:$D,'Unit Mix'!D23)+SUMIFS('Rent Roll'!$K:$K,'Rent Roll'!$G:$G,'Unit Mix'!$E23,'Rent Roll'!$L:$L,"Admin",'Rent Roll'!$D:$D,'Unit Mix'!D23)+SUMIFS('Rent Roll'!$K:$K,'Rent Roll'!$G:$G,'Unit Mix'!$E23,'Rent Roll'!$L:$L,"Model",'Rent Roll'!$D:$D,'Unit Mix'!D23)+SUMIFS('Rent Roll'!$K:$K,'Rent Roll'!$G:$G,'Unit Mix'!$E23,'Rent Roll'!$L:$L,"Down",'Rent Roll'!$D:$D,'Unit Mix'!D23)</f>
        <v>0</v>
      </c>
      <c r="AC23" s="691" t="e" cm="1">
        <f t="array" ref="AC23">INDEX('Lease Comps'!$I$10:$I$24,MATCH('Unit Mix'!AI23,'Lease Comps'!$A$10:$A$24,0)+1)</f>
        <v>#DIV/0!</v>
      </c>
      <c r="AD23" s="460"/>
      <c r="AE23" s="515"/>
      <c r="AF23" s="515"/>
      <c r="AG23" s="220"/>
      <c r="AH23" s="557" t="str">
        <f t="shared" si="13"/>
        <v>1 Bedroom</v>
      </c>
      <c r="AI23" s="557" t="str">
        <f t="shared" si="14"/>
        <v>1BR</v>
      </c>
    </row>
    <row r="24" spans="4:35" ht="14.1" customHeight="1" x14ac:dyDescent="0.25">
      <c r="D24" s="110" t="str">
        <f>OneLineRR!B23</f>
        <v>Hudson View Park</v>
      </c>
      <c r="E24" s="111" t="str">
        <f>OneLineRR!C23</f>
        <v>1BD - Split, Silver</v>
      </c>
      <c r="F24" s="574">
        <f>COUNTIFS('Rent Roll'!$G:$G,'Unit Mix'!$E24,'Rent Roll'!$D:$D,'Unit Mix'!D24)</f>
        <v>0</v>
      </c>
      <c r="G24" s="575">
        <f>SUMIFS('Rent Roll'!$K:$K,'Rent Roll'!$G:$G,'Unit Mix'!$E24,'Rent Roll'!$D:$D,'Unit Mix'!D24)</f>
        <v>0</v>
      </c>
      <c r="H24" s="575" t="e">
        <f t="shared" si="4"/>
        <v>#DIV/0!</v>
      </c>
      <c r="I24" s="301">
        <f>SUMIFS('Rent Roll'!$M:$M,'Rent Roll'!$G:$G,'Unit Mix'!$E24,'Rent Roll'!$D:$D,'Unit Mix'!D24)+SUMIFS('Rent Roll'!$N:$N,'Rent Roll'!$G:$G,'Unit Mix'!$E24,'Rent Roll'!$D:$D,'Unit Mix'!D24)</f>
        <v>0</v>
      </c>
      <c r="J24" s="576" t="str">
        <f t="shared" si="0"/>
        <v/>
      </c>
      <c r="K24" s="577" t="str">
        <f t="shared" si="5"/>
        <v/>
      </c>
      <c r="L24" s="301">
        <f>SUMIFS('Rent Roll'!$O:$O,'Rent Roll'!$G:$G,'Unit Mix'!$E24,'Rent Roll'!$D:$D,'Unit Mix'!D24)</f>
        <v>0</v>
      </c>
      <c r="M24" s="576" t="e">
        <f t="shared" si="6"/>
        <v>#DIV/0!</v>
      </c>
      <c r="N24" s="577" t="str">
        <f t="shared" si="7"/>
        <v/>
      </c>
      <c r="O24" s="301" t="e">
        <f t="shared" si="8"/>
        <v>#DIV/0!</v>
      </c>
      <c r="P24" s="788" t="e">
        <f t="shared" si="9"/>
        <v>#DIV/0!</v>
      </c>
      <c r="Q24" s="577" t="str">
        <f t="shared" si="10"/>
        <v/>
      </c>
      <c r="R24" s="312" t="e">
        <f t="shared" si="11"/>
        <v>#DIV/0!</v>
      </c>
      <c r="S24" s="318" t="e">
        <f t="shared" si="3"/>
        <v>#DIV/0!</v>
      </c>
      <c r="T24" s="313" t="str">
        <f t="shared" si="12"/>
        <v/>
      </c>
      <c r="U24" s="114">
        <f>_xlfn.MINIFS('Rent Roll'!$M:$M,'Rent Roll'!$G:$G,'Unit Mix'!E24,'Rent Roll'!$D:$D,'Unit Mix'!D24,'Rent Roll'!$J:$J,"&lt;&gt;Vacant",'Rent Roll'!$M:$M,"&gt;100")</f>
        <v>0</v>
      </c>
      <c r="V24" s="114">
        <f>_xlfn.MAXIFS('Rent Roll'!$M:$M,'Rent Roll'!$G:$G,'Unit Mix'!E24,'Rent Roll'!$D:$D,'Unit Mix'!D24,'Rent Roll'!$J:$J,"&lt;&gt;Vacant")</f>
        <v>0</v>
      </c>
      <c r="W24" s="311">
        <f>SUMIFS('Rent Roll'!$Q:$Q,'Rent Roll'!$G:$G,'Unit Mix'!$E24,'Rent Roll'!$D:$D,'Unit Mix'!D24)</f>
        <v>0</v>
      </c>
      <c r="AA24" s="586">
        <f>COUNTIFS('Rent Roll'!$G:$G,'Unit Mix'!$E24,'Rent Roll'!$L:$L,"Occ",'Rent Roll'!$D:$D,'Unit Mix'!D24)+COUNTIFS('Rent Roll'!$G:$G,'Unit Mix'!$E24,'Rent Roll'!$L:$L,"Admin",'Rent Roll'!$D:$D,'Unit Mix'!D24)+COUNTIFS('Rent Roll'!$G:$G,'Unit Mix'!$E24,'Rent Roll'!$L:$L,"Model",'Rent Roll'!$D:$D,'Unit Mix'!D24)+COUNTIFS('Rent Roll'!$G:$G,'Unit Mix'!$E24,'Rent Roll'!$L:$L,"Down",'Rent Roll'!$D:$D,'Unit Mix'!D24)</f>
        <v>0</v>
      </c>
      <c r="AB24" s="575">
        <f>SUMIFS('Rent Roll'!$K:$K,'Rent Roll'!$G:$G,'Unit Mix'!$E24,'Rent Roll'!$L:$L,"Occ",'Rent Roll'!$D:$D,'Unit Mix'!D24)+SUMIFS('Rent Roll'!$K:$K,'Rent Roll'!$G:$G,'Unit Mix'!$E24,'Rent Roll'!$L:$L,"Admin",'Rent Roll'!$D:$D,'Unit Mix'!D24)+SUMIFS('Rent Roll'!$K:$K,'Rent Roll'!$G:$G,'Unit Mix'!$E24,'Rent Roll'!$L:$L,"Model",'Rent Roll'!$D:$D,'Unit Mix'!D24)+SUMIFS('Rent Roll'!$K:$K,'Rent Roll'!$G:$G,'Unit Mix'!$E24,'Rent Roll'!$L:$L,"Down",'Rent Roll'!$D:$D,'Unit Mix'!D24)</f>
        <v>0</v>
      </c>
      <c r="AC24" s="691" t="e" cm="1">
        <f t="array" ref="AC24">INDEX('Lease Comps'!$I$10:$I$24,MATCH('Unit Mix'!AI24,'Lease Comps'!$A$10:$A$24,0)+1)</f>
        <v>#DIV/0!</v>
      </c>
      <c r="AD24" s="460"/>
      <c r="AE24" s="515"/>
      <c r="AF24" s="515"/>
      <c r="AG24" s="220"/>
      <c r="AH24" s="557" t="str">
        <f t="shared" si="13"/>
        <v>1 Bedroom</v>
      </c>
      <c r="AI24" s="557" t="str">
        <f t="shared" si="14"/>
        <v>1BR</v>
      </c>
    </row>
    <row r="25" spans="4:35" ht="14.1" customHeight="1" x14ac:dyDescent="0.25">
      <c r="D25" s="110" t="str">
        <f>OneLineRR!B24</f>
        <v>Hudson View Park</v>
      </c>
      <c r="E25" s="111" t="str">
        <f>OneLineRR!C24</f>
        <v>1BD - Medium, Gold</v>
      </c>
      <c r="F25" s="574">
        <f>COUNTIFS('Rent Roll'!$G:$G,'Unit Mix'!$E25,'Rent Roll'!$D:$D,'Unit Mix'!D25)</f>
        <v>0</v>
      </c>
      <c r="G25" s="575">
        <f>SUMIFS('Rent Roll'!$K:$K,'Rent Roll'!$G:$G,'Unit Mix'!$E25,'Rent Roll'!$D:$D,'Unit Mix'!D25)</f>
        <v>0</v>
      </c>
      <c r="H25" s="575" t="e">
        <f t="shared" si="4"/>
        <v>#DIV/0!</v>
      </c>
      <c r="I25" s="301">
        <f>SUMIFS('Rent Roll'!$M:$M,'Rent Roll'!$G:$G,'Unit Mix'!$E25,'Rent Roll'!$D:$D,'Unit Mix'!D25)+SUMIFS('Rent Roll'!$N:$N,'Rent Roll'!$G:$G,'Unit Mix'!$E25,'Rent Roll'!$D:$D,'Unit Mix'!D25)</f>
        <v>0</v>
      </c>
      <c r="J25" s="576" t="str">
        <f t="shared" si="0"/>
        <v/>
      </c>
      <c r="K25" s="577" t="str">
        <f t="shared" si="5"/>
        <v/>
      </c>
      <c r="L25" s="301">
        <f>SUMIFS('Rent Roll'!$O:$O,'Rent Roll'!$G:$G,'Unit Mix'!$E25,'Rent Roll'!$D:$D,'Unit Mix'!D25)</f>
        <v>0</v>
      </c>
      <c r="M25" s="576" t="e">
        <f t="shared" si="6"/>
        <v>#DIV/0!</v>
      </c>
      <c r="N25" s="577" t="str">
        <f t="shared" si="7"/>
        <v/>
      </c>
      <c r="O25" s="301" t="e">
        <f t="shared" si="8"/>
        <v>#DIV/0!</v>
      </c>
      <c r="P25" s="788" t="e">
        <f t="shared" si="9"/>
        <v>#DIV/0!</v>
      </c>
      <c r="Q25" s="577" t="str">
        <f t="shared" si="10"/>
        <v/>
      </c>
      <c r="R25" s="312" t="e">
        <f t="shared" si="11"/>
        <v>#DIV/0!</v>
      </c>
      <c r="S25" s="318" t="e">
        <f t="shared" si="3"/>
        <v>#DIV/0!</v>
      </c>
      <c r="T25" s="313" t="str">
        <f t="shared" si="12"/>
        <v/>
      </c>
      <c r="U25" s="114">
        <f>_xlfn.MINIFS('Rent Roll'!$M:$M,'Rent Roll'!$G:$G,'Unit Mix'!E25,'Rent Roll'!$D:$D,'Unit Mix'!D25,'Rent Roll'!$J:$J,"&lt;&gt;Vacant",'Rent Roll'!$M:$M,"&gt;100")</f>
        <v>0</v>
      </c>
      <c r="V25" s="114">
        <f>_xlfn.MAXIFS('Rent Roll'!$M:$M,'Rent Roll'!$G:$G,'Unit Mix'!E25,'Rent Roll'!$D:$D,'Unit Mix'!D25,'Rent Roll'!$J:$J,"&lt;&gt;Vacant")</f>
        <v>0</v>
      </c>
      <c r="W25" s="311">
        <f>SUMIFS('Rent Roll'!$Q:$Q,'Rent Roll'!$G:$G,'Unit Mix'!$E25,'Rent Roll'!$D:$D,'Unit Mix'!D25)</f>
        <v>0</v>
      </c>
      <c r="AA25" s="586">
        <f>COUNTIFS('Rent Roll'!$G:$G,'Unit Mix'!$E25,'Rent Roll'!$L:$L,"Occ",'Rent Roll'!$D:$D,'Unit Mix'!D25)+COUNTIFS('Rent Roll'!$G:$G,'Unit Mix'!$E25,'Rent Roll'!$L:$L,"Admin",'Rent Roll'!$D:$D,'Unit Mix'!D25)+COUNTIFS('Rent Roll'!$G:$G,'Unit Mix'!$E25,'Rent Roll'!$L:$L,"Model",'Rent Roll'!$D:$D,'Unit Mix'!D25)+COUNTIFS('Rent Roll'!$G:$G,'Unit Mix'!$E25,'Rent Roll'!$L:$L,"Down",'Rent Roll'!$D:$D,'Unit Mix'!D25)</f>
        <v>0</v>
      </c>
      <c r="AB25" s="575">
        <f>SUMIFS('Rent Roll'!$K:$K,'Rent Roll'!$G:$G,'Unit Mix'!$E25,'Rent Roll'!$L:$L,"Occ",'Rent Roll'!$D:$D,'Unit Mix'!D25)+SUMIFS('Rent Roll'!$K:$K,'Rent Roll'!$G:$G,'Unit Mix'!$E25,'Rent Roll'!$L:$L,"Admin",'Rent Roll'!$D:$D,'Unit Mix'!D25)+SUMIFS('Rent Roll'!$K:$K,'Rent Roll'!$G:$G,'Unit Mix'!$E25,'Rent Roll'!$L:$L,"Model",'Rent Roll'!$D:$D,'Unit Mix'!D25)+SUMIFS('Rent Roll'!$K:$K,'Rent Roll'!$G:$G,'Unit Mix'!$E25,'Rent Roll'!$L:$L,"Down",'Rent Roll'!$D:$D,'Unit Mix'!D25)</f>
        <v>0</v>
      </c>
      <c r="AC25" s="691" t="e" cm="1">
        <f t="array" ref="AC25">INDEX('Lease Comps'!$I$10:$I$24,MATCH('Unit Mix'!AI25,'Lease Comps'!$A$10:$A$24,0)+1)</f>
        <v>#DIV/0!</v>
      </c>
      <c r="AD25" s="460"/>
      <c r="AE25" s="515"/>
      <c r="AF25" s="515"/>
      <c r="AG25" s="220"/>
      <c r="AH25" s="557" t="str">
        <f t="shared" si="13"/>
        <v>1 Bedroom</v>
      </c>
      <c r="AI25" s="557" t="str">
        <f t="shared" si="14"/>
        <v>1BR</v>
      </c>
    </row>
    <row r="26" spans="4:35" ht="14.1" customHeight="1" x14ac:dyDescent="0.25">
      <c r="D26" s="110" t="str">
        <f>OneLineRR!B25</f>
        <v>Hudson View Park</v>
      </c>
      <c r="E26" s="111" t="str">
        <f>OneLineRR!C25</f>
        <v>1BD - Medium, Platinum</v>
      </c>
      <c r="F26" s="574">
        <f>COUNTIFS('Rent Roll'!$G:$G,'Unit Mix'!$E26,'Rent Roll'!$D:$D,'Unit Mix'!D26)</f>
        <v>0</v>
      </c>
      <c r="G26" s="575">
        <f>SUMIFS('Rent Roll'!$K:$K,'Rent Roll'!$G:$G,'Unit Mix'!$E26,'Rent Roll'!$D:$D,'Unit Mix'!D26)</f>
        <v>0</v>
      </c>
      <c r="H26" s="575" t="e">
        <f t="shared" si="4"/>
        <v>#DIV/0!</v>
      </c>
      <c r="I26" s="301">
        <f>SUMIFS('Rent Roll'!$M:$M,'Rent Roll'!$G:$G,'Unit Mix'!$E26,'Rent Roll'!$D:$D,'Unit Mix'!D26)+SUMIFS('Rent Roll'!$N:$N,'Rent Roll'!$G:$G,'Unit Mix'!$E26,'Rent Roll'!$D:$D,'Unit Mix'!D26)</f>
        <v>0</v>
      </c>
      <c r="J26" s="576" t="str">
        <f t="shared" si="0"/>
        <v/>
      </c>
      <c r="K26" s="577" t="str">
        <f t="shared" si="5"/>
        <v/>
      </c>
      <c r="L26" s="301">
        <f>SUMIFS('Rent Roll'!$O:$O,'Rent Roll'!$G:$G,'Unit Mix'!$E26,'Rent Roll'!$D:$D,'Unit Mix'!D26)</f>
        <v>0</v>
      </c>
      <c r="M26" s="576" t="e">
        <f t="shared" si="6"/>
        <v>#DIV/0!</v>
      </c>
      <c r="N26" s="577" t="str">
        <f t="shared" si="7"/>
        <v/>
      </c>
      <c r="O26" s="301" t="e">
        <f t="shared" si="8"/>
        <v>#DIV/0!</v>
      </c>
      <c r="P26" s="788" t="e">
        <f t="shared" si="9"/>
        <v>#DIV/0!</v>
      </c>
      <c r="Q26" s="577" t="str">
        <f t="shared" si="10"/>
        <v/>
      </c>
      <c r="R26" s="312" t="e">
        <f t="shared" si="11"/>
        <v>#DIV/0!</v>
      </c>
      <c r="S26" s="318" t="e">
        <f t="shared" si="3"/>
        <v>#DIV/0!</v>
      </c>
      <c r="T26" s="313" t="str">
        <f t="shared" si="12"/>
        <v/>
      </c>
      <c r="U26" s="114">
        <f>_xlfn.MINIFS('Rent Roll'!$M:$M,'Rent Roll'!$G:$G,'Unit Mix'!E26,'Rent Roll'!$D:$D,'Unit Mix'!D26,'Rent Roll'!$J:$J,"&lt;&gt;Vacant",'Rent Roll'!$M:$M,"&gt;100")</f>
        <v>0</v>
      </c>
      <c r="V26" s="114">
        <f>_xlfn.MAXIFS('Rent Roll'!$M:$M,'Rent Roll'!$G:$G,'Unit Mix'!E26,'Rent Roll'!$D:$D,'Unit Mix'!D26,'Rent Roll'!$J:$J,"&lt;&gt;Vacant")</f>
        <v>0</v>
      </c>
      <c r="W26" s="311">
        <f>SUMIFS('Rent Roll'!$Q:$Q,'Rent Roll'!$G:$G,'Unit Mix'!$E26,'Rent Roll'!$D:$D,'Unit Mix'!D26)</f>
        <v>0</v>
      </c>
      <c r="AA26" s="586">
        <f>COUNTIFS('Rent Roll'!$G:$G,'Unit Mix'!$E26,'Rent Roll'!$L:$L,"Occ",'Rent Roll'!$D:$D,'Unit Mix'!D26)+COUNTIFS('Rent Roll'!$G:$G,'Unit Mix'!$E26,'Rent Roll'!$L:$L,"Admin",'Rent Roll'!$D:$D,'Unit Mix'!D26)+COUNTIFS('Rent Roll'!$G:$G,'Unit Mix'!$E26,'Rent Roll'!$L:$L,"Model",'Rent Roll'!$D:$D,'Unit Mix'!D26)+COUNTIFS('Rent Roll'!$G:$G,'Unit Mix'!$E26,'Rent Roll'!$L:$L,"Down",'Rent Roll'!$D:$D,'Unit Mix'!D26)</f>
        <v>0</v>
      </c>
      <c r="AB26" s="575">
        <f>SUMIFS('Rent Roll'!$K:$K,'Rent Roll'!$G:$G,'Unit Mix'!$E26,'Rent Roll'!$L:$L,"Occ",'Rent Roll'!$D:$D,'Unit Mix'!D26)+SUMIFS('Rent Roll'!$K:$K,'Rent Roll'!$G:$G,'Unit Mix'!$E26,'Rent Roll'!$L:$L,"Admin",'Rent Roll'!$D:$D,'Unit Mix'!D26)+SUMIFS('Rent Roll'!$K:$K,'Rent Roll'!$G:$G,'Unit Mix'!$E26,'Rent Roll'!$L:$L,"Model",'Rent Roll'!$D:$D,'Unit Mix'!D26)+SUMIFS('Rent Roll'!$K:$K,'Rent Roll'!$G:$G,'Unit Mix'!$E26,'Rent Roll'!$L:$L,"Down",'Rent Roll'!$D:$D,'Unit Mix'!D26)</f>
        <v>0</v>
      </c>
      <c r="AC26" s="691" t="e" cm="1">
        <f t="array" ref="AC26">INDEX('Lease Comps'!$I$10:$I$24,MATCH('Unit Mix'!AI26,'Lease Comps'!$A$10:$A$24,0)+1)</f>
        <v>#DIV/0!</v>
      </c>
      <c r="AD26" s="460"/>
      <c r="AE26" s="515"/>
      <c r="AF26" s="515"/>
      <c r="AG26" s="220"/>
      <c r="AH26" s="557" t="str">
        <f t="shared" si="13"/>
        <v>1 Bedroom</v>
      </c>
      <c r="AI26" s="557" t="str">
        <f t="shared" si="14"/>
        <v>1BR</v>
      </c>
    </row>
    <row r="27" spans="4:35" ht="14.1" customHeight="1" x14ac:dyDescent="0.25">
      <c r="D27" s="110" t="str">
        <f>OneLineRR!B26</f>
        <v>Hudson View Park</v>
      </c>
      <c r="E27" s="111" t="str">
        <f>OneLineRR!C26</f>
        <v>1BD - Medium, Silver</v>
      </c>
      <c r="F27" s="574">
        <f>COUNTIFS('Rent Roll'!$G:$G,'Unit Mix'!$E27,'Rent Roll'!$D:$D,'Unit Mix'!D27)</f>
        <v>0</v>
      </c>
      <c r="G27" s="575">
        <f>SUMIFS('Rent Roll'!$K:$K,'Rent Roll'!$G:$G,'Unit Mix'!$E27,'Rent Roll'!$D:$D,'Unit Mix'!D27)</f>
        <v>0</v>
      </c>
      <c r="H27" s="575" t="e">
        <f t="shared" si="4"/>
        <v>#DIV/0!</v>
      </c>
      <c r="I27" s="301">
        <f>SUMIFS('Rent Roll'!$M:$M,'Rent Roll'!$G:$G,'Unit Mix'!$E27,'Rent Roll'!$D:$D,'Unit Mix'!D27)+SUMIFS('Rent Roll'!$N:$N,'Rent Roll'!$G:$G,'Unit Mix'!$E27,'Rent Roll'!$D:$D,'Unit Mix'!D27)</f>
        <v>0</v>
      </c>
      <c r="J27" s="576" t="str">
        <f t="shared" si="0"/>
        <v/>
      </c>
      <c r="K27" s="577" t="str">
        <f t="shared" si="5"/>
        <v/>
      </c>
      <c r="L27" s="301">
        <f>SUMIFS('Rent Roll'!$O:$O,'Rent Roll'!$G:$G,'Unit Mix'!$E27,'Rent Roll'!$D:$D,'Unit Mix'!D27)</f>
        <v>0</v>
      </c>
      <c r="M27" s="576" t="e">
        <f t="shared" si="6"/>
        <v>#DIV/0!</v>
      </c>
      <c r="N27" s="577" t="str">
        <f t="shared" si="7"/>
        <v/>
      </c>
      <c r="O27" s="301" t="e">
        <f t="shared" si="8"/>
        <v>#DIV/0!</v>
      </c>
      <c r="P27" s="788" t="e">
        <f t="shared" si="9"/>
        <v>#DIV/0!</v>
      </c>
      <c r="Q27" s="577" t="str">
        <f t="shared" si="10"/>
        <v/>
      </c>
      <c r="R27" s="312" t="e">
        <f t="shared" si="11"/>
        <v>#DIV/0!</v>
      </c>
      <c r="S27" s="318" t="e">
        <f t="shared" si="3"/>
        <v>#DIV/0!</v>
      </c>
      <c r="T27" s="313" t="str">
        <f t="shared" si="12"/>
        <v/>
      </c>
      <c r="U27" s="114">
        <f>_xlfn.MINIFS('Rent Roll'!$M:$M,'Rent Roll'!$G:$G,'Unit Mix'!E27,'Rent Roll'!$D:$D,'Unit Mix'!D27,'Rent Roll'!$J:$J,"&lt;&gt;Vacant",'Rent Roll'!$M:$M,"&gt;100")</f>
        <v>0</v>
      </c>
      <c r="V27" s="114">
        <f>_xlfn.MAXIFS('Rent Roll'!$M:$M,'Rent Roll'!$G:$G,'Unit Mix'!E27,'Rent Roll'!$D:$D,'Unit Mix'!D27,'Rent Roll'!$J:$J,"&lt;&gt;Vacant")</f>
        <v>0</v>
      </c>
      <c r="W27" s="311">
        <f>SUMIFS('Rent Roll'!$Q:$Q,'Rent Roll'!$G:$G,'Unit Mix'!$E27,'Rent Roll'!$D:$D,'Unit Mix'!D27)</f>
        <v>0</v>
      </c>
      <c r="AA27" s="586">
        <f>COUNTIFS('Rent Roll'!$G:$G,'Unit Mix'!$E27,'Rent Roll'!$L:$L,"Occ",'Rent Roll'!$D:$D,'Unit Mix'!D27)+COUNTIFS('Rent Roll'!$G:$G,'Unit Mix'!$E27,'Rent Roll'!$L:$L,"Admin",'Rent Roll'!$D:$D,'Unit Mix'!D27)+COUNTIFS('Rent Roll'!$G:$G,'Unit Mix'!$E27,'Rent Roll'!$L:$L,"Model",'Rent Roll'!$D:$D,'Unit Mix'!D27)+COUNTIFS('Rent Roll'!$G:$G,'Unit Mix'!$E27,'Rent Roll'!$L:$L,"Down",'Rent Roll'!$D:$D,'Unit Mix'!D27)</f>
        <v>0</v>
      </c>
      <c r="AB27" s="575">
        <f>SUMIFS('Rent Roll'!$K:$K,'Rent Roll'!$G:$G,'Unit Mix'!$E27,'Rent Roll'!$L:$L,"Occ",'Rent Roll'!$D:$D,'Unit Mix'!D27)+SUMIFS('Rent Roll'!$K:$K,'Rent Roll'!$G:$G,'Unit Mix'!$E27,'Rent Roll'!$L:$L,"Admin",'Rent Roll'!$D:$D,'Unit Mix'!D27)+SUMIFS('Rent Roll'!$K:$K,'Rent Roll'!$G:$G,'Unit Mix'!$E27,'Rent Roll'!$L:$L,"Model",'Rent Roll'!$D:$D,'Unit Mix'!D27)+SUMIFS('Rent Roll'!$K:$K,'Rent Roll'!$G:$G,'Unit Mix'!$E27,'Rent Roll'!$L:$L,"Down",'Rent Roll'!$D:$D,'Unit Mix'!D27)</f>
        <v>0</v>
      </c>
      <c r="AC27" s="691" t="e" cm="1">
        <f t="array" ref="AC27">INDEX('Lease Comps'!$I$10:$I$24,MATCH('Unit Mix'!AI27,'Lease Comps'!$A$10:$A$24,0)+1)</f>
        <v>#DIV/0!</v>
      </c>
      <c r="AD27" s="460"/>
      <c r="AE27" s="515"/>
      <c r="AF27" s="515"/>
      <c r="AG27" s="220"/>
      <c r="AH27" s="557" t="str">
        <f t="shared" si="13"/>
        <v>1 Bedroom</v>
      </c>
      <c r="AI27" s="557" t="str">
        <f t="shared" si="14"/>
        <v>1BR</v>
      </c>
    </row>
    <row r="28" spans="4:35" ht="14.1" customHeight="1" x14ac:dyDescent="0.25">
      <c r="D28" s="110" t="str">
        <f>OneLineRR!B27</f>
        <v>Hudson View Park</v>
      </c>
      <c r="E28" s="111" t="str">
        <f>OneLineRR!C27</f>
        <v>1BD - Large , Gold</v>
      </c>
      <c r="F28" s="574">
        <f>COUNTIFS('Rent Roll'!$G:$G,'Unit Mix'!$E28,'Rent Roll'!$D:$D,'Unit Mix'!D28)</f>
        <v>0</v>
      </c>
      <c r="G28" s="575">
        <f>SUMIFS('Rent Roll'!$K:$K,'Rent Roll'!$G:$G,'Unit Mix'!$E28,'Rent Roll'!$D:$D,'Unit Mix'!D28)</f>
        <v>0</v>
      </c>
      <c r="H28" s="575" t="e">
        <f t="shared" si="4"/>
        <v>#DIV/0!</v>
      </c>
      <c r="I28" s="301">
        <f>SUMIFS('Rent Roll'!$M:$M,'Rent Roll'!$G:$G,'Unit Mix'!$E28,'Rent Roll'!$D:$D,'Unit Mix'!D28)+SUMIFS('Rent Roll'!$N:$N,'Rent Roll'!$G:$G,'Unit Mix'!$E28,'Rent Roll'!$D:$D,'Unit Mix'!D28)</f>
        <v>0</v>
      </c>
      <c r="J28" s="576" t="str">
        <f t="shared" si="0"/>
        <v/>
      </c>
      <c r="K28" s="577" t="str">
        <f t="shared" si="5"/>
        <v/>
      </c>
      <c r="L28" s="301">
        <f>SUMIFS('Rent Roll'!$O:$O,'Rent Roll'!$G:$G,'Unit Mix'!$E28,'Rent Roll'!$D:$D,'Unit Mix'!D28)</f>
        <v>0</v>
      </c>
      <c r="M28" s="576" t="e">
        <f t="shared" si="6"/>
        <v>#DIV/0!</v>
      </c>
      <c r="N28" s="577" t="str">
        <f t="shared" si="7"/>
        <v/>
      </c>
      <c r="O28" s="301" t="e">
        <f t="shared" si="8"/>
        <v>#DIV/0!</v>
      </c>
      <c r="P28" s="788" t="e">
        <f t="shared" si="9"/>
        <v>#DIV/0!</v>
      </c>
      <c r="Q28" s="577" t="str">
        <f t="shared" si="10"/>
        <v/>
      </c>
      <c r="R28" s="312" t="e">
        <f t="shared" si="11"/>
        <v>#DIV/0!</v>
      </c>
      <c r="S28" s="318" t="e">
        <f t="shared" si="3"/>
        <v>#DIV/0!</v>
      </c>
      <c r="T28" s="313" t="str">
        <f t="shared" si="12"/>
        <v/>
      </c>
      <c r="U28" s="114">
        <f>_xlfn.MINIFS('Rent Roll'!$M:$M,'Rent Roll'!$G:$G,'Unit Mix'!E28,'Rent Roll'!$D:$D,'Unit Mix'!D28,'Rent Roll'!$J:$J,"&lt;&gt;Vacant",'Rent Roll'!$M:$M,"&gt;100")</f>
        <v>0</v>
      </c>
      <c r="V28" s="114">
        <f>_xlfn.MAXIFS('Rent Roll'!$M:$M,'Rent Roll'!$G:$G,'Unit Mix'!E28,'Rent Roll'!$D:$D,'Unit Mix'!D28,'Rent Roll'!$J:$J,"&lt;&gt;Vacant")</f>
        <v>0</v>
      </c>
      <c r="W28" s="311">
        <f>SUMIFS('Rent Roll'!$Q:$Q,'Rent Roll'!$G:$G,'Unit Mix'!$E28,'Rent Roll'!$D:$D,'Unit Mix'!D28)</f>
        <v>0</v>
      </c>
      <c r="AA28" s="586">
        <f>COUNTIFS('Rent Roll'!$G:$G,'Unit Mix'!$E28,'Rent Roll'!$L:$L,"Occ",'Rent Roll'!$D:$D,'Unit Mix'!D28)+COUNTIFS('Rent Roll'!$G:$G,'Unit Mix'!$E28,'Rent Roll'!$L:$L,"Admin",'Rent Roll'!$D:$D,'Unit Mix'!D28)+COUNTIFS('Rent Roll'!$G:$G,'Unit Mix'!$E28,'Rent Roll'!$L:$L,"Model",'Rent Roll'!$D:$D,'Unit Mix'!D28)+COUNTIFS('Rent Roll'!$G:$G,'Unit Mix'!$E28,'Rent Roll'!$L:$L,"Down",'Rent Roll'!$D:$D,'Unit Mix'!D28)</f>
        <v>0</v>
      </c>
      <c r="AB28" s="575">
        <f>SUMIFS('Rent Roll'!$K:$K,'Rent Roll'!$G:$G,'Unit Mix'!$E28,'Rent Roll'!$L:$L,"Occ",'Rent Roll'!$D:$D,'Unit Mix'!D28)+SUMIFS('Rent Roll'!$K:$K,'Rent Roll'!$G:$G,'Unit Mix'!$E28,'Rent Roll'!$L:$L,"Admin",'Rent Roll'!$D:$D,'Unit Mix'!D28)+SUMIFS('Rent Roll'!$K:$K,'Rent Roll'!$G:$G,'Unit Mix'!$E28,'Rent Roll'!$L:$L,"Model",'Rent Roll'!$D:$D,'Unit Mix'!D28)+SUMIFS('Rent Roll'!$K:$K,'Rent Roll'!$G:$G,'Unit Mix'!$E28,'Rent Roll'!$L:$L,"Down",'Rent Roll'!$D:$D,'Unit Mix'!D28)</f>
        <v>0</v>
      </c>
      <c r="AC28" s="691" t="e" cm="1">
        <f t="array" ref="AC28">INDEX('Lease Comps'!$I$10:$I$24,MATCH('Unit Mix'!AI28,'Lease Comps'!$A$10:$A$24,0)+1)</f>
        <v>#DIV/0!</v>
      </c>
      <c r="AD28" s="460"/>
      <c r="AE28" s="515"/>
      <c r="AF28" s="515"/>
      <c r="AG28" s="220"/>
      <c r="AH28" s="557" t="str">
        <f t="shared" si="13"/>
        <v>1 Bedroom</v>
      </c>
      <c r="AI28" s="557" t="str">
        <f t="shared" si="14"/>
        <v>1BR</v>
      </c>
    </row>
    <row r="29" spans="4:35" ht="14.1" customHeight="1" x14ac:dyDescent="0.25">
      <c r="D29" s="110" t="str">
        <f>OneLineRR!B28</f>
        <v>Hudson View Park</v>
      </c>
      <c r="E29" s="111" t="str">
        <f>OneLineRR!C28</f>
        <v>1BD - Large, Platinum</v>
      </c>
      <c r="F29" s="574">
        <f>COUNTIFS('Rent Roll'!$G:$G,'Unit Mix'!$E29,'Rent Roll'!$D:$D,'Unit Mix'!D29)</f>
        <v>0</v>
      </c>
      <c r="G29" s="575">
        <f>SUMIFS('Rent Roll'!$K:$K,'Rent Roll'!$G:$G,'Unit Mix'!$E29,'Rent Roll'!$D:$D,'Unit Mix'!D29)</f>
        <v>0</v>
      </c>
      <c r="H29" s="575" t="e">
        <f t="shared" si="4"/>
        <v>#DIV/0!</v>
      </c>
      <c r="I29" s="301">
        <f>SUMIFS('Rent Roll'!$M:$M,'Rent Roll'!$G:$G,'Unit Mix'!$E29,'Rent Roll'!$D:$D,'Unit Mix'!D29)+SUMIFS('Rent Roll'!$N:$N,'Rent Roll'!$G:$G,'Unit Mix'!$E29,'Rent Roll'!$D:$D,'Unit Mix'!D29)</f>
        <v>0</v>
      </c>
      <c r="J29" s="576" t="str">
        <f t="shared" si="0"/>
        <v/>
      </c>
      <c r="K29" s="577" t="str">
        <f t="shared" si="5"/>
        <v/>
      </c>
      <c r="L29" s="301">
        <f>SUMIFS('Rent Roll'!$O:$O,'Rent Roll'!$G:$G,'Unit Mix'!$E29,'Rent Roll'!$D:$D,'Unit Mix'!D29)</f>
        <v>0</v>
      </c>
      <c r="M29" s="576" t="e">
        <f t="shared" si="6"/>
        <v>#DIV/0!</v>
      </c>
      <c r="N29" s="577" t="str">
        <f t="shared" si="7"/>
        <v/>
      </c>
      <c r="O29" s="301" t="e">
        <f t="shared" si="8"/>
        <v>#DIV/0!</v>
      </c>
      <c r="P29" s="788" t="e">
        <f t="shared" si="9"/>
        <v>#DIV/0!</v>
      </c>
      <c r="Q29" s="577" t="str">
        <f t="shared" si="10"/>
        <v/>
      </c>
      <c r="R29" s="312" t="e">
        <f t="shared" si="11"/>
        <v>#DIV/0!</v>
      </c>
      <c r="S29" s="318" t="e">
        <f t="shared" si="3"/>
        <v>#DIV/0!</v>
      </c>
      <c r="T29" s="313" t="str">
        <f t="shared" si="12"/>
        <v/>
      </c>
      <c r="U29" s="114">
        <f>_xlfn.MINIFS('Rent Roll'!$M:$M,'Rent Roll'!$G:$G,'Unit Mix'!E29,'Rent Roll'!$D:$D,'Unit Mix'!D29,'Rent Roll'!$J:$J,"&lt;&gt;Vacant",'Rent Roll'!$M:$M,"&gt;100")</f>
        <v>0</v>
      </c>
      <c r="V29" s="114">
        <f>_xlfn.MAXIFS('Rent Roll'!$M:$M,'Rent Roll'!$G:$G,'Unit Mix'!E29,'Rent Roll'!$D:$D,'Unit Mix'!D29,'Rent Roll'!$J:$J,"&lt;&gt;Vacant")</f>
        <v>0</v>
      </c>
      <c r="W29" s="311">
        <f>SUMIFS('Rent Roll'!$Q:$Q,'Rent Roll'!$G:$G,'Unit Mix'!$E29,'Rent Roll'!$D:$D,'Unit Mix'!D29)</f>
        <v>0</v>
      </c>
      <c r="AA29" s="586">
        <f>COUNTIFS('Rent Roll'!$G:$G,'Unit Mix'!$E29,'Rent Roll'!$L:$L,"Occ",'Rent Roll'!$D:$D,'Unit Mix'!D29)+COUNTIFS('Rent Roll'!$G:$G,'Unit Mix'!$E29,'Rent Roll'!$L:$L,"Admin",'Rent Roll'!$D:$D,'Unit Mix'!D29)+COUNTIFS('Rent Roll'!$G:$G,'Unit Mix'!$E29,'Rent Roll'!$L:$L,"Model",'Rent Roll'!$D:$D,'Unit Mix'!D29)+COUNTIFS('Rent Roll'!$G:$G,'Unit Mix'!$E29,'Rent Roll'!$L:$L,"Down",'Rent Roll'!$D:$D,'Unit Mix'!D29)</f>
        <v>0</v>
      </c>
      <c r="AB29" s="575">
        <f>SUMIFS('Rent Roll'!$K:$K,'Rent Roll'!$G:$G,'Unit Mix'!$E29,'Rent Roll'!$L:$L,"Occ",'Rent Roll'!$D:$D,'Unit Mix'!D29)+SUMIFS('Rent Roll'!$K:$K,'Rent Roll'!$G:$G,'Unit Mix'!$E29,'Rent Roll'!$L:$L,"Admin",'Rent Roll'!$D:$D,'Unit Mix'!D29)+SUMIFS('Rent Roll'!$K:$K,'Rent Roll'!$G:$G,'Unit Mix'!$E29,'Rent Roll'!$L:$L,"Model",'Rent Roll'!$D:$D,'Unit Mix'!D29)+SUMIFS('Rent Roll'!$K:$K,'Rent Roll'!$G:$G,'Unit Mix'!$E29,'Rent Roll'!$L:$L,"Down",'Rent Roll'!$D:$D,'Unit Mix'!D29)</f>
        <v>0</v>
      </c>
      <c r="AC29" s="691" t="e" cm="1">
        <f t="array" ref="AC29">INDEX('Lease Comps'!$I$10:$I$24,MATCH('Unit Mix'!AI29,'Lease Comps'!$A$10:$A$24,0)+1)</f>
        <v>#DIV/0!</v>
      </c>
      <c r="AD29" s="460"/>
      <c r="AE29" s="515"/>
      <c r="AF29" s="515"/>
      <c r="AG29" s="220"/>
      <c r="AH29" s="557" t="str">
        <f t="shared" si="13"/>
        <v>1 Bedroom</v>
      </c>
      <c r="AI29" s="557" t="str">
        <f t="shared" si="14"/>
        <v>1BR</v>
      </c>
    </row>
    <row r="30" spans="4:35" ht="14.1" customHeight="1" x14ac:dyDescent="0.25">
      <c r="D30" s="110" t="str">
        <f>OneLineRR!B29</f>
        <v>Hudson View Park</v>
      </c>
      <c r="E30" s="111" t="str">
        <f>OneLineRR!C29</f>
        <v>1BD - Large, Silver</v>
      </c>
      <c r="F30" s="574">
        <f>COUNTIFS('Rent Roll'!$G:$G,'Unit Mix'!$E30,'Rent Roll'!$D:$D,'Unit Mix'!D30)</f>
        <v>0</v>
      </c>
      <c r="G30" s="575">
        <f>SUMIFS('Rent Roll'!$K:$K,'Rent Roll'!$G:$G,'Unit Mix'!$E30,'Rent Roll'!$D:$D,'Unit Mix'!D30)</f>
        <v>0</v>
      </c>
      <c r="H30" s="575" t="e">
        <f t="shared" si="4"/>
        <v>#DIV/0!</v>
      </c>
      <c r="I30" s="301">
        <f>SUMIFS('Rent Roll'!$M:$M,'Rent Roll'!$G:$G,'Unit Mix'!$E30,'Rent Roll'!$D:$D,'Unit Mix'!D30)+SUMIFS('Rent Roll'!$N:$N,'Rent Roll'!$G:$G,'Unit Mix'!$E30,'Rent Roll'!$D:$D,'Unit Mix'!D30)</f>
        <v>0</v>
      </c>
      <c r="J30" s="576" t="str">
        <f t="shared" si="0"/>
        <v/>
      </c>
      <c r="K30" s="577" t="str">
        <f t="shared" si="5"/>
        <v/>
      </c>
      <c r="L30" s="301">
        <f>SUMIFS('Rent Roll'!$O:$O,'Rent Roll'!$G:$G,'Unit Mix'!$E30,'Rent Roll'!$D:$D,'Unit Mix'!D30)</f>
        <v>0</v>
      </c>
      <c r="M30" s="576" t="e">
        <f t="shared" si="6"/>
        <v>#DIV/0!</v>
      </c>
      <c r="N30" s="577" t="str">
        <f t="shared" si="7"/>
        <v/>
      </c>
      <c r="O30" s="301" t="e">
        <f t="shared" si="8"/>
        <v>#DIV/0!</v>
      </c>
      <c r="P30" s="788" t="e">
        <f t="shared" si="9"/>
        <v>#DIV/0!</v>
      </c>
      <c r="Q30" s="577" t="str">
        <f t="shared" si="10"/>
        <v/>
      </c>
      <c r="R30" s="312" t="e">
        <f t="shared" si="11"/>
        <v>#DIV/0!</v>
      </c>
      <c r="S30" s="318" t="e">
        <f t="shared" si="3"/>
        <v>#DIV/0!</v>
      </c>
      <c r="T30" s="313" t="str">
        <f t="shared" si="12"/>
        <v/>
      </c>
      <c r="U30" s="114">
        <f>_xlfn.MINIFS('Rent Roll'!$M:$M,'Rent Roll'!$G:$G,'Unit Mix'!E30,'Rent Roll'!$D:$D,'Unit Mix'!D30,'Rent Roll'!$J:$J,"&lt;&gt;Vacant",'Rent Roll'!$M:$M,"&gt;100")</f>
        <v>0</v>
      </c>
      <c r="V30" s="114">
        <f>_xlfn.MAXIFS('Rent Roll'!$M:$M,'Rent Roll'!$G:$G,'Unit Mix'!E30,'Rent Roll'!$D:$D,'Unit Mix'!D30,'Rent Roll'!$J:$J,"&lt;&gt;Vacant")</f>
        <v>0</v>
      </c>
      <c r="W30" s="311">
        <f>SUMIFS('Rent Roll'!$Q:$Q,'Rent Roll'!$G:$G,'Unit Mix'!$E30,'Rent Roll'!$D:$D,'Unit Mix'!D30)</f>
        <v>0</v>
      </c>
      <c r="AA30" s="586">
        <f>COUNTIFS('Rent Roll'!$G:$G,'Unit Mix'!$E30,'Rent Roll'!$L:$L,"Occ",'Rent Roll'!$D:$D,'Unit Mix'!D30)+COUNTIFS('Rent Roll'!$G:$G,'Unit Mix'!$E30,'Rent Roll'!$L:$L,"Admin",'Rent Roll'!$D:$D,'Unit Mix'!D30)+COUNTIFS('Rent Roll'!$G:$G,'Unit Mix'!$E30,'Rent Roll'!$L:$L,"Model",'Rent Roll'!$D:$D,'Unit Mix'!D30)+COUNTIFS('Rent Roll'!$G:$G,'Unit Mix'!$E30,'Rent Roll'!$L:$L,"Down",'Rent Roll'!$D:$D,'Unit Mix'!D30)</f>
        <v>0</v>
      </c>
      <c r="AB30" s="575">
        <f>SUMIFS('Rent Roll'!$K:$K,'Rent Roll'!$G:$G,'Unit Mix'!$E30,'Rent Roll'!$L:$L,"Occ",'Rent Roll'!$D:$D,'Unit Mix'!D30)+SUMIFS('Rent Roll'!$K:$K,'Rent Roll'!$G:$G,'Unit Mix'!$E30,'Rent Roll'!$L:$L,"Admin",'Rent Roll'!$D:$D,'Unit Mix'!D30)+SUMIFS('Rent Roll'!$K:$K,'Rent Roll'!$G:$G,'Unit Mix'!$E30,'Rent Roll'!$L:$L,"Model",'Rent Roll'!$D:$D,'Unit Mix'!D30)+SUMIFS('Rent Roll'!$K:$K,'Rent Roll'!$G:$G,'Unit Mix'!$E30,'Rent Roll'!$L:$L,"Down",'Rent Roll'!$D:$D,'Unit Mix'!D30)</f>
        <v>0</v>
      </c>
      <c r="AC30" s="691" t="e" cm="1">
        <f t="array" ref="AC30">INDEX('Lease Comps'!$I$10:$I$24,MATCH('Unit Mix'!AI30,'Lease Comps'!$A$10:$A$24,0)+1)</f>
        <v>#DIV/0!</v>
      </c>
      <c r="AD30" s="460"/>
      <c r="AE30" s="515"/>
      <c r="AF30" s="515"/>
      <c r="AG30" s="220"/>
      <c r="AH30" s="557" t="str">
        <f t="shared" si="13"/>
        <v>1 Bedroom</v>
      </c>
      <c r="AI30" s="557" t="str">
        <f t="shared" si="14"/>
        <v>1BR</v>
      </c>
    </row>
    <row r="31" spans="4:35" ht="14.1" customHeight="1" x14ac:dyDescent="0.25">
      <c r="D31" s="110" t="str">
        <f>OneLineRR!B30</f>
        <v>Hudson View Park</v>
      </c>
      <c r="E31" s="111" t="str">
        <f>OneLineRR!C30</f>
        <v>1BD - HalfMoon 10.5, Gold</v>
      </c>
      <c r="F31" s="574">
        <f>COUNTIFS('Rent Roll'!$G:$G,'Unit Mix'!$E31,'Rent Roll'!$D:$D,'Unit Mix'!D31)</f>
        <v>0</v>
      </c>
      <c r="G31" s="575">
        <f>SUMIFS('Rent Roll'!$K:$K,'Rent Roll'!$G:$G,'Unit Mix'!$E31,'Rent Roll'!$D:$D,'Unit Mix'!D31)</f>
        <v>0</v>
      </c>
      <c r="H31" s="575" t="e">
        <f t="shared" si="4"/>
        <v>#DIV/0!</v>
      </c>
      <c r="I31" s="301">
        <f>SUMIFS('Rent Roll'!$M:$M,'Rent Roll'!$G:$G,'Unit Mix'!$E31,'Rent Roll'!$D:$D,'Unit Mix'!D31)+SUMIFS('Rent Roll'!$N:$N,'Rent Roll'!$G:$G,'Unit Mix'!$E31,'Rent Roll'!$D:$D,'Unit Mix'!D31)</f>
        <v>0</v>
      </c>
      <c r="J31" s="576" t="str">
        <f t="shared" si="0"/>
        <v/>
      </c>
      <c r="K31" s="577" t="str">
        <f t="shared" si="5"/>
        <v/>
      </c>
      <c r="L31" s="301">
        <f>SUMIFS('Rent Roll'!$O:$O,'Rent Roll'!$G:$G,'Unit Mix'!$E31,'Rent Roll'!$D:$D,'Unit Mix'!D31)</f>
        <v>0</v>
      </c>
      <c r="M31" s="576" t="e">
        <f t="shared" si="6"/>
        <v>#DIV/0!</v>
      </c>
      <c r="N31" s="577" t="str">
        <f t="shared" si="7"/>
        <v/>
      </c>
      <c r="O31" s="301" t="e">
        <f t="shared" si="8"/>
        <v>#DIV/0!</v>
      </c>
      <c r="P31" s="788" t="e">
        <f t="shared" si="9"/>
        <v>#DIV/0!</v>
      </c>
      <c r="Q31" s="577" t="str">
        <f t="shared" si="10"/>
        <v/>
      </c>
      <c r="R31" s="312" t="e">
        <f t="shared" si="11"/>
        <v>#DIV/0!</v>
      </c>
      <c r="S31" s="318" t="e">
        <f t="shared" si="3"/>
        <v>#DIV/0!</v>
      </c>
      <c r="T31" s="313" t="str">
        <f t="shared" si="12"/>
        <v/>
      </c>
      <c r="U31" s="114">
        <f>_xlfn.MINIFS('Rent Roll'!$M:$M,'Rent Roll'!$G:$G,'Unit Mix'!E31,'Rent Roll'!$D:$D,'Unit Mix'!D31,'Rent Roll'!$J:$J,"&lt;&gt;Vacant",'Rent Roll'!$M:$M,"&gt;100")</f>
        <v>0</v>
      </c>
      <c r="V31" s="114">
        <f>_xlfn.MAXIFS('Rent Roll'!$M:$M,'Rent Roll'!$G:$G,'Unit Mix'!E31,'Rent Roll'!$D:$D,'Unit Mix'!D31,'Rent Roll'!$J:$J,"&lt;&gt;Vacant")</f>
        <v>0</v>
      </c>
      <c r="W31" s="311">
        <f>SUMIFS('Rent Roll'!$Q:$Q,'Rent Roll'!$G:$G,'Unit Mix'!$E31,'Rent Roll'!$D:$D,'Unit Mix'!D31)</f>
        <v>0</v>
      </c>
      <c r="AA31" s="586">
        <f>COUNTIFS('Rent Roll'!$G:$G,'Unit Mix'!$E31,'Rent Roll'!$L:$L,"Occ",'Rent Roll'!$D:$D,'Unit Mix'!D31)+COUNTIFS('Rent Roll'!$G:$G,'Unit Mix'!$E31,'Rent Roll'!$L:$L,"Admin",'Rent Roll'!$D:$D,'Unit Mix'!D31)+COUNTIFS('Rent Roll'!$G:$G,'Unit Mix'!$E31,'Rent Roll'!$L:$L,"Model",'Rent Roll'!$D:$D,'Unit Mix'!D31)+COUNTIFS('Rent Roll'!$G:$G,'Unit Mix'!$E31,'Rent Roll'!$L:$L,"Down",'Rent Roll'!$D:$D,'Unit Mix'!D31)</f>
        <v>0</v>
      </c>
      <c r="AB31" s="575">
        <f>SUMIFS('Rent Roll'!$K:$K,'Rent Roll'!$G:$G,'Unit Mix'!$E31,'Rent Roll'!$L:$L,"Occ",'Rent Roll'!$D:$D,'Unit Mix'!D31)+SUMIFS('Rent Roll'!$K:$K,'Rent Roll'!$G:$G,'Unit Mix'!$E31,'Rent Roll'!$L:$L,"Admin",'Rent Roll'!$D:$D,'Unit Mix'!D31)+SUMIFS('Rent Roll'!$K:$K,'Rent Roll'!$G:$G,'Unit Mix'!$E31,'Rent Roll'!$L:$L,"Model",'Rent Roll'!$D:$D,'Unit Mix'!D31)+SUMIFS('Rent Roll'!$K:$K,'Rent Roll'!$G:$G,'Unit Mix'!$E31,'Rent Roll'!$L:$L,"Down",'Rent Roll'!$D:$D,'Unit Mix'!D31)</f>
        <v>0</v>
      </c>
      <c r="AC31" s="691" t="e" cm="1">
        <f t="array" ref="AC31">INDEX('Lease Comps'!$I$10:$I$24,MATCH('Unit Mix'!AI31,'Lease Comps'!$A$10:$A$24,0)+1)</f>
        <v>#DIV/0!</v>
      </c>
      <c r="AD31" s="460"/>
      <c r="AE31" s="515"/>
      <c r="AF31" s="515"/>
      <c r="AG31" s="220"/>
      <c r="AH31" s="557" t="str">
        <f t="shared" si="13"/>
        <v>1 Bedroom</v>
      </c>
      <c r="AI31" s="557" t="str">
        <f t="shared" si="14"/>
        <v>1BR</v>
      </c>
    </row>
    <row r="32" spans="4:35" ht="14.1" customHeight="1" x14ac:dyDescent="0.25">
      <c r="D32" s="110" t="str">
        <f>OneLineRR!B31</f>
        <v>Hudson View Park</v>
      </c>
      <c r="E32" s="111" t="str">
        <f>OneLineRR!C31</f>
        <v>1BD - HalfMoon 6.5, Platinum</v>
      </c>
      <c r="F32" s="574">
        <f>COUNTIFS('Rent Roll'!$G:$G,'Unit Mix'!$E32,'Rent Roll'!$D:$D,'Unit Mix'!D32)</f>
        <v>0</v>
      </c>
      <c r="G32" s="575">
        <f>SUMIFS('Rent Roll'!$K:$K,'Rent Roll'!$G:$G,'Unit Mix'!$E32,'Rent Roll'!$D:$D,'Unit Mix'!D32)</f>
        <v>0</v>
      </c>
      <c r="H32" s="575" t="e">
        <f t="shared" si="4"/>
        <v>#DIV/0!</v>
      </c>
      <c r="I32" s="301">
        <f>SUMIFS('Rent Roll'!$M:$M,'Rent Roll'!$G:$G,'Unit Mix'!$E32,'Rent Roll'!$D:$D,'Unit Mix'!D32)+SUMIFS('Rent Roll'!$N:$N,'Rent Roll'!$G:$G,'Unit Mix'!$E32,'Rent Roll'!$D:$D,'Unit Mix'!D32)</f>
        <v>0</v>
      </c>
      <c r="J32" s="576" t="str">
        <f t="shared" si="0"/>
        <v/>
      </c>
      <c r="K32" s="577" t="str">
        <f t="shared" si="5"/>
        <v/>
      </c>
      <c r="L32" s="301">
        <f>SUMIFS('Rent Roll'!$O:$O,'Rent Roll'!$G:$G,'Unit Mix'!$E32,'Rent Roll'!$D:$D,'Unit Mix'!D32)</f>
        <v>0</v>
      </c>
      <c r="M32" s="576" t="e">
        <f t="shared" si="6"/>
        <v>#DIV/0!</v>
      </c>
      <c r="N32" s="577" t="str">
        <f t="shared" si="7"/>
        <v/>
      </c>
      <c r="O32" s="301" t="e">
        <f t="shared" si="8"/>
        <v>#DIV/0!</v>
      </c>
      <c r="P32" s="788" t="e">
        <f t="shared" si="9"/>
        <v>#DIV/0!</v>
      </c>
      <c r="Q32" s="577" t="str">
        <f t="shared" si="10"/>
        <v/>
      </c>
      <c r="R32" s="312" t="e">
        <f t="shared" si="11"/>
        <v>#DIV/0!</v>
      </c>
      <c r="S32" s="318" t="e">
        <f t="shared" si="3"/>
        <v>#DIV/0!</v>
      </c>
      <c r="T32" s="313" t="str">
        <f t="shared" si="12"/>
        <v/>
      </c>
      <c r="U32" s="114">
        <f>_xlfn.MINIFS('Rent Roll'!$M:$M,'Rent Roll'!$G:$G,'Unit Mix'!E32,'Rent Roll'!$D:$D,'Unit Mix'!D32,'Rent Roll'!$J:$J,"&lt;&gt;Vacant",'Rent Roll'!$M:$M,"&gt;100")</f>
        <v>0</v>
      </c>
      <c r="V32" s="114">
        <f>_xlfn.MAXIFS('Rent Roll'!$M:$M,'Rent Roll'!$G:$G,'Unit Mix'!E32,'Rent Roll'!$D:$D,'Unit Mix'!D32,'Rent Roll'!$J:$J,"&lt;&gt;Vacant")</f>
        <v>0</v>
      </c>
      <c r="W32" s="311">
        <f>SUMIFS('Rent Roll'!$Q:$Q,'Rent Roll'!$G:$G,'Unit Mix'!$E32,'Rent Roll'!$D:$D,'Unit Mix'!D32)</f>
        <v>0</v>
      </c>
      <c r="AA32" s="586">
        <f>COUNTIFS('Rent Roll'!$G:$G,'Unit Mix'!$E32,'Rent Roll'!$L:$L,"Occ",'Rent Roll'!$D:$D,'Unit Mix'!D32)+COUNTIFS('Rent Roll'!$G:$G,'Unit Mix'!$E32,'Rent Roll'!$L:$L,"Admin",'Rent Roll'!$D:$D,'Unit Mix'!D32)+COUNTIFS('Rent Roll'!$G:$G,'Unit Mix'!$E32,'Rent Roll'!$L:$L,"Model",'Rent Roll'!$D:$D,'Unit Mix'!D32)+COUNTIFS('Rent Roll'!$G:$G,'Unit Mix'!$E32,'Rent Roll'!$L:$L,"Down",'Rent Roll'!$D:$D,'Unit Mix'!D32)</f>
        <v>0</v>
      </c>
      <c r="AB32" s="575">
        <f>SUMIFS('Rent Roll'!$K:$K,'Rent Roll'!$G:$G,'Unit Mix'!$E32,'Rent Roll'!$L:$L,"Occ",'Rent Roll'!$D:$D,'Unit Mix'!D32)+SUMIFS('Rent Roll'!$K:$K,'Rent Roll'!$G:$G,'Unit Mix'!$E32,'Rent Roll'!$L:$L,"Admin",'Rent Roll'!$D:$D,'Unit Mix'!D32)+SUMIFS('Rent Roll'!$K:$K,'Rent Roll'!$G:$G,'Unit Mix'!$E32,'Rent Roll'!$L:$L,"Model",'Rent Roll'!$D:$D,'Unit Mix'!D32)+SUMIFS('Rent Roll'!$K:$K,'Rent Roll'!$G:$G,'Unit Mix'!$E32,'Rent Roll'!$L:$L,"Down",'Rent Roll'!$D:$D,'Unit Mix'!D32)</f>
        <v>0</v>
      </c>
      <c r="AC32" s="691" t="e" cm="1">
        <f t="array" ref="AC32">INDEX('Lease Comps'!$I$10:$I$24,MATCH('Unit Mix'!AI32,'Lease Comps'!$A$10:$A$24,0)+1)</f>
        <v>#DIV/0!</v>
      </c>
      <c r="AD32" s="460"/>
      <c r="AE32" s="515"/>
      <c r="AF32" s="515"/>
      <c r="AG32" s="220"/>
      <c r="AH32" s="557" t="str">
        <f t="shared" si="13"/>
        <v>1 Bedroom</v>
      </c>
      <c r="AI32" s="557" t="str">
        <f t="shared" si="14"/>
        <v>1BR</v>
      </c>
    </row>
    <row r="33" spans="4:35" ht="14.1" customHeight="1" x14ac:dyDescent="0.25">
      <c r="D33" s="110" t="str">
        <f>OneLineRR!B32</f>
        <v>Hudson View Park</v>
      </c>
      <c r="E33" s="111" t="str">
        <f>OneLineRR!C32</f>
        <v>2BD - Small, Gold</v>
      </c>
      <c r="F33" s="574">
        <f>COUNTIFS('Rent Roll'!$G:$G,'Unit Mix'!$E33,'Rent Roll'!$D:$D,'Unit Mix'!D33)</f>
        <v>0</v>
      </c>
      <c r="G33" s="575">
        <f>SUMIFS('Rent Roll'!$K:$K,'Rent Roll'!$G:$G,'Unit Mix'!$E33,'Rent Roll'!$D:$D,'Unit Mix'!D33)</f>
        <v>0</v>
      </c>
      <c r="H33" s="575" t="e">
        <f t="shared" si="4"/>
        <v>#DIV/0!</v>
      </c>
      <c r="I33" s="301">
        <f>SUMIFS('Rent Roll'!$M:$M,'Rent Roll'!$G:$G,'Unit Mix'!$E33,'Rent Roll'!$D:$D,'Unit Mix'!D33)+SUMIFS('Rent Roll'!$N:$N,'Rent Roll'!$G:$G,'Unit Mix'!$E33,'Rent Roll'!$D:$D,'Unit Mix'!D33)</f>
        <v>0</v>
      </c>
      <c r="J33" s="576" t="str">
        <f t="shared" si="0"/>
        <v/>
      </c>
      <c r="K33" s="577" t="str">
        <f t="shared" si="5"/>
        <v/>
      </c>
      <c r="L33" s="301">
        <f>SUMIFS('Rent Roll'!$O:$O,'Rent Roll'!$G:$G,'Unit Mix'!$E33,'Rent Roll'!$D:$D,'Unit Mix'!D33)</f>
        <v>0</v>
      </c>
      <c r="M33" s="576" t="e">
        <f t="shared" si="6"/>
        <v>#DIV/0!</v>
      </c>
      <c r="N33" s="577" t="str">
        <f t="shared" si="7"/>
        <v/>
      </c>
      <c r="O33" s="301" t="e">
        <f t="shared" si="8"/>
        <v>#DIV/0!</v>
      </c>
      <c r="P33" s="788" t="e">
        <f t="shared" si="9"/>
        <v>#DIV/0!</v>
      </c>
      <c r="Q33" s="577" t="str">
        <f t="shared" si="10"/>
        <v/>
      </c>
      <c r="R33" s="312" t="e">
        <f t="shared" si="11"/>
        <v>#DIV/0!</v>
      </c>
      <c r="S33" s="318" t="e">
        <f t="shared" si="3"/>
        <v>#DIV/0!</v>
      </c>
      <c r="T33" s="313" t="str">
        <f t="shared" si="12"/>
        <v/>
      </c>
      <c r="U33" s="114">
        <f>_xlfn.MINIFS('Rent Roll'!$M:$M,'Rent Roll'!$G:$G,'Unit Mix'!E33,'Rent Roll'!$D:$D,'Unit Mix'!D33,'Rent Roll'!$J:$J,"&lt;&gt;Vacant",'Rent Roll'!$M:$M,"&gt;100")</f>
        <v>0</v>
      </c>
      <c r="V33" s="114">
        <f>_xlfn.MAXIFS('Rent Roll'!$M:$M,'Rent Roll'!$G:$G,'Unit Mix'!E33,'Rent Roll'!$D:$D,'Unit Mix'!D33,'Rent Roll'!$J:$J,"&lt;&gt;Vacant")</f>
        <v>0</v>
      </c>
      <c r="W33" s="311">
        <f>SUMIFS('Rent Roll'!$Q:$Q,'Rent Roll'!$G:$G,'Unit Mix'!$E33,'Rent Roll'!$D:$D,'Unit Mix'!D33)</f>
        <v>0</v>
      </c>
      <c r="AA33" s="586">
        <f>COUNTIFS('Rent Roll'!$G:$G,'Unit Mix'!$E33,'Rent Roll'!$L:$L,"Occ",'Rent Roll'!$D:$D,'Unit Mix'!D33)+COUNTIFS('Rent Roll'!$G:$G,'Unit Mix'!$E33,'Rent Roll'!$L:$L,"Admin",'Rent Roll'!$D:$D,'Unit Mix'!D33)+COUNTIFS('Rent Roll'!$G:$G,'Unit Mix'!$E33,'Rent Roll'!$L:$L,"Model",'Rent Roll'!$D:$D,'Unit Mix'!D33)+COUNTIFS('Rent Roll'!$G:$G,'Unit Mix'!$E33,'Rent Roll'!$L:$L,"Down",'Rent Roll'!$D:$D,'Unit Mix'!D33)</f>
        <v>0</v>
      </c>
      <c r="AB33" s="575">
        <f>SUMIFS('Rent Roll'!$K:$K,'Rent Roll'!$G:$G,'Unit Mix'!$E33,'Rent Roll'!$L:$L,"Occ",'Rent Roll'!$D:$D,'Unit Mix'!D33)+SUMIFS('Rent Roll'!$K:$K,'Rent Roll'!$G:$G,'Unit Mix'!$E33,'Rent Roll'!$L:$L,"Admin",'Rent Roll'!$D:$D,'Unit Mix'!D33)+SUMIFS('Rent Roll'!$K:$K,'Rent Roll'!$G:$G,'Unit Mix'!$E33,'Rent Roll'!$L:$L,"Model",'Rent Roll'!$D:$D,'Unit Mix'!D33)+SUMIFS('Rent Roll'!$K:$K,'Rent Roll'!$G:$G,'Unit Mix'!$E33,'Rent Roll'!$L:$L,"Down",'Rent Roll'!$D:$D,'Unit Mix'!D33)</f>
        <v>0</v>
      </c>
      <c r="AC33" s="691" t="e" cm="1">
        <f t="array" ref="AC33">INDEX('Lease Comps'!$I$10:$I$24,MATCH('Unit Mix'!AI33,'Lease Comps'!$A$10:$A$24,0)+1)</f>
        <v>#DIV/0!</v>
      </c>
      <c r="AD33" s="460"/>
      <c r="AE33" s="515"/>
      <c r="AF33" s="515"/>
      <c r="AG33" s="220"/>
      <c r="AH33" s="557" t="str">
        <f t="shared" si="13"/>
        <v>2 Bedroom</v>
      </c>
      <c r="AI33" s="557" t="str">
        <f t="shared" si="14"/>
        <v>2BR</v>
      </c>
    </row>
    <row r="34" spans="4:35" ht="14.1" customHeight="1" x14ac:dyDescent="0.25">
      <c r="D34" s="110" t="str">
        <f>OneLineRR!B33</f>
        <v>Hudson View Park</v>
      </c>
      <c r="E34" s="111" t="str">
        <f>OneLineRR!C33</f>
        <v>2BD - Small, Platinum</v>
      </c>
      <c r="F34" s="574">
        <f>COUNTIFS('Rent Roll'!$G:$G,'Unit Mix'!$E34,'Rent Roll'!$D:$D,'Unit Mix'!D34)</f>
        <v>0</v>
      </c>
      <c r="G34" s="575">
        <f>SUMIFS('Rent Roll'!$K:$K,'Rent Roll'!$G:$G,'Unit Mix'!$E34,'Rent Roll'!$D:$D,'Unit Mix'!D34)</f>
        <v>0</v>
      </c>
      <c r="H34" s="575" t="e">
        <f t="shared" si="4"/>
        <v>#DIV/0!</v>
      </c>
      <c r="I34" s="301">
        <f>SUMIFS('Rent Roll'!$M:$M,'Rent Roll'!$G:$G,'Unit Mix'!$E34,'Rent Roll'!$D:$D,'Unit Mix'!D34)+SUMIFS('Rent Roll'!$N:$N,'Rent Roll'!$G:$G,'Unit Mix'!$E34,'Rent Roll'!$D:$D,'Unit Mix'!D34)</f>
        <v>0</v>
      </c>
      <c r="J34" s="576" t="str">
        <f t="shared" si="0"/>
        <v/>
      </c>
      <c r="K34" s="577" t="str">
        <f t="shared" si="5"/>
        <v/>
      </c>
      <c r="L34" s="301">
        <f>SUMIFS('Rent Roll'!$O:$O,'Rent Roll'!$G:$G,'Unit Mix'!$E34,'Rent Roll'!$D:$D,'Unit Mix'!D34)</f>
        <v>0</v>
      </c>
      <c r="M34" s="576" t="e">
        <f t="shared" si="6"/>
        <v>#DIV/0!</v>
      </c>
      <c r="N34" s="577" t="str">
        <f t="shared" si="7"/>
        <v/>
      </c>
      <c r="O34" s="301" t="e">
        <f t="shared" si="8"/>
        <v>#DIV/0!</v>
      </c>
      <c r="P34" s="788" t="e">
        <f t="shared" si="9"/>
        <v>#DIV/0!</v>
      </c>
      <c r="Q34" s="577" t="str">
        <f t="shared" si="10"/>
        <v/>
      </c>
      <c r="R34" s="312" t="e">
        <f t="shared" si="11"/>
        <v>#DIV/0!</v>
      </c>
      <c r="S34" s="318" t="e">
        <f t="shared" si="3"/>
        <v>#DIV/0!</v>
      </c>
      <c r="T34" s="313" t="str">
        <f t="shared" si="12"/>
        <v/>
      </c>
      <c r="U34" s="114">
        <f>_xlfn.MINIFS('Rent Roll'!$M:$M,'Rent Roll'!$G:$G,'Unit Mix'!E34,'Rent Roll'!$D:$D,'Unit Mix'!D34,'Rent Roll'!$J:$J,"&lt;&gt;Vacant",'Rent Roll'!$M:$M,"&gt;100")</f>
        <v>0</v>
      </c>
      <c r="V34" s="114">
        <f>_xlfn.MAXIFS('Rent Roll'!$M:$M,'Rent Roll'!$G:$G,'Unit Mix'!E34,'Rent Roll'!$D:$D,'Unit Mix'!D34,'Rent Roll'!$J:$J,"&lt;&gt;Vacant")</f>
        <v>0</v>
      </c>
      <c r="W34" s="311">
        <f>SUMIFS('Rent Roll'!$Q:$Q,'Rent Roll'!$G:$G,'Unit Mix'!$E34,'Rent Roll'!$D:$D,'Unit Mix'!D34)</f>
        <v>0</v>
      </c>
      <c r="AA34" s="586">
        <f>COUNTIFS('Rent Roll'!$G:$G,'Unit Mix'!$E34,'Rent Roll'!$L:$L,"Occ",'Rent Roll'!$D:$D,'Unit Mix'!D34)+COUNTIFS('Rent Roll'!$G:$G,'Unit Mix'!$E34,'Rent Roll'!$L:$L,"Admin",'Rent Roll'!$D:$D,'Unit Mix'!D34)+COUNTIFS('Rent Roll'!$G:$G,'Unit Mix'!$E34,'Rent Roll'!$L:$L,"Model",'Rent Roll'!$D:$D,'Unit Mix'!D34)+COUNTIFS('Rent Roll'!$G:$G,'Unit Mix'!$E34,'Rent Roll'!$L:$L,"Down",'Rent Roll'!$D:$D,'Unit Mix'!D34)</f>
        <v>0</v>
      </c>
      <c r="AB34" s="575">
        <f>SUMIFS('Rent Roll'!$K:$K,'Rent Roll'!$G:$G,'Unit Mix'!$E34,'Rent Roll'!$L:$L,"Occ",'Rent Roll'!$D:$D,'Unit Mix'!D34)+SUMIFS('Rent Roll'!$K:$K,'Rent Roll'!$G:$G,'Unit Mix'!$E34,'Rent Roll'!$L:$L,"Admin",'Rent Roll'!$D:$D,'Unit Mix'!D34)+SUMIFS('Rent Roll'!$K:$K,'Rent Roll'!$G:$G,'Unit Mix'!$E34,'Rent Roll'!$L:$L,"Model",'Rent Roll'!$D:$D,'Unit Mix'!D34)+SUMIFS('Rent Roll'!$K:$K,'Rent Roll'!$G:$G,'Unit Mix'!$E34,'Rent Roll'!$L:$L,"Down",'Rent Roll'!$D:$D,'Unit Mix'!D34)</f>
        <v>0</v>
      </c>
      <c r="AC34" s="691" t="e" cm="1">
        <f t="array" ref="AC34">INDEX('Lease Comps'!$I$10:$I$24,MATCH('Unit Mix'!AI34,'Lease Comps'!$A$10:$A$24,0)+1)</f>
        <v>#DIV/0!</v>
      </c>
      <c r="AD34" s="460"/>
      <c r="AE34" s="515"/>
      <c r="AF34" s="515"/>
      <c r="AG34" s="220"/>
      <c r="AH34" s="557" t="str">
        <f t="shared" si="13"/>
        <v>2 Bedroom</v>
      </c>
      <c r="AI34" s="557" t="str">
        <f t="shared" si="14"/>
        <v>2BR</v>
      </c>
    </row>
    <row r="35" spans="4:35" ht="14.1" customHeight="1" x14ac:dyDescent="0.25">
      <c r="D35" s="110" t="str">
        <f>OneLineRR!B34</f>
        <v>Hudson View Park</v>
      </c>
      <c r="E35" s="111" t="str">
        <f>OneLineRR!C34</f>
        <v>2BD - Small, Silver</v>
      </c>
      <c r="F35" s="574">
        <f>COUNTIFS('Rent Roll'!$G:$G,'Unit Mix'!$E35,'Rent Roll'!$D:$D,'Unit Mix'!D35)</f>
        <v>0</v>
      </c>
      <c r="G35" s="575">
        <f>SUMIFS('Rent Roll'!$K:$K,'Rent Roll'!$G:$G,'Unit Mix'!$E35,'Rent Roll'!$D:$D,'Unit Mix'!D35)</f>
        <v>0</v>
      </c>
      <c r="H35" s="575" t="e">
        <f t="shared" si="4"/>
        <v>#DIV/0!</v>
      </c>
      <c r="I35" s="301">
        <f>SUMIFS('Rent Roll'!$M:$M,'Rent Roll'!$G:$G,'Unit Mix'!$E35,'Rent Roll'!$D:$D,'Unit Mix'!D35)+SUMIFS('Rent Roll'!$N:$N,'Rent Roll'!$G:$G,'Unit Mix'!$E35,'Rent Roll'!$D:$D,'Unit Mix'!D35)</f>
        <v>0</v>
      </c>
      <c r="J35" s="576" t="str">
        <f t="shared" si="0"/>
        <v/>
      </c>
      <c r="K35" s="577" t="str">
        <f t="shared" si="5"/>
        <v/>
      </c>
      <c r="L35" s="301">
        <f>SUMIFS('Rent Roll'!$O:$O,'Rent Roll'!$G:$G,'Unit Mix'!$E35,'Rent Roll'!$D:$D,'Unit Mix'!D35)</f>
        <v>0</v>
      </c>
      <c r="M35" s="576" t="e">
        <f t="shared" si="6"/>
        <v>#DIV/0!</v>
      </c>
      <c r="N35" s="577" t="str">
        <f t="shared" si="7"/>
        <v/>
      </c>
      <c r="O35" s="301" t="e">
        <f t="shared" si="8"/>
        <v>#DIV/0!</v>
      </c>
      <c r="P35" s="788" t="e">
        <f t="shared" si="9"/>
        <v>#DIV/0!</v>
      </c>
      <c r="Q35" s="577" t="str">
        <f t="shared" si="10"/>
        <v/>
      </c>
      <c r="R35" s="312" t="e">
        <f t="shared" si="11"/>
        <v>#DIV/0!</v>
      </c>
      <c r="S35" s="318" t="e">
        <f t="shared" si="3"/>
        <v>#DIV/0!</v>
      </c>
      <c r="T35" s="313" t="str">
        <f t="shared" si="12"/>
        <v/>
      </c>
      <c r="U35" s="114">
        <f>_xlfn.MINIFS('Rent Roll'!$M:$M,'Rent Roll'!$G:$G,'Unit Mix'!E35,'Rent Roll'!$D:$D,'Unit Mix'!D35,'Rent Roll'!$J:$J,"&lt;&gt;Vacant",'Rent Roll'!$M:$M,"&gt;100")</f>
        <v>0</v>
      </c>
      <c r="V35" s="114">
        <f>_xlfn.MAXIFS('Rent Roll'!$M:$M,'Rent Roll'!$G:$G,'Unit Mix'!E35,'Rent Roll'!$D:$D,'Unit Mix'!D35,'Rent Roll'!$J:$J,"&lt;&gt;Vacant")</f>
        <v>0</v>
      </c>
      <c r="W35" s="311">
        <f>SUMIFS('Rent Roll'!$Q:$Q,'Rent Roll'!$G:$G,'Unit Mix'!$E35,'Rent Roll'!$D:$D,'Unit Mix'!D35)</f>
        <v>0</v>
      </c>
      <c r="AA35" s="586">
        <f>COUNTIFS('Rent Roll'!$G:$G,'Unit Mix'!$E35,'Rent Roll'!$L:$L,"Occ",'Rent Roll'!$D:$D,'Unit Mix'!D35)+COUNTIFS('Rent Roll'!$G:$G,'Unit Mix'!$E35,'Rent Roll'!$L:$L,"Admin",'Rent Roll'!$D:$D,'Unit Mix'!D35)+COUNTIFS('Rent Roll'!$G:$G,'Unit Mix'!$E35,'Rent Roll'!$L:$L,"Model",'Rent Roll'!$D:$D,'Unit Mix'!D35)+COUNTIFS('Rent Roll'!$G:$G,'Unit Mix'!$E35,'Rent Roll'!$L:$L,"Down",'Rent Roll'!$D:$D,'Unit Mix'!D35)</f>
        <v>0</v>
      </c>
      <c r="AB35" s="575">
        <f>SUMIFS('Rent Roll'!$K:$K,'Rent Roll'!$G:$G,'Unit Mix'!$E35,'Rent Roll'!$L:$L,"Occ",'Rent Roll'!$D:$D,'Unit Mix'!D35)+SUMIFS('Rent Roll'!$K:$K,'Rent Roll'!$G:$G,'Unit Mix'!$E35,'Rent Roll'!$L:$L,"Admin",'Rent Roll'!$D:$D,'Unit Mix'!D35)+SUMIFS('Rent Roll'!$K:$K,'Rent Roll'!$G:$G,'Unit Mix'!$E35,'Rent Roll'!$L:$L,"Model",'Rent Roll'!$D:$D,'Unit Mix'!D35)+SUMIFS('Rent Roll'!$K:$K,'Rent Roll'!$G:$G,'Unit Mix'!$E35,'Rent Roll'!$L:$L,"Down",'Rent Roll'!$D:$D,'Unit Mix'!D35)</f>
        <v>0</v>
      </c>
      <c r="AC35" s="691" t="e" cm="1">
        <f t="array" ref="AC35">INDEX('Lease Comps'!$I$10:$I$24,MATCH('Unit Mix'!AI35,'Lease Comps'!$A$10:$A$24,0)+1)</f>
        <v>#DIV/0!</v>
      </c>
      <c r="AD35" s="460"/>
      <c r="AE35" s="515"/>
      <c r="AF35" s="515"/>
      <c r="AG35" s="220"/>
      <c r="AH35" s="557" t="str">
        <f t="shared" si="13"/>
        <v>2 Bedroom</v>
      </c>
      <c r="AI35" s="557" t="str">
        <f t="shared" si="14"/>
        <v>2BR</v>
      </c>
    </row>
    <row r="36" spans="4:35" ht="14.1" customHeight="1" x14ac:dyDescent="0.25">
      <c r="D36" s="110" t="str">
        <f>OneLineRR!B35</f>
        <v>Hudson View Park</v>
      </c>
      <c r="E36" s="111" t="str">
        <f>OneLineRR!C35</f>
        <v>2BD TH - Small, Gold</v>
      </c>
      <c r="F36" s="574">
        <f>COUNTIFS('Rent Roll'!$G:$G,'Unit Mix'!$E36,'Rent Roll'!$D:$D,'Unit Mix'!D36)</f>
        <v>0</v>
      </c>
      <c r="G36" s="575">
        <f>SUMIFS('Rent Roll'!$K:$K,'Rent Roll'!$G:$G,'Unit Mix'!$E36,'Rent Roll'!$D:$D,'Unit Mix'!D36)</f>
        <v>0</v>
      </c>
      <c r="H36" s="575" t="e">
        <f t="shared" si="4"/>
        <v>#DIV/0!</v>
      </c>
      <c r="I36" s="301">
        <f>SUMIFS('Rent Roll'!$M:$M,'Rent Roll'!$G:$G,'Unit Mix'!$E36,'Rent Roll'!$D:$D,'Unit Mix'!D36)+SUMIFS('Rent Roll'!$N:$N,'Rent Roll'!$G:$G,'Unit Mix'!$E36,'Rent Roll'!$D:$D,'Unit Mix'!D36)</f>
        <v>0</v>
      </c>
      <c r="J36" s="576" t="str">
        <f t="shared" si="0"/>
        <v/>
      </c>
      <c r="K36" s="577" t="str">
        <f t="shared" si="5"/>
        <v/>
      </c>
      <c r="L36" s="301">
        <f>SUMIFS('Rent Roll'!$O:$O,'Rent Roll'!$G:$G,'Unit Mix'!$E36,'Rent Roll'!$D:$D,'Unit Mix'!D36)</f>
        <v>0</v>
      </c>
      <c r="M36" s="576" t="e">
        <f t="shared" si="6"/>
        <v>#DIV/0!</v>
      </c>
      <c r="N36" s="577" t="str">
        <f t="shared" si="7"/>
        <v/>
      </c>
      <c r="O36" s="301" t="e">
        <f t="shared" si="8"/>
        <v>#DIV/0!</v>
      </c>
      <c r="P36" s="788" t="e">
        <f t="shared" si="9"/>
        <v>#DIV/0!</v>
      </c>
      <c r="Q36" s="577" t="str">
        <f t="shared" si="10"/>
        <v/>
      </c>
      <c r="R36" s="312" t="e">
        <f t="shared" si="11"/>
        <v>#DIV/0!</v>
      </c>
      <c r="S36" s="318" t="e">
        <f t="shared" si="3"/>
        <v>#DIV/0!</v>
      </c>
      <c r="T36" s="313" t="str">
        <f t="shared" si="12"/>
        <v/>
      </c>
      <c r="U36" s="114">
        <f>_xlfn.MINIFS('Rent Roll'!$M:$M,'Rent Roll'!$G:$G,'Unit Mix'!E36,'Rent Roll'!$D:$D,'Unit Mix'!D36,'Rent Roll'!$J:$J,"&lt;&gt;Vacant",'Rent Roll'!$M:$M,"&gt;100")</f>
        <v>0</v>
      </c>
      <c r="V36" s="114">
        <f>_xlfn.MAXIFS('Rent Roll'!$M:$M,'Rent Roll'!$G:$G,'Unit Mix'!E36,'Rent Roll'!$D:$D,'Unit Mix'!D36,'Rent Roll'!$J:$J,"&lt;&gt;Vacant")</f>
        <v>0</v>
      </c>
      <c r="W36" s="311">
        <f>SUMIFS('Rent Roll'!$Q:$Q,'Rent Roll'!$G:$G,'Unit Mix'!$E36,'Rent Roll'!$D:$D,'Unit Mix'!D36)</f>
        <v>0</v>
      </c>
      <c r="AA36" s="586">
        <f>COUNTIFS('Rent Roll'!$G:$G,'Unit Mix'!$E36,'Rent Roll'!$L:$L,"Occ",'Rent Roll'!$D:$D,'Unit Mix'!D36)+COUNTIFS('Rent Roll'!$G:$G,'Unit Mix'!$E36,'Rent Roll'!$L:$L,"Admin",'Rent Roll'!$D:$D,'Unit Mix'!D36)+COUNTIFS('Rent Roll'!$G:$G,'Unit Mix'!$E36,'Rent Roll'!$L:$L,"Model",'Rent Roll'!$D:$D,'Unit Mix'!D36)+COUNTIFS('Rent Roll'!$G:$G,'Unit Mix'!$E36,'Rent Roll'!$L:$L,"Down",'Rent Roll'!$D:$D,'Unit Mix'!D36)</f>
        <v>0</v>
      </c>
      <c r="AB36" s="575">
        <f>SUMIFS('Rent Roll'!$K:$K,'Rent Roll'!$G:$G,'Unit Mix'!$E36,'Rent Roll'!$L:$L,"Occ",'Rent Roll'!$D:$D,'Unit Mix'!D36)+SUMIFS('Rent Roll'!$K:$K,'Rent Roll'!$G:$G,'Unit Mix'!$E36,'Rent Roll'!$L:$L,"Admin",'Rent Roll'!$D:$D,'Unit Mix'!D36)+SUMIFS('Rent Roll'!$K:$K,'Rent Roll'!$G:$G,'Unit Mix'!$E36,'Rent Roll'!$L:$L,"Model",'Rent Roll'!$D:$D,'Unit Mix'!D36)+SUMIFS('Rent Roll'!$K:$K,'Rent Roll'!$G:$G,'Unit Mix'!$E36,'Rent Roll'!$L:$L,"Down",'Rent Roll'!$D:$D,'Unit Mix'!D36)</f>
        <v>0</v>
      </c>
      <c r="AC36" s="691" t="e" cm="1">
        <f t="array" ref="AC36">INDEX('Lease Comps'!$I$10:$I$24,MATCH('Unit Mix'!AI36,'Lease Comps'!$A$10:$A$24,0)+1)</f>
        <v>#DIV/0!</v>
      </c>
      <c r="AD36" s="460"/>
      <c r="AE36" s="515"/>
      <c r="AF36" s="515"/>
      <c r="AG36" s="220"/>
      <c r="AH36" s="557" t="str">
        <f t="shared" si="13"/>
        <v>2 Bedroom</v>
      </c>
      <c r="AI36" s="557" t="str">
        <f t="shared" si="14"/>
        <v>2BR</v>
      </c>
    </row>
    <row r="37" spans="4:35" ht="14.1" customHeight="1" x14ac:dyDescent="0.25">
      <c r="D37" s="110" t="str">
        <f>OneLineRR!B36</f>
        <v>Hudson View Park</v>
      </c>
      <c r="E37" s="111" t="str">
        <f>OneLineRR!C36</f>
        <v>2BD TH - Small, Platinum</v>
      </c>
      <c r="F37" s="574">
        <f>COUNTIFS('Rent Roll'!$G:$G,'Unit Mix'!$E37,'Rent Roll'!$D:$D,'Unit Mix'!D37)</f>
        <v>0</v>
      </c>
      <c r="G37" s="575">
        <f>SUMIFS('Rent Roll'!$K:$K,'Rent Roll'!$G:$G,'Unit Mix'!$E37,'Rent Roll'!$D:$D,'Unit Mix'!D37)</f>
        <v>0</v>
      </c>
      <c r="H37" s="575" t="e">
        <f t="shared" si="4"/>
        <v>#DIV/0!</v>
      </c>
      <c r="I37" s="301">
        <f>SUMIFS('Rent Roll'!$M:$M,'Rent Roll'!$G:$G,'Unit Mix'!$E37,'Rent Roll'!$D:$D,'Unit Mix'!D37)+SUMIFS('Rent Roll'!$N:$N,'Rent Roll'!$G:$G,'Unit Mix'!$E37,'Rent Roll'!$D:$D,'Unit Mix'!D37)</f>
        <v>0</v>
      </c>
      <c r="J37" s="576" t="str">
        <f t="shared" si="0"/>
        <v/>
      </c>
      <c r="K37" s="577" t="str">
        <f t="shared" si="5"/>
        <v/>
      </c>
      <c r="L37" s="301">
        <f>SUMIFS('Rent Roll'!$O:$O,'Rent Roll'!$G:$G,'Unit Mix'!$E37,'Rent Roll'!$D:$D,'Unit Mix'!D37)</f>
        <v>0</v>
      </c>
      <c r="M37" s="576" t="e">
        <f t="shared" si="6"/>
        <v>#DIV/0!</v>
      </c>
      <c r="N37" s="577" t="str">
        <f t="shared" si="7"/>
        <v/>
      </c>
      <c r="O37" s="301" t="e">
        <f t="shared" si="8"/>
        <v>#DIV/0!</v>
      </c>
      <c r="P37" s="788" t="e">
        <f t="shared" si="9"/>
        <v>#DIV/0!</v>
      </c>
      <c r="Q37" s="577" t="str">
        <f t="shared" si="10"/>
        <v/>
      </c>
      <c r="R37" s="312" t="e">
        <f t="shared" si="11"/>
        <v>#DIV/0!</v>
      </c>
      <c r="S37" s="318" t="e">
        <f t="shared" si="3"/>
        <v>#DIV/0!</v>
      </c>
      <c r="T37" s="313" t="str">
        <f t="shared" si="12"/>
        <v/>
      </c>
      <c r="U37" s="114">
        <f>_xlfn.MINIFS('Rent Roll'!$M:$M,'Rent Roll'!$G:$G,'Unit Mix'!E37,'Rent Roll'!$D:$D,'Unit Mix'!D37,'Rent Roll'!$J:$J,"&lt;&gt;Vacant",'Rent Roll'!$M:$M,"&gt;100")</f>
        <v>0</v>
      </c>
      <c r="V37" s="114">
        <f>_xlfn.MAXIFS('Rent Roll'!$M:$M,'Rent Roll'!$G:$G,'Unit Mix'!E37,'Rent Roll'!$D:$D,'Unit Mix'!D37,'Rent Roll'!$J:$J,"&lt;&gt;Vacant")</f>
        <v>0</v>
      </c>
      <c r="W37" s="311">
        <f>SUMIFS('Rent Roll'!$Q:$Q,'Rent Roll'!$G:$G,'Unit Mix'!$E37,'Rent Roll'!$D:$D,'Unit Mix'!D37)</f>
        <v>0</v>
      </c>
      <c r="AA37" s="586">
        <f>COUNTIFS('Rent Roll'!$G:$G,'Unit Mix'!$E37,'Rent Roll'!$L:$L,"Occ",'Rent Roll'!$D:$D,'Unit Mix'!D37)+COUNTIFS('Rent Roll'!$G:$G,'Unit Mix'!$E37,'Rent Roll'!$L:$L,"Admin",'Rent Roll'!$D:$D,'Unit Mix'!D37)+COUNTIFS('Rent Roll'!$G:$G,'Unit Mix'!$E37,'Rent Roll'!$L:$L,"Model",'Rent Roll'!$D:$D,'Unit Mix'!D37)+COUNTIFS('Rent Roll'!$G:$G,'Unit Mix'!$E37,'Rent Roll'!$L:$L,"Down",'Rent Roll'!$D:$D,'Unit Mix'!D37)</f>
        <v>0</v>
      </c>
      <c r="AB37" s="575">
        <f>SUMIFS('Rent Roll'!$K:$K,'Rent Roll'!$G:$G,'Unit Mix'!$E37,'Rent Roll'!$L:$L,"Occ",'Rent Roll'!$D:$D,'Unit Mix'!D37)+SUMIFS('Rent Roll'!$K:$K,'Rent Roll'!$G:$G,'Unit Mix'!$E37,'Rent Roll'!$L:$L,"Admin",'Rent Roll'!$D:$D,'Unit Mix'!D37)+SUMIFS('Rent Roll'!$K:$K,'Rent Roll'!$G:$G,'Unit Mix'!$E37,'Rent Roll'!$L:$L,"Model",'Rent Roll'!$D:$D,'Unit Mix'!D37)+SUMIFS('Rent Roll'!$K:$K,'Rent Roll'!$G:$G,'Unit Mix'!$E37,'Rent Roll'!$L:$L,"Down",'Rent Roll'!$D:$D,'Unit Mix'!D37)</f>
        <v>0</v>
      </c>
      <c r="AC37" s="691" t="e" cm="1">
        <f t="array" ref="AC37">INDEX('Lease Comps'!$I$10:$I$24,MATCH('Unit Mix'!AI37,'Lease Comps'!$A$10:$A$24,0)+1)</f>
        <v>#DIV/0!</v>
      </c>
      <c r="AD37" s="460"/>
      <c r="AE37" s="515"/>
      <c r="AF37" s="515"/>
      <c r="AG37" s="220"/>
      <c r="AH37" s="557" t="str">
        <f t="shared" si="13"/>
        <v>2 Bedroom</v>
      </c>
      <c r="AI37" s="557" t="str">
        <f t="shared" si="14"/>
        <v>2BR</v>
      </c>
    </row>
    <row r="38" spans="4:35" ht="14.1" customHeight="1" x14ac:dyDescent="0.25">
      <c r="D38" s="110" t="str">
        <f>OneLineRR!B37</f>
        <v>Hudson View Park</v>
      </c>
      <c r="E38" s="111" t="str">
        <f>OneLineRR!C37</f>
        <v>2BD - Split, Gold</v>
      </c>
      <c r="F38" s="574">
        <f>COUNTIFS('Rent Roll'!$G:$G,'Unit Mix'!$E38,'Rent Roll'!$D:$D,'Unit Mix'!D38)</f>
        <v>0</v>
      </c>
      <c r="G38" s="575">
        <f>SUMIFS('Rent Roll'!$K:$K,'Rent Roll'!$G:$G,'Unit Mix'!$E38,'Rent Roll'!$D:$D,'Unit Mix'!D38)</f>
        <v>0</v>
      </c>
      <c r="H38" s="575" t="e">
        <f t="shared" si="4"/>
        <v>#DIV/0!</v>
      </c>
      <c r="I38" s="301">
        <f>SUMIFS('Rent Roll'!$M:$M,'Rent Roll'!$G:$G,'Unit Mix'!$E38,'Rent Roll'!$D:$D,'Unit Mix'!D38)+SUMIFS('Rent Roll'!$N:$N,'Rent Roll'!$G:$G,'Unit Mix'!$E38,'Rent Roll'!$D:$D,'Unit Mix'!D38)</f>
        <v>0</v>
      </c>
      <c r="J38" s="576" t="str">
        <f t="shared" ref="J38:J62" si="15">IFERROR(I38/F38,"")</f>
        <v/>
      </c>
      <c r="K38" s="577" t="str">
        <f t="shared" si="5"/>
        <v/>
      </c>
      <c r="L38" s="301">
        <f>SUMIFS('Rent Roll'!$O:$O,'Rent Roll'!$G:$G,'Unit Mix'!$E38,'Rent Roll'!$D:$D,'Unit Mix'!D38)</f>
        <v>0</v>
      </c>
      <c r="M38" s="576" t="e">
        <f t="shared" si="6"/>
        <v>#DIV/0!</v>
      </c>
      <c r="N38" s="577" t="str">
        <f t="shared" si="7"/>
        <v/>
      </c>
      <c r="O38" s="301" t="e">
        <f t="shared" si="8"/>
        <v>#DIV/0!</v>
      </c>
      <c r="P38" s="788" t="e">
        <f t="shared" si="9"/>
        <v>#DIV/0!</v>
      </c>
      <c r="Q38" s="577" t="str">
        <f t="shared" si="10"/>
        <v/>
      </c>
      <c r="R38" s="312" t="e">
        <f t="shared" si="11"/>
        <v>#DIV/0!</v>
      </c>
      <c r="S38" s="318" t="e">
        <f t="shared" ref="S38:S62" si="16">IF($S$83=0,P38,ROUNDUP(P38*(1+$S$83),-2))</f>
        <v>#DIV/0!</v>
      </c>
      <c r="T38" s="313" t="str">
        <f t="shared" si="12"/>
        <v/>
      </c>
      <c r="U38" s="114">
        <f>_xlfn.MINIFS('Rent Roll'!$M:$M,'Rent Roll'!$G:$G,'Unit Mix'!E38,'Rent Roll'!$D:$D,'Unit Mix'!D38,'Rent Roll'!$J:$J,"&lt;&gt;Vacant",'Rent Roll'!$M:$M,"&gt;100")</f>
        <v>0</v>
      </c>
      <c r="V38" s="114">
        <f>_xlfn.MAXIFS('Rent Roll'!$M:$M,'Rent Roll'!$G:$G,'Unit Mix'!E38,'Rent Roll'!$D:$D,'Unit Mix'!D38,'Rent Roll'!$J:$J,"&lt;&gt;Vacant")</f>
        <v>0</v>
      </c>
      <c r="W38" s="311">
        <f>SUMIFS('Rent Roll'!$Q:$Q,'Rent Roll'!$G:$G,'Unit Mix'!$E38,'Rent Roll'!$D:$D,'Unit Mix'!D38)</f>
        <v>0</v>
      </c>
      <c r="AA38" s="586">
        <f>COUNTIFS('Rent Roll'!$G:$G,'Unit Mix'!$E38,'Rent Roll'!$L:$L,"Occ",'Rent Roll'!$D:$D,'Unit Mix'!D38)+COUNTIFS('Rent Roll'!$G:$G,'Unit Mix'!$E38,'Rent Roll'!$L:$L,"Admin",'Rent Roll'!$D:$D,'Unit Mix'!D38)+COUNTIFS('Rent Roll'!$G:$G,'Unit Mix'!$E38,'Rent Roll'!$L:$L,"Model",'Rent Roll'!$D:$D,'Unit Mix'!D38)+COUNTIFS('Rent Roll'!$G:$G,'Unit Mix'!$E38,'Rent Roll'!$L:$L,"Down",'Rent Roll'!$D:$D,'Unit Mix'!D38)</f>
        <v>0</v>
      </c>
      <c r="AB38" s="575">
        <f>SUMIFS('Rent Roll'!$K:$K,'Rent Roll'!$G:$G,'Unit Mix'!$E38,'Rent Roll'!$L:$L,"Occ",'Rent Roll'!$D:$D,'Unit Mix'!D38)+SUMIFS('Rent Roll'!$K:$K,'Rent Roll'!$G:$G,'Unit Mix'!$E38,'Rent Roll'!$L:$L,"Admin",'Rent Roll'!$D:$D,'Unit Mix'!D38)+SUMIFS('Rent Roll'!$K:$K,'Rent Roll'!$G:$G,'Unit Mix'!$E38,'Rent Roll'!$L:$L,"Model",'Rent Roll'!$D:$D,'Unit Mix'!D38)+SUMIFS('Rent Roll'!$K:$K,'Rent Roll'!$G:$G,'Unit Mix'!$E38,'Rent Roll'!$L:$L,"Down",'Rent Roll'!$D:$D,'Unit Mix'!D38)</f>
        <v>0</v>
      </c>
      <c r="AC38" s="691" t="e" cm="1">
        <f t="array" ref="AC38">INDEX('Lease Comps'!$I$10:$I$24,MATCH('Unit Mix'!AI38,'Lease Comps'!$A$10:$A$24,0)+1)</f>
        <v>#DIV/0!</v>
      </c>
      <c r="AD38" s="460"/>
      <c r="AE38" s="515"/>
      <c r="AF38" s="515"/>
      <c r="AG38" s="220"/>
      <c r="AH38" s="557" t="str">
        <f t="shared" si="13"/>
        <v>2 Bedroom</v>
      </c>
      <c r="AI38" s="557" t="str">
        <f t="shared" si="14"/>
        <v>2BR</v>
      </c>
    </row>
    <row r="39" spans="4:35" ht="14.1" customHeight="1" x14ac:dyDescent="0.25">
      <c r="D39" s="110" t="str">
        <f>OneLineRR!B38</f>
        <v>Hudson View Park</v>
      </c>
      <c r="E39" s="111" t="str">
        <f>OneLineRR!C38</f>
        <v>2BD TH - Large, Gold</v>
      </c>
      <c r="F39" s="574">
        <f>COUNTIFS('Rent Roll'!$G:$G,'Unit Mix'!$E39,'Rent Roll'!$D:$D,'Unit Mix'!D39)</f>
        <v>0</v>
      </c>
      <c r="G39" s="575">
        <f>SUMIFS('Rent Roll'!$K:$K,'Rent Roll'!$G:$G,'Unit Mix'!$E39,'Rent Roll'!$D:$D,'Unit Mix'!D39)</f>
        <v>0</v>
      </c>
      <c r="H39" s="575" t="e">
        <f t="shared" si="4"/>
        <v>#DIV/0!</v>
      </c>
      <c r="I39" s="301">
        <f>SUMIFS('Rent Roll'!$M:$M,'Rent Roll'!$G:$G,'Unit Mix'!$E39,'Rent Roll'!$D:$D,'Unit Mix'!D39)+SUMIFS('Rent Roll'!$N:$N,'Rent Roll'!$G:$G,'Unit Mix'!$E39,'Rent Roll'!$D:$D,'Unit Mix'!D39)</f>
        <v>0</v>
      </c>
      <c r="J39" s="576" t="str">
        <f t="shared" si="15"/>
        <v/>
      </c>
      <c r="K39" s="577" t="str">
        <f t="shared" si="5"/>
        <v/>
      </c>
      <c r="L39" s="301">
        <f>SUMIFS('Rent Roll'!$O:$O,'Rent Roll'!$G:$G,'Unit Mix'!$E39,'Rent Roll'!$D:$D,'Unit Mix'!D39)</f>
        <v>0</v>
      </c>
      <c r="M39" s="576" t="e">
        <f t="shared" si="6"/>
        <v>#DIV/0!</v>
      </c>
      <c r="N39" s="577" t="str">
        <f t="shared" si="7"/>
        <v/>
      </c>
      <c r="O39" s="301" t="e">
        <f t="shared" si="8"/>
        <v>#DIV/0!</v>
      </c>
      <c r="P39" s="788" t="e">
        <f t="shared" si="9"/>
        <v>#DIV/0!</v>
      </c>
      <c r="Q39" s="577" t="str">
        <f t="shared" si="10"/>
        <v/>
      </c>
      <c r="R39" s="312" t="e">
        <f t="shared" si="11"/>
        <v>#DIV/0!</v>
      </c>
      <c r="S39" s="318" t="e">
        <f t="shared" si="16"/>
        <v>#DIV/0!</v>
      </c>
      <c r="T39" s="313" t="str">
        <f t="shared" si="12"/>
        <v/>
      </c>
      <c r="U39" s="114">
        <f>_xlfn.MINIFS('Rent Roll'!$M:$M,'Rent Roll'!$G:$G,'Unit Mix'!E39,'Rent Roll'!$D:$D,'Unit Mix'!D39,'Rent Roll'!$J:$J,"&lt;&gt;Vacant",'Rent Roll'!$M:$M,"&gt;100")</f>
        <v>0</v>
      </c>
      <c r="V39" s="114">
        <f>_xlfn.MAXIFS('Rent Roll'!$M:$M,'Rent Roll'!$G:$G,'Unit Mix'!E39,'Rent Roll'!$D:$D,'Unit Mix'!D39,'Rent Roll'!$J:$J,"&lt;&gt;Vacant")</f>
        <v>0</v>
      </c>
      <c r="W39" s="311">
        <f>SUMIFS('Rent Roll'!$Q:$Q,'Rent Roll'!$G:$G,'Unit Mix'!$E39,'Rent Roll'!$D:$D,'Unit Mix'!D39)</f>
        <v>0</v>
      </c>
      <c r="AA39" s="586">
        <f>COUNTIFS('Rent Roll'!$G:$G,'Unit Mix'!$E39,'Rent Roll'!$L:$L,"Occ",'Rent Roll'!$D:$D,'Unit Mix'!D39)+COUNTIFS('Rent Roll'!$G:$G,'Unit Mix'!$E39,'Rent Roll'!$L:$L,"Admin",'Rent Roll'!$D:$D,'Unit Mix'!D39)+COUNTIFS('Rent Roll'!$G:$G,'Unit Mix'!$E39,'Rent Roll'!$L:$L,"Model",'Rent Roll'!$D:$D,'Unit Mix'!D39)+COUNTIFS('Rent Roll'!$G:$G,'Unit Mix'!$E39,'Rent Roll'!$L:$L,"Down",'Rent Roll'!$D:$D,'Unit Mix'!D39)</f>
        <v>0</v>
      </c>
      <c r="AB39" s="575">
        <f>SUMIFS('Rent Roll'!$K:$K,'Rent Roll'!$G:$G,'Unit Mix'!$E39,'Rent Roll'!$L:$L,"Occ",'Rent Roll'!$D:$D,'Unit Mix'!D39)+SUMIFS('Rent Roll'!$K:$K,'Rent Roll'!$G:$G,'Unit Mix'!$E39,'Rent Roll'!$L:$L,"Admin",'Rent Roll'!$D:$D,'Unit Mix'!D39)+SUMIFS('Rent Roll'!$K:$K,'Rent Roll'!$G:$G,'Unit Mix'!$E39,'Rent Roll'!$L:$L,"Model",'Rent Roll'!$D:$D,'Unit Mix'!D39)+SUMIFS('Rent Roll'!$K:$K,'Rent Roll'!$G:$G,'Unit Mix'!$E39,'Rent Roll'!$L:$L,"Down",'Rent Roll'!$D:$D,'Unit Mix'!D39)</f>
        <v>0</v>
      </c>
      <c r="AC39" s="691" t="e" cm="1">
        <f t="array" ref="AC39">INDEX('Lease Comps'!$I$10:$I$24,MATCH('Unit Mix'!AI39,'Lease Comps'!$A$10:$A$24,0)+1)</f>
        <v>#DIV/0!</v>
      </c>
      <c r="AD39" s="460"/>
      <c r="AE39" s="515"/>
      <c r="AF39" s="515"/>
      <c r="AG39" s="220"/>
      <c r="AH39" s="557" t="str">
        <f t="shared" si="13"/>
        <v>2 Bedroom</v>
      </c>
      <c r="AI39" s="557" t="str">
        <f t="shared" si="14"/>
        <v>2BR</v>
      </c>
    </row>
    <row r="40" spans="4:35" ht="14.1" customHeight="1" x14ac:dyDescent="0.25">
      <c r="D40" s="110" t="str">
        <f>OneLineRR!B39</f>
        <v>Hudson View Park</v>
      </c>
      <c r="E40" s="111" t="str">
        <f>OneLineRR!C39</f>
        <v>2BD TH L, S</v>
      </c>
      <c r="F40" s="574">
        <f>COUNTIFS('Rent Roll'!$G:$G,'Unit Mix'!$E40,'Rent Roll'!$D:$D,'Unit Mix'!D40)</f>
        <v>0</v>
      </c>
      <c r="G40" s="575">
        <f>SUMIFS('Rent Roll'!$K:$K,'Rent Roll'!$G:$G,'Unit Mix'!$E40,'Rent Roll'!$D:$D,'Unit Mix'!D40)</f>
        <v>0</v>
      </c>
      <c r="H40" s="575" t="e">
        <f t="shared" si="4"/>
        <v>#DIV/0!</v>
      </c>
      <c r="I40" s="301">
        <f>SUMIFS('Rent Roll'!$M:$M,'Rent Roll'!$G:$G,'Unit Mix'!$E40,'Rent Roll'!$D:$D,'Unit Mix'!D40)+SUMIFS('Rent Roll'!$N:$N,'Rent Roll'!$G:$G,'Unit Mix'!$E40,'Rent Roll'!$D:$D,'Unit Mix'!D40)</f>
        <v>0</v>
      </c>
      <c r="J40" s="576" t="str">
        <f t="shared" si="15"/>
        <v/>
      </c>
      <c r="K40" s="577" t="str">
        <f t="shared" si="5"/>
        <v/>
      </c>
      <c r="L40" s="301">
        <f>SUMIFS('Rent Roll'!$O:$O,'Rent Roll'!$G:$G,'Unit Mix'!$E40,'Rent Roll'!$D:$D,'Unit Mix'!D40)</f>
        <v>0</v>
      </c>
      <c r="M40" s="576" t="e">
        <f t="shared" si="6"/>
        <v>#DIV/0!</v>
      </c>
      <c r="N40" s="577" t="str">
        <f t="shared" si="7"/>
        <v/>
      </c>
      <c r="O40" s="301" t="e">
        <f t="shared" si="8"/>
        <v>#DIV/0!</v>
      </c>
      <c r="P40" s="788" t="e">
        <f t="shared" si="9"/>
        <v>#DIV/0!</v>
      </c>
      <c r="Q40" s="577" t="str">
        <f t="shared" si="10"/>
        <v/>
      </c>
      <c r="R40" s="312" t="e">
        <f t="shared" si="11"/>
        <v>#DIV/0!</v>
      </c>
      <c r="S40" s="318" t="e">
        <f t="shared" si="16"/>
        <v>#DIV/0!</v>
      </c>
      <c r="T40" s="313" t="str">
        <f t="shared" si="12"/>
        <v/>
      </c>
      <c r="U40" s="114">
        <f>_xlfn.MINIFS('Rent Roll'!$M:$M,'Rent Roll'!$G:$G,'Unit Mix'!E40,'Rent Roll'!$D:$D,'Unit Mix'!D40,'Rent Roll'!$J:$J,"&lt;&gt;Vacant",'Rent Roll'!$M:$M,"&gt;100")</f>
        <v>0</v>
      </c>
      <c r="V40" s="114">
        <f>_xlfn.MAXIFS('Rent Roll'!$M:$M,'Rent Roll'!$G:$G,'Unit Mix'!E40,'Rent Roll'!$D:$D,'Unit Mix'!D40,'Rent Roll'!$J:$J,"&lt;&gt;Vacant")</f>
        <v>0</v>
      </c>
      <c r="W40" s="311">
        <f>SUMIFS('Rent Roll'!$Q:$Q,'Rent Roll'!$G:$G,'Unit Mix'!$E40,'Rent Roll'!$D:$D,'Unit Mix'!D40)</f>
        <v>0</v>
      </c>
      <c r="AA40" s="586">
        <f>COUNTIFS('Rent Roll'!$G:$G,'Unit Mix'!$E40,'Rent Roll'!$L:$L,"Occ",'Rent Roll'!$D:$D,'Unit Mix'!D40)+COUNTIFS('Rent Roll'!$G:$G,'Unit Mix'!$E40,'Rent Roll'!$L:$L,"Admin",'Rent Roll'!$D:$D,'Unit Mix'!D40)+COUNTIFS('Rent Roll'!$G:$G,'Unit Mix'!$E40,'Rent Roll'!$L:$L,"Model",'Rent Roll'!$D:$D,'Unit Mix'!D40)+COUNTIFS('Rent Roll'!$G:$G,'Unit Mix'!$E40,'Rent Roll'!$L:$L,"Down",'Rent Roll'!$D:$D,'Unit Mix'!D40)</f>
        <v>0</v>
      </c>
      <c r="AB40" s="575">
        <f>SUMIFS('Rent Roll'!$K:$K,'Rent Roll'!$G:$G,'Unit Mix'!$E40,'Rent Roll'!$L:$L,"Occ",'Rent Roll'!$D:$D,'Unit Mix'!D40)+SUMIFS('Rent Roll'!$K:$K,'Rent Roll'!$G:$G,'Unit Mix'!$E40,'Rent Roll'!$L:$L,"Admin",'Rent Roll'!$D:$D,'Unit Mix'!D40)+SUMIFS('Rent Roll'!$K:$K,'Rent Roll'!$G:$G,'Unit Mix'!$E40,'Rent Roll'!$L:$L,"Model",'Rent Roll'!$D:$D,'Unit Mix'!D40)+SUMIFS('Rent Roll'!$K:$K,'Rent Roll'!$G:$G,'Unit Mix'!$E40,'Rent Roll'!$L:$L,"Down",'Rent Roll'!$D:$D,'Unit Mix'!D40)</f>
        <v>0</v>
      </c>
      <c r="AC40" s="691" t="e" cm="1">
        <f t="array" ref="AC40">INDEX('Lease Comps'!$I$10:$I$24,MATCH('Unit Mix'!AI40,'Lease Comps'!$A$10:$A$24,0)+1)</f>
        <v>#DIV/0!</v>
      </c>
      <c r="AD40" s="460"/>
      <c r="AE40" s="515"/>
      <c r="AF40" s="515"/>
      <c r="AG40" s="220"/>
      <c r="AH40" s="557" t="str">
        <f t="shared" si="13"/>
        <v>2 Bedroom</v>
      </c>
      <c r="AI40" s="557" t="str">
        <f t="shared" si="14"/>
        <v>2BR</v>
      </c>
    </row>
    <row r="41" spans="4:35" ht="14.1" customHeight="1" x14ac:dyDescent="0.25">
      <c r="D41" s="110" t="str">
        <f>OneLineRR!B40</f>
        <v>Hudson View Park</v>
      </c>
      <c r="E41" s="111" t="str">
        <f>OneLineRR!C40</f>
        <v>2BD - Medium, Gold</v>
      </c>
      <c r="F41" s="574">
        <f>COUNTIFS('Rent Roll'!$G:$G,'Unit Mix'!$E41,'Rent Roll'!$D:$D,'Unit Mix'!D41)</f>
        <v>0</v>
      </c>
      <c r="G41" s="575">
        <f>SUMIFS('Rent Roll'!$K:$K,'Rent Roll'!$G:$G,'Unit Mix'!$E41,'Rent Roll'!$D:$D,'Unit Mix'!D41)</f>
        <v>0</v>
      </c>
      <c r="H41" s="575" t="e">
        <f t="shared" si="4"/>
        <v>#DIV/0!</v>
      </c>
      <c r="I41" s="301">
        <f>SUMIFS('Rent Roll'!$M:$M,'Rent Roll'!$G:$G,'Unit Mix'!$E41,'Rent Roll'!$D:$D,'Unit Mix'!D41)+SUMIFS('Rent Roll'!$N:$N,'Rent Roll'!$G:$G,'Unit Mix'!$E41,'Rent Roll'!$D:$D,'Unit Mix'!D41)</f>
        <v>0</v>
      </c>
      <c r="J41" s="576" t="str">
        <f t="shared" si="15"/>
        <v/>
      </c>
      <c r="K41" s="577" t="str">
        <f t="shared" si="5"/>
        <v/>
      </c>
      <c r="L41" s="301">
        <f>SUMIFS('Rent Roll'!$O:$O,'Rent Roll'!$G:$G,'Unit Mix'!$E41,'Rent Roll'!$D:$D,'Unit Mix'!D41)</f>
        <v>0</v>
      </c>
      <c r="M41" s="576" t="e">
        <f t="shared" si="6"/>
        <v>#DIV/0!</v>
      </c>
      <c r="N41" s="577" t="str">
        <f t="shared" si="7"/>
        <v/>
      </c>
      <c r="O41" s="301" t="e">
        <f t="shared" si="8"/>
        <v>#DIV/0!</v>
      </c>
      <c r="P41" s="788" t="e">
        <f t="shared" si="9"/>
        <v>#DIV/0!</v>
      </c>
      <c r="Q41" s="577" t="str">
        <f t="shared" si="10"/>
        <v/>
      </c>
      <c r="R41" s="312" t="e">
        <f t="shared" si="11"/>
        <v>#DIV/0!</v>
      </c>
      <c r="S41" s="318" t="e">
        <f t="shared" si="16"/>
        <v>#DIV/0!</v>
      </c>
      <c r="T41" s="313" t="str">
        <f t="shared" si="12"/>
        <v/>
      </c>
      <c r="U41" s="114">
        <f>_xlfn.MINIFS('Rent Roll'!$M:$M,'Rent Roll'!$G:$G,'Unit Mix'!E41,'Rent Roll'!$D:$D,'Unit Mix'!D41,'Rent Roll'!$J:$J,"&lt;&gt;Vacant",'Rent Roll'!$M:$M,"&gt;100")</f>
        <v>0</v>
      </c>
      <c r="V41" s="114">
        <f>_xlfn.MAXIFS('Rent Roll'!$M:$M,'Rent Roll'!$G:$G,'Unit Mix'!E41,'Rent Roll'!$D:$D,'Unit Mix'!D41,'Rent Roll'!$J:$J,"&lt;&gt;Vacant")</f>
        <v>0</v>
      </c>
      <c r="W41" s="311">
        <f>SUMIFS('Rent Roll'!$Q:$Q,'Rent Roll'!$G:$G,'Unit Mix'!$E41,'Rent Roll'!$D:$D,'Unit Mix'!D41)</f>
        <v>0</v>
      </c>
      <c r="AA41" s="586">
        <f>COUNTIFS('Rent Roll'!$G:$G,'Unit Mix'!$E41,'Rent Roll'!$L:$L,"Occ",'Rent Roll'!$D:$D,'Unit Mix'!D41)+COUNTIFS('Rent Roll'!$G:$G,'Unit Mix'!$E41,'Rent Roll'!$L:$L,"Admin",'Rent Roll'!$D:$D,'Unit Mix'!D41)+COUNTIFS('Rent Roll'!$G:$G,'Unit Mix'!$E41,'Rent Roll'!$L:$L,"Model",'Rent Roll'!$D:$D,'Unit Mix'!D41)+COUNTIFS('Rent Roll'!$G:$G,'Unit Mix'!$E41,'Rent Roll'!$L:$L,"Down",'Rent Roll'!$D:$D,'Unit Mix'!D41)</f>
        <v>0</v>
      </c>
      <c r="AB41" s="575">
        <f>SUMIFS('Rent Roll'!$K:$K,'Rent Roll'!$G:$G,'Unit Mix'!$E41,'Rent Roll'!$L:$L,"Occ",'Rent Roll'!$D:$D,'Unit Mix'!D41)+SUMIFS('Rent Roll'!$K:$K,'Rent Roll'!$G:$G,'Unit Mix'!$E41,'Rent Roll'!$L:$L,"Admin",'Rent Roll'!$D:$D,'Unit Mix'!D41)+SUMIFS('Rent Roll'!$K:$K,'Rent Roll'!$G:$G,'Unit Mix'!$E41,'Rent Roll'!$L:$L,"Model",'Rent Roll'!$D:$D,'Unit Mix'!D41)+SUMIFS('Rent Roll'!$K:$K,'Rent Roll'!$G:$G,'Unit Mix'!$E41,'Rent Roll'!$L:$L,"Down",'Rent Roll'!$D:$D,'Unit Mix'!D41)</f>
        <v>0</v>
      </c>
      <c r="AC41" s="691" t="e" cm="1">
        <f t="array" ref="AC41">INDEX('Lease Comps'!$I$10:$I$24,MATCH('Unit Mix'!AI41,'Lease Comps'!$A$10:$A$24,0)+1)</f>
        <v>#DIV/0!</v>
      </c>
      <c r="AD41" s="460"/>
      <c r="AE41" s="515"/>
      <c r="AF41" s="515"/>
      <c r="AG41" s="220"/>
      <c r="AH41" s="557" t="str">
        <f t="shared" si="13"/>
        <v>2 Bedroom</v>
      </c>
      <c r="AI41" s="557" t="str">
        <f t="shared" si="14"/>
        <v>2BR</v>
      </c>
    </row>
    <row r="42" spans="4:35" ht="14.1" customHeight="1" x14ac:dyDescent="0.25">
      <c r="D42" s="110" t="str">
        <f>OneLineRR!B41</f>
        <v>Hudson View Park</v>
      </c>
      <c r="E42" s="111" t="str">
        <f>OneLineRR!C41</f>
        <v>2BD - Medium, Platinum</v>
      </c>
      <c r="F42" s="574">
        <f>COUNTIFS('Rent Roll'!$G:$G,'Unit Mix'!$E42,'Rent Roll'!$D:$D,'Unit Mix'!D42)</f>
        <v>0</v>
      </c>
      <c r="G42" s="575">
        <f>SUMIFS('Rent Roll'!$K:$K,'Rent Roll'!$G:$G,'Unit Mix'!$E42,'Rent Roll'!$D:$D,'Unit Mix'!D42)</f>
        <v>0</v>
      </c>
      <c r="H42" s="575" t="e">
        <f t="shared" si="4"/>
        <v>#DIV/0!</v>
      </c>
      <c r="I42" s="301">
        <f>SUMIFS('Rent Roll'!$M:$M,'Rent Roll'!$G:$G,'Unit Mix'!$E42,'Rent Roll'!$D:$D,'Unit Mix'!D42)+SUMIFS('Rent Roll'!$N:$N,'Rent Roll'!$G:$G,'Unit Mix'!$E42,'Rent Roll'!$D:$D,'Unit Mix'!D42)</f>
        <v>0</v>
      </c>
      <c r="J42" s="576" t="str">
        <f t="shared" si="15"/>
        <v/>
      </c>
      <c r="K42" s="577" t="str">
        <f t="shared" si="5"/>
        <v/>
      </c>
      <c r="L42" s="301">
        <f>SUMIFS('Rent Roll'!$O:$O,'Rent Roll'!$G:$G,'Unit Mix'!$E42,'Rent Roll'!$D:$D,'Unit Mix'!D42)</f>
        <v>0</v>
      </c>
      <c r="M42" s="576" t="e">
        <f t="shared" si="6"/>
        <v>#DIV/0!</v>
      </c>
      <c r="N42" s="577" t="str">
        <f t="shared" si="7"/>
        <v/>
      </c>
      <c r="O42" s="301" t="e">
        <f t="shared" si="8"/>
        <v>#DIV/0!</v>
      </c>
      <c r="P42" s="788" t="e">
        <f t="shared" si="9"/>
        <v>#DIV/0!</v>
      </c>
      <c r="Q42" s="577" t="str">
        <f t="shared" si="10"/>
        <v/>
      </c>
      <c r="R42" s="312" t="e">
        <f t="shared" si="11"/>
        <v>#DIV/0!</v>
      </c>
      <c r="S42" s="318" t="e">
        <f t="shared" si="16"/>
        <v>#DIV/0!</v>
      </c>
      <c r="T42" s="313" t="str">
        <f t="shared" si="12"/>
        <v/>
      </c>
      <c r="U42" s="114">
        <f>_xlfn.MINIFS('Rent Roll'!$M:$M,'Rent Roll'!$G:$G,'Unit Mix'!E42,'Rent Roll'!$D:$D,'Unit Mix'!D42,'Rent Roll'!$J:$J,"&lt;&gt;Vacant",'Rent Roll'!$M:$M,"&gt;100")</f>
        <v>0</v>
      </c>
      <c r="V42" s="114">
        <f>_xlfn.MAXIFS('Rent Roll'!$M:$M,'Rent Roll'!$G:$G,'Unit Mix'!E42,'Rent Roll'!$D:$D,'Unit Mix'!D42,'Rent Roll'!$J:$J,"&lt;&gt;Vacant")</f>
        <v>0</v>
      </c>
      <c r="W42" s="311">
        <f>SUMIFS('Rent Roll'!$Q:$Q,'Rent Roll'!$G:$G,'Unit Mix'!$E42,'Rent Roll'!$D:$D,'Unit Mix'!D42)</f>
        <v>0</v>
      </c>
      <c r="AA42" s="586">
        <f>COUNTIFS('Rent Roll'!$G:$G,'Unit Mix'!$E42,'Rent Roll'!$L:$L,"Occ",'Rent Roll'!$D:$D,'Unit Mix'!D42)+COUNTIFS('Rent Roll'!$G:$G,'Unit Mix'!$E42,'Rent Roll'!$L:$L,"Admin",'Rent Roll'!$D:$D,'Unit Mix'!D42)+COUNTIFS('Rent Roll'!$G:$G,'Unit Mix'!$E42,'Rent Roll'!$L:$L,"Model",'Rent Roll'!$D:$D,'Unit Mix'!D42)+COUNTIFS('Rent Roll'!$G:$G,'Unit Mix'!$E42,'Rent Roll'!$L:$L,"Down",'Rent Roll'!$D:$D,'Unit Mix'!D42)</f>
        <v>0</v>
      </c>
      <c r="AB42" s="575">
        <f>SUMIFS('Rent Roll'!$K:$K,'Rent Roll'!$G:$G,'Unit Mix'!$E42,'Rent Roll'!$L:$L,"Occ",'Rent Roll'!$D:$D,'Unit Mix'!D42)+SUMIFS('Rent Roll'!$K:$K,'Rent Roll'!$G:$G,'Unit Mix'!$E42,'Rent Roll'!$L:$L,"Admin",'Rent Roll'!$D:$D,'Unit Mix'!D42)+SUMIFS('Rent Roll'!$K:$K,'Rent Roll'!$G:$G,'Unit Mix'!$E42,'Rent Roll'!$L:$L,"Model",'Rent Roll'!$D:$D,'Unit Mix'!D42)+SUMIFS('Rent Roll'!$K:$K,'Rent Roll'!$G:$G,'Unit Mix'!$E42,'Rent Roll'!$L:$L,"Down",'Rent Roll'!$D:$D,'Unit Mix'!D42)</f>
        <v>0</v>
      </c>
      <c r="AC42" s="691" t="e" cm="1">
        <f t="array" ref="AC42">INDEX('Lease Comps'!$I$10:$I$24,MATCH('Unit Mix'!AI42,'Lease Comps'!$A$10:$A$24,0)+1)</f>
        <v>#DIV/0!</v>
      </c>
      <c r="AD42" s="460"/>
      <c r="AE42" s="515"/>
      <c r="AF42" s="515"/>
      <c r="AG42" s="220"/>
      <c r="AH42" s="557" t="str">
        <f t="shared" si="13"/>
        <v>2 Bedroom</v>
      </c>
      <c r="AI42" s="557" t="str">
        <f t="shared" si="14"/>
        <v>2BR</v>
      </c>
    </row>
    <row r="43" spans="4:35" ht="14.1" customHeight="1" x14ac:dyDescent="0.25">
      <c r="D43" s="110" t="str">
        <f>OneLineRR!B42</f>
        <v>Hudson View Park</v>
      </c>
      <c r="E43" s="111" t="str">
        <f>OneLineRR!C42</f>
        <v>2BD - Medium, Silver</v>
      </c>
      <c r="F43" s="574">
        <f>COUNTIFS('Rent Roll'!$G:$G,'Unit Mix'!$E43,'Rent Roll'!$D:$D,'Unit Mix'!D43)</f>
        <v>0</v>
      </c>
      <c r="G43" s="575">
        <f>SUMIFS('Rent Roll'!$K:$K,'Rent Roll'!$G:$G,'Unit Mix'!$E43,'Rent Roll'!$D:$D,'Unit Mix'!D43)</f>
        <v>0</v>
      </c>
      <c r="H43" s="575" t="e">
        <f t="shared" si="4"/>
        <v>#DIV/0!</v>
      </c>
      <c r="I43" s="301">
        <f>SUMIFS('Rent Roll'!$M:$M,'Rent Roll'!$G:$G,'Unit Mix'!$E43,'Rent Roll'!$D:$D,'Unit Mix'!D43)+SUMIFS('Rent Roll'!$N:$N,'Rent Roll'!$G:$G,'Unit Mix'!$E43,'Rent Roll'!$D:$D,'Unit Mix'!D43)</f>
        <v>0</v>
      </c>
      <c r="J43" s="576" t="str">
        <f t="shared" si="15"/>
        <v/>
      </c>
      <c r="K43" s="577" t="str">
        <f t="shared" si="5"/>
        <v/>
      </c>
      <c r="L43" s="301">
        <f>SUMIFS('Rent Roll'!$O:$O,'Rent Roll'!$G:$G,'Unit Mix'!$E43,'Rent Roll'!$D:$D,'Unit Mix'!D43)</f>
        <v>0</v>
      </c>
      <c r="M43" s="576" t="e">
        <f t="shared" si="6"/>
        <v>#DIV/0!</v>
      </c>
      <c r="N43" s="577" t="str">
        <f t="shared" si="7"/>
        <v/>
      </c>
      <c r="O43" s="301" t="e">
        <f t="shared" si="8"/>
        <v>#DIV/0!</v>
      </c>
      <c r="P43" s="788" t="e">
        <f t="shared" si="9"/>
        <v>#DIV/0!</v>
      </c>
      <c r="Q43" s="577" t="str">
        <f t="shared" si="10"/>
        <v/>
      </c>
      <c r="R43" s="312" t="e">
        <f t="shared" si="11"/>
        <v>#DIV/0!</v>
      </c>
      <c r="S43" s="318" t="e">
        <f t="shared" si="16"/>
        <v>#DIV/0!</v>
      </c>
      <c r="T43" s="313" t="str">
        <f t="shared" si="12"/>
        <v/>
      </c>
      <c r="U43" s="114">
        <f>_xlfn.MINIFS('Rent Roll'!$M:$M,'Rent Roll'!$G:$G,'Unit Mix'!E43,'Rent Roll'!$D:$D,'Unit Mix'!D43,'Rent Roll'!$J:$J,"&lt;&gt;Vacant",'Rent Roll'!$M:$M,"&gt;100")</f>
        <v>0</v>
      </c>
      <c r="V43" s="114">
        <f>_xlfn.MAXIFS('Rent Roll'!$M:$M,'Rent Roll'!$G:$G,'Unit Mix'!E43,'Rent Roll'!$D:$D,'Unit Mix'!D43,'Rent Roll'!$J:$J,"&lt;&gt;Vacant")</f>
        <v>0</v>
      </c>
      <c r="W43" s="311">
        <f>SUMIFS('Rent Roll'!$Q:$Q,'Rent Roll'!$G:$G,'Unit Mix'!$E43,'Rent Roll'!$D:$D,'Unit Mix'!D43)</f>
        <v>0</v>
      </c>
      <c r="AA43" s="586">
        <f>COUNTIFS('Rent Roll'!$G:$G,'Unit Mix'!$E43,'Rent Roll'!$L:$L,"Occ",'Rent Roll'!$D:$D,'Unit Mix'!D43)+COUNTIFS('Rent Roll'!$G:$G,'Unit Mix'!$E43,'Rent Roll'!$L:$L,"Admin",'Rent Roll'!$D:$D,'Unit Mix'!D43)+COUNTIFS('Rent Roll'!$G:$G,'Unit Mix'!$E43,'Rent Roll'!$L:$L,"Model",'Rent Roll'!$D:$D,'Unit Mix'!D43)+COUNTIFS('Rent Roll'!$G:$G,'Unit Mix'!$E43,'Rent Roll'!$L:$L,"Down",'Rent Roll'!$D:$D,'Unit Mix'!D43)</f>
        <v>0</v>
      </c>
      <c r="AB43" s="575">
        <f>SUMIFS('Rent Roll'!$K:$K,'Rent Roll'!$G:$G,'Unit Mix'!$E43,'Rent Roll'!$L:$L,"Occ",'Rent Roll'!$D:$D,'Unit Mix'!D43)+SUMIFS('Rent Roll'!$K:$K,'Rent Roll'!$G:$G,'Unit Mix'!$E43,'Rent Roll'!$L:$L,"Admin",'Rent Roll'!$D:$D,'Unit Mix'!D43)+SUMIFS('Rent Roll'!$K:$K,'Rent Roll'!$G:$G,'Unit Mix'!$E43,'Rent Roll'!$L:$L,"Model",'Rent Roll'!$D:$D,'Unit Mix'!D43)+SUMIFS('Rent Roll'!$K:$K,'Rent Roll'!$G:$G,'Unit Mix'!$E43,'Rent Roll'!$L:$L,"Down",'Rent Roll'!$D:$D,'Unit Mix'!D43)</f>
        <v>0</v>
      </c>
      <c r="AC43" s="691" t="e" cm="1">
        <f t="array" ref="AC43">INDEX('Lease Comps'!$I$10:$I$24,MATCH('Unit Mix'!AI43,'Lease Comps'!$A$10:$A$24,0)+1)</f>
        <v>#DIV/0!</v>
      </c>
      <c r="AD43" s="460"/>
      <c r="AE43" s="515"/>
      <c r="AF43" s="515"/>
      <c r="AG43" s="220"/>
      <c r="AH43" s="557" t="str">
        <f t="shared" si="13"/>
        <v>2 Bedroom</v>
      </c>
      <c r="AI43" s="557" t="str">
        <f t="shared" si="14"/>
        <v>2BR</v>
      </c>
    </row>
    <row r="44" spans="4:35" ht="14.1" customHeight="1" x14ac:dyDescent="0.25">
      <c r="D44" s="110" t="str">
        <f>OneLineRR!B43</f>
        <v>Hudson View Park</v>
      </c>
      <c r="E44" s="111" t="str">
        <f>OneLineRR!C43</f>
        <v>2BD - Large, Gold</v>
      </c>
      <c r="F44" s="574">
        <f>COUNTIFS('Rent Roll'!$G:$G,'Unit Mix'!$E44,'Rent Roll'!$D:$D,'Unit Mix'!D44)</f>
        <v>0</v>
      </c>
      <c r="G44" s="575">
        <f>SUMIFS('Rent Roll'!$K:$K,'Rent Roll'!$G:$G,'Unit Mix'!$E44,'Rent Roll'!$D:$D,'Unit Mix'!D44)</f>
        <v>0</v>
      </c>
      <c r="H44" s="575" t="e">
        <f t="shared" si="4"/>
        <v>#DIV/0!</v>
      </c>
      <c r="I44" s="301">
        <f>SUMIFS('Rent Roll'!$M:$M,'Rent Roll'!$G:$G,'Unit Mix'!$E44,'Rent Roll'!$D:$D,'Unit Mix'!D44)+SUMIFS('Rent Roll'!$N:$N,'Rent Roll'!$G:$G,'Unit Mix'!$E44,'Rent Roll'!$D:$D,'Unit Mix'!D44)</f>
        <v>0</v>
      </c>
      <c r="J44" s="576" t="str">
        <f t="shared" si="15"/>
        <v/>
      </c>
      <c r="K44" s="577" t="str">
        <f t="shared" si="5"/>
        <v/>
      </c>
      <c r="L44" s="301">
        <f>SUMIFS('Rent Roll'!$O:$O,'Rent Roll'!$G:$G,'Unit Mix'!$E44,'Rent Roll'!$D:$D,'Unit Mix'!D44)</f>
        <v>0</v>
      </c>
      <c r="M44" s="576" t="e">
        <f t="shared" si="6"/>
        <v>#DIV/0!</v>
      </c>
      <c r="N44" s="577" t="str">
        <f t="shared" si="7"/>
        <v/>
      </c>
      <c r="O44" s="301" t="e">
        <f t="shared" si="8"/>
        <v>#DIV/0!</v>
      </c>
      <c r="P44" s="788" t="e">
        <f t="shared" si="9"/>
        <v>#DIV/0!</v>
      </c>
      <c r="Q44" s="577" t="str">
        <f t="shared" si="10"/>
        <v/>
      </c>
      <c r="R44" s="312" t="e">
        <f t="shared" si="11"/>
        <v>#DIV/0!</v>
      </c>
      <c r="S44" s="318" t="e">
        <f t="shared" si="16"/>
        <v>#DIV/0!</v>
      </c>
      <c r="T44" s="313" t="str">
        <f t="shared" si="12"/>
        <v/>
      </c>
      <c r="U44" s="114">
        <f>_xlfn.MINIFS('Rent Roll'!$M:$M,'Rent Roll'!$G:$G,'Unit Mix'!E44,'Rent Roll'!$D:$D,'Unit Mix'!D44,'Rent Roll'!$J:$J,"&lt;&gt;Vacant",'Rent Roll'!$M:$M,"&gt;100")</f>
        <v>0</v>
      </c>
      <c r="V44" s="114">
        <f>_xlfn.MAXIFS('Rent Roll'!$M:$M,'Rent Roll'!$G:$G,'Unit Mix'!E44,'Rent Roll'!$D:$D,'Unit Mix'!D44,'Rent Roll'!$J:$J,"&lt;&gt;Vacant")</f>
        <v>0</v>
      </c>
      <c r="W44" s="311">
        <f>SUMIFS('Rent Roll'!$Q:$Q,'Rent Roll'!$G:$G,'Unit Mix'!$E44,'Rent Roll'!$D:$D,'Unit Mix'!D44)</f>
        <v>0</v>
      </c>
      <c r="AA44" s="586">
        <f>COUNTIFS('Rent Roll'!$G:$G,'Unit Mix'!$E44,'Rent Roll'!$L:$L,"Occ",'Rent Roll'!$D:$D,'Unit Mix'!D44)+COUNTIFS('Rent Roll'!$G:$G,'Unit Mix'!$E44,'Rent Roll'!$L:$L,"Admin",'Rent Roll'!$D:$D,'Unit Mix'!D44)+COUNTIFS('Rent Roll'!$G:$G,'Unit Mix'!$E44,'Rent Roll'!$L:$L,"Model",'Rent Roll'!$D:$D,'Unit Mix'!D44)+COUNTIFS('Rent Roll'!$G:$G,'Unit Mix'!$E44,'Rent Roll'!$L:$L,"Down",'Rent Roll'!$D:$D,'Unit Mix'!D44)</f>
        <v>0</v>
      </c>
      <c r="AB44" s="575">
        <f>SUMIFS('Rent Roll'!$K:$K,'Rent Roll'!$G:$G,'Unit Mix'!$E44,'Rent Roll'!$L:$L,"Occ",'Rent Roll'!$D:$D,'Unit Mix'!D44)+SUMIFS('Rent Roll'!$K:$K,'Rent Roll'!$G:$G,'Unit Mix'!$E44,'Rent Roll'!$L:$L,"Admin",'Rent Roll'!$D:$D,'Unit Mix'!D44)+SUMIFS('Rent Roll'!$K:$K,'Rent Roll'!$G:$G,'Unit Mix'!$E44,'Rent Roll'!$L:$L,"Model",'Rent Roll'!$D:$D,'Unit Mix'!D44)+SUMIFS('Rent Roll'!$K:$K,'Rent Roll'!$G:$G,'Unit Mix'!$E44,'Rent Roll'!$L:$L,"Down",'Rent Roll'!$D:$D,'Unit Mix'!D44)</f>
        <v>0</v>
      </c>
      <c r="AC44" s="691" t="e" cm="1">
        <f t="array" ref="AC44">INDEX('Lease Comps'!$I$10:$I$24,MATCH('Unit Mix'!AI44,'Lease Comps'!$A$10:$A$24,0)+1)</f>
        <v>#DIV/0!</v>
      </c>
      <c r="AD44" s="460"/>
      <c r="AE44" s="515"/>
      <c r="AF44" s="515"/>
      <c r="AG44" s="220"/>
      <c r="AH44" s="557" t="str">
        <f t="shared" si="13"/>
        <v>2 Bedroom</v>
      </c>
      <c r="AI44" s="557" t="str">
        <f t="shared" si="14"/>
        <v>2BR</v>
      </c>
    </row>
    <row r="45" spans="4:35" ht="14.1" customHeight="1" x14ac:dyDescent="0.25">
      <c r="D45" s="110" t="str">
        <f>OneLineRR!B44</f>
        <v>Hudson View Park</v>
      </c>
      <c r="E45" s="111" t="str">
        <f>OneLineRR!C44</f>
        <v>2BD - Large, Platinum</v>
      </c>
      <c r="F45" s="574">
        <f>COUNTIFS('Rent Roll'!$G:$G,'Unit Mix'!$E45,'Rent Roll'!$D:$D,'Unit Mix'!D45)</f>
        <v>0</v>
      </c>
      <c r="G45" s="575">
        <f>SUMIFS('Rent Roll'!$K:$K,'Rent Roll'!$G:$G,'Unit Mix'!$E45,'Rent Roll'!$D:$D,'Unit Mix'!D45)</f>
        <v>0</v>
      </c>
      <c r="H45" s="575" t="e">
        <f t="shared" si="4"/>
        <v>#DIV/0!</v>
      </c>
      <c r="I45" s="301">
        <f>SUMIFS('Rent Roll'!$M:$M,'Rent Roll'!$G:$G,'Unit Mix'!$E45,'Rent Roll'!$D:$D,'Unit Mix'!D45)+SUMIFS('Rent Roll'!$N:$N,'Rent Roll'!$G:$G,'Unit Mix'!$E45,'Rent Roll'!$D:$D,'Unit Mix'!D45)</f>
        <v>0</v>
      </c>
      <c r="J45" s="576" t="str">
        <f t="shared" si="15"/>
        <v/>
      </c>
      <c r="K45" s="577" t="str">
        <f t="shared" si="5"/>
        <v/>
      </c>
      <c r="L45" s="301">
        <f>SUMIFS('Rent Roll'!$O:$O,'Rent Roll'!$G:$G,'Unit Mix'!$E45,'Rent Roll'!$D:$D,'Unit Mix'!D45)</f>
        <v>0</v>
      </c>
      <c r="M45" s="576" t="e">
        <f t="shared" si="6"/>
        <v>#DIV/0!</v>
      </c>
      <c r="N45" s="577" t="str">
        <f t="shared" si="7"/>
        <v/>
      </c>
      <c r="O45" s="301" t="e">
        <f t="shared" si="8"/>
        <v>#DIV/0!</v>
      </c>
      <c r="P45" s="788" t="e">
        <f t="shared" si="9"/>
        <v>#DIV/0!</v>
      </c>
      <c r="Q45" s="577" t="str">
        <f t="shared" si="10"/>
        <v/>
      </c>
      <c r="R45" s="312" t="e">
        <f t="shared" si="11"/>
        <v>#DIV/0!</v>
      </c>
      <c r="S45" s="318" t="e">
        <f t="shared" si="16"/>
        <v>#DIV/0!</v>
      </c>
      <c r="T45" s="313" t="str">
        <f t="shared" si="12"/>
        <v/>
      </c>
      <c r="U45" s="114">
        <f>_xlfn.MINIFS('Rent Roll'!$M:$M,'Rent Roll'!$G:$G,'Unit Mix'!E45,'Rent Roll'!$D:$D,'Unit Mix'!D45,'Rent Roll'!$J:$J,"&lt;&gt;Vacant",'Rent Roll'!$M:$M,"&gt;100")</f>
        <v>0</v>
      </c>
      <c r="V45" s="114">
        <f>_xlfn.MAXIFS('Rent Roll'!$M:$M,'Rent Roll'!$G:$G,'Unit Mix'!E45,'Rent Roll'!$D:$D,'Unit Mix'!D45,'Rent Roll'!$J:$J,"&lt;&gt;Vacant")</f>
        <v>0</v>
      </c>
      <c r="W45" s="311">
        <f>SUMIFS('Rent Roll'!$Q:$Q,'Rent Roll'!$G:$G,'Unit Mix'!$E45,'Rent Roll'!$D:$D,'Unit Mix'!D45)</f>
        <v>0</v>
      </c>
      <c r="AA45" s="586">
        <f>COUNTIFS('Rent Roll'!$G:$G,'Unit Mix'!$E45,'Rent Roll'!$L:$L,"Occ",'Rent Roll'!$D:$D,'Unit Mix'!D45)+COUNTIFS('Rent Roll'!$G:$G,'Unit Mix'!$E45,'Rent Roll'!$L:$L,"Admin",'Rent Roll'!$D:$D,'Unit Mix'!D45)+COUNTIFS('Rent Roll'!$G:$G,'Unit Mix'!$E45,'Rent Roll'!$L:$L,"Model",'Rent Roll'!$D:$D,'Unit Mix'!D45)+COUNTIFS('Rent Roll'!$G:$G,'Unit Mix'!$E45,'Rent Roll'!$L:$L,"Down",'Rent Roll'!$D:$D,'Unit Mix'!D45)</f>
        <v>0</v>
      </c>
      <c r="AB45" s="575">
        <f>SUMIFS('Rent Roll'!$K:$K,'Rent Roll'!$G:$G,'Unit Mix'!$E45,'Rent Roll'!$L:$L,"Occ",'Rent Roll'!$D:$D,'Unit Mix'!D45)+SUMIFS('Rent Roll'!$K:$K,'Rent Roll'!$G:$G,'Unit Mix'!$E45,'Rent Roll'!$L:$L,"Admin",'Rent Roll'!$D:$D,'Unit Mix'!D45)+SUMIFS('Rent Roll'!$K:$K,'Rent Roll'!$G:$G,'Unit Mix'!$E45,'Rent Roll'!$L:$L,"Model",'Rent Roll'!$D:$D,'Unit Mix'!D45)+SUMIFS('Rent Roll'!$K:$K,'Rent Roll'!$G:$G,'Unit Mix'!$E45,'Rent Roll'!$L:$L,"Down",'Rent Roll'!$D:$D,'Unit Mix'!D45)</f>
        <v>0</v>
      </c>
      <c r="AC45" s="691" t="e" cm="1">
        <f t="array" ref="AC45">INDEX('Lease Comps'!$I$10:$I$24,MATCH('Unit Mix'!AI45,'Lease Comps'!$A$10:$A$24,0)+1)</f>
        <v>#DIV/0!</v>
      </c>
      <c r="AD45" s="460"/>
      <c r="AE45" s="515"/>
      <c r="AF45" s="515"/>
      <c r="AG45" s="220"/>
      <c r="AH45" s="557" t="str">
        <f t="shared" si="13"/>
        <v>2 Bedroom</v>
      </c>
      <c r="AI45" s="557" t="str">
        <f t="shared" si="14"/>
        <v>2BR</v>
      </c>
    </row>
    <row r="46" spans="4:35" ht="14.1" customHeight="1" x14ac:dyDescent="0.25">
      <c r="D46" s="110" t="str">
        <f>OneLineRR!B45</f>
        <v>Hudson View Park</v>
      </c>
      <c r="E46" s="111" t="str">
        <f>OneLineRR!C45</f>
        <v>2BD - Large, Silver</v>
      </c>
      <c r="F46" s="574">
        <f>COUNTIFS('Rent Roll'!$G:$G,'Unit Mix'!$E46,'Rent Roll'!$D:$D,'Unit Mix'!D46)</f>
        <v>0</v>
      </c>
      <c r="G46" s="575">
        <f>SUMIFS('Rent Roll'!$K:$K,'Rent Roll'!$G:$G,'Unit Mix'!$E46,'Rent Roll'!$D:$D,'Unit Mix'!D46)</f>
        <v>0</v>
      </c>
      <c r="H46" s="575" t="e">
        <f t="shared" si="4"/>
        <v>#DIV/0!</v>
      </c>
      <c r="I46" s="301">
        <f>SUMIFS('Rent Roll'!$M:$M,'Rent Roll'!$G:$G,'Unit Mix'!$E46,'Rent Roll'!$D:$D,'Unit Mix'!D46)+SUMIFS('Rent Roll'!$N:$N,'Rent Roll'!$G:$G,'Unit Mix'!$E46,'Rent Roll'!$D:$D,'Unit Mix'!D46)</f>
        <v>0</v>
      </c>
      <c r="J46" s="576" t="str">
        <f t="shared" si="15"/>
        <v/>
      </c>
      <c r="K46" s="577" t="str">
        <f t="shared" si="5"/>
        <v/>
      </c>
      <c r="L46" s="301">
        <f>SUMIFS('Rent Roll'!$O:$O,'Rent Roll'!$G:$G,'Unit Mix'!$E46,'Rent Roll'!$D:$D,'Unit Mix'!D46)</f>
        <v>0</v>
      </c>
      <c r="M46" s="576" t="e">
        <f t="shared" si="6"/>
        <v>#DIV/0!</v>
      </c>
      <c r="N46" s="577" t="str">
        <f t="shared" si="7"/>
        <v/>
      </c>
      <c r="O46" s="301" t="e">
        <f t="shared" si="8"/>
        <v>#DIV/0!</v>
      </c>
      <c r="P46" s="788" t="e">
        <f t="shared" si="9"/>
        <v>#DIV/0!</v>
      </c>
      <c r="Q46" s="577" t="str">
        <f t="shared" si="10"/>
        <v/>
      </c>
      <c r="R46" s="312" t="e">
        <f t="shared" si="11"/>
        <v>#DIV/0!</v>
      </c>
      <c r="S46" s="318" t="e">
        <f t="shared" si="16"/>
        <v>#DIV/0!</v>
      </c>
      <c r="T46" s="313" t="str">
        <f t="shared" si="12"/>
        <v/>
      </c>
      <c r="U46" s="114">
        <f>_xlfn.MINIFS('Rent Roll'!$M:$M,'Rent Roll'!$G:$G,'Unit Mix'!E46,'Rent Roll'!$D:$D,'Unit Mix'!D46,'Rent Roll'!$J:$J,"&lt;&gt;Vacant",'Rent Roll'!$M:$M,"&gt;100")</f>
        <v>0</v>
      </c>
      <c r="V46" s="114">
        <f>_xlfn.MAXIFS('Rent Roll'!$M:$M,'Rent Roll'!$G:$G,'Unit Mix'!E46,'Rent Roll'!$D:$D,'Unit Mix'!D46,'Rent Roll'!$J:$J,"&lt;&gt;Vacant")</f>
        <v>0</v>
      </c>
      <c r="W46" s="311">
        <f>SUMIFS('Rent Roll'!$Q:$Q,'Rent Roll'!$G:$G,'Unit Mix'!$E46,'Rent Roll'!$D:$D,'Unit Mix'!D46)</f>
        <v>0</v>
      </c>
      <c r="AA46" s="586">
        <f>COUNTIFS('Rent Roll'!$G:$G,'Unit Mix'!$E46,'Rent Roll'!$L:$L,"Occ",'Rent Roll'!$D:$D,'Unit Mix'!D46)+COUNTIFS('Rent Roll'!$G:$G,'Unit Mix'!$E46,'Rent Roll'!$L:$L,"Admin",'Rent Roll'!$D:$D,'Unit Mix'!D46)+COUNTIFS('Rent Roll'!$G:$G,'Unit Mix'!$E46,'Rent Roll'!$L:$L,"Model",'Rent Roll'!$D:$D,'Unit Mix'!D46)+COUNTIFS('Rent Roll'!$G:$G,'Unit Mix'!$E46,'Rent Roll'!$L:$L,"Down",'Rent Roll'!$D:$D,'Unit Mix'!D46)</f>
        <v>0</v>
      </c>
      <c r="AB46" s="575">
        <f>SUMIFS('Rent Roll'!$K:$K,'Rent Roll'!$G:$G,'Unit Mix'!$E46,'Rent Roll'!$L:$L,"Occ",'Rent Roll'!$D:$D,'Unit Mix'!D46)+SUMIFS('Rent Roll'!$K:$K,'Rent Roll'!$G:$G,'Unit Mix'!$E46,'Rent Roll'!$L:$L,"Admin",'Rent Roll'!$D:$D,'Unit Mix'!D46)+SUMIFS('Rent Roll'!$K:$K,'Rent Roll'!$G:$G,'Unit Mix'!$E46,'Rent Roll'!$L:$L,"Model",'Rent Roll'!$D:$D,'Unit Mix'!D46)+SUMIFS('Rent Roll'!$K:$K,'Rent Roll'!$G:$G,'Unit Mix'!$E46,'Rent Roll'!$L:$L,"Down",'Rent Roll'!$D:$D,'Unit Mix'!D46)</f>
        <v>0</v>
      </c>
      <c r="AC46" s="691" t="e" cm="1">
        <f t="array" ref="AC46">INDEX('Lease Comps'!$I$10:$I$24,MATCH('Unit Mix'!AI46,'Lease Comps'!$A$10:$A$24,0)+1)</f>
        <v>#DIV/0!</v>
      </c>
      <c r="AD46" s="460"/>
      <c r="AE46" s="515"/>
      <c r="AF46" s="515"/>
      <c r="AG46" s="220"/>
      <c r="AH46" s="557" t="str">
        <f t="shared" si="13"/>
        <v>2 Bedroom</v>
      </c>
      <c r="AI46" s="557" t="str">
        <f t="shared" si="14"/>
        <v>2BR</v>
      </c>
    </row>
    <row r="47" spans="4:35" ht="14.1" customHeight="1" x14ac:dyDescent="0.25">
      <c r="D47" s="110" t="str">
        <f>OneLineRR!B46</f>
        <v>Hudson View Park</v>
      </c>
      <c r="E47" s="111" t="str">
        <f>OneLineRR!C46</f>
        <v>2BD - HalfMoon 10, Silver</v>
      </c>
      <c r="F47" s="574">
        <f>COUNTIFS('Rent Roll'!$G:$G,'Unit Mix'!$E47,'Rent Roll'!$D:$D,'Unit Mix'!D47)</f>
        <v>0</v>
      </c>
      <c r="G47" s="575">
        <f>SUMIFS('Rent Roll'!$K:$K,'Rent Roll'!$G:$G,'Unit Mix'!$E47,'Rent Roll'!$D:$D,'Unit Mix'!D47)</f>
        <v>0</v>
      </c>
      <c r="H47" s="575" t="e">
        <f t="shared" si="4"/>
        <v>#DIV/0!</v>
      </c>
      <c r="I47" s="301">
        <f>SUMIFS('Rent Roll'!$M:$M,'Rent Roll'!$G:$G,'Unit Mix'!$E47,'Rent Roll'!$D:$D,'Unit Mix'!D47)+SUMIFS('Rent Roll'!$N:$N,'Rent Roll'!$G:$G,'Unit Mix'!$E47,'Rent Roll'!$D:$D,'Unit Mix'!D47)</f>
        <v>0</v>
      </c>
      <c r="J47" s="576" t="str">
        <f t="shared" si="15"/>
        <v/>
      </c>
      <c r="K47" s="577" t="str">
        <f t="shared" si="5"/>
        <v/>
      </c>
      <c r="L47" s="301">
        <f>SUMIFS('Rent Roll'!$O:$O,'Rent Roll'!$G:$G,'Unit Mix'!$E47,'Rent Roll'!$D:$D,'Unit Mix'!D47)</f>
        <v>0</v>
      </c>
      <c r="M47" s="576" t="e">
        <f t="shared" si="6"/>
        <v>#DIV/0!</v>
      </c>
      <c r="N47" s="577" t="str">
        <f t="shared" si="7"/>
        <v/>
      </c>
      <c r="O47" s="301" t="e">
        <f t="shared" si="8"/>
        <v>#DIV/0!</v>
      </c>
      <c r="P47" s="788" t="e">
        <f t="shared" si="9"/>
        <v>#DIV/0!</v>
      </c>
      <c r="Q47" s="577" t="str">
        <f t="shared" si="10"/>
        <v/>
      </c>
      <c r="R47" s="312" t="e">
        <f t="shared" si="11"/>
        <v>#DIV/0!</v>
      </c>
      <c r="S47" s="318" t="e">
        <f t="shared" si="16"/>
        <v>#DIV/0!</v>
      </c>
      <c r="T47" s="313" t="str">
        <f t="shared" si="12"/>
        <v/>
      </c>
      <c r="U47" s="114">
        <f>_xlfn.MINIFS('Rent Roll'!$M:$M,'Rent Roll'!$G:$G,'Unit Mix'!E47,'Rent Roll'!$D:$D,'Unit Mix'!D47,'Rent Roll'!$J:$J,"&lt;&gt;Vacant",'Rent Roll'!$M:$M,"&gt;100")</f>
        <v>0</v>
      </c>
      <c r="V47" s="114">
        <f>_xlfn.MAXIFS('Rent Roll'!$M:$M,'Rent Roll'!$G:$G,'Unit Mix'!E47,'Rent Roll'!$D:$D,'Unit Mix'!D47,'Rent Roll'!$J:$J,"&lt;&gt;Vacant")</f>
        <v>0</v>
      </c>
      <c r="W47" s="311">
        <f>SUMIFS('Rent Roll'!$Q:$Q,'Rent Roll'!$G:$G,'Unit Mix'!$E47,'Rent Roll'!$D:$D,'Unit Mix'!D47)</f>
        <v>0</v>
      </c>
      <c r="AA47" s="586">
        <f>COUNTIFS('Rent Roll'!$G:$G,'Unit Mix'!$E47,'Rent Roll'!$L:$L,"Occ",'Rent Roll'!$D:$D,'Unit Mix'!D47)+COUNTIFS('Rent Roll'!$G:$G,'Unit Mix'!$E47,'Rent Roll'!$L:$L,"Admin",'Rent Roll'!$D:$D,'Unit Mix'!D47)+COUNTIFS('Rent Roll'!$G:$G,'Unit Mix'!$E47,'Rent Roll'!$L:$L,"Model",'Rent Roll'!$D:$D,'Unit Mix'!D47)+COUNTIFS('Rent Roll'!$G:$G,'Unit Mix'!$E47,'Rent Roll'!$L:$L,"Down",'Rent Roll'!$D:$D,'Unit Mix'!D47)</f>
        <v>0</v>
      </c>
      <c r="AB47" s="575">
        <f>SUMIFS('Rent Roll'!$K:$K,'Rent Roll'!$G:$G,'Unit Mix'!$E47,'Rent Roll'!$L:$L,"Occ",'Rent Roll'!$D:$D,'Unit Mix'!D47)+SUMIFS('Rent Roll'!$K:$K,'Rent Roll'!$G:$G,'Unit Mix'!$E47,'Rent Roll'!$L:$L,"Admin",'Rent Roll'!$D:$D,'Unit Mix'!D47)+SUMIFS('Rent Roll'!$K:$K,'Rent Roll'!$G:$G,'Unit Mix'!$E47,'Rent Roll'!$L:$L,"Model",'Rent Roll'!$D:$D,'Unit Mix'!D47)+SUMIFS('Rent Roll'!$K:$K,'Rent Roll'!$G:$G,'Unit Mix'!$E47,'Rent Roll'!$L:$L,"Down",'Rent Roll'!$D:$D,'Unit Mix'!D47)</f>
        <v>0</v>
      </c>
      <c r="AC47" s="691" t="e" cm="1">
        <f t="array" ref="AC47">INDEX('Lease Comps'!$I$10:$I$24,MATCH('Unit Mix'!AI47,'Lease Comps'!$A$10:$A$24,0)+1)</f>
        <v>#DIV/0!</v>
      </c>
      <c r="AD47" s="460"/>
      <c r="AE47" s="515"/>
      <c r="AF47" s="515"/>
      <c r="AG47" s="220"/>
      <c r="AH47" s="557" t="str">
        <f t="shared" si="13"/>
        <v>2 Bedroom</v>
      </c>
      <c r="AI47" s="557" t="str">
        <f t="shared" si="14"/>
        <v>2BR</v>
      </c>
    </row>
    <row r="48" spans="4:35" ht="14.1" customHeight="1" x14ac:dyDescent="0.25">
      <c r="D48" s="110" t="str">
        <f>OneLineRR!B47</f>
        <v>Hudson View Park</v>
      </c>
      <c r="E48" s="111" t="str">
        <f>OneLineRR!C47</f>
        <v>2BD - HalfMoon 4, Silver</v>
      </c>
      <c r="F48" s="574">
        <f>COUNTIFS('Rent Roll'!$G:$G,'Unit Mix'!$E48,'Rent Roll'!$D:$D,'Unit Mix'!D48)</f>
        <v>0</v>
      </c>
      <c r="G48" s="575">
        <f>SUMIFS('Rent Roll'!$K:$K,'Rent Roll'!$G:$G,'Unit Mix'!$E48,'Rent Roll'!$D:$D,'Unit Mix'!D48)</f>
        <v>0</v>
      </c>
      <c r="H48" s="575" t="e">
        <f t="shared" si="4"/>
        <v>#DIV/0!</v>
      </c>
      <c r="I48" s="301">
        <f>SUMIFS('Rent Roll'!$M:$M,'Rent Roll'!$G:$G,'Unit Mix'!$E48,'Rent Roll'!$D:$D,'Unit Mix'!D48)+SUMIFS('Rent Roll'!$N:$N,'Rent Roll'!$G:$G,'Unit Mix'!$E48,'Rent Roll'!$D:$D,'Unit Mix'!D48)</f>
        <v>0</v>
      </c>
      <c r="J48" s="576" t="str">
        <f t="shared" si="15"/>
        <v/>
      </c>
      <c r="K48" s="577" t="str">
        <f t="shared" si="5"/>
        <v/>
      </c>
      <c r="L48" s="301">
        <f>SUMIFS('Rent Roll'!$O:$O,'Rent Roll'!$G:$G,'Unit Mix'!$E48,'Rent Roll'!$D:$D,'Unit Mix'!D48)</f>
        <v>0</v>
      </c>
      <c r="M48" s="576" t="e">
        <f t="shared" si="6"/>
        <v>#DIV/0!</v>
      </c>
      <c r="N48" s="577" t="str">
        <f t="shared" si="7"/>
        <v/>
      </c>
      <c r="O48" s="301" t="e">
        <f t="shared" si="8"/>
        <v>#DIV/0!</v>
      </c>
      <c r="P48" s="788" t="e">
        <f t="shared" si="9"/>
        <v>#DIV/0!</v>
      </c>
      <c r="Q48" s="577" t="str">
        <f t="shared" si="10"/>
        <v/>
      </c>
      <c r="R48" s="312" t="e">
        <f t="shared" si="11"/>
        <v>#DIV/0!</v>
      </c>
      <c r="S48" s="318" t="e">
        <f t="shared" si="16"/>
        <v>#DIV/0!</v>
      </c>
      <c r="T48" s="313" t="str">
        <f t="shared" si="12"/>
        <v/>
      </c>
      <c r="U48" s="114">
        <f>_xlfn.MINIFS('Rent Roll'!$M:$M,'Rent Roll'!$G:$G,'Unit Mix'!E48,'Rent Roll'!$D:$D,'Unit Mix'!D48,'Rent Roll'!$J:$J,"&lt;&gt;Vacant",'Rent Roll'!$M:$M,"&gt;100")</f>
        <v>0</v>
      </c>
      <c r="V48" s="114">
        <f>_xlfn.MAXIFS('Rent Roll'!$M:$M,'Rent Roll'!$G:$G,'Unit Mix'!E48,'Rent Roll'!$D:$D,'Unit Mix'!D48,'Rent Roll'!$J:$J,"&lt;&gt;Vacant")</f>
        <v>0</v>
      </c>
      <c r="W48" s="311">
        <f>SUMIFS('Rent Roll'!$Q:$Q,'Rent Roll'!$G:$G,'Unit Mix'!$E48,'Rent Roll'!$D:$D,'Unit Mix'!D48)</f>
        <v>0</v>
      </c>
      <c r="AA48" s="586">
        <f>COUNTIFS('Rent Roll'!$G:$G,'Unit Mix'!$E48,'Rent Roll'!$L:$L,"Occ",'Rent Roll'!$D:$D,'Unit Mix'!D48)+COUNTIFS('Rent Roll'!$G:$G,'Unit Mix'!$E48,'Rent Roll'!$L:$L,"Admin",'Rent Roll'!$D:$D,'Unit Mix'!D48)+COUNTIFS('Rent Roll'!$G:$G,'Unit Mix'!$E48,'Rent Roll'!$L:$L,"Model",'Rent Roll'!$D:$D,'Unit Mix'!D48)+COUNTIFS('Rent Roll'!$G:$G,'Unit Mix'!$E48,'Rent Roll'!$L:$L,"Down",'Rent Roll'!$D:$D,'Unit Mix'!D48)</f>
        <v>0</v>
      </c>
      <c r="AB48" s="575">
        <f>SUMIFS('Rent Roll'!$K:$K,'Rent Roll'!$G:$G,'Unit Mix'!$E48,'Rent Roll'!$L:$L,"Occ",'Rent Roll'!$D:$D,'Unit Mix'!D48)+SUMIFS('Rent Roll'!$K:$K,'Rent Roll'!$G:$G,'Unit Mix'!$E48,'Rent Roll'!$L:$L,"Admin",'Rent Roll'!$D:$D,'Unit Mix'!D48)+SUMIFS('Rent Roll'!$K:$K,'Rent Roll'!$G:$G,'Unit Mix'!$E48,'Rent Roll'!$L:$L,"Model",'Rent Roll'!$D:$D,'Unit Mix'!D48)+SUMIFS('Rent Roll'!$K:$K,'Rent Roll'!$G:$G,'Unit Mix'!$E48,'Rent Roll'!$L:$L,"Down",'Rent Roll'!$D:$D,'Unit Mix'!D48)</f>
        <v>0</v>
      </c>
      <c r="AC48" s="691" t="e" cm="1">
        <f t="array" ref="AC48">INDEX('Lease Comps'!$I$10:$I$24,MATCH('Unit Mix'!AI48,'Lease Comps'!$A$10:$A$24,0)+1)</f>
        <v>#DIV/0!</v>
      </c>
      <c r="AD48" s="460"/>
      <c r="AE48" s="515"/>
      <c r="AF48" s="515"/>
      <c r="AG48" s="220"/>
      <c r="AH48" s="557" t="str">
        <f t="shared" si="13"/>
        <v>2 Bedroom</v>
      </c>
      <c r="AI48" s="557" t="str">
        <f t="shared" si="14"/>
        <v>2BR</v>
      </c>
    </row>
    <row r="49" spans="3:35" ht="14.1" customHeight="1" x14ac:dyDescent="0.25">
      <c r="D49" s="110" t="str">
        <f>OneLineRR!B48</f>
        <v>Hudson View Park</v>
      </c>
      <c r="E49" s="111" t="str">
        <f>OneLineRR!C48</f>
        <v>3BD TH - Small, Gold</v>
      </c>
      <c r="F49" s="574">
        <f>COUNTIFS('Rent Roll'!$G:$G,'Unit Mix'!$E49,'Rent Roll'!$D:$D,'Unit Mix'!D49)</f>
        <v>0</v>
      </c>
      <c r="G49" s="575">
        <f>SUMIFS('Rent Roll'!$K:$K,'Rent Roll'!$G:$G,'Unit Mix'!$E49,'Rent Roll'!$D:$D,'Unit Mix'!D49)</f>
        <v>0</v>
      </c>
      <c r="H49" s="575" t="e">
        <f t="shared" si="4"/>
        <v>#DIV/0!</v>
      </c>
      <c r="I49" s="301">
        <f>SUMIFS('Rent Roll'!$M:$M,'Rent Roll'!$G:$G,'Unit Mix'!$E49,'Rent Roll'!$D:$D,'Unit Mix'!D49)+SUMIFS('Rent Roll'!$N:$N,'Rent Roll'!$G:$G,'Unit Mix'!$E49,'Rent Roll'!$D:$D,'Unit Mix'!D49)</f>
        <v>0</v>
      </c>
      <c r="J49" s="576" t="str">
        <f t="shared" si="15"/>
        <v/>
      </c>
      <c r="K49" s="577" t="str">
        <f t="shared" si="5"/>
        <v/>
      </c>
      <c r="L49" s="301">
        <f>SUMIFS('Rent Roll'!$O:$O,'Rent Roll'!$G:$G,'Unit Mix'!$E49,'Rent Roll'!$D:$D,'Unit Mix'!D49)</f>
        <v>0</v>
      </c>
      <c r="M49" s="576" t="e">
        <f t="shared" si="6"/>
        <v>#DIV/0!</v>
      </c>
      <c r="N49" s="577" t="str">
        <f t="shared" si="7"/>
        <v/>
      </c>
      <c r="O49" s="301" t="e">
        <f t="shared" si="8"/>
        <v>#DIV/0!</v>
      </c>
      <c r="P49" s="788" t="e">
        <f t="shared" si="9"/>
        <v>#DIV/0!</v>
      </c>
      <c r="Q49" s="577" t="str">
        <f t="shared" si="10"/>
        <v/>
      </c>
      <c r="R49" s="312" t="e">
        <f t="shared" si="11"/>
        <v>#DIV/0!</v>
      </c>
      <c r="S49" s="318" t="e">
        <f t="shared" si="16"/>
        <v>#DIV/0!</v>
      </c>
      <c r="T49" s="313" t="str">
        <f t="shared" si="12"/>
        <v/>
      </c>
      <c r="U49" s="114">
        <f>_xlfn.MINIFS('Rent Roll'!$M:$M,'Rent Roll'!$G:$G,'Unit Mix'!E49,'Rent Roll'!$D:$D,'Unit Mix'!D49,'Rent Roll'!$J:$J,"&lt;&gt;Vacant",'Rent Roll'!$M:$M,"&gt;100")</f>
        <v>0</v>
      </c>
      <c r="V49" s="114">
        <f>_xlfn.MAXIFS('Rent Roll'!$M:$M,'Rent Roll'!$G:$G,'Unit Mix'!E49,'Rent Roll'!$D:$D,'Unit Mix'!D49,'Rent Roll'!$J:$J,"&lt;&gt;Vacant")</f>
        <v>0</v>
      </c>
      <c r="W49" s="311">
        <f>SUMIFS('Rent Roll'!$Q:$Q,'Rent Roll'!$G:$G,'Unit Mix'!$E49,'Rent Roll'!$D:$D,'Unit Mix'!D49)</f>
        <v>0</v>
      </c>
      <c r="AA49" s="586">
        <f>COUNTIFS('Rent Roll'!$G:$G,'Unit Mix'!$E49,'Rent Roll'!$L:$L,"Occ",'Rent Roll'!$D:$D,'Unit Mix'!D49)+COUNTIFS('Rent Roll'!$G:$G,'Unit Mix'!$E49,'Rent Roll'!$L:$L,"Admin",'Rent Roll'!$D:$D,'Unit Mix'!D49)+COUNTIFS('Rent Roll'!$G:$G,'Unit Mix'!$E49,'Rent Roll'!$L:$L,"Model",'Rent Roll'!$D:$D,'Unit Mix'!D49)+COUNTIFS('Rent Roll'!$G:$G,'Unit Mix'!$E49,'Rent Roll'!$L:$L,"Down",'Rent Roll'!$D:$D,'Unit Mix'!D49)</f>
        <v>0</v>
      </c>
      <c r="AB49" s="575">
        <f>SUMIFS('Rent Roll'!$K:$K,'Rent Roll'!$G:$G,'Unit Mix'!$E49,'Rent Roll'!$L:$L,"Occ",'Rent Roll'!$D:$D,'Unit Mix'!D49)+SUMIFS('Rent Roll'!$K:$K,'Rent Roll'!$G:$G,'Unit Mix'!$E49,'Rent Roll'!$L:$L,"Admin",'Rent Roll'!$D:$D,'Unit Mix'!D49)+SUMIFS('Rent Roll'!$K:$K,'Rent Roll'!$G:$G,'Unit Mix'!$E49,'Rent Roll'!$L:$L,"Model",'Rent Roll'!$D:$D,'Unit Mix'!D49)+SUMIFS('Rent Roll'!$K:$K,'Rent Roll'!$G:$G,'Unit Mix'!$E49,'Rent Roll'!$L:$L,"Down",'Rent Roll'!$D:$D,'Unit Mix'!D49)</f>
        <v>0</v>
      </c>
      <c r="AC49" s="691" t="e" cm="1">
        <f t="array" ref="AC49">INDEX('Lease Comps'!$I$10:$I$24,MATCH('Unit Mix'!AI49,'Lease Comps'!$A$10:$A$24,0)+1)</f>
        <v>#DIV/0!</v>
      </c>
      <c r="AD49" s="460"/>
      <c r="AE49" s="515"/>
      <c r="AF49" s="515"/>
      <c r="AG49" s="220"/>
      <c r="AH49" s="557" t="str">
        <f t="shared" si="13"/>
        <v>3 Bedroom</v>
      </c>
      <c r="AI49" s="557" t="str">
        <f t="shared" si="14"/>
        <v>3BR</v>
      </c>
    </row>
    <row r="50" spans="3:35" ht="14.1" customHeight="1" x14ac:dyDescent="0.25">
      <c r="D50" s="110" t="str">
        <f>OneLineRR!B49</f>
        <v>Hudson View Park</v>
      </c>
      <c r="E50" s="111" t="str">
        <f>OneLineRR!C49</f>
        <v>3BD TH - Small, Platinum</v>
      </c>
      <c r="F50" s="574">
        <f>COUNTIFS('Rent Roll'!$G:$G,'Unit Mix'!$E50,'Rent Roll'!$D:$D,'Unit Mix'!D50)</f>
        <v>0</v>
      </c>
      <c r="G50" s="575">
        <f>SUMIFS('Rent Roll'!$K:$K,'Rent Roll'!$G:$G,'Unit Mix'!$E50,'Rent Roll'!$D:$D,'Unit Mix'!D50)</f>
        <v>0</v>
      </c>
      <c r="H50" s="575" t="e">
        <f t="shared" si="4"/>
        <v>#DIV/0!</v>
      </c>
      <c r="I50" s="301">
        <f>SUMIFS('Rent Roll'!$M:$M,'Rent Roll'!$G:$G,'Unit Mix'!$E50,'Rent Roll'!$D:$D,'Unit Mix'!D50)+SUMIFS('Rent Roll'!$N:$N,'Rent Roll'!$G:$G,'Unit Mix'!$E50,'Rent Roll'!$D:$D,'Unit Mix'!D50)</f>
        <v>0</v>
      </c>
      <c r="J50" s="576" t="str">
        <f t="shared" si="15"/>
        <v/>
      </c>
      <c r="K50" s="577" t="str">
        <f t="shared" si="5"/>
        <v/>
      </c>
      <c r="L50" s="301">
        <f>SUMIFS('Rent Roll'!$O:$O,'Rent Roll'!$G:$G,'Unit Mix'!$E50,'Rent Roll'!$D:$D,'Unit Mix'!D50)</f>
        <v>0</v>
      </c>
      <c r="M50" s="576" t="e">
        <f t="shared" si="6"/>
        <v>#DIV/0!</v>
      </c>
      <c r="N50" s="577" t="str">
        <f t="shared" si="7"/>
        <v/>
      </c>
      <c r="O50" s="301" t="e">
        <f t="shared" si="8"/>
        <v>#DIV/0!</v>
      </c>
      <c r="P50" s="788" t="e">
        <f t="shared" si="9"/>
        <v>#DIV/0!</v>
      </c>
      <c r="Q50" s="577" t="str">
        <f t="shared" si="10"/>
        <v/>
      </c>
      <c r="R50" s="312" t="e">
        <f t="shared" si="11"/>
        <v>#DIV/0!</v>
      </c>
      <c r="S50" s="318" t="e">
        <f t="shared" si="16"/>
        <v>#DIV/0!</v>
      </c>
      <c r="T50" s="313" t="str">
        <f t="shared" si="12"/>
        <v/>
      </c>
      <c r="U50" s="114">
        <f>_xlfn.MINIFS('Rent Roll'!$M:$M,'Rent Roll'!$G:$G,'Unit Mix'!E50,'Rent Roll'!$D:$D,'Unit Mix'!D50,'Rent Roll'!$J:$J,"&lt;&gt;Vacant",'Rent Roll'!$M:$M,"&gt;100")</f>
        <v>0</v>
      </c>
      <c r="V50" s="114">
        <f>_xlfn.MAXIFS('Rent Roll'!$M:$M,'Rent Roll'!$G:$G,'Unit Mix'!E50,'Rent Roll'!$D:$D,'Unit Mix'!D50,'Rent Roll'!$J:$J,"&lt;&gt;Vacant")</f>
        <v>0</v>
      </c>
      <c r="W50" s="311">
        <f>SUMIFS('Rent Roll'!$Q:$Q,'Rent Roll'!$G:$G,'Unit Mix'!$E50,'Rent Roll'!$D:$D,'Unit Mix'!D50)</f>
        <v>0</v>
      </c>
      <c r="AA50" s="586">
        <f>COUNTIFS('Rent Roll'!$G:$G,'Unit Mix'!$E50,'Rent Roll'!$L:$L,"Occ",'Rent Roll'!$D:$D,'Unit Mix'!D50)+COUNTIFS('Rent Roll'!$G:$G,'Unit Mix'!$E50,'Rent Roll'!$L:$L,"Admin",'Rent Roll'!$D:$D,'Unit Mix'!D50)+COUNTIFS('Rent Roll'!$G:$G,'Unit Mix'!$E50,'Rent Roll'!$L:$L,"Model",'Rent Roll'!$D:$D,'Unit Mix'!D50)+COUNTIFS('Rent Roll'!$G:$G,'Unit Mix'!$E50,'Rent Roll'!$L:$L,"Down",'Rent Roll'!$D:$D,'Unit Mix'!D50)</f>
        <v>0</v>
      </c>
      <c r="AB50" s="575">
        <f>SUMIFS('Rent Roll'!$K:$K,'Rent Roll'!$G:$G,'Unit Mix'!$E50,'Rent Roll'!$L:$L,"Occ",'Rent Roll'!$D:$D,'Unit Mix'!D50)+SUMIFS('Rent Roll'!$K:$K,'Rent Roll'!$G:$G,'Unit Mix'!$E50,'Rent Roll'!$L:$L,"Admin",'Rent Roll'!$D:$D,'Unit Mix'!D50)+SUMIFS('Rent Roll'!$K:$K,'Rent Roll'!$G:$G,'Unit Mix'!$E50,'Rent Roll'!$L:$L,"Model",'Rent Roll'!$D:$D,'Unit Mix'!D50)+SUMIFS('Rent Roll'!$K:$K,'Rent Roll'!$G:$G,'Unit Mix'!$E50,'Rent Roll'!$L:$L,"Down",'Rent Roll'!$D:$D,'Unit Mix'!D50)</f>
        <v>0</v>
      </c>
      <c r="AC50" s="691" t="e" cm="1">
        <f t="array" ref="AC50">INDEX('Lease Comps'!$I$10:$I$24,MATCH('Unit Mix'!AI50,'Lease Comps'!$A$10:$A$24,0)+1)</f>
        <v>#DIV/0!</v>
      </c>
      <c r="AD50" s="460"/>
      <c r="AE50" s="515"/>
      <c r="AF50" s="515"/>
      <c r="AG50" s="220"/>
      <c r="AH50" s="557" t="str">
        <f t="shared" si="13"/>
        <v>3 Bedroom</v>
      </c>
      <c r="AI50" s="557" t="str">
        <f t="shared" si="14"/>
        <v>3BR</v>
      </c>
    </row>
    <row r="51" spans="3:35" ht="14.1" customHeight="1" x14ac:dyDescent="0.25">
      <c r="D51" s="110" t="str">
        <f>OneLineRR!B50</f>
        <v>Hudson View Park</v>
      </c>
      <c r="E51" s="111" t="str">
        <f>OneLineRR!C50</f>
        <v>3BD TH - Small, Silver</v>
      </c>
      <c r="F51" s="574">
        <f>COUNTIFS('Rent Roll'!$G:$G,'Unit Mix'!$E51,'Rent Roll'!$D:$D,'Unit Mix'!D51)</f>
        <v>0</v>
      </c>
      <c r="G51" s="575">
        <f>SUMIFS('Rent Roll'!$K:$K,'Rent Roll'!$G:$G,'Unit Mix'!$E51,'Rent Roll'!$D:$D,'Unit Mix'!D51)</f>
        <v>0</v>
      </c>
      <c r="H51" s="575" t="e">
        <f t="shared" si="4"/>
        <v>#DIV/0!</v>
      </c>
      <c r="I51" s="301">
        <f>SUMIFS('Rent Roll'!$M:$M,'Rent Roll'!$G:$G,'Unit Mix'!$E51,'Rent Roll'!$D:$D,'Unit Mix'!D51)+SUMIFS('Rent Roll'!$N:$N,'Rent Roll'!$G:$G,'Unit Mix'!$E51,'Rent Roll'!$D:$D,'Unit Mix'!D51)</f>
        <v>0</v>
      </c>
      <c r="J51" s="576" t="str">
        <f t="shared" si="15"/>
        <v/>
      </c>
      <c r="K51" s="577" t="str">
        <f t="shared" si="5"/>
        <v/>
      </c>
      <c r="L51" s="301">
        <f>SUMIFS('Rent Roll'!$O:$O,'Rent Roll'!$G:$G,'Unit Mix'!$E51,'Rent Roll'!$D:$D,'Unit Mix'!D51)</f>
        <v>0</v>
      </c>
      <c r="M51" s="576" t="e">
        <f t="shared" si="6"/>
        <v>#DIV/0!</v>
      </c>
      <c r="N51" s="577" t="str">
        <f t="shared" si="7"/>
        <v/>
      </c>
      <c r="O51" s="301" t="e">
        <f t="shared" si="8"/>
        <v>#DIV/0!</v>
      </c>
      <c r="P51" s="788" t="e">
        <f t="shared" si="9"/>
        <v>#DIV/0!</v>
      </c>
      <c r="Q51" s="577" t="str">
        <f t="shared" si="10"/>
        <v/>
      </c>
      <c r="R51" s="312" t="e">
        <f t="shared" si="11"/>
        <v>#DIV/0!</v>
      </c>
      <c r="S51" s="318" t="e">
        <f t="shared" si="16"/>
        <v>#DIV/0!</v>
      </c>
      <c r="T51" s="313" t="str">
        <f t="shared" si="12"/>
        <v/>
      </c>
      <c r="U51" s="114">
        <f>_xlfn.MINIFS('Rent Roll'!$M:$M,'Rent Roll'!$G:$G,'Unit Mix'!E51,'Rent Roll'!$D:$D,'Unit Mix'!D51,'Rent Roll'!$J:$J,"&lt;&gt;Vacant",'Rent Roll'!$M:$M,"&gt;100")</f>
        <v>0</v>
      </c>
      <c r="V51" s="114">
        <f>_xlfn.MAXIFS('Rent Roll'!$M:$M,'Rent Roll'!$G:$G,'Unit Mix'!E51,'Rent Roll'!$D:$D,'Unit Mix'!D51,'Rent Roll'!$J:$J,"&lt;&gt;Vacant")</f>
        <v>0</v>
      </c>
      <c r="W51" s="311">
        <f>SUMIFS('Rent Roll'!$Q:$Q,'Rent Roll'!$G:$G,'Unit Mix'!$E51,'Rent Roll'!$D:$D,'Unit Mix'!D51)</f>
        <v>0</v>
      </c>
      <c r="AA51" s="586">
        <f>COUNTIFS('Rent Roll'!$G:$G,'Unit Mix'!$E51,'Rent Roll'!$L:$L,"Occ",'Rent Roll'!$D:$D,'Unit Mix'!D51)+COUNTIFS('Rent Roll'!$G:$G,'Unit Mix'!$E51,'Rent Roll'!$L:$L,"Admin",'Rent Roll'!$D:$D,'Unit Mix'!D51)+COUNTIFS('Rent Roll'!$G:$G,'Unit Mix'!$E51,'Rent Roll'!$L:$L,"Model",'Rent Roll'!$D:$D,'Unit Mix'!D51)+COUNTIFS('Rent Roll'!$G:$G,'Unit Mix'!$E51,'Rent Roll'!$L:$L,"Down",'Rent Roll'!$D:$D,'Unit Mix'!D51)</f>
        <v>0</v>
      </c>
      <c r="AB51" s="575">
        <f>SUMIFS('Rent Roll'!$K:$K,'Rent Roll'!$G:$G,'Unit Mix'!$E51,'Rent Roll'!$L:$L,"Occ",'Rent Roll'!$D:$D,'Unit Mix'!D51)+SUMIFS('Rent Roll'!$K:$K,'Rent Roll'!$G:$G,'Unit Mix'!$E51,'Rent Roll'!$L:$L,"Admin",'Rent Roll'!$D:$D,'Unit Mix'!D51)+SUMIFS('Rent Roll'!$K:$K,'Rent Roll'!$G:$G,'Unit Mix'!$E51,'Rent Roll'!$L:$L,"Model",'Rent Roll'!$D:$D,'Unit Mix'!D51)+SUMIFS('Rent Roll'!$K:$K,'Rent Roll'!$G:$G,'Unit Mix'!$E51,'Rent Roll'!$L:$L,"Down",'Rent Roll'!$D:$D,'Unit Mix'!D51)</f>
        <v>0</v>
      </c>
      <c r="AC51" s="691" t="e" cm="1">
        <f t="array" ref="AC51">INDEX('Lease Comps'!$I$10:$I$24,MATCH('Unit Mix'!AI51,'Lease Comps'!$A$10:$A$24,0)+1)</f>
        <v>#DIV/0!</v>
      </c>
      <c r="AD51" s="460"/>
      <c r="AE51" s="515"/>
      <c r="AF51" s="515"/>
      <c r="AG51" s="220"/>
      <c r="AH51" s="557" t="str">
        <f t="shared" si="13"/>
        <v>3 Bedroom</v>
      </c>
      <c r="AI51" s="557" t="str">
        <f t="shared" si="14"/>
        <v>3BR</v>
      </c>
    </row>
    <row r="52" spans="3:35" ht="14.1" customHeight="1" x14ac:dyDescent="0.25">
      <c r="D52" s="110" t="str">
        <f>OneLineRR!B51</f>
        <v>Hudson View Park</v>
      </c>
      <c r="E52" s="111" t="str">
        <f>OneLineRR!C51</f>
        <v>3BD TH - Medium + Den, Gold</v>
      </c>
      <c r="F52" s="574">
        <f>COUNTIFS('Rent Roll'!$G:$G,'Unit Mix'!$E52,'Rent Roll'!$D:$D,'Unit Mix'!D52)</f>
        <v>0</v>
      </c>
      <c r="G52" s="575">
        <f>SUMIFS('Rent Roll'!$K:$K,'Rent Roll'!$G:$G,'Unit Mix'!$E52,'Rent Roll'!$D:$D,'Unit Mix'!D52)</f>
        <v>0</v>
      </c>
      <c r="H52" s="575" t="e">
        <f t="shared" si="4"/>
        <v>#DIV/0!</v>
      </c>
      <c r="I52" s="301">
        <f>SUMIFS('Rent Roll'!$M:$M,'Rent Roll'!$G:$G,'Unit Mix'!$E52,'Rent Roll'!$D:$D,'Unit Mix'!D52)+SUMIFS('Rent Roll'!$N:$N,'Rent Roll'!$G:$G,'Unit Mix'!$E52,'Rent Roll'!$D:$D,'Unit Mix'!D52)</f>
        <v>0</v>
      </c>
      <c r="J52" s="576" t="str">
        <f t="shared" si="15"/>
        <v/>
      </c>
      <c r="K52" s="577" t="str">
        <f t="shared" si="5"/>
        <v/>
      </c>
      <c r="L52" s="301">
        <f>SUMIFS('Rent Roll'!$O:$O,'Rent Roll'!$G:$G,'Unit Mix'!$E52,'Rent Roll'!$D:$D,'Unit Mix'!D52)</f>
        <v>0</v>
      </c>
      <c r="M52" s="576" t="e">
        <f t="shared" si="6"/>
        <v>#DIV/0!</v>
      </c>
      <c r="N52" s="577" t="str">
        <f t="shared" si="7"/>
        <v/>
      </c>
      <c r="O52" s="301" t="e">
        <f t="shared" si="8"/>
        <v>#DIV/0!</v>
      </c>
      <c r="P52" s="788" t="e">
        <f t="shared" si="9"/>
        <v>#DIV/0!</v>
      </c>
      <c r="Q52" s="577" t="str">
        <f t="shared" si="10"/>
        <v/>
      </c>
      <c r="R52" s="312" t="e">
        <f t="shared" si="11"/>
        <v>#DIV/0!</v>
      </c>
      <c r="S52" s="318" t="e">
        <f t="shared" si="16"/>
        <v>#DIV/0!</v>
      </c>
      <c r="T52" s="313" t="str">
        <f t="shared" si="12"/>
        <v/>
      </c>
      <c r="U52" s="114">
        <f>_xlfn.MINIFS('Rent Roll'!$M:$M,'Rent Roll'!$G:$G,'Unit Mix'!E52,'Rent Roll'!$D:$D,'Unit Mix'!D52,'Rent Roll'!$J:$J,"&lt;&gt;Vacant",'Rent Roll'!$M:$M,"&gt;100")</f>
        <v>0</v>
      </c>
      <c r="V52" s="114">
        <f>_xlfn.MAXIFS('Rent Roll'!$M:$M,'Rent Roll'!$G:$G,'Unit Mix'!E52,'Rent Roll'!$D:$D,'Unit Mix'!D52,'Rent Roll'!$J:$J,"&lt;&gt;Vacant")</f>
        <v>0</v>
      </c>
      <c r="W52" s="311">
        <f>SUMIFS('Rent Roll'!$Q:$Q,'Rent Roll'!$G:$G,'Unit Mix'!$E52,'Rent Roll'!$D:$D,'Unit Mix'!D52)</f>
        <v>0</v>
      </c>
      <c r="AA52" s="586">
        <f>COUNTIFS('Rent Roll'!$G:$G,'Unit Mix'!$E52,'Rent Roll'!$L:$L,"Occ",'Rent Roll'!$D:$D,'Unit Mix'!D52)+COUNTIFS('Rent Roll'!$G:$G,'Unit Mix'!$E52,'Rent Roll'!$L:$L,"Admin",'Rent Roll'!$D:$D,'Unit Mix'!D52)+COUNTIFS('Rent Roll'!$G:$G,'Unit Mix'!$E52,'Rent Roll'!$L:$L,"Model",'Rent Roll'!$D:$D,'Unit Mix'!D52)+COUNTIFS('Rent Roll'!$G:$G,'Unit Mix'!$E52,'Rent Roll'!$L:$L,"Down",'Rent Roll'!$D:$D,'Unit Mix'!D52)</f>
        <v>0</v>
      </c>
      <c r="AB52" s="575">
        <f>SUMIFS('Rent Roll'!$K:$K,'Rent Roll'!$G:$G,'Unit Mix'!$E52,'Rent Roll'!$L:$L,"Occ",'Rent Roll'!$D:$D,'Unit Mix'!D52)+SUMIFS('Rent Roll'!$K:$K,'Rent Roll'!$G:$G,'Unit Mix'!$E52,'Rent Roll'!$L:$L,"Admin",'Rent Roll'!$D:$D,'Unit Mix'!D52)+SUMIFS('Rent Roll'!$K:$K,'Rent Roll'!$G:$G,'Unit Mix'!$E52,'Rent Roll'!$L:$L,"Model",'Rent Roll'!$D:$D,'Unit Mix'!D52)+SUMIFS('Rent Roll'!$K:$K,'Rent Roll'!$G:$G,'Unit Mix'!$E52,'Rent Roll'!$L:$L,"Down",'Rent Roll'!$D:$D,'Unit Mix'!D52)</f>
        <v>0</v>
      </c>
      <c r="AC52" s="691" t="e" cm="1">
        <f t="array" ref="AC52">INDEX('Lease Comps'!$I$10:$I$24,MATCH('Unit Mix'!AI52,'Lease Comps'!$A$10:$A$24,0)+1)</f>
        <v>#DIV/0!</v>
      </c>
      <c r="AD52" s="460"/>
      <c r="AE52" s="515"/>
      <c r="AF52" s="515"/>
      <c r="AG52" s="220"/>
      <c r="AH52" s="557" t="str">
        <f t="shared" si="13"/>
        <v>3 Bedroom</v>
      </c>
      <c r="AI52" s="557" t="str">
        <f t="shared" si="14"/>
        <v>3BR</v>
      </c>
    </row>
    <row r="53" spans="3:35" ht="14.1" customHeight="1" x14ac:dyDescent="0.25">
      <c r="D53" s="110" t="str">
        <f>OneLineRR!B52</f>
        <v>Hudson View Park</v>
      </c>
      <c r="E53" s="111" t="str">
        <f>OneLineRR!C52</f>
        <v>3BD TH - Large, Gold</v>
      </c>
      <c r="F53" s="574">
        <f>COUNTIFS('Rent Roll'!$G:$G,'Unit Mix'!$E53,'Rent Roll'!$D:$D,'Unit Mix'!D53)</f>
        <v>0</v>
      </c>
      <c r="G53" s="575">
        <f>SUMIFS('Rent Roll'!$K:$K,'Rent Roll'!$G:$G,'Unit Mix'!$E53,'Rent Roll'!$D:$D,'Unit Mix'!D53)</f>
        <v>0</v>
      </c>
      <c r="H53" s="575" t="e">
        <f t="shared" si="4"/>
        <v>#DIV/0!</v>
      </c>
      <c r="I53" s="301">
        <f>SUMIFS('Rent Roll'!$M:$M,'Rent Roll'!$G:$G,'Unit Mix'!$E53,'Rent Roll'!$D:$D,'Unit Mix'!D53)+SUMIFS('Rent Roll'!$N:$N,'Rent Roll'!$G:$G,'Unit Mix'!$E53,'Rent Roll'!$D:$D,'Unit Mix'!D53)</f>
        <v>0</v>
      </c>
      <c r="J53" s="576" t="str">
        <f t="shared" si="15"/>
        <v/>
      </c>
      <c r="K53" s="577" t="str">
        <f t="shared" si="5"/>
        <v/>
      </c>
      <c r="L53" s="301">
        <f>SUMIFS('Rent Roll'!$O:$O,'Rent Roll'!$G:$G,'Unit Mix'!$E53,'Rent Roll'!$D:$D,'Unit Mix'!D53)</f>
        <v>0</v>
      </c>
      <c r="M53" s="576" t="e">
        <f t="shared" si="6"/>
        <v>#DIV/0!</v>
      </c>
      <c r="N53" s="577" t="str">
        <f t="shared" si="7"/>
        <v/>
      </c>
      <c r="O53" s="301" t="e">
        <f t="shared" si="8"/>
        <v>#DIV/0!</v>
      </c>
      <c r="P53" s="788" t="e">
        <f t="shared" si="9"/>
        <v>#DIV/0!</v>
      </c>
      <c r="Q53" s="577" t="str">
        <f t="shared" si="10"/>
        <v/>
      </c>
      <c r="R53" s="312" t="e">
        <f t="shared" si="11"/>
        <v>#DIV/0!</v>
      </c>
      <c r="S53" s="318" t="e">
        <f t="shared" si="16"/>
        <v>#DIV/0!</v>
      </c>
      <c r="T53" s="313" t="str">
        <f t="shared" si="12"/>
        <v/>
      </c>
      <c r="U53" s="114">
        <f>_xlfn.MINIFS('Rent Roll'!$M:$M,'Rent Roll'!$G:$G,'Unit Mix'!E53,'Rent Roll'!$D:$D,'Unit Mix'!D53,'Rent Roll'!$J:$J,"&lt;&gt;Vacant",'Rent Roll'!$M:$M,"&gt;100")</f>
        <v>0</v>
      </c>
      <c r="V53" s="114">
        <f>_xlfn.MAXIFS('Rent Roll'!$M:$M,'Rent Roll'!$G:$G,'Unit Mix'!E53,'Rent Roll'!$D:$D,'Unit Mix'!D53,'Rent Roll'!$J:$J,"&lt;&gt;Vacant")</f>
        <v>0</v>
      </c>
      <c r="W53" s="311">
        <f>SUMIFS('Rent Roll'!$Q:$Q,'Rent Roll'!$G:$G,'Unit Mix'!$E53,'Rent Roll'!$D:$D,'Unit Mix'!D53)</f>
        <v>0</v>
      </c>
      <c r="AA53" s="586">
        <f>COUNTIFS('Rent Roll'!$G:$G,'Unit Mix'!$E53,'Rent Roll'!$L:$L,"Occ",'Rent Roll'!$D:$D,'Unit Mix'!D53)+COUNTIFS('Rent Roll'!$G:$G,'Unit Mix'!$E53,'Rent Roll'!$L:$L,"Admin",'Rent Roll'!$D:$D,'Unit Mix'!D53)+COUNTIFS('Rent Roll'!$G:$G,'Unit Mix'!$E53,'Rent Roll'!$L:$L,"Model",'Rent Roll'!$D:$D,'Unit Mix'!D53)+COUNTIFS('Rent Roll'!$G:$G,'Unit Mix'!$E53,'Rent Roll'!$L:$L,"Down",'Rent Roll'!$D:$D,'Unit Mix'!D53)</f>
        <v>0</v>
      </c>
      <c r="AB53" s="575">
        <f>SUMIFS('Rent Roll'!$K:$K,'Rent Roll'!$G:$G,'Unit Mix'!$E53,'Rent Roll'!$L:$L,"Occ",'Rent Roll'!$D:$D,'Unit Mix'!D53)+SUMIFS('Rent Roll'!$K:$K,'Rent Roll'!$G:$G,'Unit Mix'!$E53,'Rent Roll'!$L:$L,"Admin",'Rent Roll'!$D:$D,'Unit Mix'!D53)+SUMIFS('Rent Roll'!$K:$K,'Rent Roll'!$G:$G,'Unit Mix'!$E53,'Rent Roll'!$L:$L,"Model",'Rent Roll'!$D:$D,'Unit Mix'!D53)+SUMIFS('Rent Roll'!$K:$K,'Rent Roll'!$G:$G,'Unit Mix'!$E53,'Rent Roll'!$L:$L,"Down",'Rent Roll'!$D:$D,'Unit Mix'!D53)</f>
        <v>0</v>
      </c>
      <c r="AC53" s="691" t="e" cm="1">
        <f t="array" ref="AC53">INDEX('Lease Comps'!$I$10:$I$24,MATCH('Unit Mix'!AI53,'Lease Comps'!$A$10:$A$24,0)+1)</f>
        <v>#DIV/0!</v>
      </c>
      <c r="AD53" s="460"/>
      <c r="AE53" s="515"/>
      <c r="AF53" s="515"/>
      <c r="AG53" s="220"/>
      <c r="AH53" s="557" t="str">
        <f t="shared" si="13"/>
        <v>3 Bedroom</v>
      </c>
      <c r="AI53" s="557" t="str">
        <f t="shared" si="14"/>
        <v>3BR</v>
      </c>
    </row>
    <row r="54" spans="3:35" ht="14.1" customHeight="1" x14ac:dyDescent="0.25">
      <c r="D54" s="110" t="str">
        <f>OneLineRR!B53</f>
        <v>Hudson View Park</v>
      </c>
      <c r="E54" s="111" t="str">
        <f>OneLineRR!C53</f>
        <v>3BD TH - Large, Silver</v>
      </c>
      <c r="F54" s="574">
        <f>COUNTIFS('Rent Roll'!$G:$G,'Unit Mix'!$E54,'Rent Roll'!$D:$D,'Unit Mix'!D54)</f>
        <v>0</v>
      </c>
      <c r="G54" s="575">
        <f>SUMIFS('Rent Roll'!$K:$K,'Rent Roll'!$G:$G,'Unit Mix'!$E54,'Rent Roll'!$D:$D,'Unit Mix'!D54)</f>
        <v>0</v>
      </c>
      <c r="H54" s="575" t="e">
        <f t="shared" si="4"/>
        <v>#DIV/0!</v>
      </c>
      <c r="I54" s="301">
        <f>SUMIFS('Rent Roll'!$M:$M,'Rent Roll'!$G:$G,'Unit Mix'!$E54,'Rent Roll'!$D:$D,'Unit Mix'!D54)+SUMIFS('Rent Roll'!$N:$N,'Rent Roll'!$G:$G,'Unit Mix'!$E54,'Rent Roll'!$D:$D,'Unit Mix'!D54)</f>
        <v>0</v>
      </c>
      <c r="J54" s="576" t="str">
        <f t="shared" si="15"/>
        <v/>
      </c>
      <c r="K54" s="577" t="str">
        <f t="shared" si="5"/>
        <v/>
      </c>
      <c r="L54" s="301">
        <f>SUMIFS('Rent Roll'!$O:$O,'Rent Roll'!$G:$G,'Unit Mix'!$E54,'Rent Roll'!$D:$D,'Unit Mix'!D54)</f>
        <v>0</v>
      </c>
      <c r="M54" s="576" t="e">
        <f t="shared" si="6"/>
        <v>#DIV/0!</v>
      </c>
      <c r="N54" s="577" t="str">
        <f t="shared" si="7"/>
        <v/>
      </c>
      <c r="O54" s="301" t="e">
        <f t="shared" si="8"/>
        <v>#DIV/0!</v>
      </c>
      <c r="P54" s="788" t="e">
        <f t="shared" si="9"/>
        <v>#DIV/0!</v>
      </c>
      <c r="Q54" s="577" t="str">
        <f t="shared" si="10"/>
        <v/>
      </c>
      <c r="R54" s="312" t="e">
        <f t="shared" si="11"/>
        <v>#DIV/0!</v>
      </c>
      <c r="S54" s="318" t="e">
        <f t="shared" si="16"/>
        <v>#DIV/0!</v>
      </c>
      <c r="T54" s="313" t="str">
        <f t="shared" si="12"/>
        <v/>
      </c>
      <c r="U54" s="114">
        <f>_xlfn.MINIFS('Rent Roll'!$M:$M,'Rent Roll'!$G:$G,'Unit Mix'!E54,'Rent Roll'!$D:$D,'Unit Mix'!D54,'Rent Roll'!$J:$J,"&lt;&gt;Vacant",'Rent Roll'!$M:$M,"&gt;100")</f>
        <v>0</v>
      </c>
      <c r="V54" s="114">
        <f>_xlfn.MAXIFS('Rent Roll'!$M:$M,'Rent Roll'!$G:$G,'Unit Mix'!E54,'Rent Roll'!$D:$D,'Unit Mix'!D54,'Rent Roll'!$J:$J,"&lt;&gt;Vacant")</f>
        <v>0</v>
      </c>
      <c r="W54" s="311">
        <f>SUMIFS('Rent Roll'!$Q:$Q,'Rent Roll'!$G:$G,'Unit Mix'!$E54,'Rent Roll'!$D:$D,'Unit Mix'!D54)</f>
        <v>0</v>
      </c>
      <c r="AA54" s="586">
        <f>COUNTIFS('Rent Roll'!$G:$G,'Unit Mix'!$E54,'Rent Roll'!$L:$L,"Occ",'Rent Roll'!$D:$D,'Unit Mix'!D54)+COUNTIFS('Rent Roll'!$G:$G,'Unit Mix'!$E54,'Rent Roll'!$L:$L,"Admin",'Rent Roll'!$D:$D,'Unit Mix'!D54)+COUNTIFS('Rent Roll'!$G:$G,'Unit Mix'!$E54,'Rent Roll'!$L:$L,"Model",'Rent Roll'!$D:$D,'Unit Mix'!D54)+COUNTIFS('Rent Roll'!$G:$G,'Unit Mix'!$E54,'Rent Roll'!$L:$L,"Down",'Rent Roll'!$D:$D,'Unit Mix'!D54)</f>
        <v>0</v>
      </c>
      <c r="AB54" s="575">
        <f>SUMIFS('Rent Roll'!$K:$K,'Rent Roll'!$G:$G,'Unit Mix'!$E54,'Rent Roll'!$L:$L,"Occ",'Rent Roll'!$D:$D,'Unit Mix'!D54)+SUMIFS('Rent Roll'!$K:$K,'Rent Roll'!$G:$G,'Unit Mix'!$E54,'Rent Roll'!$L:$L,"Admin",'Rent Roll'!$D:$D,'Unit Mix'!D54)+SUMIFS('Rent Roll'!$K:$K,'Rent Roll'!$G:$G,'Unit Mix'!$E54,'Rent Roll'!$L:$L,"Model",'Rent Roll'!$D:$D,'Unit Mix'!D54)+SUMIFS('Rent Roll'!$K:$K,'Rent Roll'!$G:$G,'Unit Mix'!$E54,'Rent Roll'!$L:$L,"Down",'Rent Roll'!$D:$D,'Unit Mix'!D54)</f>
        <v>0</v>
      </c>
      <c r="AC54" s="691" t="e" cm="1">
        <f t="array" ref="AC54">INDEX('Lease Comps'!$I$10:$I$24,MATCH('Unit Mix'!AI54,'Lease Comps'!$A$10:$A$24,0)+1)</f>
        <v>#DIV/0!</v>
      </c>
      <c r="AD54" s="460"/>
      <c r="AE54" s="515"/>
      <c r="AF54" s="515"/>
      <c r="AG54" s="220"/>
      <c r="AH54" s="557" t="str">
        <f t="shared" si="13"/>
        <v>3 Bedroom</v>
      </c>
      <c r="AI54" s="557" t="str">
        <f t="shared" si="14"/>
        <v>3BR</v>
      </c>
    </row>
    <row r="55" spans="3:35" ht="14.1" customHeight="1" x14ac:dyDescent="0.25">
      <c r="D55" s="110" t="str">
        <f>OneLineRR!B54</f>
        <v>Hudson View Park</v>
      </c>
      <c r="E55" s="111" t="str">
        <f>OneLineRR!C54</f>
        <v>3BD, Gold</v>
      </c>
      <c r="F55" s="574">
        <f>COUNTIFS('Rent Roll'!$G:$G,'Unit Mix'!$E55,'Rent Roll'!$D:$D,'Unit Mix'!D55)</f>
        <v>0</v>
      </c>
      <c r="G55" s="575">
        <f>SUMIFS('Rent Roll'!$K:$K,'Rent Roll'!$G:$G,'Unit Mix'!$E55,'Rent Roll'!$D:$D,'Unit Mix'!D55)</f>
        <v>0</v>
      </c>
      <c r="H55" s="575" t="e">
        <f t="shared" si="4"/>
        <v>#DIV/0!</v>
      </c>
      <c r="I55" s="301">
        <f>SUMIFS('Rent Roll'!$M:$M,'Rent Roll'!$G:$G,'Unit Mix'!$E55,'Rent Roll'!$D:$D,'Unit Mix'!D55)+SUMIFS('Rent Roll'!$N:$N,'Rent Roll'!$G:$G,'Unit Mix'!$E55,'Rent Roll'!$D:$D,'Unit Mix'!D55)</f>
        <v>0</v>
      </c>
      <c r="J55" s="576" t="str">
        <f t="shared" si="15"/>
        <v/>
      </c>
      <c r="K55" s="577" t="str">
        <f t="shared" si="5"/>
        <v/>
      </c>
      <c r="L55" s="301">
        <f>SUMIFS('Rent Roll'!$O:$O,'Rent Roll'!$G:$G,'Unit Mix'!$E55,'Rent Roll'!$D:$D,'Unit Mix'!D55)</f>
        <v>0</v>
      </c>
      <c r="M55" s="576" t="e">
        <f t="shared" si="6"/>
        <v>#DIV/0!</v>
      </c>
      <c r="N55" s="577" t="str">
        <f t="shared" si="7"/>
        <v/>
      </c>
      <c r="O55" s="301" t="e">
        <f t="shared" si="8"/>
        <v>#DIV/0!</v>
      </c>
      <c r="P55" s="788" t="e">
        <f t="shared" si="9"/>
        <v>#DIV/0!</v>
      </c>
      <c r="Q55" s="577" t="str">
        <f t="shared" si="10"/>
        <v/>
      </c>
      <c r="R55" s="312" t="e">
        <f t="shared" si="11"/>
        <v>#DIV/0!</v>
      </c>
      <c r="S55" s="318" t="e">
        <f t="shared" si="16"/>
        <v>#DIV/0!</v>
      </c>
      <c r="T55" s="313" t="str">
        <f t="shared" si="12"/>
        <v/>
      </c>
      <c r="U55" s="114">
        <f>_xlfn.MINIFS('Rent Roll'!$M:$M,'Rent Roll'!$G:$G,'Unit Mix'!E55,'Rent Roll'!$D:$D,'Unit Mix'!D55,'Rent Roll'!$J:$J,"&lt;&gt;Vacant",'Rent Roll'!$M:$M,"&gt;100")</f>
        <v>0</v>
      </c>
      <c r="V55" s="114">
        <f>_xlfn.MAXIFS('Rent Roll'!$M:$M,'Rent Roll'!$G:$G,'Unit Mix'!E55,'Rent Roll'!$D:$D,'Unit Mix'!D55,'Rent Roll'!$J:$J,"&lt;&gt;Vacant")</f>
        <v>0</v>
      </c>
      <c r="W55" s="311">
        <f>SUMIFS('Rent Roll'!$Q:$Q,'Rent Roll'!$G:$G,'Unit Mix'!$E55,'Rent Roll'!$D:$D,'Unit Mix'!D55)</f>
        <v>0</v>
      </c>
      <c r="AA55" s="586">
        <f>COUNTIFS('Rent Roll'!$G:$G,'Unit Mix'!$E55,'Rent Roll'!$L:$L,"Occ",'Rent Roll'!$D:$D,'Unit Mix'!D55)+COUNTIFS('Rent Roll'!$G:$G,'Unit Mix'!$E55,'Rent Roll'!$L:$L,"Admin",'Rent Roll'!$D:$D,'Unit Mix'!D55)+COUNTIFS('Rent Roll'!$G:$G,'Unit Mix'!$E55,'Rent Roll'!$L:$L,"Model",'Rent Roll'!$D:$D,'Unit Mix'!D55)+COUNTIFS('Rent Roll'!$G:$G,'Unit Mix'!$E55,'Rent Roll'!$L:$L,"Down",'Rent Roll'!$D:$D,'Unit Mix'!D55)</f>
        <v>0</v>
      </c>
      <c r="AB55" s="575">
        <f>SUMIFS('Rent Roll'!$K:$K,'Rent Roll'!$G:$G,'Unit Mix'!$E55,'Rent Roll'!$L:$L,"Occ",'Rent Roll'!$D:$D,'Unit Mix'!D55)+SUMIFS('Rent Roll'!$K:$K,'Rent Roll'!$G:$G,'Unit Mix'!$E55,'Rent Roll'!$L:$L,"Admin",'Rent Roll'!$D:$D,'Unit Mix'!D55)+SUMIFS('Rent Roll'!$K:$K,'Rent Roll'!$G:$G,'Unit Mix'!$E55,'Rent Roll'!$L:$L,"Model",'Rent Roll'!$D:$D,'Unit Mix'!D55)+SUMIFS('Rent Roll'!$K:$K,'Rent Roll'!$G:$G,'Unit Mix'!$E55,'Rent Roll'!$L:$L,"Down",'Rent Roll'!$D:$D,'Unit Mix'!D55)</f>
        <v>0</v>
      </c>
      <c r="AC55" s="691" t="e" cm="1">
        <f t="array" ref="AC55">INDEX('Lease Comps'!$I$10:$I$24,MATCH('Unit Mix'!AI55,'Lease Comps'!$A$10:$A$24,0)+1)</f>
        <v>#DIV/0!</v>
      </c>
      <c r="AD55" s="460"/>
      <c r="AE55" s="515"/>
      <c r="AF55" s="515"/>
      <c r="AG55" s="220"/>
      <c r="AH55" s="557" t="str">
        <f t="shared" si="13"/>
        <v>3 Bedroom</v>
      </c>
      <c r="AI55" s="557" t="str">
        <f t="shared" si="14"/>
        <v>3BR</v>
      </c>
    </row>
    <row r="56" spans="3:35" ht="14.1" customHeight="1" x14ac:dyDescent="0.25">
      <c r="D56" s="110" t="str">
        <f>OneLineRR!B55</f>
        <v>Hudson View Park</v>
      </c>
      <c r="E56" s="111" t="str">
        <f>OneLineRR!C55</f>
        <v>3BD TH - Large, Platinum</v>
      </c>
      <c r="F56" s="574">
        <f>COUNTIFS('Rent Roll'!$G:$G,'Unit Mix'!$E56,'Rent Roll'!$D:$D,'Unit Mix'!D56)</f>
        <v>0</v>
      </c>
      <c r="G56" s="575">
        <f>SUMIFS('Rent Roll'!$K:$K,'Rent Roll'!$G:$G,'Unit Mix'!$E56,'Rent Roll'!$D:$D,'Unit Mix'!D56)</f>
        <v>0</v>
      </c>
      <c r="H56" s="575" t="e">
        <f t="shared" si="4"/>
        <v>#DIV/0!</v>
      </c>
      <c r="I56" s="301">
        <f>SUMIFS('Rent Roll'!$M:$M,'Rent Roll'!$G:$G,'Unit Mix'!$E56,'Rent Roll'!$D:$D,'Unit Mix'!D56)+SUMIFS('Rent Roll'!$N:$N,'Rent Roll'!$G:$G,'Unit Mix'!$E56,'Rent Roll'!$D:$D,'Unit Mix'!D56)</f>
        <v>0</v>
      </c>
      <c r="J56" s="576" t="str">
        <f t="shared" si="15"/>
        <v/>
      </c>
      <c r="K56" s="577" t="str">
        <f t="shared" si="5"/>
        <v/>
      </c>
      <c r="L56" s="301">
        <f>SUMIFS('Rent Roll'!$O:$O,'Rent Roll'!$G:$G,'Unit Mix'!$E56,'Rent Roll'!$D:$D,'Unit Mix'!D56)</f>
        <v>0</v>
      </c>
      <c r="M56" s="576" t="e">
        <f t="shared" si="6"/>
        <v>#DIV/0!</v>
      </c>
      <c r="N56" s="577" t="str">
        <f t="shared" si="7"/>
        <v/>
      </c>
      <c r="O56" s="301" t="e">
        <f t="shared" si="8"/>
        <v>#DIV/0!</v>
      </c>
      <c r="P56" s="788" t="e">
        <f t="shared" si="9"/>
        <v>#DIV/0!</v>
      </c>
      <c r="Q56" s="577" t="str">
        <f t="shared" si="10"/>
        <v/>
      </c>
      <c r="R56" s="312" t="e">
        <f t="shared" si="11"/>
        <v>#DIV/0!</v>
      </c>
      <c r="S56" s="318" t="e">
        <f t="shared" si="16"/>
        <v>#DIV/0!</v>
      </c>
      <c r="T56" s="313" t="str">
        <f t="shared" si="12"/>
        <v/>
      </c>
      <c r="U56" s="114">
        <f>_xlfn.MINIFS('Rent Roll'!$M:$M,'Rent Roll'!$G:$G,'Unit Mix'!E56,'Rent Roll'!$D:$D,'Unit Mix'!D56,'Rent Roll'!$J:$J,"&lt;&gt;Vacant",'Rent Roll'!$M:$M,"&gt;100")</f>
        <v>0</v>
      </c>
      <c r="V56" s="114">
        <f>_xlfn.MAXIFS('Rent Roll'!$M:$M,'Rent Roll'!$G:$G,'Unit Mix'!E56,'Rent Roll'!$D:$D,'Unit Mix'!D56,'Rent Roll'!$J:$J,"&lt;&gt;Vacant")</f>
        <v>0</v>
      </c>
      <c r="W56" s="311">
        <f>SUMIFS('Rent Roll'!$Q:$Q,'Rent Roll'!$G:$G,'Unit Mix'!$E56,'Rent Roll'!$D:$D,'Unit Mix'!D56)</f>
        <v>0</v>
      </c>
      <c r="AA56" s="586">
        <f>COUNTIFS('Rent Roll'!$G:$G,'Unit Mix'!$E56,'Rent Roll'!$L:$L,"Occ",'Rent Roll'!$D:$D,'Unit Mix'!D56)+COUNTIFS('Rent Roll'!$G:$G,'Unit Mix'!$E56,'Rent Roll'!$L:$L,"Admin",'Rent Roll'!$D:$D,'Unit Mix'!D56)+COUNTIFS('Rent Roll'!$G:$G,'Unit Mix'!$E56,'Rent Roll'!$L:$L,"Model",'Rent Roll'!$D:$D,'Unit Mix'!D56)+COUNTIFS('Rent Roll'!$G:$G,'Unit Mix'!$E56,'Rent Roll'!$L:$L,"Down",'Rent Roll'!$D:$D,'Unit Mix'!D56)</f>
        <v>0</v>
      </c>
      <c r="AB56" s="575">
        <f>SUMIFS('Rent Roll'!$K:$K,'Rent Roll'!$G:$G,'Unit Mix'!$E56,'Rent Roll'!$L:$L,"Occ",'Rent Roll'!$D:$D,'Unit Mix'!D56)+SUMIFS('Rent Roll'!$K:$K,'Rent Roll'!$G:$G,'Unit Mix'!$E56,'Rent Roll'!$L:$L,"Admin",'Rent Roll'!$D:$D,'Unit Mix'!D56)+SUMIFS('Rent Roll'!$K:$K,'Rent Roll'!$G:$G,'Unit Mix'!$E56,'Rent Roll'!$L:$L,"Model",'Rent Roll'!$D:$D,'Unit Mix'!D56)+SUMIFS('Rent Roll'!$K:$K,'Rent Roll'!$G:$G,'Unit Mix'!$E56,'Rent Roll'!$L:$L,"Down",'Rent Roll'!$D:$D,'Unit Mix'!D56)</f>
        <v>0</v>
      </c>
      <c r="AC56" s="691" t="e" cm="1">
        <f t="array" ref="AC56">INDEX('Lease Comps'!$I$10:$I$24,MATCH('Unit Mix'!AI56,'Lease Comps'!$A$10:$A$24,0)+1)</f>
        <v>#DIV/0!</v>
      </c>
      <c r="AD56" s="460"/>
      <c r="AE56" s="515"/>
      <c r="AF56" s="515"/>
      <c r="AG56" s="220"/>
      <c r="AH56" s="557" t="str">
        <f t="shared" si="13"/>
        <v>3 Bedroom</v>
      </c>
      <c r="AI56" s="557" t="str">
        <f t="shared" si="14"/>
        <v>3BR</v>
      </c>
    </row>
    <row r="57" spans="3:35" ht="14.1" customHeight="1" x14ac:dyDescent="0.25">
      <c r="D57" s="110" t="str">
        <f>OneLineRR!B56</f>
        <v>Hudson View Park</v>
      </c>
      <c r="E57" s="111" t="str">
        <f>OneLineRR!C56</f>
        <v>3BD - HalfMoon 12, Gold</v>
      </c>
      <c r="F57" s="574">
        <f>COUNTIFS('Rent Roll'!$G:$G,'Unit Mix'!$E57,'Rent Roll'!$D:$D,'Unit Mix'!D57)</f>
        <v>0</v>
      </c>
      <c r="G57" s="575">
        <f>SUMIFS('Rent Roll'!$K:$K,'Rent Roll'!$G:$G,'Unit Mix'!$E57,'Rent Roll'!$D:$D,'Unit Mix'!D57)</f>
        <v>0</v>
      </c>
      <c r="H57" s="575" t="e">
        <f t="shared" si="4"/>
        <v>#DIV/0!</v>
      </c>
      <c r="I57" s="301">
        <f>SUMIFS('Rent Roll'!$M:$M,'Rent Roll'!$G:$G,'Unit Mix'!$E57,'Rent Roll'!$D:$D,'Unit Mix'!D57)+SUMIFS('Rent Roll'!$N:$N,'Rent Roll'!$G:$G,'Unit Mix'!$E57,'Rent Roll'!$D:$D,'Unit Mix'!D57)</f>
        <v>0</v>
      </c>
      <c r="J57" s="576" t="str">
        <f t="shared" si="15"/>
        <v/>
      </c>
      <c r="K57" s="577" t="str">
        <f t="shared" si="5"/>
        <v/>
      </c>
      <c r="L57" s="301">
        <f>SUMIFS('Rent Roll'!$O:$O,'Rent Roll'!$G:$G,'Unit Mix'!$E57,'Rent Roll'!$D:$D,'Unit Mix'!D57)</f>
        <v>0</v>
      </c>
      <c r="M57" s="576" t="e">
        <f t="shared" si="6"/>
        <v>#DIV/0!</v>
      </c>
      <c r="N57" s="577" t="str">
        <f t="shared" si="7"/>
        <v/>
      </c>
      <c r="O57" s="301" t="e">
        <f t="shared" si="8"/>
        <v>#DIV/0!</v>
      </c>
      <c r="P57" s="788" t="e">
        <f t="shared" si="9"/>
        <v>#DIV/0!</v>
      </c>
      <c r="Q57" s="577" t="str">
        <f t="shared" si="10"/>
        <v/>
      </c>
      <c r="R57" s="312" t="e">
        <f t="shared" si="11"/>
        <v>#DIV/0!</v>
      </c>
      <c r="S57" s="318" t="e">
        <f t="shared" si="16"/>
        <v>#DIV/0!</v>
      </c>
      <c r="T57" s="313" t="str">
        <f t="shared" si="12"/>
        <v/>
      </c>
      <c r="U57" s="114">
        <f>_xlfn.MINIFS('Rent Roll'!$M:$M,'Rent Roll'!$G:$G,'Unit Mix'!E57,'Rent Roll'!$D:$D,'Unit Mix'!D57,'Rent Roll'!$J:$J,"&lt;&gt;Vacant",'Rent Roll'!$M:$M,"&gt;100")</f>
        <v>0</v>
      </c>
      <c r="V57" s="114">
        <f>_xlfn.MAXIFS('Rent Roll'!$M:$M,'Rent Roll'!$G:$G,'Unit Mix'!E57,'Rent Roll'!$D:$D,'Unit Mix'!D57,'Rent Roll'!$J:$J,"&lt;&gt;Vacant")</f>
        <v>0</v>
      </c>
      <c r="W57" s="311">
        <f>SUMIFS('Rent Roll'!$Q:$Q,'Rent Roll'!$G:$G,'Unit Mix'!$E57,'Rent Roll'!$D:$D,'Unit Mix'!D57)</f>
        <v>0</v>
      </c>
      <c r="AA57" s="586">
        <f>COUNTIFS('Rent Roll'!$G:$G,'Unit Mix'!$E57,'Rent Roll'!$L:$L,"Occ",'Rent Roll'!$D:$D,'Unit Mix'!D57)+COUNTIFS('Rent Roll'!$G:$G,'Unit Mix'!$E57,'Rent Roll'!$L:$L,"Admin",'Rent Roll'!$D:$D,'Unit Mix'!D57)+COUNTIFS('Rent Roll'!$G:$G,'Unit Mix'!$E57,'Rent Roll'!$L:$L,"Model",'Rent Roll'!$D:$D,'Unit Mix'!D57)+COUNTIFS('Rent Roll'!$G:$G,'Unit Mix'!$E57,'Rent Roll'!$L:$L,"Down",'Rent Roll'!$D:$D,'Unit Mix'!D57)</f>
        <v>0</v>
      </c>
      <c r="AB57" s="575">
        <f>SUMIFS('Rent Roll'!$K:$K,'Rent Roll'!$G:$G,'Unit Mix'!$E57,'Rent Roll'!$L:$L,"Occ",'Rent Roll'!$D:$D,'Unit Mix'!D57)+SUMIFS('Rent Roll'!$K:$K,'Rent Roll'!$G:$G,'Unit Mix'!$E57,'Rent Roll'!$L:$L,"Admin",'Rent Roll'!$D:$D,'Unit Mix'!D57)+SUMIFS('Rent Roll'!$K:$K,'Rent Roll'!$G:$G,'Unit Mix'!$E57,'Rent Roll'!$L:$L,"Model",'Rent Roll'!$D:$D,'Unit Mix'!D57)+SUMIFS('Rent Roll'!$K:$K,'Rent Roll'!$G:$G,'Unit Mix'!$E57,'Rent Roll'!$L:$L,"Down",'Rent Roll'!$D:$D,'Unit Mix'!D57)</f>
        <v>0</v>
      </c>
      <c r="AC57" s="691" t="e" cm="1">
        <f t="array" ref="AC57">INDEX('Lease Comps'!$I$10:$I$24,MATCH('Unit Mix'!AI57,'Lease Comps'!$A$10:$A$24,0)+1)</f>
        <v>#DIV/0!</v>
      </c>
      <c r="AD57" s="460"/>
      <c r="AE57" s="515"/>
      <c r="AF57" s="515"/>
      <c r="AG57" s="220"/>
      <c r="AH57" s="557" t="str">
        <f t="shared" si="13"/>
        <v>3 Bedroom</v>
      </c>
      <c r="AI57" s="557" t="str">
        <f t="shared" si="14"/>
        <v>3BR</v>
      </c>
    </row>
    <row r="58" spans="3:35" ht="14.1" customHeight="1" x14ac:dyDescent="0.25">
      <c r="D58" s="110" t="str">
        <f>OneLineRR!B57</f>
        <v>Hudson View Park</v>
      </c>
      <c r="E58" s="111" t="str">
        <f>OneLineRR!C57</f>
        <v>3BD - HalfMoon 2, Platinum</v>
      </c>
      <c r="F58" s="574">
        <f>COUNTIFS('Rent Roll'!$G:$G,'Unit Mix'!$E58,'Rent Roll'!$D:$D,'Unit Mix'!D58)</f>
        <v>0</v>
      </c>
      <c r="G58" s="575">
        <f>SUMIFS('Rent Roll'!$K:$K,'Rent Roll'!$G:$G,'Unit Mix'!$E58,'Rent Roll'!$D:$D,'Unit Mix'!D58)</f>
        <v>0</v>
      </c>
      <c r="H58" s="575" t="e">
        <f t="shared" si="4"/>
        <v>#DIV/0!</v>
      </c>
      <c r="I58" s="301">
        <f>SUMIFS('Rent Roll'!$M:$M,'Rent Roll'!$G:$G,'Unit Mix'!$E58,'Rent Roll'!$D:$D,'Unit Mix'!D58)+SUMIFS('Rent Roll'!$N:$N,'Rent Roll'!$G:$G,'Unit Mix'!$E58,'Rent Roll'!$D:$D,'Unit Mix'!D58)</f>
        <v>0</v>
      </c>
      <c r="J58" s="576" t="str">
        <f t="shared" si="15"/>
        <v/>
      </c>
      <c r="K58" s="577" t="str">
        <f t="shared" si="5"/>
        <v/>
      </c>
      <c r="L58" s="301">
        <f>SUMIFS('Rent Roll'!$O:$O,'Rent Roll'!$G:$G,'Unit Mix'!$E58,'Rent Roll'!$D:$D,'Unit Mix'!D58)</f>
        <v>0</v>
      </c>
      <c r="M58" s="576" t="e">
        <f t="shared" si="6"/>
        <v>#DIV/0!</v>
      </c>
      <c r="N58" s="577" t="str">
        <f t="shared" si="7"/>
        <v/>
      </c>
      <c r="O58" s="301" t="e">
        <f t="shared" si="8"/>
        <v>#DIV/0!</v>
      </c>
      <c r="P58" s="788" t="e">
        <f t="shared" si="9"/>
        <v>#DIV/0!</v>
      </c>
      <c r="Q58" s="577" t="str">
        <f t="shared" si="10"/>
        <v/>
      </c>
      <c r="R58" s="312" t="e">
        <f t="shared" si="11"/>
        <v>#DIV/0!</v>
      </c>
      <c r="S58" s="318" t="e">
        <f t="shared" si="16"/>
        <v>#DIV/0!</v>
      </c>
      <c r="T58" s="313" t="str">
        <f t="shared" si="12"/>
        <v/>
      </c>
      <c r="U58" s="114">
        <f>_xlfn.MINIFS('Rent Roll'!$M:$M,'Rent Roll'!$G:$G,'Unit Mix'!E58,'Rent Roll'!$D:$D,'Unit Mix'!D58,'Rent Roll'!$J:$J,"&lt;&gt;Vacant",'Rent Roll'!$M:$M,"&gt;100")</f>
        <v>0</v>
      </c>
      <c r="V58" s="114">
        <f>_xlfn.MAXIFS('Rent Roll'!$M:$M,'Rent Roll'!$G:$G,'Unit Mix'!E58,'Rent Roll'!$D:$D,'Unit Mix'!D58,'Rent Roll'!$J:$J,"&lt;&gt;Vacant")</f>
        <v>0</v>
      </c>
      <c r="W58" s="311">
        <f>SUMIFS('Rent Roll'!$Q:$Q,'Rent Roll'!$G:$G,'Unit Mix'!$E58,'Rent Roll'!$D:$D,'Unit Mix'!D58)</f>
        <v>0</v>
      </c>
      <c r="AA58" s="586">
        <f>COUNTIFS('Rent Roll'!$G:$G,'Unit Mix'!$E58,'Rent Roll'!$L:$L,"Occ",'Rent Roll'!$D:$D,'Unit Mix'!D58)+COUNTIFS('Rent Roll'!$G:$G,'Unit Mix'!$E58,'Rent Roll'!$L:$L,"Admin",'Rent Roll'!$D:$D,'Unit Mix'!D58)+COUNTIFS('Rent Roll'!$G:$G,'Unit Mix'!$E58,'Rent Roll'!$L:$L,"Model",'Rent Roll'!$D:$D,'Unit Mix'!D58)+COUNTIFS('Rent Roll'!$G:$G,'Unit Mix'!$E58,'Rent Roll'!$L:$L,"Down",'Rent Roll'!$D:$D,'Unit Mix'!D58)</f>
        <v>0</v>
      </c>
      <c r="AB58" s="575">
        <f>SUMIFS('Rent Roll'!$K:$K,'Rent Roll'!$G:$G,'Unit Mix'!$E58,'Rent Roll'!$L:$L,"Occ",'Rent Roll'!$D:$D,'Unit Mix'!D58)+SUMIFS('Rent Roll'!$K:$K,'Rent Roll'!$G:$G,'Unit Mix'!$E58,'Rent Roll'!$L:$L,"Admin",'Rent Roll'!$D:$D,'Unit Mix'!D58)+SUMIFS('Rent Roll'!$K:$K,'Rent Roll'!$G:$G,'Unit Mix'!$E58,'Rent Roll'!$L:$L,"Model",'Rent Roll'!$D:$D,'Unit Mix'!D58)+SUMIFS('Rent Roll'!$K:$K,'Rent Roll'!$G:$G,'Unit Mix'!$E58,'Rent Roll'!$L:$L,"Down",'Rent Roll'!$D:$D,'Unit Mix'!D58)</f>
        <v>0</v>
      </c>
      <c r="AC58" s="691" t="e" cm="1">
        <f t="array" ref="AC58">INDEX('Lease Comps'!$I$10:$I$24,MATCH('Unit Mix'!AI58,'Lease Comps'!$A$10:$A$24,0)+1)</f>
        <v>#DIV/0!</v>
      </c>
      <c r="AD58" s="460"/>
      <c r="AE58" s="515"/>
      <c r="AF58" s="515"/>
      <c r="AG58" s="220"/>
      <c r="AH58" s="557" t="str">
        <f t="shared" si="13"/>
        <v>3 Bedroom</v>
      </c>
      <c r="AI58" s="557" t="str">
        <f t="shared" si="14"/>
        <v>3BR</v>
      </c>
    </row>
    <row r="59" spans="3:35" ht="14.1" customHeight="1" x14ac:dyDescent="0.25">
      <c r="D59" s="110" t="str">
        <f>OneLineRR!B58</f>
        <v>Hudson View Park</v>
      </c>
      <c r="E59" s="111" t="str">
        <f>OneLineRR!C58</f>
        <v>4BD TH -, Gold</v>
      </c>
      <c r="F59" s="574">
        <f>COUNTIFS('Rent Roll'!$G:$G,'Unit Mix'!$E59,'Rent Roll'!$D:$D,'Unit Mix'!D59)</f>
        <v>0</v>
      </c>
      <c r="G59" s="575">
        <f>SUMIFS('Rent Roll'!$K:$K,'Rent Roll'!$G:$G,'Unit Mix'!$E59,'Rent Roll'!$D:$D,'Unit Mix'!D59)</f>
        <v>0</v>
      </c>
      <c r="H59" s="575" t="e">
        <f t="shared" si="4"/>
        <v>#DIV/0!</v>
      </c>
      <c r="I59" s="301">
        <f>SUMIFS('Rent Roll'!$M:$M,'Rent Roll'!$G:$G,'Unit Mix'!$E59,'Rent Roll'!$D:$D,'Unit Mix'!D59)+SUMIFS('Rent Roll'!$N:$N,'Rent Roll'!$G:$G,'Unit Mix'!$E59,'Rent Roll'!$D:$D,'Unit Mix'!D59)</f>
        <v>0</v>
      </c>
      <c r="J59" s="576" t="str">
        <f t="shared" si="15"/>
        <v/>
      </c>
      <c r="K59" s="577" t="str">
        <f t="shared" si="5"/>
        <v/>
      </c>
      <c r="L59" s="301">
        <f>SUMIFS('Rent Roll'!$O:$O,'Rent Roll'!$G:$G,'Unit Mix'!$E59,'Rent Roll'!$D:$D,'Unit Mix'!D59)</f>
        <v>0</v>
      </c>
      <c r="M59" s="576" t="e">
        <f t="shared" si="6"/>
        <v>#DIV/0!</v>
      </c>
      <c r="N59" s="577" t="str">
        <f t="shared" si="7"/>
        <v/>
      </c>
      <c r="O59" s="301" t="e">
        <f t="shared" si="8"/>
        <v>#DIV/0!</v>
      </c>
      <c r="P59" s="788" t="e">
        <f t="shared" si="9"/>
        <v>#DIV/0!</v>
      </c>
      <c r="Q59" s="577" t="str">
        <f t="shared" si="10"/>
        <v/>
      </c>
      <c r="R59" s="312" t="e">
        <f t="shared" si="11"/>
        <v>#DIV/0!</v>
      </c>
      <c r="S59" s="318" t="e">
        <f t="shared" si="16"/>
        <v>#DIV/0!</v>
      </c>
      <c r="T59" s="313" t="str">
        <f t="shared" si="12"/>
        <v/>
      </c>
      <c r="U59" s="114">
        <f>_xlfn.MINIFS('Rent Roll'!$M:$M,'Rent Roll'!$G:$G,'Unit Mix'!E59,'Rent Roll'!$D:$D,'Unit Mix'!D59,'Rent Roll'!$J:$J,"&lt;&gt;Vacant",'Rent Roll'!$M:$M,"&gt;100")</f>
        <v>0</v>
      </c>
      <c r="V59" s="114">
        <f>_xlfn.MAXIFS('Rent Roll'!$M:$M,'Rent Roll'!$G:$G,'Unit Mix'!E59,'Rent Roll'!$D:$D,'Unit Mix'!D59,'Rent Roll'!$J:$J,"&lt;&gt;Vacant")</f>
        <v>0</v>
      </c>
      <c r="W59" s="311">
        <f>SUMIFS('Rent Roll'!$Q:$Q,'Rent Roll'!$G:$G,'Unit Mix'!$E59,'Rent Roll'!$D:$D,'Unit Mix'!D59)</f>
        <v>0</v>
      </c>
      <c r="AA59" s="586">
        <f>COUNTIFS('Rent Roll'!$G:$G,'Unit Mix'!$E59,'Rent Roll'!$L:$L,"Occ",'Rent Roll'!$D:$D,'Unit Mix'!D59)+COUNTIFS('Rent Roll'!$G:$G,'Unit Mix'!$E59,'Rent Roll'!$L:$L,"Admin",'Rent Roll'!$D:$D,'Unit Mix'!D59)+COUNTIFS('Rent Roll'!$G:$G,'Unit Mix'!$E59,'Rent Roll'!$L:$L,"Model",'Rent Roll'!$D:$D,'Unit Mix'!D59)+COUNTIFS('Rent Roll'!$G:$G,'Unit Mix'!$E59,'Rent Roll'!$L:$L,"Down",'Rent Roll'!$D:$D,'Unit Mix'!D59)</f>
        <v>0</v>
      </c>
      <c r="AB59" s="575">
        <f>SUMIFS('Rent Roll'!$K:$K,'Rent Roll'!$G:$G,'Unit Mix'!$E59,'Rent Roll'!$L:$L,"Occ",'Rent Roll'!$D:$D,'Unit Mix'!D59)+SUMIFS('Rent Roll'!$K:$K,'Rent Roll'!$G:$G,'Unit Mix'!$E59,'Rent Roll'!$L:$L,"Admin",'Rent Roll'!$D:$D,'Unit Mix'!D59)+SUMIFS('Rent Roll'!$K:$K,'Rent Roll'!$G:$G,'Unit Mix'!$E59,'Rent Roll'!$L:$L,"Model",'Rent Roll'!$D:$D,'Unit Mix'!D59)+SUMIFS('Rent Roll'!$K:$K,'Rent Roll'!$G:$G,'Unit Mix'!$E59,'Rent Roll'!$L:$L,"Down",'Rent Roll'!$D:$D,'Unit Mix'!D59)</f>
        <v>0</v>
      </c>
      <c r="AC59" s="691" t="e" cm="1">
        <f t="array" ref="AC59">INDEX('Lease Comps'!$I$10:$I$24,MATCH('Unit Mix'!AI59,'Lease Comps'!$A$10:$A$24,0)+1)</f>
        <v>#DIV/0!</v>
      </c>
      <c r="AD59" s="460"/>
      <c r="AE59" s="515"/>
      <c r="AF59" s="515"/>
      <c r="AG59" s="220"/>
      <c r="AH59" s="557" t="str">
        <f t="shared" si="13"/>
        <v>4 Bedroom</v>
      </c>
      <c r="AI59" s="557" t="str">
        <f t="shared" si="14"/>
        <v>4BR</v>
      </c>
    </row>
    <row r="60" spans="3:35" ht="14.1" customHeight="1" x14ac:dyDescent="0.25">
      <c r="D60" s="110" t="str">
        <f>OneLineRR!B59</f>
        <v>Hudson View Park</v>
      </c>
      <c r="E60" s="111" t="str">
        <f>OneLineRR!C59</f>
        <v>4BD TH -, Silver</v>
      </c>
      <c r="F60" s="574">
        <f>COUNTIFS('Rent Roll'!$G:$G,'Unit Mix'!$E60,'Rent Roll'!$D:$D,'Unit Mix'!D60)</f>
        <v>0</v>
      </c>
      <c r="G60" s="575">
        <f>SUMIFS('Rent Roll'!$K:$K,'Rent Roll'!$G:$G,'Unit Mix'!$E60,'Rent Roll'!$D:$D,'Unit Mix'!D60)</f>
        <v>0</v>
      </c>
      <c r="H60" s="575" t="e">
        <f t="shared" si="4"/>
        <v>#DIV/0!</v>
      </c>
      <c r="I60" s="301">
        <f>SUMIFS('Rent Roll'!$M:$M,'Rent Roll'!$G:$G,'Unit Mix'!$E60,'Rent Roll'!$D:$D,'Unit Mix'!D60)+SUMIFS('Rent Roll'!$N:$N,'Rent Roll'!$G:$G,'Unit Mix'!$E60,'Rent Roll'!$D:$D,'Unit Mix'!D60)</f>
        <v>0</v>
      </c>
      <c r="J60" s="576" t="str">
        <f t="shared" si="15"/>
        <v/>
      </c>
      <c r="K60" s="577" t="str">
        <f t="shared" si="5"/>
        <v/>
      </c>
      <c r="L60" s="301">
        <f>SUMIFS('Rent Roll'!$O:$O,'Rent Roll'!$G:$G,'Unit Mix'!$E60,'Rent Roll'!$D:$D,'Unit Mix'!D60)</f>
        <v>0</v>
      </c>
      <c r="M60" s="576" t="e">
        <f t="shared" si="6"/>
        <v>#DIV/0!</v>
      </c>
      <c r="N60" s="577" t="str">
        <f t="shared" si="7"/>
        <v/>
      </c>
      <c r="O60" s="301" t="e">
        <f t="shared" si="8"/>
        <v>#DIV/0!</v>
      </c>
      <c r="P60" s="788" t="e">
        <f t="shared" si="9"/>
        <v>#DIV/0!</v>
      </c>
      <c r="Q60" s="577" t="str">
        <f t="shared" si="10"/>
        <v/>
      </c>
      <c r="R60" s="312" t="e">
        <f t="shared" si="11"/>
        <v>#DIV/0!</v>
      </c>
      <c r="S60" s="318" t="e">
        <f t="shared" si="16"/>
        <v>#DIV/0!</v>
      </c>
      <c r="T60" s="313" t="str">
        <f t="shared" si="12"/>
        <v/>
      </c>
      <c r="U60" s="114">
        <f>_xlfn.MINIFS('Rent Roll'!$M:$M,'Rent Roll'!$G:$G,'Unit Mix'!E60,'Rent Roll'!$D:$D,'Unit Mix'!D60,'Rent Roll'!$J:$J,"&lt;&gt;Vacant",'Rent Roll'!$M:$M,"&gt;100")</f>
        <v>0</v>
      </c>
      <c r="V60" s="114">
        <f>_xlfn.MAXIFS('Rent Roll'!$M:$M,'Rent Roll'!$G:$G,'Unit Mix'!E60,'Rent Roll'!$D:$D,'Unit Mix'!D60,'Rent Roll'!$J:$J,"&lt;&gt;Vacant")</f>
        <v>0</v>
      </c>
      <c r="W60" s="311">
        <f>SUMIFS('Rent Roll'!$Q:$Q,'Rent Roll'!$G:$G,'Unit Mix'!$E60,'Rent Roll'!$D:$D,'Unit Mix'!D60)</f>
        <v>0</v>
      </c>
      <c r="AA60" s="586">
        <f>COUNTIFS('Rent Roll'!$G:$G,'Unit Mix'!$E60,'Rent Roll'!$L:$L,"Occ",'Rent Roll'!$D:$D,'Unit Mix'!D60)+COUNTIFS('Rent Roll'!$G:$G,'Unit Mix'!$E60,'Rent Roll'!$L:$L,"Admin",'Rent Roll'!$D:$D,'Unit Mix'!D60)+COUNTIFS('Rent Roll'!$G:$G,'Unit Mix'!$E60,'Rent Roll'!$L:$L,"Model",'Rent Roll'!$D:$D,'Unit Mix'!D60)+COUNTIFS('Rent Roll'!$G:$G,'Unit Mix'!$E60,'Rent Roll'!$L:$L,"Down",'Rent Roll'!$D:$D,'Unit Mix'!D60)</f>
        <v>0</v>
      </c>
      <c r="AB60" s="575">
        <f>SUMIFS('Rent Roll'!$K:$K,'Rent Roll'!$G:$G,'Unit Mix'!$E60,'Rent Roll'!$L:$L,"Occ",'Rent Roll'!$D:$D,'Unit Mix'!D60)+SUMIFS('Rent Roll'!$K:$K,'Rent Roll'!$G:$G,'Unit Mix'!$E60,'Rent Roll'!$L:$L,"Admin",'Rent Roll'!$D:$D,'Unit Mix'!D60)+SUMIFS('Rent Roll'!$K:$K,'Rent Roll'!$G:$G,'Unit Mix'!$E60,'Rent Roll'!$L:$L,"Model",'Rent Roll'!$D:$D,'Unit Mix'!D60)+SUMIFS('Rent Roll'!$K:$K,'Rent Roll'!$G:$G,'Unit Mix'!$E60,'Rent Roll'!$L:$L,"Down",'Rent Roll'!$D:$D,'Unit Mix'!D60)</f>
        <v>0</v>
      </c>
      <c r="AC60" s="691" t="e" cm="1">
        <f t="array" ref="AC60">INDEX('Lease Comps'!$I$10:$I$24,MATCH('Unit Mix'!AI60,'Lease Comps'!$A$10:$A$24,0)+1)</f>
        <v>#DIV/0!</v>
      </c>
      <c r="AD60" s="460"/>
      <c r="AE60" s="515"/>
      <c r="AF60" s="515"/>
      <c r="AG60" s="220"/>
      <c r="AH60" s="557" t="str">
        <f t="shared" si="13"/>
        <v>4 Bedroom</v>
      </c>
      <c r="AI60" s="557" t="str">
        <f t="shared" si="14"/>
        <v>4BR</v>
      </c>
    </row>
    <row r="61" spans="3:35" ht="14.1" customHeight="1" x14ac:dyDescent="0.25">
      <c r="D61" s="110" t="str">
        <f>OneLineRR!B60</f>
        <v>Hudson View Park</v>
      </c>
      <c r="E61" s="111" t="str">
        <f>OneLineRR!C60</f>
        <v>4BD - HalfMoon 6, Gold</v>
      </c>
      <c r="F61" s="574">
        <f>COUNTIFS('Rent Roll'!$G:$G,'Unit Mix'!$E61,'Rent Roll'!$D:$D,'Unit Mix'!D61)</f>
        <v>0</v>
      </c>
      <c r="G61" s="575">
        <f>SUMIFS('Rent Roll'!$K:$K,'Rent Roll'!$G:$G,'Unit Mix'!$E61,'Rent Roll'!$D:$D,'Unit Mix'!D61)</f>
        <v>0</v>
      </c>
      <c r="H61" s="575" t="e">
        <f t="shared" si="4"/>
        <v>#DIV/0!</v>
      </c>
      <c r="I61" s="301">
        <f>SUMIFS('Rent Roll'!$M:$M,'Rent Roll'!$G:$G,'Unit Mix'!$E61,'Rent Roll'!$D:$D,'Unit Mix'!D61)+SUMIFS('Rent Roll'!$N:$N,'Rent Roll'!$G:$G,'Unit Mix'!$E61,'Rent Roll'!$D:$D,'Unit Mix'!D61)</f>
        <v>0</v>
      </c>
      <c r="J61" s="576" t="str">
        <f t="shared" si="15"/>
        <v/>
      </c>
      <c r="K61" s="577" t="str">
        <f t="shared" si="5"/>
        <v/>
      </c>
      <c r="L61" s="301">
        <f>SUMIFS('Rent Roll'!$O:$O,'Rent Roll'!$G:$G,'Unit Mix'!$E61,'Rent Roll'!$D:$D,'Unit Mix'!D61)</f>
        <v>0</v>
      </c>
      <c r="M61" s="576" t="e">
        <f t="shared" si="6"/>
        <v>#DIV/0!</v>
      </c>
      <c r="N61" s="577" t="str">
        <f t="shared" si="7"/>
        <v/>
      </c>
      <c r="O61" s="301" t="e">
        <f t="shared" si="8"/>
        <v>#DIV/0!</v>
      </c>
      <c r="P61" s="788" t="e">
        <f t="shared" si="9"/>
        <v>#DIV/0!</v>
      </c>
      <c r="Q61" s="577" t="str">
        <f t="shared" si="10"/>
        <v/>
      </c>
      <c r="R61" s="312" t="e">
        <f t="shared" si="11"/>
        <v>#DIV/0!</v>
      </c>
      <c r="S61" s="318" t="e">
        <f t="shared" si="16"/>
        <v>#DIV/0!</v>
      </c>
      <c r="T61" s="313" t="str">
        <f t="shared" si="12"/>
        <v/>
      </c>
      <c r="U61" s="114">
        <f>_xlfn.MINIFS('Rent Roll'!$M:$M,'Rent Roll'!$G:$G,'Unit Mix'!E61,'Rent Roll'!$D:$D,'Unit Mix'!D61,'Rent Roll'!$J:$J,"&lt;&gt;Vacant",'Rent Roll'!$M:$M,"&gt;100")</f>
        <v>0</v>
      </c>
      <c r="V61" s="114">
        <f>_xlfn.MAXIFS('Rent Roll'!$M:$M,'Rent Roll'!$G:$G,'Unit Mix'!E61,'Rent Roll'!$D:$D,'Unit Mix'!D61,'Rent Roll'!$J:$J,"&lt;&gt;Vacant")</f>
        <v>0</v>
      </c>
      <c r="W61" s="311">
        <f>SUMIFS('Rent Roll'!$Q:$Q,'Rent Roll'!$G:$G,'Unit Mix'!$E61,'Rent Roll'!$D:$D,'Unit Mix'!D61)</f>
        <v>0</v>
      </c>
      <c r="AA61" s="586">
        <f>COUNTIFS('Rent Roll'!$G:$G,'Unit Mix'!$E61,'Rent Roll'!$L:$L,"Occ",'Rent Roll'!$D:$D,'Unit Mix'!D61)+COUNTIFS('Rent Roll'!$G:$G,'Unit Mix'!$E61,'Rent Roll'!$L:$L,"Admin",'Rent Roll'!$D:$D,'Unit Mix'!D61)+COUNTIFS('Rent Roll'!$G:$G,'Unit Mix'!$E61,'Rent Roll'!$L:$L,"Model",'Rent Roll'!$D:$D,'Unit Mix'!D61)+COUNTIFS('Rent Roll'!$G:$G,'Unit Mix'!$E61,'Rent Roll'!$L:$L,"Down",'Rent Roll'!$D:$D,'Unit Mix'!D61)</f>
        <v>0</v>
      </c>
      <c r="AB61" s="575">
        <f>SUMIFS('Rent Roll'!$K:$K,'Rent Roll'!$G:$G,'Unit Mix'!$E61,'Rent Roll'!$L:$L,"Occ",'Rent Roll'!$D:$D,'Unit Mix'!D61)+SUMIFS('Rent Roll'!$K:$K,'Rent Roll'!$G:$G,'Unit Mix'!$E61,'Rent Roll'!$L:$L,"Admin",'Rent Roll'!$D:$D,'Unit Mix'!D61)+SUMIFS('Rent Roll'!$K:$K,'Rent Roll'!$G:$G,'Unit Mix'!$E61,'Rent Roll'!$L:$L,"Model",'Rent Roll'!$D:$D,'Unit Mix'!D61)+SUMIFS('Rent Roll'!$K:$K,'Rent Roll'!$G:$G,'Unit Mix'!$E61,'Rent Roll'!$L:$L,"Down",'Rent Roll'!$D:$D,'Unit Mix'!D61)</f>
        <v>0</v>
      </c>
      <c r="AC61" s="691" t="e" cm="1">
        <f t="array" ref="AC61">INDEX('Lease Comps'!$I$10:$I$24,MATCH('Unit Mix'!AI61,'Lease Comps'!$A$10:$A$24,0)+1)</f>
        <v>#DIV/0!</v>
      </c>
      <c r="AD61" s="460"/>
      <c r="AE61" s="515"/>
      <c r="AF61" s="515"/>
      <c r="AG61" s="220"/>
      <c r="AH61" s="557" t="str">
        <f t="shared" si="13"/>
        <v>4 Bedroom</v>
      </c>
      <c r="AI61" s="557" t="str">
        <f t="shared" si="14"/>
        <v>4BR</v>
      </c>
    </row>
    <row r="62" spans="3:35" ht="14.1" customHeight="1" thickBot="1" x14ac:dyDescent="0.3">
      <c r="D62" s="110" t="str">
        <f>OneLineRR!B61</f>
        <v>Hudson View Park</v>
      </c>
      <c r="E62" s="111" t="str">
        <f>OneLineRR!C61</f>
        <v>4BD - HalfMoon 8, Gold</v>
      </c>
      <c r="F62" s="574">
        <f>COUNTIFS('Rent Roll'!$G:$G,'Unit Mix'!$E62,'Rent Roll'!$D:$D,'Unit Mix'!D62)</f>
        <v>0</v>
      </c>
      <c r="G62" s="575">
        <f>SUMIFS('Rent Roll'!$K:$K,'Rent Roll'!$G:$G,'Unit Mix'!$E62,'Rent Roll'!$D:$D,'Unit Mix'!D62)</f>
        <v>0</v>
      </c>
      <c r="H62" s="575" t="e">
        <f t="shared" si="4"/>
        <v>#DIV/0!</v>
      </c>
      <c r="I62" s="301">
        <f>SUMIFS('Rent Roll'!$M:$M,'Rent Roll'!$G:$G,'Unit Mix'!$E62,'Rent Roll'!$D:$D,'Unit Mix'!D62)+SUMIFS('Rent Roll'!$N:$N,'Rent Roll'!$G:$G,'Unit Mix'!$E62,'Rent Roll'!$D:$D,'Unit Mix'!D62)</f>
        <v>0</v>
      </c>
      <c r="J62" s="576" t="str">
        <f t="shared" si="15"/>
        <v/>
      </c>
      <c r="K62" s="577" t="str">
        <f t="shared" si="5"/>
        <v/>
      </c>
      <c r="L62" s="301">
        <f>SUMIFS('Rent Roll'!$O:$O,'Rent Roll'!$G:$G,'Unit Mix'!$E62,'Rent Roll'!$D:$D,'Unit Mix'!D62)</f>
        <v>0</v>
      </c>
      <c r="M62" s="576" t="e">
        <f t="shared" si="6"/>
        <v>#DIV/0!</v>
      </c>
      <c r="N62" s="577" t="str">
        <f t="shared" si="7"/>
        <v/>
      </c>
      <c r="O62" s="301" t="e">
        <f t="shared" si="8"/>
        <v>#DIV/0!</v>
      </c>
      <c r="P62" s="788" t="e">
        <f t="shared" si="9"/>
        <v>#DIV/0!</v>
      </c>
      <c r="Q62" s="577" t="str">
        <f t="shared" si="10"/>
        <v/>
      </c>
      <c r="R62" s="312" t="e">
        <f t="shared" si="11"/>
        <v>#DIV/0!</v>
      </c>
      <c r="S62" s="318" t="e">
        <f t="shared" si="16"/>
        <v>#DIV/0!</v>
      </c>
      <c r="T62" s="313" t="str">
        <f t="shared" si="12"/>
        <v/>
      </c>
      <c r="U62" s="114">
        <f>_xlfn.MINIFS('Rent Roll'!$M:$M,'Rent Roll'!$G:$G,'Unit Mix'!E62,'Rent Roll'!$D:$D,'Unit Mix'!D62,'Rent Roll'!$J:$J,"&lt;&gt;Vacant",'Rent Roll'!$M:$M,"&gt;100")</f>
        <v>0</v>
      </c>
      <c r="V62" s="114">
        <f>_xlfn.MAXIFS('Rent Roll'!$M:$M,'Rent Roll'!$G:$G,'Unit Mix'!E62,'Rent Roll'!$D:$D,'Unit Mix'!D62,'Rent Roll'!$J:$J,"&lt;&gt;Vacant")</f>
        <v>0</v>
      </c>
      <c r="W62" s="311">
        <f>SUMIFS('Rent Roll'!$Q:$Q,'Rent Roll'!$G:$G,'Unit Mix'!$E62,'Rent Roll'!$D:$D,'Unit Mix'!D62)</f>
        <v>0</v>
      </c>
      <c r="AA62" s="586">
        <f>COUNTIFS('Rent Roll'!$G:$G,'Unit Mix'!$E62,'Rent Roll'!$L:$L,"Occ",'Rent Roll'!$D:$D,'Unit Mix'!D62)+COUNTIFS('Rent Roll'!$G:$G,'Unit Mix'!$E62,'Rent Roll'!$L:$L,"Admin",'Rent Roll'!$D:$D,'Unit Mix'!D62)+COUNTIFS('Rent Roll'!$G:$G,'Unit Mix'!$E62,'Rent Roll'!$L:$L,"Model",'Rent Roll'!$D:$D,'Unit Mix'!D62)+COUNTIFS('Rent Roll'!$G:$G,'Unit Mix'!$E62,'Rent Roll'!$L:$L,"Down",'Rent Roll'!$D:$D,'Unit Mix'!D62)</f>
        <v>0</v>
      </c>
      <c r="AB62" s="575">
        <f>SUMIFS('Rent Roll'!$K:$K,'Rent Roll'!$G:$G,'Unit Mix'!$E62,'Rent Roll'!$L:$L,"Occ",'Rent Roll'!$D:$D,'Unit Mix'!D62)+SUMIFS('Rent Roll'!$K:$K,'Rent Roll'!$G:$G,'Unit Mix'!$E62,'Rent Roll'!$L:$L,"Admin",'Rent Roll'!$D:$D,'Unit Mix'!D62)+SUMIFS('Rent Roll'!$K:$K,'Rent Roll'!$G:$G,'Unit Mix'!$E62,'Rent Roll'!$L:$L,"Model",'Rent Roll'!$D:$D,'Unit Mix'!D62)+SUMIFS('Rent Roll'!$K:$K,'Rent Roll'!$G:$G,'Unit Mix'!$E62,'Rent Roll'!$L:$L,"Down",'Rent Roll'!$D:$D,'Unit Mix'!D62)</f>
        <v>0</v>
      </c>
      <c r="AC62" s="1005" t="e" cm="1">
        <f t="array" ref="AC62">INDEX('Lease Comps'!$I$10:$I$24,MATCH('Unit Mix'!AI62,'Lease Comps'!$A$10:$A$24,0)+1)</f>
        <v>#DIV/0!</v>
      </c>
      <c r="AD62" s="460"/>
      <c r="AE62" s="515"/>
      <c r="AF62" s="515"/>
      <c r="AG62" s="220"/>
      <c r="AH62" s="557" t="str">
        <f t="shared" si="13"/>
        <v>4 Bedroom</v>
      </c>
      <c r="AI62" s="557" t="str">
        <f t="shared" si="14"/>
        <v>4BR</v>
      </c>
    </row>
    <row r="63" spans="3:35" ht="14.1" customHeight="1" x14ac:dyDescent="0.25">
      <c r="C63" s="115" t="s">
        <v>56</v>
      </c>
      <c r="D63" s="115"/>
      <c r="E63" s="115"/>
      <c r="F63" s="578">
        <f>SUM(F6:F62)</f>
        <v>0</v>
      </c>
      <c r="G63" s="579">
        <f>SUM(G6:G62)</f>
        <v>0</v>
      </c>
      <c r="H63" s="579" t="e">
        <f>SUMPRODUCT(H6:H62,F6:F62)/$F$63</f>
        <v>#DIV/0!</v>
      </c>
      <c r="I63" s="303">
        <f>SUM(I6:I62)</f>
        <v>0</v>
      </c>
      <c r="J63" s="118" t="e">
        <f>SUMPRODUCT(J6:J62,$F$6:$F$62)/$F$63</f>
        <v>#DIV/0!</v>
      </c>
      <c r="K63" s="580" t="e">
        <f>SUMPRODUCT(K6:K62,$G$6:$G$62)/G63</f>
        <v>#DIV/0!</v>
      </c>
      <c r="L63" s="303">
        <f>SUM(L6:L62)</f>
        <v>0</v>
      </c>
      <c r="M63" s="118" t="e">
        <f>SUMPRODUCT(M6:M62,$F$6:$F$62)/$F$63</f>
        <v>#DIV/0!</v>
      </c>
      <c r="N63" s="580" t="e">
        <f>SUMPRODUCT(N6:N62,$G$6:$G$62)/$G$63</f>
        <v>#DIV/0!</v>
      </c>
      <c r="O63" s="303" t="e">
        <f>SUM(O6:O62)</f>
        <v>#DIV/0!</v>
      </c>
      <c r="P63" s="581" t="e">
        <f>SUMPRODUCT(P6:P62,$F$6:$F$62)/$F$63</f>
        <v>#DIV/0!</v>
      </c>
      <c r="Q63" s="580" t="e">
        <f>SUMPRODUCT(Q6:Q62,$G$6:$G$62)/$G$63</f>
        <v>#DIV/0!</v>
      </c>
      <c r="R63" s="314" t="e">
        <f>SUM(R6:R62)</f>
        <v>#DIV/0!</v>
      </c>
      <c r="S63" s="291" t="e">
        <f>SUMPRODUCT(S6:S62,$F$6:$F$62)/$F$63</f>
        <v>#DIV/0!</v>
      </c>
      <c r="T63" s="315" t="e">
        <f>SUMPRODUCT(T6:T62,$G$6:$G$62)/G63</f>
        <v>#DIV/0!</v>
      </c>
      <c r="U63" s="632" t="e">
        <f>SUMPRODUCT(U6:U62,$F$6:$F$62)/$F$63</f>
        <v>#DIV/0!</v>
      </c>
      <c r="V63" s="633" t="e">
        <f>SUMPRODUCT(V6:V62,$F$6:$F$62)/$F$63</f>
        <v>#DIV/0!</v>
      </c>
      <c r="W63" s="291">
        <f>SUM(W6:W62)</f>
        <v>0</v>
      </c>
      <c r="AA63" s="578">
        <f>SUM(AA6:AA62)</f>
        <v>0</v>
      </c>
      <c r="AB63" s="579">
        <f>SUM(AB6:AB62)</f>
        <v>0</v>
      </c>
      <c r="AC63" s="118"/>
      <c r="AD63" s="469"/>
      <c r="AF63" s="515"/>
    </row>
    <row r="64" spans="3:35" ht="20.100000000000001" customHeight="1" outlineLevel="1" x14ac:dyDescent="0.25">
      <c r="C64" s="124"/>
      <c r="D64" s="297" t="str">
        <f>IF(OneLineRR!C67="","",OneLineRR!C67)</f>
        <v>Hudson View Park</v>
      </c>
      <c r="E64" s="294"/>
      <c r="F64" s="582">
        <f>SUMIF($D$6:$D$62,$D64,$F$6:$F$62)</f>
        <v>0</v>
      </c>
      <c r="G64" s="583">
        <f>SUMIF($D$6:$D$62,$D64,$G$6:$G$62)</f>
        <v>0</v>
      </c>
      <c r="H64" s="583" t="str" cm="1">
        <f t="array" ref="H64">IFERROR(SUMPRODUCT(--($D$6:$D$62=$D64),$H$6:$H$62,$F$6:$F$62)/$F64,"")</f>
        <v/>
      </c>
      <c r="I64" s="305">
        <f>SUMIF($D$6:$D$62,$D64,$I$6:$I$62)</f>
        <v>0</v>
      </c>
      <c r="J64" s="298" t="e" cm="1">
        <f t="array" ref="J64">SUMPRODUCT(--($D$6:$D$62=$D64),$J$6:$J$62,$F$6:$F$62)/$F64</f>
        <v>#DIV/0!</v>
      </c>
      <c r="K64" s="584" t="str" cm="1">
        <f t="array" ref="K64">IFERROR(SUMPRODUCT(--($D$6:$D$62=$D64),$K$6:$K$62,$G$6:$G$62)/$G64,"")</f>
        <v/>
      </c>
      <c r="L64" s="305">
        <f>SUMIF($D$6:$D$62,$D64,$L$6:$L$62)</f>
        <v>0</v>
      </c>
      <c r="M64" s="298" t="e" cm="1">
        <f t="array" ref="M64">SUMPRODUCT(--($D$6:$D$62=$D64),$M$6:$M$62,$F$6:$F$62)/$F64</f>
        <v>#DIV/0!</v>
      </c>
      <c r="N64" s="584" t="str" cm="1">
        <f t="array" ref="N64">IFERROR(SUMPRODUCT(--($D$6:$D$62=$D64),$N$6:$N$62,$G$6:$G$62)/$G64,"")</f>
        <v/>
      </c>
      <c r="O64" s="298" t="e">
        <f t="shared" ref="O64" si="17">SUMIF($D$6:$D$62,$D64,$O$6:$O$62)</f>
        <v>#DIV/0!</v>
      </c>
      <c r="P64" s="585" t="e" cm="1">
        <f t="array" ref="P64">SUMPRODUCT(--($D$6:$D$62=$D64),$P$6:$P$62,$F$6:$F$62)/$F64</f>
        <v>#DIV/0!</v>
      </c>
      <c r="Q64" s="584" t="e" cm="1">
        <f t="array" ref="Q64">SUMPRODUCT(--($D$6:$D$62=$D64),$Q$6:$Q$62,$G$6:$G$62)/$G64</f>
        <v>#DIV/0!</v>
      </c>
      <c r="R64" s="316" t="e">
        <f>SUMIF($D$6:$D$62,$D64,$R$6:$R$62)</f>
        <v>#DIV/0!</v>
      </c>
      <c r="S64" s="129" t="e" cm="1">
        <f t="array" ref="S64">SUMPRODUCT(--($D$6:$D$62=$D64),$S$6:$S$62,$F$6:$F$62)/$F64</f>
        <v>#DIV/0!</v>
      </c>
      <c r="T64" s="317" t="str" cm="1">
        <f t="array" ref="T64">IFERROR(SUMPRODUCT(--($D$6:$D$62=$D64),$T$6:$T$62,$G$6:$G$62)/$G64,"")</f>
        <v/>
      </c>
      <c r="U64" s="305" t="e" cm="1">
        <f t="array" ref="U64">SUMPRODUCT(--($D$6:$D$62=$D64),$U$6:$U$62,$F$6:$F$62)/$F64</f>
        <v>#DIV/0!</v>
      </c>
      <c r="V64" s="298" t="e" cm="1">
        <f t="array" ref="V64">SUMPRODUCT(--($D$6:$D$62=$D64),$V$6:$V$62,$F$6:$F$62)/$F64</f>
        <v>#DIV/0!</v>
      </c>
      <c r="W64" s="129"/>
      <c r="AA64" s="578">
        <f>SUMIF($D$6:$D$62,$D64,$AA$6:$AA$62)</f>
        <v>0</v>
      </c>
      <c r="AB64" s="579">
        <f>SUMIF($D$6:$D$62,$D64,$AB$6:$AB$62)</f>
        <v>0</v>
      </c>
      <c r="AC64" s="118"/>
      <c r="AD64" s="469"/>
    </row>
    <row r="65" spans="3:30" ht="20.100000000000001" customHeight="1" outlineLevel="1" x14ac:dyDescent="0.25">
      <c r="C65" s="124"/>
      <c r="D65" s="297" t="str">
        <f>IF(OneLineRR!C72="","",OneLineRR!C72)</f>
        <v>[Property 2 Name]</v>
      </c>
      <c r="E65" s="124"/>
      <c r="F65" s="582">
        <f>SUMIF($D$6:$D$62,$D65,$F$6:$F$62)</f>
        <v>0</v>
      </c>
      <c r="G65" s="583">
        <f>SUMIF($D$6:$D$62,$D65,$G$6:$G$62)</f>
        <v>0</v>
      </c>
      <c r="H65" s="583" t="str" cm="1">
        <f t="array" ref="H65">IFERROR(SUMPRODUCT(--($D$6:$D$62=$D65),$H$6:$H$62,$F$6:$F$62)/$F65,"")</f>
        <v/>
      </c>
      <c r="I65" s="305">
        <f>SUMIF($D$6:$D$62,$D65,$I$6:$I$62)</f>
        <v>0</v>
      </c>
      <c r="J65" s="298" t="e" cm="1">
        <f t="array" ref="J65">SUMPRODUCT(--($D$6:$D$62=$D65),$J$6:$J$62,$F$6:$F$62)/$F65</f>
        <v>#DIV/0!</v>
      </c>
      <c r="K65" s="584" t="str" cm="1">
        <f t="array" ref="K65">IFERROR(SUMPRODUCT(--($D$6:$D$62=$D65),$K$6:$K$62,$G$6:$G$62)/$G65,"")</f>
        <v/>
      </c>
      <c r="L65" s="305">
        <f t="shared" ref="L65:L68" si="18">SUMIF($D$6:$D$62,$D65,$L$6:$L$62)</f>
        <v>0</v>
      </c>
      <c r="M65" s="298" t="e" cm="1">
        <f t="array" ref="M65">SUMPRODUCT(--($D$6:$D$62=$D65),$M$6:$M$62,$F$6:$F$62)/$F65</f>
        <v>#DIV/0!</v>
      </c>
      <c r="N65" s="584" t="str" cm="1">
        <f t="array" ref="N65">IFERROR(SUMPRODUCT(--($D$6:$D$62=$D65),$N$6:$N$62,$G$6:$G$62)/$G65,"")</f>
        <v/>
      </c>
      <c r="O65" s="298">
        <f>SUMIF($D$6:$D$62,$D65,$O$6:$O$62)</f>
        <v>0</v>
      </c>
      <c r="P65" s="585" t="e" cm="1">
        <f t="array" ref="P65">SUMPRODUCT(--($D$6:$D$62=$D65),$P$6:$P$62,$F$6:$F$62)/$F65</f>
        <v>#DIV/0!</v>
      </c>
      <c r="Q65" s="584" t="e" cm="1">
        <f t="array" ref="Q65">SUMPRODUCT(--($D$6:$D$62=$D65),$Q$6:$Q$62,$G$6:$G$62)/$G65</f>
        <v>#DIV/0!</v>
      </c>
      <c r="R65" s="316">
        <f>SUMIF($D$6:$D$62,$D65,$R$6:$R$62)</f>
        <v>0</v>
      </c>
      <c r="S65" s="129" t="e" cm="1">
        <f t="array" ref="S65">SUMPRODUCT(--($D$6:$D$62=$D65),$S$6:$S$62,$F$6:$F$62)/$F65</f>
        <v>#DIV/0!</v>
      </c>
      <c r="T65" s="317" t="str" cm="1">
        <f t="array" ref="T65">IFERROR(SUMPRODUCT(--($D$6:$D$62=$D65),$T$6:$T$62,$G$6:$G$62)/$G65,"")</f>
        <v/>
      </c>
      <c r="U65" s="305" t="e" cm="1">
        <f t="array" ref="U65">SUMPRODUCT(--($D$6:$D$62=$D65),$U$6:$U$62,$F$6:$F$62)/$F65</f>
        <v>#DIV/0!</v>
      </c>
      <c r="V65" s="298" t="e" cm="1">
        <f t="array" ref="V65">SUMPRODUCT(--($D$6:$D$62=$D65),$V$6:$V$62,$F$6:$F$62)/$F65</f>
        <v>#DIV/0!</v>
      </c>
      <c r="W65" s="129"/>
      <c r="AA65" s="578">
        <f>SUMIF($D$6:$D$62,$D65,$AA$6:$AA$62)</f>
        <v>0</v>
      </c>
      <c r="AB65" s="579">
        <f>SUMIF($D$6:$D$62,$D65,$AB$6:$AB$62)</f>
        <v>0</v>
      </c>
      <c r="AC65" s="118"/>
      <c r="AD65" s="469"/>
    </row>
    <row r="66" spans="3:30" ht="20.100000000000001" customHeight="1" outlineLevel="1" x14ac:dyDescent="0.25">
      <c r="C66" s="124"/>
      <c r="D66" s="297" t="str">
        <f>IF(OneLineRR!C77="","",OneLineRR!C77)</f>
        <v>[Property 3 Name]</v>
      </c>
      <c r="E66" s="124"/>
      <c r="F66" s="582">
        <f>SUMIF($D$6:$D$6,$D66,$F$6:$F$6)</f>
        <v>0</v>
      </c>
      <c r="G66" s="583">
        <f>SUMIF($D$6:$D$6,$D66,$G$6:$G$6)</f>
        <v>0</v>
      </c>
      <c r="H66" s="583" t="str" cm="1">
        <f t="array" ref="H66">IFERROR(SUMPRODUCT(--($D$6:$D$62=$D66),$H$6:$H$62,$F$6:$F$62)/$F66,"")</f>
        <v/>
      </c>
      <c r="I66" s="305">
        <f>SUMIF($D$6:$D$6,$D66,$I$6:$I$6)</f>
        <v>0</v>
      </c>
      <c r="J66" s="298" t="e" cm="1">
        <f t="array" ref="J66">SUMPRODUCT(--($D$6:$D$62=$D66),$J$6:$J$62,$F$6:$F$62)/$F66</f>
        <v>#DIV/0!</v>
      </c>
      <c r="K66" s="584" t="str" cm="1">
        <f t="array" ref="K66">IFERROR(SUMPRODUCT(--($D$6:$D$62=$D66),$K$6:$K$62,$G$6:$G$62)/$G66,"")</f>
        <v/>
      </c>
      <c r="L66" s="305">
        <f t="shared" si="18"/>
        <v>0</v>
      </c>
      <c r="M66" s="298" t="e" cm="1">
        <f t="array" ref="M66">SUMPRODUCT(--($D$6:$D$62=$D66),$M$6:$M$62,$F$6:$F$62)/$F66</f>
        <v>#DIV/0!</v>
      </c>
      <c r="N66" s="584" t="str" cm="1">
        <f t="array" ref="N66">IFERROR(SUMPRODUCT(--($D$6:$D$62=$D66),$N$6:$N$62,$G$6:$G$62)/$G66,"")</f>
        <v/>
      </c>
      <c r="O66" s="298">
        <f t="shared" ref="O66:O68" si="19">SUMIF($D$6:$D$62,$D66,$O$6:$O$62)</f>
        <v>0</v>
      </c>
      <c r="P66" s="585" t="e" cm="1">
        <f t="array" ref="P66">SUMPRODUCT(--($D$6:$D$62=$D66),$P$6:$P$62,$F$6:$F$62)/$F66</f>
        <v>#DIV/0!</v>
      </c>
      <c r="Q66" s="584" t="e" cm="1">
        <f t="array" ref="Q66">SUMPRODUCT(--($D$6:$D$62=$D66),$Q$6:$Q$62,$G$6:$G$62)/$G66</f>
        <v>#DIV/0!</v>
      </c>
      <c r="R66" s="316">
        <f t="shared" ref="R66:R68" si="20">SUMIF($D$6:$D$62,$D66,$R$6:$R$62)</f>
        <v>0</v>
      </c>
      <c r="S66" s="129" t="e" cm="1">
        <f t="array" ref="S66">SUMPRODUCT(--($D$6:$D$62=$D66),$S$6:$S$62,$F$6:$F$62)/$F66</f>
        <v>#DIV/0!</v>
      </c>
      <c r="T66" s="317" t="str" cm="1">
        <f t="array" ref="T66">IFERROR(SUMPRODUCT(--($D$6:$D$62=$D66),$T$6:$T$62,$G$6:$G$62)/$G66,"")</f>
        <v/>
      </c>
      <c r="U66" s="305" t="e" cm="1">
        <f t="array" ref="U66">SUMPRODUCT(--($D$6:$D$62=$D66),$U$6:$U$62,$F$6:$F$62)/$F66</f>
        <v>#DIV/0!</v>
      </c>
      <c r="V66" s="298" t="e" cm="1">
        <f t="array" ref="V66">SUMPRODUCT(--($D$6:$D$62=$D66),$V$6:$V$62,$F$6:$F$62)/$F66</f>
        <v>#DIV/0!</v>
      </c>
      <c r="W66" s="129"/>
      <c r="AA66" s="578">
        <f>SUMIF($D$6:$D$6,$D66,$AA$6:$AA$6)</f>
        <v>0</v>
      </c>
      <c r="AB66" s="579">
        <f>SUMIF($D$6:$D$6,$D66,$AB$6:$AB$6)</f>
        <v>0</v>
      </c>
      <c r="AC66" s="291"/>
      <c r="AD66" s="469"/>
    </row>
    <row r="67" spans="3:30" ht="20.100000000000001" customHeight="1" outlineLevel="1" x14ac:dyDescent="0.25">
      <c r="C67" s="124"/>
      <c r="D67" s="297" t="str">
        <f>IF(OneLineRR!C82="","",OneLineRR!C82)</f>
        <v>[Property 4 Name]</v>
      </c>
      <c r="E67" s="124"/>
      <c r="F67" s="582">
        <f>SUMIF($D$6:$D$6,$D67,$F$6:$F$6)</f>
        <v>0</v>
      </c>
      <c r="G67" s="583">
        <f>SUMIF($D$6:$D$6,$D67,$G$6:$G$6)</f>
        <v>0</v>
      </c>
      <c r="H67" s="583" t="str" cm="1">
        <f t="array" ref="H67">IFERROR(SUMPRODUCT(--($D$6:$D$62=$D67),$H$6:$H$62,$F$6:$F$62)/$F67,"")</f>
        <v/>
      </c>
      <c r="I67" s="305">
        <f>SUMIF($D$6:$D$6,$D67,$I$6:$I$6)</f>
        <v>0</v>
      </c>
      <c r="J67" s="298" t="e" cm="1">
        <f t="array" ref="J67">SUMPRODUCT(--($D$6:$D$62=$D67),$J$6:$J$62,$F$6:$F$62)/$F67</f>
        <v>#DIV/0!</v>
      </c>
      <c r="K67" s="584" t="str" cm="1">
        <f t="array" ref="K67">IFERROR(SUMPRODUCT(--($D$6:$D$62=$D67),$K$6:$K$62,$G$6:$G$62)/$G67,"")</f>
        <v/>
      </c>
      <c r="L67" s="305">
        <f t="shared" si="18"/>
        <v>0</v>
      </c>
      <c r="M67" s="298" t="e" cm="1">
        <f t="array" ref="M67">SUMPRODUCT(--($D$6:$D$62=$D67),$M$6:$M$62,$F$6:$F$62)/$F67</f>
        <v>#DIV/0!</v>
      </c>
      <c r="N67" s="584" t="str" cm="1">
        <f t="array" ref="N67">IFERROR(SUMPRODUCT(--($D$6:$D$62=$D67),$N$6:$N$62,$G$6:$G$62)/$G67,"")</f>
        <v/>
      </c>
      <c r="O67" s="298">
        <f t="shared" si="19"/>
        <v>0</v>
      </c>
      <c r="P67" s="585" t="e" cm="1">
        <f t="array" ref="P67">SUMPRODUCT(--($D$6:$D$62=$D67),$P$6:$P$62,$F$6:$F$62)/$F67</f>
        <v>#DIV/0!</v>
      </c>
      <c r="Q67" s="584" t="e" cm="1">
        <f t="array" ref="Q67">SUMPRODUCT(--($D$6:$D$62=$D67),$Q$6:$Q$62,$G$6:$G$62)/$G67</f>
        <v>#DIV/0!</v>
      </c>
      <c r="R67" s="316">
        <f t="shared" si="20"/>
        <v>0</v>
      </c>
      <c r="S67" s="129" t="e" cm="1">
        <f t="array" ref="S67">SUMPRODUCT(--($D$6:$D$62=$D67),$S$6:$S$62,$F$6:$F$62)/$F67</f>
        <v>#DIV/0!</v>
      </c>
      <c r="T67" s="317" t="str" cm="1">
        <f t="array" ref="T67">IFERROR(SUMPRODUCT(--($D$6:$D$62=$D67),$T$6:$T$62,$G$6:$G$62)/$G67,"")</f>
        <v/>
      </c>
      <c r="U67" s="305" t="e" cm="1">
        <f t="array" ref="U67">SUMPRODUCT(--($D$6:$D$62=$D67),$U$6:$U$62,$F$6:$F$62)/$F67</f>
        <v>#DIV/0!</v>
      </c>
      <c r="V67" s="298" t="e" cm="1">
        <f t="array" ref="V67">SUMPRODUCT(--($D$6:$D$62=$D67),$V$6:$V$62,$F$6:$F$62)/$F67</f>
        <v>#DIV/0!</v>
      </c>
      <c r="W67" s="129"/>
      <c r="AA67" s="578">
        <f>SUMIF($D$6:$D$6,$D67,$AA$6:$AA$6)</f>
        <v>0</v>
      </c>
      <c r="AB67" s="579">
        <f>SUMIF($D$6:$D$6,$D67,$AB$6:$AB$6)</f>
        <v>0</v>
      </c>
      <c r="AC67" s="291"/>
      <c r="AD67" s="469"/>
    </row>
    <row r="68" spans="3:30" ht="20.100000000000001" customHeight="1" outlineLevel="1" x14ac:dyDescent="0.25">
      <c r="C68" s="124"/>
      <c r="D68" s="297" t="str">
        <f>IF(OneLineRR!C87="","",OneLineRR!C87)</f>
        <v>[Property 5 Name]</v>
      </c>
      <c r="E68" s="124"/>
      <c r="F68" s="582">
        <f>SUMIF($D$6:$D$6,$D68,$F$6:$F$6)</f>
        <v>0</v>
      </c>
      <c r="G68" s="583">
        <f>SUMIF($D$6:$D$6,$D68,$G$6:$G$6)</f>
        <v>0</v>
      </c>
      <c r="H68" s="583" t="str" cm="1">
        <f t="array" ref="H68">IFERROR(SUMPRODUCT(--($D$6:$D$62=$D68),$H$6:$H$62,$F$6:$F$62)/$F68,"")</f>
        <v/>
      </c>
      <c r="I68" s="305">
        <f>SUMIF($D$6:$D$6,$D68,$I$6:$I$6)</f>
        <v>0</v>
      </c>
      <c r="J68" s="298" t="e" cm="1">
        <f t="array" ref="J68">SUMPRODUCT(--($D$6:$D$62=$D68),$J$6:$J$62,$F$6:$F$62)/$F68</f>
        <v>#DIV/0!</v>
      </c>
      <c r="K68" s="584" t="str" cm="1">
        <f t="array" ref="K68">IFERROR(SUMPRODUCT(--($D$6:$D$62=$D68),$K$6:$K$62,$G$6:$G$62)/$G68,"")</f>
        <v/>
      </c>
      <c r="L68" s="305">
        <f t="shared" si="18"/>
        <v>0</v>
      </c>
      <c r="M68" s="298" t="e" cm="1">
        <f t="array" ref="M68">SUMPRODUCT(--($D$6:$D$62=$D68),$M$6:$M$62,$F$6:$F$62)/$F68</f>
        <v>#DIV/0!</v>
      </c>
      <c r="N68" s="584" t="str" cm="1">
        <f t="array" ref="N68">IFERROR(SUMPRODUCT(--($D$6:$D$62=$D68),$N$6:$N$62,$G$6:$G$62)/$G68,"")</f>
        <v/>
      </c>
      <c r="O68" s="298">
        <f t="shared" si="19"/>
        <v>0</v>
      </c>
      <c r="P68" s="585" t="e" cm="1">
        <f t="array" ref="P68">SUMPRODUCT(--($D$6:$D$62=$D68),$P$6:$P$62,$F$6:$F$62)/$F68</f>
        <v>#DIV/0!</v>
      </c>
      <c r="Q68" s="584" t="e" cm="1">
        <f t="array" ref="Q68">SUMPRODUCT(--($D$6:$D$62=$D68),$Q$6:$Q$62,$G$6:$G$62)/$G68</f>
        <v>#DIV/0!</v>
      </c>
      <c r="R68" s="316">
        <f t="shared" si="20"/>
        <v>0</v>
      </c>
      <c r="S68" s="129" t="e" cm="1">
        <f t="array" ref="S68">SUMPRODUCT(--($D$6:$D$62=$D68),$S$6:$S$62,$F$6:$F$62)/$F68</f>
        <v>#DIV/0!</v>
      </c>
      <c r="T68" s="317" t="str" cm="1">
        <f t="array" ref="T68">IFERROR(SUMPRODUCT(--($D$6:$D$62=$D68),$T$6:$T$62,$G$6:$G$62)/$G68,"")</f>
        <v/>
      </c>
      <c r="U68" s="305" t="e" cm="1">
        <f t="array" ref="U68">SUMPRODUCT(--($D$6:$D$62=$D68),$U$6:$U$62,$F$6:$F$62)/$F68</f>
        <v>#DIV/0!</v>
      </c>
      <c r="V68" s="298" t="e" cm="1">
        <f t="array" ref="V68">SUMPRODUCT(--($D$6:$D$62=$D68),$V$6:$V$62,$F$6:$F$62)/$F68</f>
        <v>#DIV/0!</v>
      </c>
      <c r="W68" s="129"/>
      <c r="AA68" s="578">
        <f>SUMIF($D$6:$D$6,$D68,$AA$6:$AA$6)</f>
        <v>0</v>
      </c>
      <c r="AB68" s="579">
        <f>SUMIF($D$6:$D$6,$D68,$AB$6:$AB$6)</f>
        <v>0</v>
      </c>
      <c r="AC68" s="291"/>
      <c r="AD68" s="469"/>
    </row>
    <row r="69" spans="3:30" ht="14.1" customHeight="1" x14ac:dyDescent="0.25">
      <c r="E69" s="111"/>
      <c r="F69" s="121"/>
      <c r="G69" s="122"/>
      <c r="H69" s="122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AA69" s="120"/>
      <c r="AD69" s="469"/>
    </row>
    <row r="70" spans="3:30" ht="14.1" customHeight="1" x14ac:dyDescent="0.25">
      <c r="C70" s="124" t="s">
        <v>17</v>
      </c>
      <c r="D70" s="125"/>
      <c r="E70" s="126"/>
      <c r="F70" s="126"/>
      <c r="G70" s="562">
        <f>$F$63</f>
        <v>0</v>
      </c>
      <c r="J70" s="123"/>
      <c r="K70" s="123"/>
      <c r="R70" s="123"/>
      <c r="S70" s="123"/>
      <c r="T70" s="123"/>
      <c r="U70" s="123"/>
      <c r="V70" s="123"/>
      <c r="W70" s="123"/>
      <c r="AA70" s="126"/>
      <c r="AD70" s="469"/>
    </row>
    <row r="71" spans="3:30" ht="14.1" customHeight="1" x14ac:dyDescent="0.25">
      <c r="C71" s="124" t="s">
        <v>108</v>
      </c>
      <c r="D71" s="125"/>
      <c r="E71" s="126"/>
      <c r="F71" s="126"/>
      <c r="G71" s="562">
        <f>$AA$63</f>
        <v>0</v>
      </c>
      <c r="J71" s="123"/>
      <c r="K71" s="123"/>
      <c r="R71" s="123"/>
      <c r="S71" s="123"/>
      <c r="T71" s="123"/>
      <c r="U71" s="123"/>
      <c r="V71" s="123"/>
      <c r="W71" s="123"/>
      <c r="AA71" s="126"/>
      <c r="AD71" s="469"/>
    </row>
    <row r="72" spans="3:30" ht="14.1" customHeight="1" x14ac:dyDescent="0.25">
      <c r="C72" s="124" t="s">
        <v>109</v>
      </c>
      <c r="D72" s="125"/>
      <c r="E72" s="127"/>
      <c r="F72" s="127"/>
      <c r="G72" s="563" t="e">
        <f>$AA$63/$F$63</f>
        <v>#DIV/0!</v>
      </c>
      <c r="H72" s="122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AA72" s="127"/>
      <c r="AD72" s="469"/>
    </row>
    <row r="73" spans="3:30" ht="14.1" customHeight="1" x14ac:dyDescent="0.25">
      <c r="C73" s="124"/>
      <c r="D73" s="125"/>
      <c r="E73" s="127"/>
      <c r="F73" s="127"/>
      <c r="G73" s="563"/>
      <c r="H73" s="122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AA73" s="127"/>
      <c r="AD73" s="119"/>
    </row>
    <row r="74" spans="3:30" ht="14.1" customHeight="1" x14ac:dyDescent="0.25">
      <c r="C74" s="124" t="s">
        <v>110</v>
      </c>
      <c r="D74" s="125"/>
      <c r="E74" s="128"/>
      <c r="F74" s="128"/>
      <c r="G74" s="564">
        <f>$G$63</f>
        <v>0</v>
      </c>
      <c r="H74" s="122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AA74" s="128"/>
      <c r="AD74" s="119"/>
    </row>
    <row r="75" spans="3:30" ht="14.1" customHeight="1" x14ac:dyDescent="0.25">
      <c r="C75" s="124" t="s">
        <v>111</v>
      </c>
      <c r="D75" s="125"/>
      <c r="E75" s="128"/>
      <c r="F75" s="128"/>
      <c r="G75" s="564">
        <f>$AB$63</f>
        <v>0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AA75" s="128"/>
      <c r="AD75" s="119"/>
    </row>
    <row r="76" spans="3:30" ht="14.1" customHeight="1" x14ac:dyDescent="0.25">
      <c r="C76" s="124" t="s">
        <v>112</v>
      </c>
      <c r="D76" s="125"/>
      <c r="E76" s="127"/>
      <c r="F76" s="127"/>
      <c r="G76" s="563" t="e">
        <f>$AB$63/$G$63</f>
        <v>#DIV/0!</v>
      </c>
      <c r="H76" s="122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AA76" s="127"/>
    </row>
    <row r="77" spans="3:30" ht="14.1" customHeight="1" x14ac:dyDescent="0.25">
      <c r="C77" s="124"/>
      <c r="D77" s="125"/>
      <c r="E77" s="127"/>
      <c r="F77" s="127"/>
      <c r="G77" s="563"/>
      <c r="H77" s="122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AA77" s="127"/>
    </row>
    <row r="78" spans="3:30" ht="14.1" hidden="1" customHeight="1" outlineLevel="1" x14ac:dyDescent="0.25">
      <c r="C78" s="124" t="s">
        <v>230</v>
      </c>
      <c r="D78" s="125"/>
      <c r="E78" s="129"/>
      <c r="F78" s="129"/>
      <c r="G78" s="565">
        <f>$L$63*12</f>
        <v>0</v>
      </c>
      <c r="H78" s="122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AA78" s="129"/>
    </row>
    <row r="79" spans="3:30" ht="14.1" customHeight="1" collapsed="1" x14ac:dyDescent="0.25">
      <c r="C79" s="124" t="s">
        <v>234</v>
      </c>
      <c r="D79" s="125"/>
      <c r="E79" s="129"/>
      <c r="F79" s="129"/>
      <c r="G79" s="565" t="e">
        <f>O63*12</f>
        <v>#DIV/0!</v>
      </c>
      <c r="H79" s="122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AA79" s="129"/>
    </row>
    <row r="80" spans="3:30" ht="14.1" customHeight="1" x14ac:dyDescent="0.25">
      <c r="C80" s="124" t="s">
        <v>113</v>
      </c>
      <c r="D80" s="125"/>
      <c r="E80" s="129"/>
      <c r="F80" s="129"/>
      <c r="G80" s="565">
        <f>$I$63*12</f>
        <v>0</v>
      </c>
      <c r="H80" s="122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AA80" s="129"/>
      <c r="AB80" s="457"/>
    </row>
    <row r="81" spans="3:29" ht="15" hidden="1" customHeight="1" outlineLevel="1" x14ac:dyDescent="0.25">
      <c r="C81" s="124" t="s">
        <v>114</v>
      </c>
      <c r="D81" s="125"/>
      <c r="E81" s="129"/>
      <c r="F81" s="129"/>
      <c r="G81" s="565">
        <f>IFERROR($W$63*12,"n/a")</f>
        <v>0</v>
      </c>
      <c r="H81" s="568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AA81" s="129"/>
    </row>
    <row r="82" spans="3:29" ht="4.5" customHeight="1" collapsed="1" x14ac:dyDescent="0.25">
      <c r="C82" s="105"/>
      <c r="E82" s="130"/>
    </row>
    <row r="83" spans="3:29" x14ac:dyDescent="0.25">
      <c r="F83" s="448" t="b">
        <f>F63=AD101</f>
        <v>1</v>
      </c>
      <c r="G83" s="448" t="b">
        <f>G63=AD104</f>
        <v>1</v>
      </c>
      <c r="H83" s="448"/>
      <c r="I83" s="448" t="b">
        <f>I63=AD108</f>
        <v>1</v>
      </c>
      <c r="J83" s="448"/>
      <c r="K83" s="448"/>
      <c r="L83" s="448" t="b">
        <f>L63=AD107</f>
        <v>1</v>
      </c>
      <c r="M83" s="448"/>
      <c r="N83" s="448"/>
      <c r="O83" s="731"/>
      <c r="P83" s="732"/>
      <c r="Q83" s="555"/>
      <c r="S83" s="513">
        <v>0</v>
      </c>
      <c r="T83" s="448"/>
      <c r="U83" s="448"/>
      <c r="V83" s="448"/>
      <c r="W83" s="448" t="b">
        <f>W63=AD110</f>
        <v>1</v>
      </c>
      <c r="X83" s="448"/>
      <c r="Y83" s="448"/>
      <c r="Z83" s="448"/>
      <c r="AA83" s="448" t="b">
        <f>AA63=$AD$102</f>
        <v>1</v>
      </c>
      <c r="AB83" s="448" t="b">
        <f>AB63=AD105</f>
        <v>1</v>
      </c>
    </row>
    <row r="84" spans="3:29" x14ac:dyDescent="0.25">
      <c r="D84" s="104"/>
      <c r="E84" s="131"/>
      <c r="F84" s="448" t="e">
        <f>G72=$AD$103</f>
        <v>#DIV/0!</v>
      </c>
      <c r="G84" s="448" t="b">
        <f>SUM(F64:F68)=F63</f>
        <v>1</v>
      </c>
      <c r="H84" s="448"/>
      <c r="I84" s="448" t="b">
        <f>SUM(I64:I68)=I63</f>
        <v>1</v>
      </c>
      <c r="J84" s="448"/>
      <c r="K84" s="448"/>
      <c r="L84" s="448" t="b">
        <f>SUM(L64:L68)=L63</f>
        <v>1</v>
      </c>
      <c r="M84" s="448"/>
      <c r="N84" s="448"/>
      <c r="O84" s="448"/>
      <c r="P84" s="448"/>
      <c r="Q84" s="448"/>
      <c r="R84" s="448" t="e">
        <f>SUM(R64:R68)=R63</f>
        <v>#DIV/0!</v>
      </c>
      <c r="S84" s="448"/>
      <c r="T84" s="448"/>
      <c r="U84" s="448"/>
      <c r="V84" s="448"/>
      <c r="W84" s="448"/>
      <c r="X84" s="448"/>
      <c r="Y84" s="448"/>
      <c r="Z84" s="448"/>
      <c r="AA84" s="448" t="b">
        <f>SUM(AA64:AA68)=AA63</f>
        <v>1</v>
      </c>
      <c r="AB84" s="448" t="b">
        <f>SUM(AB64:AB68)=AB63</f>
        <v>1</v>
      </c>
    </row>
    <row r="85" spans="3:29" x14ac:dyDescent="0.25">
      <c r="D85" s="104"/>
      <c r="F85" s="448" t="str">
        <f>IFERROR(G76=$AD$106,"")</f>
        <v/>
      </c>
      <c r="G85" s="448" t="b">
        <f>SUM(G64:G68)=G63</f>
        <v>1</v>
      </c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spans="3:29" x14ac:dyDescent="0.25">
      <c r="D86" s="104"/>
      <c r="F86" s="135"/>
      <c r="L86" s="134"/>
    </row>
    <row r="87" spans="3:29" x14ac:dyDescent="0.25">
      <c r="D87" s="104"/>
      <c r="M87" s="220"/>
      <c r="O87" s="220"/>
      <c r="P87" s="220"/>
      <c r="Q87" s="220"/>
      <c r="AC87" s="136"/>
    </row>
    <row r="88" spans="3:29" x14ac:dyDescent="0.25">
      <c r="D88" s="104"/>
      <c r="AC88" s="136"/>
    </row>
    <row r="89" spans="3:29" x14ac:dyDescent="0.25">
      <c r="D89" s="104"/>
      <c r="AC89" s="104"/>
    </row>
    <row r="90" spans="3:29" x14ac:dyDescent="0.25">
      <c r="D90" s="104"/>
      <c r="K90" s="220"/>
      <c r="AC90" s="104"/>
    </row>
    <row r="91" spans="3:29" x14ac:dyDescent="0.25">
      <c r="D91" s="104"/>
      <c r="AC91" s="104"/>
    </row>
    <row r="92" spans="3:29" x14ac:dyDescent="0.25">
      <c r="D92" s="104"/>
      <c r="AC92" s="104"/>
    </row>
    <row r="93" spans="3:29" x14ac:dyDescent="0.25">
      <c r="D93" s="104"/>
    </row>
    <row r="94" spans="3:29" x14ac:dyDescent="0.25">
      <c r="D94" s="104"/>
    </row>
    <row r="95" spans="3:29" x14ac:dyDescent="0.25">
      <c r="D95" s="104"/>
    </row>
    <row r="96" spans="3:29" x14ac:dyDescent="0.25">
      <c r="D96" s="104"/>
    </row>
    <row r="97" spans="4:30" x14ac:dyDescent="0.25">
      <c r="D97" s="104"/>
    </row>
    <row r="98" spans="4:30" x14ac:dyDescent="0.25">
      <c r="D98" s="104"/>
    </row>
    <row r="99" spans="4:30" x14ac:dyDescent="0.25">
      <c r="D99" s="104"/>
    </row>
    <row r="100" spans="4:30" x14ac:dyDescent="0.25">
      <c r="D100" s="104"/>
      <c r="AC100" s="136" t="s">
        <v>115</v>
      </c>
    </row>
    <row r="101" spans="4:30" x14ac:dyDescent="0.25">
      <c r="D101" s="104"/>
      <c r="AC101" s="103" t="s">
        <v>116</v>
      </c>
      <c r="AD101" s="138">
        <f>'Rent Roll'!$AG$526</f>
        <v>0</v>
      </c>
    </row>
    <row r="102" spans="4:30" x14ac:dyDescent="0.25">
      <c r="D102" s="104"/>
      <c r="AC102" s="103" t="s">
        <v>99</v>
      </c>
      <c r="AD102" s="138">
        <f>'Rent Roll'!$AG$527</f>
        <v>0</v>
      </c>
    </row>
    <row r="103" spans="4:30" x14ac:dyDescent="0.25">
      <c r="D103" s="104"/>
      <c r="AC103" s="103" t="s">
        <v>117</v>
      </c>
      <c r="AD103" s="141" t="e">
        <f>'Rent Roll'!$AG$528</f>
        <v>#DIV/0!</v>
      </c>
    </row>
    <row r="104" spans="4:30" x14ac:dyDescent="0.25">
      <c r="D104" s="104"/>
      <c r="AC104" s="103" t="s">
        <v>118</v>
      </c>
      <c r="AD104" s="138">
        <f>'Rent Roll'!$AG$529</f>
        <v>0</v>
      </c>
    </row>
    <row r="105" spans="4:30" x14ac:dyDescent="0.25">
      <c r="D105" s="104"/>
      <c r="AC105" s="103" t="s">
        <v>119</v>
      </c>
      <c r="AD105" s="138">
        <f>'Rent Roll'!$AG$530</f>
        <v>0</v>
      </c>
    </row>
    <row r="106" spans="4:30" x14ac:dyDescent="0.25">
      <c r="D106" s="104"/>
      <c r="AC106" s="103" t="s">
        <v>120</v>
      </c>
      <c r="AD106" s="141" t="e">
        <f>'Rent Roll'!$AG$531</f>
        <v>#DIV/0!</v>
      </c>
    </row>
    <row r="107" spans="4:30" x14ac:dyDescent="0.25">
      <c r="D107" s="104"/>
      <c r="AC107" s="103" t="s">
        <v>103</v>
      </c>
      <c r="AD107" s="138">
        <f>'Rent Roll'!$AG$532</f>
        <v>0</v>
      </c>
    </row>
    <row r="108" spans="4:30" x14ac:dyDescent="0.25">
      <c r="D108" s="104"/>
      <c r="AC108" s="103" t="s">
        <v>104</v>
      </c>
      <c r="AD108" s="138">
        <f>'Rent Roll'!M516+'Rent Roll'!N516</f>
        <v>0</v>
      </c>
    </row>
    <row r="109" spans="4:30" x14ac:dyDescent="0.25">
      <c r="D109" s="104"/>
      <c r="AC109" s="103" t="s">
        <v>121</v>
      </c>
      <c r="AD109" s="138">
        <f>'Rent Roll'!$AG$535</f>
        <v>0</v>
      </c>
    </row>
    <row r="110" spans="4:30" x14ac:dyDescent="0.25">
      <c r="D110" s="104"/>
      <c r="AC110" s="103" t="s">
        <v>122</v>
      </c>
      <c r="AD110" s="138">
        <f>'Rent Roll'!$AG$534</f>
        <v>0</v>
      </c>
    </row>
    <row r="111" spans="4:30" x14ac:dyDescent="0.25">
      <c r="D111" s="104"/>
    </row>
    <row r="112" spans="4:30" x14ac:dyDescent="0.25">
      <c r="D112" s="104"/>
    </row>
    <row r="113" spans="4:4" x14ac:dyDescent="0.25">
      <c r="D113" s="104"/>
    </row>
    <row r="114" spans="4:4" x14ac:dyDescent="0.25">
      <c r="D114" s="104"/>
    </row>
    <row r="115" spans="4:4" x14ac:dyDescent="0.25">
      <c r="D115" s="104"/>
    </row>
    <row r="116" spans="4:4" x14ac:dyDescent="0.25">
      <c r="D116" s="104"/>
    </row>
    <row r="117" spans="4:4" x14ac:dyDescent="0.25">
      <c r="D117" s="104"/>
    </row>
    <row r="118" spans="4:4" x14ac:dyDescent="0.25">
      <c r="D118" s="104"/>
    </row>
    <row r="119" spans="4:4" x14ac:dyDescent="0.25">
      <c r="D119" s="104"/>
    </row>
    <row r="120" spans="4:4" x14ac:dyDescent="0.25">
      <c r="D120" s="104"/>
    </row>
    <row r="121" spans="4:4" x14ac:dyDescent="0.25">
      <c r="D121" s="104"/>
    </row>
    <row r="122" spans="4:4" x14ac:dyDescent="0.25">
      <c r="D122" s="104"/>
    </row>
    <row r="123" spans="4:4" x14ac:dyDescent="0.25">
      <c r="D123" s="104"/>
    </row>
    <row r="124" spans="4:4" x14ac:dyDescent="0.25">
      <c r="D124" s="104"/>
    </row>
    <row r="125" spans="4:4" x14ac:dyDescent="0.25">
      <c r="D125" s="104"/>
    </row>
    <row r="126" spans="4:4" x14ac:dyDescent="0.25">
      <c r="D126" s="104"/>
    </row>
    <row r="127" spans="4:4" x14ac:dyDescent="0.25">
      <c r="D127" s="104"/>
    </row>
    <row r="128" spans="4:4" x14ac:dyDescent="0.25">
      <c r="D128" s="104"/>
    </row>
    <row r="129" spans="4:4" x14ac:dyDescent="0.25">
      <c r="D129" s="104"/>
    </row>
    <row r="130" spans="4:4" x14ac:dyDescent="0.25">
      <c r="D130" s="104"/>
    </row>
    <row r="131" spans="4:4" x14ac:dyDescent="0.25">
      <c r="D131" s="104"/>
    </row>
    <row r="132" spans="4:4" x14ac:dyDescent="0.25">
      <c r="D132" s="104"/>
    </row>
    <row r="133" spans="4:4" x14ac:dyDescent="0.25">
      <c r="D133" s="104"/>
    </row>
    <row r="134" spans="4:4" x14ac:dyDescent="0.25">
      <c r="D134" s="104"/>
    </row>
    <row r="135" spans="4:4" x14ac:dyDescent="0.25">
      <c r="D135" s="104"/>
    </row>
    <row r="136" spans="4:4" x14ac:dyDescent="0.25">
      <c r="D136" s="104"/>
    </row>
    <row r="137" spans="4:4" x14ac:dyDescent="0.25">
      <c r="D137" s="104"/>
    </row>
    <row r="138" spans="4:4" x14ac:dyDescent="0.25">
      <c r="D138" s="104"/>
    </row>
    <row r="139" spans="4:4" x14ac:dyDescent="0.25">
      <c r="D139" s="104"/>
    </row>
    <row r="140" spans="4:4" x14ac:dyDescent="0.25">
      <c r="D140" s="104"/>
    </row>
    <row r="141" spans="4:4" x14ac:dyDescent="0.25">
      <c r="D141" s="104"/>
    </row>
    <row r="142" spans="4:4" x14ac:dyDescent="0.25">
      <c r="D142" s="104"/>
    </row>
    <row r="143" spans="4:4" x14ac:dyDescent="0.25">
      <c r="D143" s="104"/>
    </row>
    <row r="144" spans="4:4" x14ac:dyDescent="0.25">
      <c r="D144" s="104"/>
    </row>
    <row r="145" spans="4:4" x14ac:dyDescent="0.25">
      <c r="D145" s="104"/>
    </row>
    <row r="146" spans="4:4" x14ac:dyDescent="0.25">
      <c r="D146" s="104"/>
    </row>
    <row r="147" spans="4:4" x14ac:dyDescent="0.25">
      <c r="D147" s="104"/>
    </row>
    <row r="148" spans="4:4" x14ac:dyDescent="0.25">
      <c r="D148" s="104"/>
    </row>
    <row r="149" spans="4:4" x14ac:dyDescent="0.25">
      <c r="D149" s="104"/>
    </row>
    <row r="150" spans="4:4" x14ac:dyDescent="0.25">
      <c r="D150" s="104"/>
    </row>
    <row r="151" spans="4:4" x14ac:dyDescent="0.25">
      <c r="D151" s="104"/>
    </row>
    <row r="152" spans="4:4" x14ac:dyDescent="0.25">
      <c r="D152" s="104"/>
    </row>
    <row r="153" spans="4:4" x14ac:dyDescent="0.25">
      <c r="D153" s="104"/>
    </row>
    <row r="154" spans="4:4" x14ac:dyDescent="0.25">
      <c r="D154" s="104"/>
    </row>
    <row r="155" spans="4:4" x14ac:dyDescent="0.25">
      <c r="D155" s="104"/>
    </row>
    <row r="156" spans="4:4" x14ac:dyDescent="0.25">
      <c r="D156" s="104"/>
    </row>
    <row r="157" spans="4:4" x14ac:dyDescent="0.25">
      <c r="D157" s="104"/>
    </row>
    <row r="158" spans="4:4" x14ac:dyDescent="0.25">
      <c r="D158" s="104"/>
    </row>
    <row r="159" spans="4:4" x14ac:dyDescent="0.25">
      <c r="D159" s="104"/>
    </row>
    <row r="160" spans="4:4" x14ac:dyDescent="0.25">
      <c r="D160" s="104"/>
    </row>
    <row r="161" spans="4:4" x14ac:dyDescent="0.25">
      <c r="D161" s="104"/>
    </row>
    <row r="162" spans="4:4" x14ac:dyDescent="0.25">
      <c r="D162" s="104"/>
    </row>
    <row r="163" spans="4:4" x14ac:dyDescent="0.25">
      <c r="D163" s="104"/>
    </row>
    <row r="164" spans="4:4" x14ac:dyDescent="0.25">
      <c r="D164" s="104"/>
    </row>
    <row r="165" spans="4:4" x14ac:dyDescent="0.25">
      <c r="D165" s="104"/>
    </row>
    <row r="166" spans="4:4" x14ac:dyDescent="0.25">
      <c r="D166" s="104"/>
    </row>
    <row r="167" spans="4:4" x14ac:dyDescent="0.25">
      <c r="D167" s="104"/>
    </row>
    <row r="168" spans="4:4" x14ac:dyDescent="0.25">
      <c r="D168" s="104"/>
    </row>
    <row r="169" spans="4:4" x14ac:dyDescent="0.25">
      <c r="D169" s="104"/>
    </row>
    <row r="170" spans="4:4" x14ac:dyDescent="0.25">
      <c r="D170" s="104"/>
    </row>
    <row r="171" spans="4:4" x14ac:dyDescent="0.25">
      <c r="D171" s="104"/>
    </row>
    <row r="172" spans="4:4" x14ac:dyDescent="0.25">
      <c r="D172" s="104"/>
    </row>
    <row r="173" spans="4:4" x14ac:dyDescent="0.25">
      <c r="D173" s="104"/>
    </row>
    <row r="174" spans="4:4" x14ac:dyDescent="0.25">
      <c r="D174" s="104"/>
    </row>
    <row r="175" spans="4:4" x14ac:dyDescent="0.25">
      <c r="D175" s="104"/>
    </row>
    <row r="176" spans="4:4" x14ac:dyDescent="0.25">
      <c r="D176" s="104"/>
    </row>
    <row r="177" spans="4:4" x14ac:dyDescent="0.25">
      <c r="D177" s="104"/>
    </row>
    <row r="178" spans="4:4" x14ac:dyDescent="0.25">
      <c r="D178" s="104"/>
    </row>
    <row r="179" spans="4:4" x14ac:dyDescent="0.25">
      <c r="D179" s="104"/>
    </row>
    <row r="180" spans="4:4" x14ac:dyDescent="0.25">
      <c r="D180" s="104"/>
    </row>
    <row r="181" spans="4:4" x14ac:dyDescent="0.25">
      <c r="D181" s="104"/>
    </row>
    <row r="182" spans="4:4" x14ac:dyDescent="0.25">
      <c r="D182" s="104"/>
    </row>
    <row r="183" spans="4:4" x14ac:dyDescent="0.25">
      <c r="D183" s="104"/>
    </row>
    <row r="184" spans="4:4" x14ac:dyDescent="0.25">
      <c r="D184" s="104"/>
    </row>
    <row r="185" spans="4:4" x14ac:dyDescent="0.25">
      <c r="D185" s="104"/>
    </row>
    <row r="186" spans="4:4" x14ac:dyDescent="0.25">
      <c r="D186" s="104"/>
    </row>
    <row r="187" spans="4:4" x14ac:dyDescent="0.25">
      <c r="D187" s="104"/>
    </row>
    <row r="188" spans="4:4" x14ac:dyDescent="0.25">
      <c r="D188" s="104"/>
    </row>
    <row r="189" spans="4:4" x14ac:dyDescent="0.25">
      <c r="D189" s="104"/>
    </row>
    <row r="190" spans="4:4" x14ac:dyDescent="0.25">
      <c r="D190" s="104"/>
    </row>
    <row r="191" spans="4:4" x14ac:dyDescent="0.25">
      <c r="D191" s="104"/>
    </row>
    <row r="192" spans="4:4" x14ac:dyDescent="0.25">
      <c r="D192" s="104"/>
    </row>
    <row r="193" spans="4:4" x14ac:dyDescent="0.25">
      <c r="D193" s="104"/>
    </row>
    <row r="194" spans="4:4" x14ac:dyDescent="0.25">
      <c r="D194" s="104"/>
    </row>
    <row r="195" spans="4:4" x14ac:dyDescent="0.25">
      <c r="D195" s="104"/>
    </row>
    <row r="196" spans="4:4" x14ac:dyDescent="0.25">
      <c r="D196" s="104"/>
    </row>
    <row r="197" spans="4:4" x14ac:dyDescent="0.25">
      <c r="D197" s="104"/>
    </row>
    <row r="198" spans="4:4" x14ac:dyDescent="0.25">
      <c r="D198" s="104"/>
    </row>
    <row r="199" spans="4:4" x14ac:dyDescent="0.25">
      <c r="D199" s="104"/>
    </row>
    <row r="200" spans="4:4" x14ac:dyDescent="0.25">
      <c r="D200" s="104"/>
    </row>
    <row r="201" spans="4:4" x14ac:dyDescent="0.25">
      <c r="D201" s="104"/>
    </row>
    <row r="202" spans="4:4" x14ac:dyDescent="0.25">
      <c r="D202" s="104"/>
    </row>
    <row r="203" spans="4:4" x14ac:dyDescent="0.25">
      <c r="D203" s="104"/>
    </row>
    <row r="204" spans="4:4" x14ac:dyDescent="0.25">
      <c r="D204" s="104"/>
    </row>
    <row r="205" spans="4:4" x14ac:dyDescent="0.25">
      <c r="D205" s="104"/>
    </row>
    <row r="206" spans="4:4" x14ac:dyDescent="0.25">
      <c r="D206" s="104"/>
    </row>
    <row r="207" spans="4:4" x14ac:dyDescent="0.25">
      <c r="D207" s="104"/>
    </row>
    <row r="208" spans="4:4" x14ac:dyDescent="0.25">
      <c r="D208" s="104"/>
    </row>
    <row r="209" spans="4:4" x14ac:dyDescent="0.25">
      <c r="D209" s="104"/>
    </row>
    <row r="210" spans="4:4" x14ac:dyDescent="0.25">
      <c r="D210" s="104"/>
    </row>
    <row r="211" spans="4:4" x14ac:dyDescent="0.25">
      <c r="D211" s="104"/>
    </row>
    <row r="212" spans="4:4" x14ac:dyDescent="0.25">
      <c r="D212" s="104"/>
    </row>
    <row r="213" spans="4:4" x14ac:dyDescent="0.25">
      <c r="D213" s="104"/>
    </row>
    <row r="214" spans="4:4" x14ac:dyDescent="0.25">
      <c r="D214" s="104"/>
    </row>
    <row r="215" spans="4:4" x14ac:dyDescent="0.25">
      <c r="D215" s="104"/>
    </row>
    <row r="216" spans="4:4" x14ac:dyDescent="0.25">
      <c r="D216" s="104"/>
    </row>
    <row r="217" spans="4:4" x14ac:dyDescent="0.25">
      <c r="D217" s="104"/>
    </row>
    <row r="218" spans="4:4" x14ac:dyDescent="0.25">
      <c r="D218" s="104"/>
    </row>
    <row r="219" spans="4:4" x14ac:dyDescent="0.25">
      <c r="D219" s="104"/>
    </row>
    <row r="220" spans="4:4" x14ac:dyDescent="0.25">
      <c r="D220" s="104"/>
    </row>
    <row r="221" spans="4:4" x14ac:dyDescent="0.25">
      <c r="D221" s="104"/>
    </row>
    <row r="222" spans="4:4" x14ac:dyDescent="0.25">
      <c r="D222" s="104"/>
    </row>
    <row r="223" spans="4:4" x14ac:dyDescent="0.25">
      <c r="D223" s="104"/>
    </row>
    <row r="224" spans="4:4" x14ac:dyDescent="0.25">
      <c r="D224" s="104"/>
    </row>
    <row r="225" spans="4:4" x14ac:dyDescent="0.25">
      <c r="D225" s="104"/>
    </row>
    <row r="226" spans="4:4" x14ac:dyDescent="0.25">
      <c r="D226" s="104"/>
    </row>
    <row r="227" spans="4:4" x14ac:dyDescent="0.25">
      <c r="D227" s="104"/>
    </row>
    <row r="228" spans="4:4" x14ac:dyDescent="0.25">
      <c r="D228" s="104"/>
    </row>
    <row r="229" spans="4:4" x14ac:dyDescent="0.25">
      <c r="D229" s="104"/>
    </row>
    <row r="230" spans="4:4" x14ac:dyDescent="0.25">
      <c r="D230" s="104"/>
    </row>
    <row r="231" spans="4:4" x14ac:dyDescent="0.25">
      <c r="D231" s="104"/>
    </row>
    <row r="232" spans="4:4" x14ac:dyDescent="0.25">
      <c r="D232" s="104"/>
    </row>
    <row r="233" spans="4:4" x14ac:dyDescent="0.25">
      <c r="D233" s="104"/>
    </row>
    <row r="234" spans="4:4" x14ac:dyDescent="0.25">
      <c r="D234" s="104"/>
    </row>
    <row r="235" spans="4:4" x14ac:dyDescent="0.25">
      <c r="D235" s="104"/>
    </row>
    <row r="236" spans="4:4" x14ac:dyDescent="0.25">
      <c r="D236" s="104"/>
    </row>
    <row r="237" spans="4:4" x14ac:dyDescent="0.25">
      <c r="D237" s="104"/>
    </row>
    <row r="238" spans="4:4" x14ac:dyDescent="0.25">
      <c r="D238" s="104"/>
    </row>
    <row r="239" spans="4:4" x14ac:dyDescent="0.25">
      <c r="D239" s="104"/>
    </row>
    <row r="240" spans="4:4" x14ac:dyDescent="0.25">
      <c r="D240" s="104"/>
    </row>
    <row r="241" spans="4:4" x14ac:dyDescent="0.25">
      <c r="D241" s="104"/>
    </row>
    <row r="242" spans="4:4" x14ac:dyDescent="0.25">
      <c r="D242" s="104"/>
    </row>
    <row r="243" spans="4:4" x14ac:dyDescent="0.25">
      <c r="D243" s="104"/>
    </row>
    <row r="244" spans="4:4" x14ac:dyDescent="0.25">
      <c r="D244" s="104"/>
    </row>
    <row r="245" spans="4:4" x14ac:dyDescent="0.25">
      <c r="D245" s="104"/>
    </row>
    <row r="246" spans="4:4" x14ac:dyDescent="0.25">
      <c r="D246" s="104"/>
    </row>
    <row r="247" spans="4:4" x14ac:dyDescent="0.25">
      <c r="D247" s="104"/>
    </row>
    <row r="248" spans="4:4" x14ac:dyDescent="0.25">
      <c r="D248" s="104"/>
    </row>
    <row r="249" spans="4:4" x14ac:dyDescent="0.25">
      <c r="D249" s="104"/>
    </row>
    <row r="250" spans="4:4" x14ac:dyDescent="0.25">
      <c r="D250" s="104"/>
    </row>
    <row r="251" spans="4:4" x14ac:dyDescent="0.25">
      <c r="D251" s="104"/>
    </row>
    <row r="252" spans="4:4" x14ac:dyDescent="0.25">
      <c r="D252" s="104"/>
    </row>
    <row r="253" spans="4:4" x14ac:dyDescent="0.25">
      <c r="D253" s="104"/>
    </row>
    <row r="254" spans="4:4" x14ac:dyDescent="0.25">
      <c r="D254" s="104"/>
    </row>
    <row r="255" spans="4:4" x14ac:dyDescent="0.25">
      <c r="D255" s="104"/>
    </row>
    <row r="256" spans="4:4" x14ac:dyDescent="0.25">
      <c r="D256" s="104"/>
    </row>
    <row r="257" spans="4:4" x14ac:dyDescent="0.25">
      <c r="D257" s="104"/>
    </row>
    <row r="258" spans="4:4" x14ac:dyDescent="0.25">
      <c r="D258" s="104"/>
    </row>
    <row r="259" spans="4:4" x14ac:dyDescent="0.25">
      <c r="D259" s="104"/>
    </row>
    <row r="260" spans="4:4" x14ac:dyDescent="0.25">
      <c r="D260" s="104"/>
    </row>
    <row r="261" spans="4:4" x14ac:dyDescent="0.25">
      <c r="D261" s="104"/>
    </row>
    <row r="262" spans="4:4" x14ac:dyDescent="0.25">
      <c r="D262" s="104"/>
    </row>
    <row r="263" spans="4:4" x14ac:dyDescent="0.25">
      <c r="D263" s="104"/>
    </row>
    <row r="264" spans="4:4" x14ac:dyDescent="0.25">
      <c r="D264" s="104"/>
    </row>
    <row r="265" spans="4:4" x14ac:dyDescent="0.25">
      <c r="D265" s="104"/>
    </row>
    <row r="266" spans="4:4" x14ac:dyDescent="0.25">
      <c r="D266" s="104"/>
    </row>
    <row r="267" spans="4:4" x14ac:dyDescent="0.25">
      <c r="D267" s="104"/>
    </row>
    <row r="268" spans="4:4" x14ac:dyDescent="0.25">
      <c r="D268" s="104"/>
    </row>
    <row r="269" spans="4:4" x14ac:dyDescent="0.25">
      <c r="D269" s="104"/>
    </row>
    <row r="270" spans="4:4" x14ac:dyDescent="0.25">
      <c r="D270" s="104"/>
    </row>
    <row r="271" spans="4:4" x14ac:dyDescent="0.25">
      <c r="D271" s="104"/>
    </row>
    <row r="272" spans="4:4" x14ac:dyDescent="0.25">
      <c r="D272" s="104"/>
    </row>
    <row r="273" spans="4:4" x14ac:dyDescent="0.25">
      <c r="D273" s="104"/>
    </row>
    <row r="274" spans="4:4" x14ac:dyDescent="0.25">
      <c r="D274" s="104"/>
    </row>
    <row r="275" spans="4:4" x14ac:dyDescent="0.25">
      <c r="D275" s="104"/>
    </row>
    <row r="276" spans="4:4" x14ac:dyDescent="0.25">
      <c r="D276" s="104"/>
    </row>
    <row r="277" spans="4:4" x14ac:dyDescent="0.25">
      <c r="D277" s="104"/>
    </row>
    <row r="278" spans="4:4" x14ac:dyDescent="0.25">
      <c r="D278" s="104"/>
    </row>
    <row r="279" spans="4:4" x14ac:dyDescent="0.25">
      <c r="D279" s="104"/>
    </row>
    <row r="280" spans="4:4" x14ac:dyDescent="0.25">
      <c r="D280" s="104"/>
    </row>
    <row r="281" spans="4:4" x14ac:dyDescent="0.25">
      <c r="D281" s="104"/>
    </row>
    <row r="282" spans="4:4" x14ac:dyDescent="0.25">
      <c r="D282" s="104"/>
    </row>
    <row r="283" spans="4:4" x14ac:dyDescent="0.25">
      <c r="D283" s="104"/>
    </row>
    <row r="284" spans="4:4" x14ac:dyDescent="0.25">
      <c r="D284" s="104"/>
    </row>
    <row r="285" spans="4:4" x14ac:dyDescent="0.25">
      <c r="D285" s="104"/>
    </row>
    <row r="286" spans="4:4" x14ac:dyDescent="0.25">
      <c r="D286" s="104"/>
    </row>
    <row r="287" spans="4:4" x14ac:dyDescent="0.25">
      <c r="D287" s="104"/>
    </row>
    <row r="288" spans="4:4" x14ac:dyDescent="0.25">
      <c r="D288" s="104"/>
    </row>
    <row r="289" spans="4:4" x14ac:dyDescent="0.25">
      <c r="D289" s="104"/>
    </row>
    <row r="290" spans="4:4" x14ac:dyDescent="0.25">
      <c r="D290" s="104"/>
    </row>
    <row r="291" spans="4:4" x14ac:dyDescent="0.25">
      <c r="D291" s="104"/>
    </row>
    <row r="292" spans="4:4" x14ac:dyDescent="0.25">
      <c r="D292" s="104"/>
    </row>
    <row r="293" spans="4:4" x14ac:dyDescent="0.25">
      <c r="D293" s="104"/>
    </row>
    <row r="294" spans="4:4" x14ac:dyDescent="0.25">
      <c r="D294" s="104"/>
    </row>
    <row r="295" spans="4:4" x14ac:dyDescent="0.25">
      <c r="D295" s="104"/>
    </row>
    <row r="296" spans="4:4" x14ac:dyDescent="0.25">
      <c r="D296" s="104"/>
    </row>
    <row r="297" spans="4:4" x14ac:dyDescent="0.25">
      <c r="D297" s="104"/>
    </row>
    <row r="298" spans="4:4" x14ac:dyDescent="0.25">
      <c r="D298" s="104"/>
    </row>
    <row r="299" spans="4:4" x14ac:dyDescent="0.25">
      <c r="D299" s="104"/>
    </row>
    <row r="300" spans="4:4" x14ac:dyDescent="0.25">
      <c r="D300" s="104"/>
    </row>
    <row r="301" spans="4:4" x14ac:dyDescent="0.25">
      <c r="D301" s="104"/>
    </row>
    <row r="302" spans="4:4" x14ac:dyDescent="0.25">
      <c r="D302" s="104"/>
    </row>
    <row r="303" spans="4:4" x14ac:dyDescent="0.25">
      <c r="D303" s="104"/>
    </row>
    <row r="304" spans="4:4" x14ac:dyDescent="0.25">
      <c r="D304" s="104"/>
    </row>
    <row r="305" spans="4:4" x14ac:dyDescent="0.25">
      <c r="D305" s="104"/>
    </row>
    <row r="306" spans="4:4" x14ac:dyDescent="0.25">
      <c r="D306" s="104"/>
    </row>
    <row r="307" spans="4:4" x14ac:dyDescent="0.25">
      <c r="D307" s="104"/>
    </row>
    <row r="308" spans="4:4" x14ac:dyDescent="0.25">
      <c r="D308" s="104"/>
    </row>
    <row r="309" spans="4:4" x14ac:dyDescent="0.25">
      <c r="D309" s="104"/>
    </row>
    <row r="310" spans="4:4" x14ac:dyDescent="0.25">
      <c r="D310" s="104"/>
    </row>
    <row r="311" spans="4:4" x14ac:dyDescent="0.25">
      <c r="D311" s="104"/>
    </row>
    <row r="312" spans="4:4" x14ac:dyDescent="0.25">
      <c r="D312" s="104"/>
    </row>
    <row r="313" spans="4:4" x14ac:dyDescent="0.25">
      <c r="D313" s="104"/>
    </row>
    <row r="314" spans="4:4" x14ac:dyDescent="0.25">
      <c r="D314" s="104"/>
    </row>
    <row r="315" spans="4:4" x14ac:dyDescent="0.25">
      <c r="D315" s="104"/>
    </row>
    <row r="316" spans="4:4" x14ac:dyDescent="0.25">
      <c r="D316" s="104"/>
    </row>
    <row r="317" spans="4:4" x14ac:dyDescent="0.25">
      <c r="D317" s="104"/>
    </row>
    <row r="318" spans="4:4" x14ac:dyDescent="0.25">
      <c r="D318" s="104"/>
    </row>
    <row r="319" spans="4:4" x14ac:dyDescent="0.25">
      <c r="D319" s="104"/>
    </row>
    <row r="320" spans="4:4" x14ac:dyDescent="0.25">
      <c r="D320" s="104"/>
    </row>
    <row r="321" spans="4:4" x14ac:dyDescent="0.25">
      <c r="D321" s="104"/>
    </row>
    <row r="322" spans="4:4" x14ac:dyDescent="0.25">
      <c r="D322" s="104"/>
    </row>
    <row r="323" spans="4:4" x14ac:dyDescent="0.25">
      <c r="D323" s="104"/>
    </row>
    <row r="324" spans="4:4" x14ac:dyDescent="0.25">
      <c r="D324" s="104"/>
    </row>
    <row r="325" spans="4:4" x14ac:dyDescent="0.25">
      <c r="D325" s="104"/>
    </row>
    <row r="326" spans="4:4" x14ac:dyDescent="0.25">
      <c r="D326" s="104"/>
    </row>
    <row r="327" spans="4:4" x14ac:dyDescent="0.25">
      <c r="D327" s="104"/>
    </row>
    <row r="328" spans="4:4" x14ac:dyDescent="0.25">
      <c r="D328" s="104"/>
    </row>
    <row r="329" spans="4:4" x14ac:dyDescent="0.25">
      <c r="D329" s="104"/>
    </row>
    <row r="330" spans="4:4" x14ac:dyDescent="0.25">
      <c r="D330" s="104"/>
    </row>
    <row r="331" spans="4:4" x14ac:dyDescent="0.25">
      <c r="D331" s="104"/>
    </row>
    <row r="332" spans="4:4" x14ac:dyDescent="0.25">
      <c r="D332" s="104"/>
    </row>
    <row r="333" spans="4:4" x14ac:dyDescent="0.25">
      <c r="D333" s="104"/>
    </row>
    <row r="334" spans="4:4" x14ac:dyDescent="0.25">
      <c r="D334" s="104"/>
    </row>
    <row r="335" spans="4:4" x14ac:dyDescent="0.25">
      <c r="D335" s="104"/>
    </row>
    <row r="336" spans="4:4" x14ac:dyDescent="0.25">
      <c r="D336" s="104"/>
    </row>
    <row r="337" spans="4:4" x14ac:dyDescent="0.25">
      <c r="D337" s="104"/>
    </row>
    <row r="338" spans="4:4" x14ac:dyDescent="0.25">
      <c r="D338" s="104"/>
    </row>
    <row r="339" spans="4:4" x14ac:dyDescent="0.25">
      <c r="D339" s="104"/>
    </row>
    <row r="340" spans="4:4" x14ac:dyDescent="0.25">
      <c r="D340" s="104"/>
    </row>
    <row r="341" spans="4:4" x14ac:dyDescent="0.25">
      <c r="D341" s="104"/>
    </row>
    <row r="342" spans="4:4" x14ac:dyDescent="0.25">
      <c r="D342" s="104"/>
    </row>
    <row r="343" spans="4:4" x14ac:dyDescent="0.25">
      <c r="D343" s="104"/>
    </row>
    <row r="344" spans="4:4" x14ac:dyDescent="0.25">
      <c r="D344" s="104"/>
    </row>
    <row r="345" spans="4:4" x14ac:dyDescent="0.25">
      <c r="D345" s="104"/>
    </row>
    <row r="346" spans="4:4" x14ac:dyDescent="0.25">
      <c r="D346" s="104"/>
    </row>
    <row r="347" spans="4:4" x14ac:dyDescent="0.25">
      <c r="D347" s="104"/>
    </row>
    <row r="348" spans="4:4" x14ac:dyDescent="0.25">
      <c r="D348" s="104"/>
    </row>
    <row r="349" spans="4:4" x14ac:dyDescent="0.25">
      <c r="D349" s="104"/>
    </row>
    <row r="350" spans="4:4" x14ac:dyDescent="0.25">
      <c r="D350" s="104"/>
    </row>
    <row r="351" spans="4:4" x14ac:dyDescent="0.25">
      <c r="D351" s="104"/>
    </row>
    <row r="352" spans="4:4" x14ac:dyDescent="0.25">
      <c r="D352" s="104"/>
    </row>
    <row r="353" spans="4:4" x14ac:dyDescent="0.25">
      <c r="D353" s="104"/>
    </row>
    <row r="354" spans="4:4" x14ac:dyDescent="0.25">
      <c r="D354" s="104"/>
    </row>
    <row r="355" spans="4:4" x14ac:dyDescent="0.25">
      <c r="D355" s="104"/>
    </row>
    <row r="356" spans="4:4" x14ac:dyDescent="0.25">
      <c r="D356" s="104"/>
    </row>
    <row r="357" spans="4:4" x14ac:dyDescent="0.25">
      <c r="D357" s="104"/>
    </row>
    <row r="358" spans="4:4" x14ac:dyDescent="0.25">
      <c r="D358" s="104"/>
    </row>
    <row r="359" spans="4:4" x14ac:dyDescent="0.25">
      <c r="D359" s="104"/>
    </row>
    <row r="360" spans="4:4" x14ac:dyDescent="0.25">
      <c r="D360" s="104"/>
    </row>
    <row r="361" spans="4:4" x14ac:dyDescent="0.25">
      <c r="D361" s="104"/>
    </row>
    <row r="362" spans="4:4" x14ac:dyDescent="0.25">
      <c r="D362" s="104"/>
    </row>
    <row r="363" spans="4:4" x14ac:dyDescent="0.25">
      <c r="D363" s="104"/>
    </row>
    <row r="364" spans="4:4" x14ac:dyDescent="0.25">
      <c r="D364" s="104"/>
    </row>
    <row r="365" spans="4:4" x14ac:dyDescent="0.25">
      <c r="D365" s="104"/>
    </row>
    <row r="366" spans="4:4" x14ac:dyDescent="0.25">
      <c r="D366" s="104"/>
    </row>
    <row r="367" spans="4:4" x14ac:dyDescent="0.25">
      <c r="D367" s="104"/>
    </row>
    <row r="368" spans="4:4" x14ac:dyDescent="0.25">
      <c r="D368" s="104"/>
    </row>
    <row r="369" spans="4:4" x14ac:dyDescent="0.25">
      <c r="D369" s="104"/>
    </row>
    <row r="370" spans="4:4" x14ac:dyDescent="0.25">
      <c r="D370" s="104"/>
    </row>
    <row r="371" spans="4:4" x14ac:dyDescent="0.25">
      <c r="D371" s="104"/>
    </row>
    <row r="372" spans="4:4" x14ac:dyDescent="0.25">
      <c r="D372" s="104"/>
    </row>
    <row r="373" spans="4:4" x14ac:dyDescent="0.25">
      <c r="D373" s="104"/>
    </row>
    <row r="374" spans="4:4" x14ac:dyDescent="0.25">
      <c r="D374" s="104"/>
    </row>
    <row r="375" spans="4:4" x14ac:dyDescent="0.25">
      <c r="D375" s="104"/>
    </row>
    <row r="376" spans="4:4" x14ac:dyDescent="0.25">
      <c r="D376" s="104"/>
    </row>
    <row r="377" spans="4:4" x14ac:dyDescent="0.25">
      <c r="D377" s="104"/>
    </row>
    <row r="378" spans="4:4" x14ac:dyDescent="0.25">
      <c r="D378" s="104"/>
    </row>
    <row r="379" spans="4:4" x14ac:dyDescent="0.25">
      <c r="D379" s="104"/>
    </row>
    <row r="380" spans="4:4" x14ac:dyDescent="0.25">
      <c r="D380" s="104"/>
    </row>
    <row r="381" spans="4:4" x14ac:dyDescent="0.25">
      <c r="D381" s="104"/>
    </row>
    <row r="382" spans="4:4" x14ac:dyDescent="0.25">
      <c r="D382" s="104"/>
    </row>
    <row r="383" spans="4:4" x14ac:dyDescent="0.25">
      <c r="D383" s="104"/>
    </row>
    <row r="384" spans="4:4" x14ac:dyDescent="0.25">
      <c r="D384" s="104"/>
    </row>
    <row r="385" spans="4:4" x14ac:dyDescent="0.25">
      <c r="D385" s="104"/>
    </row>
    <row r="386" spans="4:4" x14ac:dyDescent="0.25">
      <c r="D386" s="104"/>
    </row>
    <row r="387" spans="4:4" x14ac:dyDescent="0.25">
      <c r="D387" s="104"/>
    </row>
    <row r="388" spans="4:4" x14ac:dyDescent="0.25">
      <c r="D388" s="104"/>
    </row>
    <row r="389" spans="4:4" x14ac:dyDescent="0.25">
      <c r="D389" s="104"/>
    </row>
    <row r="390" spans="4:4" x14ac:dyDescent="0.25">
      <c r="D390" s="104"/>
    </row>
    <row r="391" spans="4:4" x14ac:dyDescent="0.25">
      <c r="D391" s="104"/>
    </row>
    <row r="392" spans="4:4" x14ac:dyDescent="0.25">
      <c r="D392" s="104"/>
    </row>
    <row r="393" spans="4:4" x14ac:dyDescent="0.25">
      <c r="D393" s="104"/>
    </row>
    <row r="394" spans="4:4" x14ac:dyDescent="0.25">
      <c r="D394" s="104"/>
    </row>
    <row r="395" spans="4:4" x14ac:dyDescent="0.25">
      <c r="D395" s="104"/>
    </row>
    <row r="396" spans="4:4" x14ac:dyDescent="0.25">
      <c r="D396" s="104"/>
    </row>
    <row r="397" spans="4:4" x14ac:dyDescent="0.25">
      <c r="D397" s="104"/>
    </row>
    <row r="398" spans="4:4" x14ac:dyDescent="0.25">
      <c r="D398" s="104"/>
    </row>
    <row r="399" spans="4:4" x14ac:dyDescent="0.25">
      <c r="D399" s="104"/>
    </row>
    <row r="400" spans="4:4" x14ac:dyDescent="0.25">
      <c r="D400" s="104"/>
    </row>
    <row r="401" spans="4:4" x14ac:dyDescent="0.25">
      <c r="D401" s="104"/>
    </row>
    <row r="402" spans="4:4" x14ac:dyDescent="0.25">
      <c r="D402" s="104"/>
    </row>
    <row r="403" spans="4:4" x14ac:dyDescent="0.25">
      <c r="D403" s="104"/>
    </row>
    <row r="404" spans="4:4" x14ac:dyDescent="0.25">
      <c r="D404" s="104"/>
    </row>
    <row r="405" spans="4:4" x14ac:dyDescent="0.25">
      <c r="D405" s="104"/>
    </row>
    <row r="406" spans="4:4" x14ac:dyDescent="0.25">
      <c r="D406" s="104"/>
    </row>
    <row r="407" spans="4:4" x14ac:dyDescent="0.25">
      <c r="D407" s="104"/>
    </row>
    <row r="408" spans="4:4" x14ac:dyDescent="0.25">
      <c r="D408" s="104"/>
    </row>
    <row r="409" spans="4:4" x14ac:dyDescent="0.25">
      <c r="D409" s="104"/>
    </row>
    <row r="410" spans="4:4" x14ac:dyDescent="0.25">
      <c r="D410" s="104"/>
    </row>
    <row r="411" spans="4:4" x14ac:dyDescent="0.25">
      <c r="D411" s="104"/>
    </row>
    <row r="412" spans="4:4" x14ac:dyDescent="0.25">
      <c r="D412" s="104"/>
    </row>
    <row r="413" spans="4:4" x14ac:dyDescent="0.25">
      <c r="D413" s="104"/>
    </row>
    <row r="414" spans="4:4" x14ac:dyDescent="0.25">
      <c r="D414" s="104"/>
    </row>
    <row r="415" spans="4:4" x14ac:dyDescent="0.25">
      <c r="D415" s="104"/>
    </row>
    <row r="416" spans="4:4" x14ac:dyDescent="0.25">
      <c r="D416" s="104"/>
    </row>
    <row r="417" spans="4:4" x14ac:dyDescent="0.25">
      <c r="D417" s="104"/>
    </row>
    <row r="418" spans="4:4" x14ac:dyDescent="0.25">
      <c r="D418" s="104"/>
    </row>
    <row r="419" spans="4:4" x14ac:dyDescent="0.25">
      <c r="D419" s="104"/>
    </row>
    <row r="420" spans="4:4" x14ac:dyDescent="0.25">
      <c r="D420" s="104"/>
    </row>
    <row r="421" spans="4:4" x14ac:dyDescent="0.25">
      <c r="D421" s="104"/>
    </row>
    <row r="422" spans="4:4" x14ac:dyDescent="0.25">
      <c r="D422" s="104"/>
    </row>
    <row r="423" spans="4:4" x14ac:dyDescent="0.25">
      <c r="D423" s="104"/>
    </row>
    <row r="424" spans="4:4" x14ac:dyDescent="0.25">
      <c r="D424" s="104"/>
    </row>
    <row r="425" spans="4:4" x14ac:dyDescent="0.25">
      <c r="D425" s="104"/>
    </row>
    <row r="426" spans="4:4" x14ac:dyDescent="0.25">
      <c r="D426" s="104"/>
    </row>
    <row r="427" spans="4:4" x14ac:dyDescent="0.25">
      <c r="D427" s="104"/>
    </row>
    <row r="428" spans="4:4" x14ac:dyDescent="0.25">
      <c r="D428" s="104"/>
    </row>
    <row r="429" spans="4:4" x14ac:dyDescent="0.25">
      <c r="D429" s="104"/>
    </row>
    <row r="430" spans="4:4" x14ac:dyDescent="0.25">
      <c r="D430" s="104"/>
    </row>
    <row r="431" spans="4:4" x14ac:dyDescent="0.25">
      <c r="D431" s="104"/>
    </row>
    <row r="432" spans="4:4" x14ac:dyDescent="0.25">
      <c r="D432" s="104"/>
    </row>
    <row r="433" spans="4:4" x14ac:dyDescent="0.25">
      <c r="D433" s="104"/>
    </row>
    <row r="434" spans="4:4" x14ac:dyDescent="0.25">
      <c r="D434" s="104"/>
    </row>
    <row r="435" spans="4:4" x14ac:dyDescent="0.25">
      <c r="D435" s="104"/>
    </row>
    <row r="436" spans="4:4" x14ac:dyDescent="0.25">
      <c r="D436" s="104"/>
    </row>
    <row r="437" spans="4:4" x14ac:dyDescent="0.25">
      <c r="D437" s="104"/>
    </row>
    <row r="438" spans="4:4" x14ac:dyDescent="0.25">
      <c r="D438" s="104"/>
    </row>
    <row r="439" spans="4:4" x14ac:dyDescent="0.25">
      <c r="D439" s="104"/>
    </row>
    <row r="440" spans="4:4" x14ac:dyDescent="0.25">
      <c r="D440" s="104"/>
    </row>
    <row r="441" spans="4:4" x14ac:dyDescent="0.25">
      <c r="D441" s="104"/>
    </row>
    <row r="442" spans="4:4" x14ac:dyDescent="0.25">
      <c r="D442" s="104"/>
    </row>
    <row r="443" spans="4:4" x14ac:dyDescent="0.25">
      <c r="D443" s="104"/>
    </row>
    <row r="444" spans="4:4" x14ac:dyDescent="0.25">
      <c r="D444" s="104"/>
    </row>
    <row r="445" spans="4:4" x14ac:dyDescent="0.25">
      <c r="D445" s="104"/>
    </row>
    <row r="446" spans="4:4" x14ac:dyDescent="0.25">
      <c r="D446" s="104"/>
    </row>
    <row r="447" spans="4:4" x14ac:dyDescent="0.25">
      <c r="D447" s="104"/>
    </row>
    <row r="448" spans="4:4" x14ac:dyDescent="0.25">
      <c r="D448" s="104"/>
    </row>
    <row r="449" spans="4:4" x14ac:dyDescent="0.25">
      <c r="D449" s="104"/>
    </row>
    <row r="450" spans="4:4" x14ac:dyDescent="0.25">
      <c r="D450" s="104"/>
    </row>
    <row r="451" spans="4:4" x14ac:dyDescent="0.25">
      <c r="D451" s="104"/>
    </row>
    <row r="452" spans="4:4" x14ac:dyDescent="0.25">
      <c r="D452" s="104"/>
    </row>
    <row r="453" spans="4:4" x14ac:dyDescent="0.25">
      <c r="D453" s="104"/>
    </row>
    <row r="454" spans="4:4" x14ac:dyDescent="0.25">
      <c r="D454" s="104"/>
    </row>
    <row r="455" spans="4:4" x14ac:dyDescent="0.25">
      <c r="D455" s="104"/>
    </row>
    <row r="456" spans="4:4" x14ac:dyDescent="0.25">
      <c r="D456" s="104"/>
    </row>
    <row r="457" spans="4:4" x14ac:dyDescent="0.25">
      <c r="D457" s="104"/>
    </row>
    <row r="458" spans="4:4" x14ac:dyDescent="0.25">
      <c r="D458" s="104"/>
    </row>
    <row r="459" spans="4:4" x14ac:dyDescent="0.25">
      <c r="D459" s="104"/>
    </row>
    <row r="460" spans="4:4" x14ac:dyDescent="0.25">
      <c r="D460" s="104"/>
    </row>
    <row r="461" spans="4:4" x14ac:dyDescent="0.25">
      <c r="D461" s="104"/>
    </row>
    <row r="462" spans="4:4" x14ac:dyDescent="0.25">
      <c r="D462" s="104"/>
    </row>
    <row r="463" spans="4:4" x14ac:dyDescent="0.25">
      <c r="D463" s="104"/>
    </row>
    <row r="464" spans="4:4" x14ac:dyDescent="0.25">
      <c r="D464" s="104"/>
    </row>
    <row r="465" spans="4:4" x14ac:dyDescent="0.25">
      <c r="D465" s="104"/>
    </row>
    <row r="466" spans="4:4" x14ac:dyDescent="0.25">
      <c r="D466" s="104"/>
    </row>
    <row r="467" spans="4:4" x14ac:dyDescent="0.25">
      <c r="D467" s="104"/>
    </row>
    <row r="468" spans="4:4" x14ac:dyDescent="0.25">
      <c r="D468" s="104"/>
    </row>
    <row r="469" spans="4:4" x14ac:dyDescent="0.25">
      <c r="D469" s="104"/>
    </row>
    <row r="470" spans="4:4" x14ac:dyDescent="0.25">
      <c r="D470" s="104"/>
    </row>
    <row r="471" spans="4:4" x14ac:dyDescent="0.25">
      <c r="D471" s="104"/>
    </row>
    <row r="472" spans="4:4" x14ac:dyDescent="0.25">
      <c r="D472" s="104"/>
    </row>
    <row r="473" spans="4:4" x14ac:dyDescent="0.25">
      <c r="D473" s="104"/>
    </row>
    <row r="474" spans="4:4" x14ac:dyDescent="0.25">
      <c r="D474" s="104"/>
    </row>
    <row r="475" spans="4:4" x14ac:dyDescent="0.25">
      <c r="D475" s="104"/>
    </row>
    <row r="476" spans="4:4" x14ac:dyDescent="0.25">
      <c r="D476" s="104"/>
    </row>
    <row r="477" spans="4:4" x14ac:dyDescent="0.25">
      <c r="D477" s="104"/>
    </row>
    <row r="478" spans="4:4" x14ac:dyDescent="0.25">
      <c r="D478" s="104"/>
    </row>
    <row r="479" spans="4:4" x14ac:dyDescent="0.25">
      <c r="D479" s="104"/>
    </row>
    <row r="480" spans="4:4" x14ac:dyDescent="0.25">
      <c r="D480" s="104"/>
    </row>
    <row r="481" spans="4:4" x14ac:dyDescent="0.25">
      <c r="D481" s="104"/>
    </row>
    <row r="482" spans="4:4" x14ac:dyDescent="0.25">
      <c r="D482" s="104"/>
    </row>
    <row r="483" spans="4:4" x14ac:dyDescent="0.25">
      <c r="D483" s="104"/>
    </row>
    <row r="484" spans="4:4" x14ac:dyDescent="0.25">
      <c r="D484" s="104"/>
    </row>
    <row r="485" spans="4:4" x14ac:dyDescent="0.25">
      <c r="D485" s="104"/>
    </row>
    <row r="486" spans="4:4" x14ac:dyDescent="0.25">
      <c r="D486" s="104"/>
    </row>
    <row r="487" spans="4:4" x14ac:dyDescent="0.25">
      <c r="D487" s="104"/>
    </row>
    <row r="488" spans="4:4" x14ac:dyDescent="0.25">
      <c r="D488" s="104"/>
    </row>
    <row r="489" spans="4:4" x14ac:dyDescent="0.25">
      <c r="D489" s="104"/>
    </row>
    <row r="490" spans="4:4" x14ac:dyDescent="0.25">
      <c r="D490" s="104"/>
    </row>
    <row r="491" spans="4:4" x14ac:dyDescent="0.25">
      <c r="D491" s="104"/>
    </row>
    <row r="492" spans="4:4" x14ac:dyDescent="0.25">
      <c r="D492" s="104"/>
    </row>
    <row r="493" spans="4:4" x14ac:dyDescent="0.25">
      <c r="D493" s="104"/>
    </row>
    <row r="494" spans="4:4" x14ac:dyDescent="0.25">
      <c r="D494" s="104"/>
    </row>
    <row r="495" spans="4:4" x14ac:dyDescent="0.25">
      <c r="D495" s="104"/>
    </row>
    <row r="496" spans="4:4" x14ac:dyDescent="0.25">
      <c r="D496" s="104"/>
    </row>
    <row r="497" spans="4:4" x14ac:dyDescent="0.25">
      <c r="D497" s="104"/>
    </row>
    <row r="498" spans="4:4" x14ac:dyDescent="0.25">
      <c r="D498" s="104"/>
    </row>
    <row r="499" spans="4:4" x14ac:dyDescent="0.25">
      <c r="D499" s="104"/>
    </row>
    <row r="500" spans="4:4" x14ac:dyDescent="0.25">
      <c r="D500" s="104"/>
    </row>
    <row r="501" spans="4:4" x14ac:dyDescent="0.25">
      <c r="D501" s="104"/>
    </row>
    <row r="502" spans="4:4" x14ac:dyDescent="0.25">
      <c r="D502" s="104"/>
    </row>
    <row r="503" spans="4:4" x14ac:dyDescent="0.25">
      <c r="D503" s="104"/>
    </row>
    <row r="504" spans="4:4" x14ac:dyDescent="0.25">
      <c r="D504" s="104"/>
    </row>
    <row r="505" spans="4:4" x14ac:dyDescent="0.25">
      <c r="D505" s="104"/>
    </row>
    <row r="506" spans="4:4" x14ac:dyDescent="0.25">
      <c r="D506" s="104"/>
    </row>
    <row r="507" spans="4:4" x14ac:dyDescent="0.25">
      <c r="D507" s="104"/>
    </row>
    <row r="508" spans="4:4" x14ac:dyDescent="0.25">
      <c r="D508" s="104"/>
    </row>
    <row r="509" spans="4:4" x14ac:dyDescent="0.25">
      <c r="D509" s="104"/>
    </row>
    <row r="510" spans="4:4" x14ac:dyDescent="0.25">
      <c r="D510" s="104"/>
    </row>
    <row r="511" spans="4:4" x14ac:dyDescent="0.25">
      <c r="D511" s="104"/>
    </row>
    <row r="512" spans="4:4" x14ac:dyDescent="0.25">
      <c r="D512" s="104"/>
    </row>
    <row r="513" spans="4:4" x14ac:dyDescent="0.25">
      <c r="D513" s="104"/>
    </row>
    <row r="514" spans="4:4" x14ac:dyDescent="0.25">
      <c r="D514" s="104"/>
    </row>
    <row r="515" spans="4:4" x14ac:dyDescent="0.25">
      <c r="D515" s="104"/>
    </row>
    <row r="516" spans="4:4" x14ac:dyDescent="0.25">
      <c r="D516" s="104"/>
    </row>
    <row r="517" spans="4:4" x14ac:dyDescent="0.25">
      <c r="D517" s="104"/>
    </row>
    <row r="518" spans="4:4" x14ac:dyDescent="0.25">
      <c r="D518" s="104"/>
    </row>
    <row r="519" spans="4:4" x14ac:dyDescent="0.25">
      <c r="D519" s="104"/>
    </row>
    <row r="520" spans="4:4" x14ac:dyDescent="0.25">
      <c r="D520" s="104"/>
    </row>
    <row r="521" spans="4:4" x14ac:dyDescent="0.25">
      <c r="D521" s="104"/>
    </row>
    <row r="522" spans="4:4" x14ac:dyDescent="0.25">
      <c r="D522" s="104"/>
    </row>
    <row r="523" spans="4:4" x14ac:dyDescent="0.25">
      <c r="D523" s="104"/>
    </row>
    <row r="524" spans="4:4" x14ac:dyDescent="0.25">
      <c r="D524" s="104"/>
    </row>
    <row r="525" spans="4:4" x14ac:dyDescent="0.25">
      <c r="D525" s="104"/>
    </row>
    <row r="526" spans="4:4" x14ac:dyDescent="0.25">
      <c r="D526" s="104"/>
    </row>
    <row r="527" spans="4:4" x14ac:dyDescent="0.25">
      <c r="D527" s="104"/>
    </row>
    <row r="528" spans="4:4" x14ac:dyDescent="0.25">
      <c r="D528" s="104"/>
    </row>
    <row r="529" spans="4:4" x14ac:dyDescent="0.25">
      <c r="D529" s="104"/>
    </row>
    <row r="530" spans="4:4" x14ac:dyDescent="0.25">
      <c r="D530" s="104"/>
    </row>
    <row r="531" spans="4:4" x14ac:dyDescent="0.25">
      <c r="D531" s="104"/>
    </row>
    <row r="532" spans="4:4" x14ac:dyDescent="0.25">
      <c r="D532" s="104"/>
    </row>
    <row r="533" spans="4:4" x14ac:dyDescent="0.25">
      <c r="D533" s="104"/>
    </row>
    <row r="534" spans="4:4" x14ac:dyDescent="0.25">
      <c r="D534" s="104"/>
    </row>
    <row r="535" spans="4:4" x14ac:dyDescent="0.25">
      <c r="D535" s="104"/>
    </row>
    <row r="536" spans="4:4" x14ac:dyDescent="0.25">
      <c r="D536" s="104"/>
    </row>
    <row r="537" spans="4:4" x14ac:dyDescent="0.25">
      <c r="D537" s="104"/>
    </row>
    <row r="538" spans="4:4" x14ac:dyDescent="0.25">
      <c r="D538" s="104"/>
    </row>
    <row r="539" spans="4:4" x14ac:dyDescent="0.25">
      <c r="D539" s="104"/>
    </row>
    <row r="540" spans="4:4" x14ac:dyDescent="0.25">
      <c r="D540" s="104"/>
    </row>
    <row r="541" spans="4:4" x14ac:dyDescent="0.25">
      <c r="D541" s="104"/>
    </row>
    <row r="542" spans="4:4" x14ac:dyDescent="0.25">
      <c r="D542" s="104"/>
    </row>
    <row r="543" spans="4:4" x14ac:dyDescent="0.25">
      <c r="D543" s="104"/>
    </row>
    <row r="544" spans="4:4" x14ac:dyDescent="0.25">
      <c r="D544" s="104"/>
    </row>
    <row r="545" spans="4:4" x14ac:dyDescent="0.25">
      <c r="D545" s="104"/>
    </row>
    <row r="546" spans="4:4" x14ac:dyDescent="0.25">
      <c r="D546" s="104"/>
    </row>
    <row r="547" spans="4:4" x14ac:dyDescent="0.25">
      <c r="D547" s="104"/>
    </row>
    <row r="548" spans="4:4" x14ac:dyDescent="0.25">
      <c r="D548" s="104"/>
    </row>
    <row r="549" spans="4:4" x14ac:dyDescent="0.25">
      <c r="D549" s="104"/>
    </row>
    <row r="550" spans="4:4" x14ac:dyDescent="0.25">
      <c r="D550" s="104"/>
    </row>
    <row r="551" spans="4:4" x14ac:dyDescent="0.25">
      <c r="D551" s="104"/>
    </row>
    <row r="552" spans="4:4" x14ac:dyDescent="0.25">
      <c r="D552" s="104"/>
    </row>
    <row r="553" spans="4:4" x14ac:dyDescent="0.25">
      <c r="D553" s="104"/>
    </row>
    <row r="554" spans="4:4" x14ac:dyDescent="0.25">
      <c r="D554" s="104"/>
    </row>
    <row r="555" spans="4:4" x14ac:dyDescent="0.25">
      <c r="D555" s="104"/>
    </row>
    <row r="556" spans="4:4" x14ac:dyDescent="0.25">
      <c r="D556" s="104"/>
    </row>
    <row r="557" spans="4:4" x14ac:dyDescent="0.25">
      <c r="D557" s="104"/>
    </row>
    <row r="558" spans="4:4" x14ac:dyDescent="0.25">
      <c r="D558" s="104"/>
    </row>
    <row r="559" spans="4:4" x14ac:dyDescent="0.25">
      <c r="D559" s="104"/>
    </row>
    <row r="560" spans="4:4" x14ac:dyDescent="0.25">
      <c r="D560" s="104"/>
    </row>
    <row r="561" spans="4:4" x14ac:dyDescent="0.25">
      <c r="D561" s="104"/>
    </row>
    <row r="562" spans="4:4" x14ac:dyDescent="0.25">
      <c r="D562" s="104"/>
    </row>
    <row r="563" spans="4:4" x14ac:dyDescent="0.25">
      <c r="D563" s="104"/>
    </row>
    <row r="564" spans="4:4" x14ac:dyDescent="0.25">
      <c r="D564" s="104"/>
    </row>
    <row r="565" spans="4:4" x14ac:dyDescent="0.25">
      <c r="D565" s="104"/>
    </row>
    <row r="566" spans="4:4" x14ac:dyDescent="0.25">
      <c r="D566" s="104"/>
    </row>
    <row r="567" spans="4:4" x14ac:dyDescent="0.25">
      <c r="D567" s="104"/>
    </row>
    <row r="568" spans="4:4" x14ac:dyDescent="0.25">
      <c r="D568" s="104"/>
    </row>
    <row r="569" spans="4:4" x14ac:dyDescent="0.25">
      <c r="D569" s="104"/>
    </row>
    <row r="570" spans="4:4" x14ac:dyDescent="0.25">
      <c r="D570" s="104"/>
    </row>
    <row r="571" spans="4:4" x14ac:dyDescent="0.25">
      <c r="D571" s="104"/>
    </row>
    <row r="572" spans="4:4" x14ac:dyDescent="0.25">
      <c r="D572" s="104"/>
    </row>
    <row r="573" spans="4:4" x14ac:dyDescent="0.25">
      <c r="D573" s="104"/>
    </row>
    <row r="574" spans="4:4" x14ac:dyDescent="0.25">
      <c r="D574" s="104"/>
    </row>
    <row r="575" spans="4:4" x14ac:dyDescent="0.25">
      <c r="D575" s="104"/>
    </row>
    <row r="576" spans="4:4" x14ac:dyDescent="0.25">
      <c r="D576" s="104"/>
    </row>
    <row r="577" spans="4:4" x14ac:dyDescent="0.25">
      <c r="D577" s="104"/>
    </row>
    <row r="578" spans="4:4" x14ac:dyDescent="0.25">
      <c r="D578" s="104"/>
    </row>
    <row r="579" spans="4:4" x14ac:dyDescent="0.25">
      <c r="D579" s="104"/>
    </row>
    <row r="580" spans="4:4" x14ac:dyDescent="0.25">
      <c r="D580" s="104"/>
    </row>
    <row r="581" spans="4:4" x14ac:dyDescent="0.25">
      <c r="D581" s="104"/>
    </row>
    <row r="582" spans="4:4" x14ac:dyDescent="0.25">
      <c r="D582" s="104"/>
    </row>
    <row r="583" spans="4:4" x14ac:dyDescent="0.25">
      <c r="D583" s="104"/>
    </row>
    <row r="584" spans="4:4" x14ac:dyDescent="0.25">
      <c r="D584" s="104"/>
    </row>
    <row r="585" spans="4:4" x14ac:dyDescent="0.25">
      <c r="D585" s="104"/>
    </row>
    <row r="586" spans="4:4" x14ac:dyDescent="0.25">
      <c r="D586" s="104"/>
    </row>
    <row r="587" spans="4:4" x14ac:dyDescent="0.25">
      <c r="D587" s="104"/>
    </row>
    <row r="588" spans="4:4" x14ac:dyDescent="0.25">
      <c r="D588" s="104"/>
    </row>
    <row r="589" spans="4:4" x14ac:dyDescent="0.25">
      <c r="D589" s="104"/>
    </row>
    <row r="590" spans="4:4" x14ac:dyDescent="0.25">
      <c r="D590" s="104"/>
    </row>
    <row r="591" spans="4:4" x14ac:dyDescent="0.25">
      <c r="D591" s="104"/>
    </row>
    <row r="592" spans="4:4" x14ac:dyDescent="0.25">
      <c r="D592" s="104"/>
    </row>
    <row r="593" spans="4:4" x14ac:dyDescent="0.25">
      <c r="D593" s="104"/>
    </row>
    <row r="594" spans="4:4" x14ac:dyDescent="0.25">
      <c r="D594" s="104"/>
    </row>
    <row r="595" spans="4:4" x14ac:dyDescent="0.25">
      <c r="D595" s="104"/>
    </row>
    <row r="596" spans="4:4" x14ac:dyDescent="0.25">
      <c r="D596" s="104"/>
    </row>
    <row r="597" spans="4:4" x14ac:dyDescent="0.25">
      <c r="D597" s="104"/>
    </row>
    <row r="598" spans="4:4" x14ac:dyDescent="0.25">
      <c r="D598" s="104"/>
    </row>
    <row r="599" spans="4:4" x14ac:dyDescent="0.25">
      <c r="D599" s="104"/>
    </row>
    <row r="600" spans="4:4" x14ac:dyDescent="0.25">
      <c r="D600" s="104"/>
    </row>
    <row r="601" spans="4:4" x14ac:dyDescent="0.25">
      <c r="D601" s="104"/>
    </row>
    <row r="602" spans="4:4" x14ac:dyDescent="0.25">
      <c r="D602" s="104"/>
    </row>
    <row r="603" spans="4:4" x14ac:dyDescent="0.25">
      <c r="D603" s="104"/>
    </row>
    <row r="604" spans="4:4" x14ac:dyDescent="0.25">
      <c r="D604" s="104"/>
    </row>
    <row r="605" spans="4:4" x14ac:dyDescent="0.25">
      <c r="D605" s="104"/>
    </row>
    <row r="606" spans="4:4" x14ac:dyDescent="0.25">
      <c r="D606" s="104"/>
    </row>
    <row r="607" spans="4:4" x14ac:dyDescent="0.25">
      <c r="D607" s="104"/>
    </row>
    <row r="608" spans="4:4" x14ac:dyDescent="0.25">
      <c r="D608" s="104"/>
    </row>
    <row r="609" spans="4:4" x14ac:dyDescent="0.25">
      <c r="D609" s="104"/>
    </row>
    <row r="610" spans="4:4" x14ac:dyDescent="0.25">
      <c r="D610" s="104"/>
    </row>
    <row r="611" spans="4:4" x14ac:dyDescent="0.25">
      <c r="D611" s="104"/>
    </row>
    <row r="612" spans="4:4" x14ac:dyDescent="0.25">
      <c r="D612" s="104"/>
    </row>
    <row r="613" spans="4:4" x14ac:dyDescent="0.25">
      <c r="D613" s="104"/>
    </row>
    <row r="614" spans="4:4" x14ac:dyDescent="0.25">
      <c r="D614" s="104"/>
    </row>
    <row r="615" spans="4:4" x14ac:dyDescent="0.25">
      <c r="D615" s="104"/>
    </row>
    <row r="616" spans="4:4" x14ac:dyDescent="0.25">
      <c r="D616" s="104"/>
    </row>
    <row r="617" spans="4:4" x14ac:dyDescent="0.25">
      <c r="D617" s="104"/>
    </row>
    <row r="618" spans="4:4" x14ac:dyDescent="0.25">
      <c r="D618" s="104"/>
    </row>
    <row r="619" spans="4:4" x14ac:dyDescent="0.25">
      <c r="D619" s="104"/>
    </row>
    <row r="620" spans="4:4" x14ac:dyDescent="0.25">
      <c r="D620" s="104"/>
    </row>
    <row r="621" spans="4:4" x14ac:dyDescent="0.25">
      <c r="D621" s="104"/>
    </row>
    <row r="622" spans="4:4" x14ac:dyDescent="0.25">
      <c r="D622" s="104"/>
    </row>
    <row r="623" spans="4:4" x14ac:dyDescent="0.25">
      <c r="D623" s="104"/>
    </row>
    <row r="624" spans="4:4" x14ac:dyDescent="0.25">
      <c r="D624" s="104"/>
    </row>
    <row r="625" spans="4:4" x14ac:dyDescent="0.25">
      <c r="D625" s="104"/>
    </row>
    <row r="626" spans="4:4" x14ac:dyDescent="0.25">
      <c r="D626" s="104"/>
    </row>
    <row r="627" spans="4:4" x14ac:dyDescent="0.25">
      <c r="D627" s="104"/>
    </row>
    <row r="628" spans="4:4" x14ac:dyDescent="0.25">
      <c r="D628" s="104"/>
    </row>
    <row r="629" spans="4:4" x14ac:dyDescent="0.25">
      <c r="D629" s="104"/>
    </row>
    <row r="630" spans="4:4" x14ac:dyDescent="0.25">
      <c r="D630" s="104"/>
    </row>
    <row r="631" spans="4:4" x14ac:dyDescent="0.25">
      <c r="D631" s="104"/>
    </row>
    <row r="632" spans="4:4" x14ac:dyDescent="0.25">
      <c r="D632" s="104"/>
    </row>
    <row r="633" spans="4:4" x14ac:dyDescent="0.25">
      <c r="D633" s="104"/>
    </row>
    <row r="634" spans="4:4" x14ac:dyDescent="0.25">
      <c r="D634" s="104"/>
    </row>
    <row r="635" spans="4:4" x14ac:dyDescent="0.25">
      <c r="D635" s="104"/>
    </row>
    <row r="636" spans="4:4" x14ac:dyDescent="0.25">
      <c r="D636" s="104"/>
    </row>
    <row r="637" spans="4:4" x14ac:dyDescent="0.25">
      <c r="D637" s="104"/>
    </row>
    <row r="638" spans="4:4" x14ac:dyDescent="0.25">
      <c r="D638" s="104"/>
    </row>
    <row r="639" spans="4:4" x14ac:dyDescent="0.25">
      <c r="D639" s="104"/>
    </row>
    <row r="640" spans="4:4" x14ac:dyDescent="0.25">
      <c r="D640" s="104"/>
    </row>
    <row r="641" spans="4:4" x14ac:dyDescent="0.25">
      <c r="D641" s="104"/>
    </row>
    <row r="642" spans="4:4" x14ac:dyDescent="0.25">
      <c r="D642" s="104"/>
    </row>
    <row r="643" spans="4:4" x14ac:dyDescent="0.25">
      <c r="D643" s="104"/>
    </row>
    <row r="644" spans="4:4" x14ac:dyDescent="0.25">
      <c r="D644" s="104"/>
    </row>
    <row r="645" spans="4:4" x14ac:dyDescent="0.25">
      <c r="D645" s="104"/>
    </row>
    <row r="646" spans="4:4" x14ac:dyDescent="0.25">
      <c r="D646" s="104"/>
    </row>
    <row r="647" spans="4:4" x14ac:dyDescent="0.25">
      <c r="D647" s="104"/>
    </row>
    <row r="648" spans="4:4" x14ac:dyDescent="0.25">
      <c r="D648" s="104"/>
    </row>
    <row r="649" spans="4:4" x14ac:dyDescent="0.25">
      <c r="D649" s="104"/>
    </row>
    <row r="650" spans="4:4" x14ac:dyDescent="0.25">
      <c r="D650" s="104"/>
    </row>
    <row r="651" spans="4:4" x14ac:dyDescent="0.25">
      <c r="D651" s="104"/>
    </row>
    <row r="652" spans="4:4" x14ac:dyDescent="0.25">
      <c r="D652" s="104"/>
    </row>
    <row r="653" spans="4:4" x14ac:dyDescent="0.25">
      <c r="D653" s="104"/>
    </row>
    <row r="654" spans="4:4" x14ac:dyDescent="0.25">
      <c r="D654" s="104"/>
    </row>
    <row r="655" spans="4:4" x14ac:dyDescent="0.25">
      <c r="D655" s="104"/>
    </row>
    <row r="656" spans="4:4" x14ac:dyDescent="0.25">
      <c r="D656" s="104"/>
    </row>
    <row r="657" spans="4:4" x14ac:dyDescent="0.25">
      <c r="D657" s="104"/>
    </row>
    <row r="658" spans="4:4" x14ac:dyDescent="0.25">
      <c r="D658" s="104"/>
    </row>
    <row r="659" spans="4:4" x14ac:dyDescent="0.25">
      <c r="D659" s="104"/>
    </row>
    <row r="660" spans="4:4" x14ac:dyDescent="0.25">
      <c r="D660" s="104"/>
    </row>
    <row r="661" spans="4:4" x14ac:dyDescent="0.25">
      <c r="D661" s="104"/>
    </row>
    <row r="662" spans="4:4" x14ac:dyDescent="0.25">
      <c r="D662" s="104"/>
    </row>
    <row r="663" spans="4:4" x14ac:dyDescent="0.25">
      <c r="D663" s="104"/>
    </row>
    <row r="664" spans="4:4" x14ac:dyDescent="0.25">
      <c r="D664" s="104"/>
    </row>
    <row r="665" spans="4:4" x14ac:dyDescent="0.25">
      <c r="D665" s="104"/>
    </row>
    <row r="666" spans="4:4" x14ac:dyDescent="0.25">
      <c r="D666" s="104"/>
    </row>
    <row r="667" spans="4:4" x14ac:dyDescent="0.25">
      <c r="D667" s="104"/>
    </row>
    <row r="668" spans="4:4" x14ac:dyDescent="0.25">
      <c r="D668" s="104"/>
    </row>
    <row r="669" spans="4:4" x14ac:dyDescent="0.25">
      <c r="D669" s="104"/>
    </row>
    <row r="670" spans="4:4" x14ac:dyDescent="0.25">
      <c r="D670" s="104"/>
    </row>
    <row r="671" spans="4:4" x14ac:dyDescent="0.25">
      <c r="D671" s="104"/>
    </row>
    <row r="672" spans="4:4" x14ac:dyDescent="0.25">
      <c r="D672" s="104"/>
    </row>
    <row r="673" spans="4:4" x14ac:dyDescent="0.25">
      <c r="D673" s="104"/>
    </row>
    <row r="674" spans="4:4" x14ac:dyDescent="0.25">
      <c r="D674" s="104"/>
    </row>
    <row r="675" spans="4:4" x14ac:dyDescent="0.25">
      <c r="D675" s="104"/>
    </row>
    <row r="676" spans="4:4" x14ac:dyDescent="0.25">
      <c r="D676" s="104"/>
    </row>
    <row r="677" spans="4:4" x14ac:dyDescent="0.25">
      <c r="D677" s="104"/>
    </row>
    <row r="678" spans="4:4" x14ac:dyDescent="0.25">
      <c r="D678" s="104"/>
    </row>
    <row r="679" spans="4:4" x14ac:dyDescent="0.25">
      <c r="D679" s="104"/>
    </row>
    <row r="680" spans="4:4" x14ac:dyDescent="0.25">
      <c r="D680" s="104"/>
    </row>
    <row r="681" spans="4:4" x14ac:dyDescent="0.25">
      <c r="D681" s="104"/>
    </row>
    <row r="682" spans="4:4" x14ac:dyDescent="0.25">
      <c r="D682" s="104"/>
    </row>
    <row r="683" spans="4:4" x14ac:dyDescent="0.25">
      <c r="D683" s="104"/>
    </row>
    <row r="684" spans="4:4" x14ac:dyDescent="0.25">
      <c r="D684" s="104"/>
    </row>
    <row r="685" spans="4:4" x14ac:dyDescent="0.25">
      <c r="D685" s="104"/>
    </row>
    <row r="686" spans="4:4" x14ac:dyDescent="0.25">
      <c r="D686" s="104"/>
    </row>
    <row r="687" spans="4:4" x14ac:dyDescent="0.25">
      <c r="D687" s="104"/>
    </row>
    <row r="688" spans="4:4" x14ac:dyDescent="0.25">
      <c r="D688" s="104"/>
    </row>
    <row r="689" spans="4:4" x14ac:dyDescent="0.25">
      <c r="D689" s="104"/>
    </row>
    <row r="690" spans="4:4" x14ac:dyDescent="0.25">
      <c r="D690" s="104"/>
    </row>
    <row r="691" spans="4:4" x14ac:dyDescent="0.25">
      <c r="D691" s="104"/>
    </row>
    <row r="692" spans="4:4" x14ac:dyDescent="0.25">
      <c r="D692" s="104"/>
    </row>
    <row r="693" spans="4:4" x14ac:dyDescent="0.25">
      <c r="D693" s="104"/>
    </row>
    <row r="694" spans="4:4" x14ac:dyDescent="0.25">
      <c r="D694" s="104"/>
    </row>
    <row r="695" spans="4:4" x14ac:dyDescent="0.25">
      <c r="D695" s="104"/>
    </row>
    <row r="696" spans="4:4" x14ac:dyDescent="0.25">
      <c r="D696" s="104"/>
    </row>
    <row r="697" spans="4:4" x14ac:dyDescent="0.25">
      <c r="D697" s="104"/>
    </row>
    <row r="698" spans="4:4" x14ac:dyDescent="0.25">
      <c r="D698" s="104"/>
    </row>
    <row r="699" spans="4:4" x14ac:dyDescent="0.25">
      <c r="D699" s="104"/>
    </row>
    <row r="700" spans="4:4" x14ac:dyDescent="0.25">
      <c r="D700" s="104"/>
    </row>
    <row r="701" spans="4:4" x14ac:dyDescent="0.25">
      <c r="D701" s="104"/>
    </row>
    <row r="702" spans="4:4" x14ac:dyDescent="0.25">
      <c r="D702" s="104"/>
    </row>
    <row r="703" spans="4:4" x14ac:dyDescent="0.25">
      <c r="D703" s="104"/>
    </row>
    <row r="704" spans="4:4" x14ac:dyDescent="0.25">
      <c r="D704" s="104"/>
    </row>
    <row r="705" spans="4:4" x14ac:dyDescent="0.25">
      <c r="D705" s="104"/>
    </row>
    <row r="706" spans="4:4" x14ac:dyDescent="0.25">
      <c r="D706" s="104"/>
    </row>
    <row r="707" spans="4:4" x14ac:dyDescent="0.25">
      <c r="D707" s="104"/>
    </row>
    <row r="708" spans="4:4" x14ac:dyDescent="0.25">
      <c r="D708" s="104"/>
    </row>
    <row r="709" spans="4:4" x14ac:dyDescent="0.25">
      <c r="D709" s="104"/>
    </row>
    <row r="710" spans="4:4" x14ac:dyDescent="0.25">
      <c r="D710" s="104"/>
    </row>
    <row r="711" spans="4:4" x14ac:dyDescent="0.25">
      <c r="D711" s="104"/>
    </row>
    <row r="712" spans="4:4" x14ac:dyDescent="0.25">
      <c r="D712" s="104"/>
    </row>
    <row r="713" spans="4:4" x14ac:dyDescent="0.25">
      <c r="D713" s="104"/>
    </row>
    <row r="714" spans="4:4" x14ac:dyDescent="0.25">
      <c r="D714" s="104"/>
    </row>
    <row r="715" spans="4:4" x14ac:dyDescent="0.25">
      <c r="D715" s="104"/>
    </row>
    <row r="716" spans="4:4" x14ac:dyDescent="0.25">
      <c r="D716" s="104"/>
    </row>
    <row r="717" spans="4:4" x14ac:dyDescent="0.25">
      <c r="D717" s="104"/>
    </row>
    <row r="718" spans="4:4" x14ac:dyDescent="0.25">
      <c r="D718" s="104"/>
    </row>
    <row r="719" spans="4:4" x14ac:dyDescent="0.25">
      <c r="D719" s="104"/>
    </row>
    <row r="720" spans="4:4" x14ac:dyDescent="0.25">
      <c r="D720" s="104"/>
    </row>
    <row r="721" spans="4:4" x14ac:dyDescent="0.25">
      <c r="D721" s="104"/>
    </row>
    <row r="722" spans="4:4" x14ac:dyDescent="0.25">
      <c r="D722" s="104"/>
    </row>
    <row r="723" spans="4:4" x14ac:dyDescent="0.25">
      <c r="D723" s="104"/>
    </row>
    <row r="724" spans="4:4" x14ac:dyDescent="0.25">
      <c r="D724" s="104"/>
    </row>
    <row r="725" spans="4:4" x14ac:dyDescent="0.25">
      <c r="D725" s="104"/>
    </row>
    <row r="726" spans="4:4" x14ac:dyDescent="0.25">
      <c r="D726" s="104"/>
    </row>
    <row r="727" spans="4:4" x14ac:dyDescent="0.25">
      <c r="D727" s="104"/>
    </row>
    <row r="728" spans="4:4" x14ac:dyDescent="0.25">
      <c r="D728" s="104"/>
    </row>
    <row r="729" spans="4:4" x14ac:dyDescent="0.25">
      <c r="D729" s="104"/>
    </row>
    <row r="730" spans="4:4" x14ac:dyDescent="0.25">
      <c r="D730" s="104"/>
    </row>
    <row r="731" spans="4:4" x14ac:dyDescent="0.25">
      <c r="D731" s="104"/>
    </row>
    <row r="732" spans="4:4" x14ac:dyDescent="0.25">
      <c r="D732" s="104"/>
    </row>
    <row r="733" spans="4:4" x14ac:dyDescent="0.25">
      <c r="D733" s="104"/>
    </row>
    <row r="734" spans="4:4" x14ac:dyDescent="0.25">
      <c r="D734" s="104"/>
    </row>
    <row r="735" spans="4:4" x14ac:dyDescent="0.25">
      <c r="D735" s="104"/>
    </row>
    <row r="736" spans="4:4" x14ac:dyDescent="0.25">
      <c r="D736" s="104"/>
    </row>
    <row r="737" spans="4:4" x14ac:dyDescent="0.25">
      <c r="D737" s="104"/>
    </row>
    <row r="738" spans="4:4" x14ac:dyDescent="0.25">
      <c r="D738" s="104"/>
    </row>
    <row r="739" spans="4:4" x14ac:dyDescent="0.25">
      <c r="D739" s="104"/>
    </row>
    <row r="740" spans="4:4" x14ac:dyDescent="0.25">
      <c r="D740" s="104"/>
    </row>
    <row r="741" spans="4:4" x14ac:dyDescent="0.25">
      <c r="D741" s="104"/>
    </row>
    <row r="742" spans="4:4" x14ac:dyDescent="0.25">
      <c r="D742" s="104"/>
    </row>
    <row r="743" spans="4:4" x14ac:dyDescent="0.25">
      <c r="D743" s="104"/>
    </row>
    <row r="744" spans="4:4" x14ac:dyDescent="0.25">
      <c r="D744" s="104"/>
    </row>
    <row r="745" spans="4:4" x14ac:dyDescent="0.25">
      <c r="D745" s="104"/>
    </row>
    <row r="746" spans="4:4" x14ac:dyDescent="0.25">
      <c r="D746" s="104"/>
    </row>
    <row r="747" spans="4:4" x14ac:dyDescent="0.25">
      <c r="D747" s="104"/>
    </row>
    <row r="748" spans="4:4" x14ac:dyDescent="0.25">
      <c r="D748" s="104"/>
    </row>
    <row r="749" spans="4:4" x14ac:dyDescent="0.25">
      <c r="D749" s="104"/>
    </row>
    <row r="750" spans="4:4" x14ac:dyDescent="0.25">
      <c r="D750" s="104"/>
    </row>
    <row r="751" spans="4:4" x14ac:dyDescent="0.25">
      <c r="D751" s="104"/>
    </row>
    <row r="752" spans="4:4" x14ac:dyDescent="0.25">
      <c r="D752" s="104"/>
    </row>
    <row r="753" spans="4:4" x14ac:dyDescent="0.25">
      <c r="D753" s="104"/>
    </row>
  </sheetData>
  <pageMargins left="0.45" right="0.45" top="0.75" bottom="0.75" header="0.3" footer="0.3"/>
  <pageSetup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BC94-C66B-4FFD-B677-800153AFD774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2B0A-A2CF-4373-B8CC-DB3B99748F5E}">
  <sheetPr codeName="Sheet25">
    <tabColor theme="1" tint="0.499984740745262"/>
    <pageSetUpPr fitToPage="1"/>
  </sheetPr>
  <dimension ref="A1:AP62"/>
  <sheetViews>
    <sheetView showGridLines="0" view="pageBreakPreview" zoomScale="85" zoomScaleNormal="85" zoomScaleSheetLayoutView="85" workbookViewId="0"/>
  </sheetViews>
  <sheetFormatPr defaultColWidth="10" defaultRowHeight="15" customHeight="1" outlineLevelRow="1" x14ac:dyDescent="0.25"/>
  <cols>
    <col min="1" max="3" width="0.85546875" style="331" customWidth="1"/>
    <col min="4" max="4" width="24.42578125" style="331" customWidth="1"/>
    <col min="5" max="5" width="31.140625" style="331" bestFit="1" customWidth="1"/>
    <col min="6" max="6" width="14.42578125" style="331" customWidth="1"/>
    <col min="7" max="7" width="27.42578125" style="331" customWidth="1"/>
    <col min="8" max="10" width="14.42578125" style="331" customWidth="1"/>
    <col min="11" max="12" width="17" style="331" bestFit="1" customWidth="1"/>
    <col min="13" max="16" width="16.85546875" style="331" customWidth="1"/>
    <col min="17" max="17" width="0.85546875" style="331" customWidth="1"/>
    <col min="18" max="18" width="1.42578125" style="331" customWidth="1"/>
    <col min="19" max="20" width="16.85546875" style="331" customWidth="1"/>
    <col min="21" max="21" width="14.42578125" style="331" customWidth="1"/>
    <col min="22" max="22" width="14.85546875" style="331" customWidth="1"/>
    <col min="23" max="23" width="5.42578125" style="331" customWidth="1"/>
    <col min="24" max="25" width="16.85546875" style="331" customWidth="1"/>
    <col min="26" max="26" width="14.42578125" style="331" customWidth="1"/>
    <col min="27" max="27" width="14.85546875" style="331" customWidth="1"/>
    <col min="28" max="28" width="5.42578125" style="331" customWidth="1"/>
    <col min="29" max="30" width="16.85546875" style="331" customWidth="1"/>
    <col min="31" max="31" width="14.42578125" style="331" customWidth="1"/>
    <col min="32" max="32" width="14.85546875" style="331" customWidth="1"/>
    <col min="33" max="33" width="5.42578125" style="331" customWidth="1"/>
    <col min="34" max="35" width="16.85546875" style="331" customWidth="1"/>
    <col min="36" max="36" width="14.42578125" style="331" customWidth="1"/>
    <col min="37" max="37" width="14.85546875" style="331" customWidth="1"/>
    <col min="38" max="38" width="5.42578125" style="331" customWidth="1"/>
    <col min="39" max="40" width="16.85546875" style="331" customWidth="1"/>
    <col min="41" max="41" width="14.42578125" style="331" customWidth="1"/>
    <col min="42" max="42" width="14.85546875" style="331" customWidth="1"/>
    <col min="43" max="43" width="16.85546875" style="331" customWidth="1"/>
    <col min="44" max="44" width="12.85546875" style="331" bestFit="1" customWidth="1"/>
    <col min="45" max="45" width="9.42578125" style="331" bestFit="1" customWidth="1"/>
    <col min="46" max="46" width="10" style="331" bestFit="1" customWidth="1"/>
    <col min="47" max="47" width="10.42578125" style="331" bestFit="1" customWidth="1"/>
    <col min="48" max="48" width="16.42578125" style="331" bestFit="1" customWidth="1"/>
    <col min="49" max="235" width="10" style="331"/>
    <col min="236" max="236" width="21.42578125" style="331" customWidth="1"/>
    <col min="237" max="237" width="26.42578125" style="331" customWidth="1"/>
    <col min="238" max="238" width="14.42578125" style="331" customWidth="1"/>
    <col min="239" max="239" width="11" style="331" customWidth="1"/>
    <col min="240" max="240" width="19.140625" style="331" customWidth="1"/>
    <col min="241" max="241" width="26.42578125" style="331" customWidth="1"/>
    <col min="242" max="242" width="19.140625" style="331" customWidth="1"/>
    <col min="243" max="244" width="21.42578125" style="331" customWidth="1"/>
    <col min="245" max="245" width="20.42578125" style="331" customWidth="1"/>
    <col min="246" max="247" width="26.42578125" style="331" customWidth="1"/>
    <col min="248" max="251" width="16.140625" style="331" customWidth="1"/>
    <col min="252" max="491" width="10" style="331"/>
    <col min="492" max="492" width="21.42578125" style="331" customWidth="1"/>
    <col min="493" max="493" width="26.42578125" style="331" customWidth="1"/>
    <col min="494" max="494" width="14.42578125" style="331" customWidth="1"/>
    <col min="495" max="495" width="11" style="331" customWidth="1"/>
    <col min="496" max="496" width="19.140625" style="331" customWidth="1"/>
    <col min="497" max="497" width="26.42578125" style="331" customWidth="1"/>
    <col min="498" max="498" width="19.140625" style="331" customWidth="1"/>
    <col min="499" max="500" width="21.42578125" style="331" customWidth="1"/>
    <col min="501" max="501" width="20.42578125" style="331" customWidth="1"/>
    <col min="502" max="503" width="26.42578125" style="331" customWidth="1"/>
    <col min="504" max="507" width="16.140625" style="331" customWidth="1"/>
    <col min="508" max="747" width="10" style="331"/>
    <col min="748" max="748" width="21.42578125" style="331" customWidth="1"/>
    <col min="749" max="749" width="26.42578125" style="331" customWidth="1"/>
    <col min="750" max="750" width="14.42578125" style="331" customWidth="1"/>
    <col min="751" max="751" width="11" style="331" customWidth="1"/>
    <col min="752" max="752" width="19.140625" style="331" customWidth="1"/>
    <col min="753" max="753" width="26.42578125" style="331" customWidth="1"/>
    <col min="754" max="754" width="19.140625" style="331" customWidth="1"/>
    <col min="755" max="756" width="21.42578125" style="331" customWidth="1"/>
    <col min="757" max="757" width="20.42578125" style="331" customWidth="1"/>
    <col min="758" max="759" width="26.42578125" style="331" customWidth="1"/>
    <col min="760" max="763" width="16.140625" style="331" customWidth="1"/>
    <col min="764" max="1003" width="10" style="331"/>
    <col min="1004" max="1004" width="21.42578125" style="331" customWidth="1"/>
    <col min="1005" max="1005" width="26.42578125" style="331" customWidth="1"/>
    <col min="1006" max="1006" width="14.42578125" style="331" customWidth="1"/>
    <col min="1007" max="1007" width="11" style="331" customWidth="1"/>
    <col min="1008" max="1008" width="19.140625" style="331" customWidth="1"/>
    <col min="1009" max="1009" width="26.42578125" style="331" customWidth="1"/>
    <col min="1010" max="1010" width="19.140625" style="331" customWidth="1"/>
    <col min="1011" max="1012" width="21.42578125" style="331" customWidth="1"/>
    <col min="1013" max="1013" width="20.42578125" style="331" customWidth="1"/>
    <col min="1014" max="1015" width="26.42578125" style="331" customWidth="1"/>
    <col min="1016" max="1019" width="16.140625" style="331" customWidth="1"/>
    <col min="1020" max="1259" width="10" style="331"/>
    <col min="1260" max="1260" width="21.42578125" style="331" customWidth="1"/>
    <col min="1261" max="1261" width="26.42578125" style="331" customWidth="1"/>
    <col min="1262" max="1262" width="14.42578125" style="331" customWidth="1"/>
    <col min="1263" max="1263" width="11" style="331" customWidth="1"/>
    <col min="1264" max="1264" width="19.140625" style="331" customWidth="1"/>
    <col min="1265" max="1265" width="26.42578125" style="331" customWidth="1"/>
    <col min="1266" max="1266" width="19.140625" style="331" customWidth="1"/>
    <col min="1267" max="1268" width="21.42578125" style="331" customWidth="1"/>
    <col min="1269" max="1269" width="20.42578125" style="331" customWidth="1"/>
    <col min="1270" max="1271" width="26.42578125" style="331" customWidth="1"/>
    <col min="1272" max="1275" width="16.140625" style="331" customWidth="1"/>
    <col min="1276" max="1515" width="10" style="331"/>
    <col min="1516" max="1516" width="21.42578125" style="331" customWidth="1"/>
    <col min="1517" max="1517" width="26.42578125" style="331" customWidth="1"/>
    <col min="1518" max="1518" width="14.42578125" style="331" customWidth="1"/>
    <col min="1519" max="1519" width="11" style="331" customWidth="1"/>
    <col min="1520" max="1520" width="19.140625" style="331" customWidth="1"/>
    <col min="1521" max="1521" width="26.42578125" style="331" customWidth="1"/>
    <col min="1522" max="1522" width="19.140625" style="331" customWidth="1"/>
    <col min="1523" max="1524" width="21.42578125" style="331" customWidth="1"/>
    <col min="1525" max="1525" width="20.42578125" style="331" customWidth="1"/>
    <col min="1526" max="1527" width="26.42578125" style="331" customWidth="1"/>
    <col min="1528" max="1531" width="16.140625" style="331" customWidth="1"/>
    <col min="1532" max="1771" width="10" style="331"/>
    <col min="1772" max="1772" width="21.42578125" style="331" customWidth="1"/>
    <col min="1773" max="1773" width="26.42578125" style="331" customWidth="1"/>
    <col min="1774" max="1774" width="14.42578125" style="331" customWidth="1"/>
    <col min="1775" max="1775" width="11" style="331" customWidth="1"/>
    <col min="1776" max="1776" width="19.140625" style="331" customWidth="1"/>
    <col min="1777" max="1777" width="26.42578125" style="331" customWidth="1"/>
    <col min="1778" max="1778" width="19.140625" style="331" customWidth="1"/>
    <col min="1779" max="1780" width="21.42578125" style="331" customWidth="1"/>
    <col min="1781" max="1781" width="20.42578125" style="331" customWidth="1"/>
    <col min="1782" max="1783" width="26.42578125" style="331" customWidth="1"/>
    <col min="1784" max="1787" width="16.140625" style="331" customWidth="1"/>
    <col min="1788" max="2027" width="10" style="331"/>
    <col min="2028" max="2028" width="21.42578125" style="331" customWidth="1"/>
    <col min="2029" max="2029" width="26.42578125" style="331" customWidth="1"/>
    <col min="2030" max="2030" width="14.42578125" style="331" customWidth="1"/>
    <col min="2031" max="2031" width="11" style="331" customWidth="1"/>
    <col min="2032" max="2032" width="19.140625" style="331" customWidth="1"/>
    <col min="2033" max="2033" width="26.42578125" style="331" customWidth="1"/>
    <col min="2034" max="2034" width="19.140625" style="331" customWidth="1"/>
    <col min="2035" max="2036" width="21.42578125" style="331" customWidth="1"/>
    <col min="2037" max="2037" width="20.42578125" style="331" customWidth="1"/>
    <col min="2038" max="2039" width="26.42578125" style="331" customWidth="1"/>
    <col min="2040" max="2043" width="16.140625" style="331" customWidth="1"/>
    <col min="2044" max="2283" width="10" style="331"/>
    <col min="2284" max="2284" width="21.42578125" style="331" customWidth="1"/>
    <col min="2285" max="2285" width="26.42578125" style="331" customWidth="1"/>
    <col min="2286" max="2286" width="14.42578125" style="331" customWidth="1"/>
    <col min="2287" max="2287" width="11" style="331" customWidth="1"/>
    <col min="2288" max="2288" width="19.140625" style="331" customWidth="1"/>
    <col min="2289" max="2289" width="26.42578125" style="331" customWidth="1"/>
    <col min="2290" max="2290" width="19.140625" style="331" customWidth="1"/>
    <col min="2291" max="2292" width="21.42578125" style="331" customWidth="1"/>
    <col min="2293" max="2293" width="20.42578125" style="331" customWidth="1"/>
    <col min="2294" max="2295" width="26.42578125" style="331" customWidth="1"/>
    <col min="2296" max="2299" width="16.140625" style="331" customWidth="1"/>
    <col min="2300" max="2539" width="10" style="331"/>
    <col min="2540" max="2540" width="21.42578125" style="331" customWidth="1"/>
    <col min="2541" max="2541" width="26.42578125" style="331" customWidth="1"/>
    <col min="2542" max="2542" width="14.42578125" style="331" customWidth="1"/>
    <col min="2543" max="2543" width="11" style="331" customWidth="1"/>
    <col min="2544" max="2544" width="19.140625" style="331" customWidth="1"/>
    <col min="2545" max="2545" width="26.42578125" style="331" customWidth="1"/>
    <col min="2546" max="2546" width="19.140625" style="331" customWidth="1"/>
    <col min="2547" max="2548" width="21.42578125" style="331" customWidth="1"/>
    <col min="2549" max="2549" width="20.42578125" style="331" customWidth="1"/>
    <col min="2550" max="2551" width="26.42578125" style="331" customWidth="1"/>
    <col min="2552" max="2555" width="16.140625" style="331" customWidth="1"/>
    <col min="2556" max="2795" width="10" style="331"/>
    <col min="2796" max="2796" width="21.42578125" style="331" customWidth="1"/>
    <col min="2797" max="2797" width="26.42578125" style="331" customWidth="1"/>
    <col min="2798" max="2798" width="14.42578125" style="331" customWidth="1"/>
    <col min="2799" max="2799" width="11" style="331" customWidth="1"/>
    <col min="2800" max="2800" width="19.140625" style="331" customWidth="1"/>
    <col min="2801" max="2801" width="26.42578125" style="331" customWidth="1"/>
    <col min="2802" max="2802" width="19.140625" style="331" customWidth="1"/>
    <col min="2803" max="2804" width="21.42578125" style="331" customWidth="1"/>
    <col min="2805" max="2805" width="20.42578125" style="331" customWidth="1"/>
    <col min="2806" max="2807" width="26.42578125" style="331" customWidth="1"/>
    <col min="2808" max="2811" width="16.140625" style="331" customWidth="1"/>
    <col min="2812" max="3051" width="10" style="331"/>
    <col min="3052" max="3052" width="21.42578125" style="331" customWidth="1"/>
    <col min="3053" max="3053" width="26.42578125" style="331" customWidth="1"/>
    <col min="3054" max="3054" width="14.42578125" style="331" customWidth="1"/>
    <col min="3055" max="3055" width="11" style="331" customWidth="1"/>
    <col min="3056" max="3056" width="19.140625" style="331" customWidth="1"/>
    <col min="3057" max="3057" width="26.42578125" style="331" customWidth="1"/>
    <col min="3058" max="3058" width="19.140625" style="331" customWidth="1"/>
    <col min="3059" max="3060" width="21.42578125" style="331" customWidth="1"/>
    <col min="3061" max="3061" width="20.42578125" style="331" customWidth="1"/>
    <col min="3062" max="3063" width="26.42578125" style="331" customWidth="1"/>
    <col min="3064" max="3067" width="16.140625" style="331" customWidth="1"/>
    <col min="3068" max="3307" width="10" style="331"/>
    <col min="3308" max="3308" width="21.42578125" style="331" customWidth="1"/>
    <col min="3309" max="3309" width="26.42578125" style="331" customWidth="1"/>
    <col min="3310" max="3310" width="14.42578125" style="331" customWidth="1"/>
    <col min="3311" max="3311" width="11" style="331" customWidth="1"/>
    <col min="3312" max="3312" width="19.140625" style="331" customWidth="1"/>
    <col min="3313" max="3313" width="26.42578125" style="331" customWidth="1"/>
    <col min="3314" max="3314" width="19.140625" style="331" customWidth="1"/>
    <col min="3315" max="3316" width="21.42578125" style="331" customWidth="1"/>
    <col min="3317" max="3317" width="20.42578125" style="331" customWidth="1"/>
    <col min="3318" max="3319" width="26.42578125" style="331" customWidth="1"/>
    <col min="3320" max="3323" width="16.140625" style="331" customWidth="1"/>
    <col min="3324" max="3563" width="10" style="331"/>
    <col min="3564" max="3564" width="21.42578125" style="331" customWidth="1"/>
    <col min="3565" max="3565" width="26.42578125" style="331" customWidth="1"/>
    <col min="3566" max="3566" width="14.42578125" style="331" customWidth="1"/>
    <col min="3567" max="3567" width="11" style="331" customWidth="1"/>
    <col min="3568" max="3568" width="19.140625" style="331" customWidth="1"/>
    <col min="3569" max="3569" width="26.42578125" style="331" customWidth="1"/>
    <col min="3570" max="3570" width="19.140625" style="331" customWidth="1"/>
    <col min="3571" max="3572" width="21.42578125" style="331" customWidth="1"/>
    <col min="3573" max="3573" width="20.42578125" style="331" customWidth="1"/>
    <col min="3574" max="3575" width="26.42578125" style="331" customWidth="1"/>
    <col min="3576" max="3579" width="16.140625" style="331" customWidth="1"/>
    <col min="3580" max="3819" width="10" style="331"/>
    <col min="3820" max="3820" width="21.42578125" style="331" customWidth="1"/>
    <col min="3821" max="3821" width="26.42578125" style="331" customWidth="1"/>
    <col min="3822" max="3822" width="14.42578125" style="331" customWidth="1"/>
    <col min="3823" max="3823" width="11" style="331" customWidth="1"/>
    <col min="3824" max="3824" width="19.140625" style="331" customWidth="1"/>
    <col min="3825" max="3825" width="26.42578125" style="331" customWidth="1"/>
    <col min="3826" max="3826" width="19.140625" style="331" customWidth="1"/>
    <col min="3827" max="3828" width="21.42578125" style="331" customWidth="1"/>
    <col min="3829" max="3829" width="20.42578125" style="331" customWidth="1"/>
    <col min="3830" max="3831" width="26.42578125" style="331" customWidth="1"/>
    <col min="3832" max="3835" width="16.140625" style="331" customWidth="1"/>
    <col min="3836" max="4075" width="10" style="331"/>
    <col min="4076" max="4076" width="21.42578125" style="331" customWidth="1"/>
    <col min="4077" max="4077" width="26.42578125" style="331" customWidth="1"/>
    <col min="4078" max="4078" width="14.42578125" style="331" customWidth="1"/>
    <col min="4079" max="4079" width="11" style="331" customWidth="1"/>
    <col min="4080" max="4080" width="19.140625" style="331" customWidth="1"/>
    <col min="4081" max="4081" width="26.42578125" style="331" customWidth="1"/>
    <col min="4082" max="4082" width="19.140625" style="331" customWidth="1"/>
    <col min="4083" max="4084" width="21.42578125" style="331" customWidth="1"/>
    <col min="4085" max="4085" width="20.42578125" style="331" customWidth="1"/>
    <col min="4086" max="4087" width="26.42578125" style="331" customWidth="1"/>
    <col min="4088" max="4091" width="16.140625" style="331" customWidth="1"/>
    <col min="4092" max="4331" width="10" style="331"/>
    <col min="4332" max="4332" width="21.42578125" style="331" customWidth="1"/>
    <col min="4333" max="4333" width="26.42578125" style="331" customWidth="1"/>
    <col min="4334" max="4334" width="14.42578125" style="331" customWidth="1"/>
    <col min="4335" max="4335" width="11" style="331" customWidth="1"/>
    <col min="4336" max="4336" width="19.140625" style="331" customWidth="1"/>
    <col min="4337" max="4337" width="26.42578125" style="331" customWidth="1"/>
    <col min="4338" max="4338" width="19.140625" style="331" customWidth="1"/>
    <col min="4339" max="4340" width="21.42578125" style="331" customWidth="1"/>
    <col min="4341" max="4341" width="20.42578125" style="331" customWidth="1"/>
    <col min="4342" max="4343" width="26.42578125" style="331" customWidth="1"/>
    <col min="4344" max="4347" width="16.140625" style="331" customWidth="1"/>
    <col min="4348" max="4587" width="10" style="331"/>
    <col min="4588" max="4588" width="21.42578125" style="331" customWidth="1"/>
    <col min="4589" max="4589" width="26.42578125" style="331" customWidth="1"/>
    <col min="4590" max="4590" width="14.42578125" style="331" customWidth="1"/>
    <col min="4591" max="4591" width="11" style="331" customWidth="1"/>
    <col min="4592" max="4592" width="19.140625" style="331" customWidth="1"/>
    <col min="4593" max="4593" width="26.42578125" style="331" customWidth="1"/>
    <col min="4594" max="4594" width="19.140625" style="331" customWidth="1"/>
    <col min="4595" max="4596" width="21.42578125" style="331" customWidth="1"/>
    <col min="4597" max="4597" width="20.42578125" style="331" customWidth="1"/>
    <col min="4598" max="4599" width="26.42578125" style="331" customWidth="1"/>
    <col min="4600" max="4603" width="16.140625" style="331" customWidth="1"/>
    <col min="4604" max="4843" width="10" style="331"/>
    <col min="4844" max="4844" width="21.42578125" style="331" customWidth="1"/>
    <col min="4845" max="4845" width="26.42578125" style="331" customWidth="1"/>
    <col min="4846" max="4846" width="14.42578125" style="331" customWidth="1"/>
    <col min="4847" max="4847" width="11" style="331" customWidth="1"/>
    <col min="4848" max="4848" width="19.140625" style="331" customWidth="1"/>
    <col min="4849" max="4849" width="26.42578125" style="331" customWidth="1"/>
    <col min="4850" max="4850" width="19.140625" style="331" customWidth="1"/>
    <col min="4851" max="4852" width="21.42578125" style="331" customWidth="1"/>
    <col min="4853" max="4853" width="20.42578125" style="331" customWidth="1"/>
    <col min="4854" max="4855" width="26.42578125" style="331" customWidth="1"/>
    <col min="4856" max="4859" width="16.140625" style="331" customWidth="1"/>
    <col min="4860" max="5099" width="10" style="331"/>
    <col min="5100" max="5100" width="21.42578125" style="331" customWidth="1"/>
    <col min="5101" max="5101" width="26.42578125" style="331" customWidth="1"/>
    <col min="5102" max="5102" width="14.42578125" style="331" customWidth="1"/>
    <col min="5103" max="5103" width="11" style="331" customWidth="1"/>
    <col min="5104" max="5104" width="19.140625" style="331" customWidth="1"/>
    <col min="5105" max="5105" width="26.42578125" style="331" customWidth="1"/>
    <col min="5106" max="5106" width="19.140625" style="331" customWidth="1"/>
    <col min="5107" max="5108" width="21.42578125" style="331" customWidth="1"/>
    <col min="5109" max="5109" width="20.42578125" style="331" customWidth="1"/>
    <col min="5110" max="5111" width="26.42578125" style="331" customWidth="1"/>
    <col min="5112" max="5115" width="16.140625" style="331" customWidth="1"/>
    <col min="5116" max="5355" width="10" style="331"/>
    <col min="5356" max="5356" width="21.42578125" style="331" customWidth="1"/>
    <col min="5357" max="5357" width="26.42578125" style="331" customWidth="1"/>
    <col min="5358" max="5358" width="14.42578125" style="331" customWidth="1"/>
    <col min="5359" max="5359" width="11" style="331" customWidth="1"/>
    <col min="5360" max="5360" width="19.140625" style="331" customWidth="1"/>
    <col min="5361" max="5361" width="26.42578125" style="331" customWidth="1"/>
    <col min="5362" max="5362" width="19.140625" style="331" customWidth="1"/>
    <col min="5363" max="5364" width="21.42578125" style="331" customWidth="1"/>
    <col min="5365" max="5365" width="20.42578125" style="331" customWidth="1"/>
    <col min="5366" max="5367" width="26.42578125" style="331" customWidth="1"/>
    <col min="5368" max="5371" width="16.140625" style="331" customWidth="1"/>
    <col min="5372" max="5611" width="10" style="331"/>
    <col min="5612" max="5612" width="21.42578125" style="331" customWidth="1"/>
    <col min="5613" max="5613" width="26.42578125" style="331" customWidth="1"/>
    <col min="5614" max="5614" width="14.42578125" style="331" customWidth="1"/>
    <col min="5615" max="5615" width="11" style="331" customWidth="1"/>
    <col min="5616" max="5616" width="19.140625" style="331" customWidth="1"/>
    <col min="5617" max="5617" width="26.42578125" style="331" customWidth="1"/>
    <col min="5618" max="5618" width="19.140625" style="331" customWidth="1"/>
    <col min="5619" max="5620" width="21.42578125" style="331" customWidth="1"/>
    <col min="5621" max="5621" width="20.42578125" style="331" customWidth="1"/>
    <col min="5622" max="5623" width="26.42578125" style="331" customWidth="1"/>
    <col min="5624" max="5627" width="16.140625" style="331" customWidth="1"/>
    <col min="5628" max="5867" width="10" style="331"/>
    <col min="5868" max="5868" width="21.42578125" style="331" customWidth="1"/>
    <col min="5869" max="5869" width="26.42578125" style="331" customWidth="1"/>
    <col min="5870" max="5870" width="14.42578125" style="331" customWidth="1"/>
    <col min="5871" max="5871" width="11" style="331" customWidth="1"/>
    <col min="5872" max="5872" width="19.140625" style="331" customWidth="1"/>
    <col min="5873" max="5873" width="26.42578125" style="331" customWidth="1"/>
    <col min="5874" max="5874" width="19.140625" style="331" customWidth="1"/>
    <col min="5875" max="5876" width="21.42578125" style="331" customWidth="1"/>
    <col min="5877" max="5877" width="20.42578125" style="331" customWidth="1"/>
    <col min="5878" max="5879" width="26.42578125" style="331" customWidth="1"/>
    <col min="5880" max="5883" width="16.140625" style="331" customWidth="1"/>
    <col min="5884" max="6123" width="10" style="331"/>
    <col min="6124" max="6124" width="21.42578125" style="331" customWidth="1"/>
    <col min="6125" max="6125" width="26.42578125" style="331" customWidth="1"/>
    <col min="6126" max="6126" width="14.42578125" style="331" customWidth="1"/>
    <col min="6127" max="6127" width="11" style="331" customWidth="1"/>
    <col min="6128" max="6128" width="19.140625" style="331" customWidth="1"/>
    <col min="6129" max="6129" width="26.42578125" style="331" customWidth="1"/>
    <col min="6130" max="6130" width="19.140625" style="331" customWidth="1"/>
    <col min="6131" max="6132" width="21.42578125" style="331" customWidth="1"/>
    <col min="6133" max="6133" width="20.42578125" style="331" customWidth="1"/>
    <col min="6134" max="6135" width="26.42578125" style="331" customWidth="1"/>
    <col min="6136" max="6139" width="16.140625" style="331" customWidth="1"/>
    <col min="6140" max="6379" width="10" style="331"/>
    <col min="6380" max="6380" width="21.42578125" style="331" customWidth="1"/>
    <col min="6381" max="6381" width="26.42578125" style="331" customWidth="1"/>
    <col min="6382" max="6382" width="14.42578125" style="331" customWidth="1"/>
    <col min="6383" max="6383" width="11" style="331" customWidth="1"/>
    <col min="6384" max="6384" width="19.140625" style="331" customWidth="1"/>
    <col min="6385" max="6385" width="26.42578125" style="331" customWidth="1"/>
    <col min="6386" max="6386" width="19.140625" style="331" customWidth="1"/>
    <col min="6387" max="6388" width="21.42578125" style="331" customWidth="1"/>
    <col min="6389" max="6389" width="20.42578125" style="331" customWidth="1"/>
    <col min="6390" max="6391" width="26.42578125" style="331" customWidth="1"/>
    <col min="6392" max="6395" width="16.140625" style="331" customWidth="1"/>
    <col min="6396" max="6635" width="10" style="331"/>
    <col min="6636" max="6636" width="21.42578125" style="331" customWidth="1"/>
    <col min="6637" max="6637" width="26.42578125" style="331" customWidth="1"/>
    <col min="6638" max="6638" width="14.42578125" style="331" customWidth="1"/>
    <col min="6639" max="6639" width="11" style="331" customWidth="1"/>
    <col min="6640" max="6640" width="19.140625" style="331" customWidth="1"/>
    <col min="6641" max="6641" width="26.42578125" style="331" customWidth="1"/>
    <col min="6642" max="6642" width="19.140625" style="331" customWidth="1"/>
    <col min="6643" max="6644" width="21.42578125" style="331" customWidth="1"/>
    <col min="6645" max="6645" width="20.42578125" style="331" customWidth="1"/>
    <col min="6646" max="6647" width="26.42578125" style="331" customWidth="1"/>
    <col min="6648" max="6651" width="16.140625" style="331" customWidth="1"/>
    <col min="6652" max="6891" width="10" style="331"/>
    <col min="6892" max="6892" width="21.42578125" style="331" customWidth="1"/>
    <col min="6893" max="6893" width="26.42578125" style="331" customWidth="1"/>
    <col min="6894" max="6894" width="14.42578125" style="331" customWidth="1"/>
    <col min="6895" max="6895" width="11" style="331" customWidth="1"/>
    <col min="6896" max="6896" width="19.140625" style="331" customWidth="1"/>
    <col min="6897" max="6897" width="26.42578125" style="331" customWidth="1"/>
    <col min="6898" max="6898" width="19.140625" style="331" customWidth="1"/>
    <col min="6899" max="6900" width="21.42578125" style="331" customWidth="1"/>
    <col min="6901" max="6901" width="20.42578125" style="331" customWidth="1"/>
    <col min="6902" max="6903" width="26.42578125" style="331" customWidth="1"/>
    <col min="6904" max="6907" width="16.140625" style="331" customWidth="1"/>
    <col min="6908" max="7147" width="10" style="331"/>
    <col min="7148" max="7148" width="21.42578125" style="331" customWidth="1"/>
    <col min="7149" max="7149" width="26.42578125" style="331" customWidth="1"/>
    <col min="7150" max="7150" width="14.42578125" style="331" customWidth="1"/>
    <col min="7151" max="7151" width="11" style="331" customWidth="1"/>
    <col min="7152" max="7152" width="19.140625" style="331" customWidth="1"/>
    <col min="7153" max="7153" width="26.42578125" style="331" customWidth="1"/>
    <col min="7154" max="7154" width="19.140625" style="331" customWidth="1"/>
    <col min="7155" max="7156" width="21.42578125" style="331" customWidth="1"/>
    <col min="7157" max="7157" width="20.42578125" style="331" customWidth="1"/>
    <col min="7158" max="7159" width="26.42578125" style="331" customWidth="1"/>
    <col min="7160" max="7163" width="16.140625" style="331" customWidth="1"/>
    <col min="7164" max="7403" width="10" style="331"/>
    <col min="7404" max="7404" width="21.42578125" style="331" customWidth="1"/>
    <col min="7405" max="7405" width="26.42578125" style="331" customWidth="1"/>
    <col min="7406" max="7406" width="14.42578125" style="331" customWidth="1"/>
    <col min="7407" max="7407" width="11" style="331" customWidth="1"/>
    <col min="7408" max="7408" width="19.140625" style="331" customWidth="1"/>
    <col min="7409" max="7409" width="26.42578125" style="331" customWidth="1"/>
    <col min="7410" max="7410" width="19.140625" style="331" customWidth="1"/>
    <col min="7411" max="7412" width="21.42578125" style="331" customWidth="1"/>
    <col min="7413" max="7413" width="20.42578125" style="331" customWidth="1"/>
    <col min="7414" max="7415" width="26.42578125" style="331" customWidth="1"/>
    <col min="7416" max="7419" width="16.140625" style="331" customWidth="1"/>
    <col min="7420" max="7659" width="10" style="331"/>
    <col min="7660" max="7660" width="21.42578125" style="331" customWidth="1"/>
    <col min="7661" max="7661" width="26.42578125" style="331" customWidth="1"/>
    <col min="7662" max="7662" width="14.42578125" style="331" customWidth="1"/>
    <col min="7663" max="7663" width="11" style="331" customWidth="1"/>
    <col min="7664" max="7664" width="19.140625" style="331" customWidth="1"/>
    <col min="7665" max="7665" width="26.42578125" style="331" customWidth="1"/>
    <col min="7666" max="7666" width="19.140625" style="331" customWidth="1"/>
    <col min="7667" max="7668" width="21.42578125" style="331" customWidth="1"/>
    <col min="7669" max="7669" width="20.42578125" style="331" customWidth="1"/>
    <col min="7670" max="7671" width="26.42578125" style="331" customWidth="1"/>
    <col min="7672" max="7675" width="16.140625" style="331" customWidth="1"/>
    <col min="7676" max="7915" width="10" style="331"/>
    <col min="7916" max="7916" width="21.42578125" style="331" customWidth="1"/>
    <col min="7917" max="7917" width="26.42578125" style="331" customWidth="1"/>
    <col min="7918" max="7918" width="14.42578125" style="331" customWidth="1"/>
    <col min="7919" max="7919" width="11" style="331" customWidth="1"/>
    <col min="7920" max="7920" width="19.140625" style="331" customWidth="1"/>
    <col min="7921" max="7921" width="26.42578125" style="331" customWidth="1"/>
    <col min="7922" max="7922" width="19.140625" style="331" customWidth="1"/>
    <col min="7923" max="7924" width="21.42578125" style="331" customWidth="1"/>
    <col min="7925" max="7925" width="20.42578125" style="331" customWidth="1"/>
    <col min="7926" max="7927" width="26.42578125" style="331" customWidth="1"/>
    <col min="7928" max="7931" width="16.140625" style="331" customWidth="1"/>
    <col min="7932" max="8171" width="10" style="331"/>
    <col min="8172" max="8172" width="21.42578125" style="331" customWidth="1"/>
    <col min="8173" max="8173" width="26.42578125" style="331" customWidth="1"/>
    <col min="8174" max="8174" width="14.42578125" style="331" customWidth="1"/>
    <col min="8175" max="8175" width="11" style="331" customWidth="1"/>
    <col min="8176" max="8176" width="19.140625" style="331" customWidth="1"/>
    <col min="8177" max="8177" width="26.42578125" style="331" customWidth="1"/>
    <col min="8178" max="8178" width="19.140625" style="331" customWidth="1"/>
    <col min="8179" max="8180" width="21.42578125" style="331" customWidth="1"/>
    <col min="8181" max="8181" width="20.42578125" style="331" customWidth="1"/>
    <col min="8182" max="8183" width="26.42578125" style="331" customWidth="1"/>
    <col min="8184" max="8187" width="16.140625" style="331" customWidth="1"/>
    <col min="8188" max="8427" width="10" style="331"/>
    <col min="8428" max="8428" width="21.42578125" style="331" customWidth="1"/>
    <col min="8429" max="8429" width="26.42578125" style="331" customWidth="1"/>
    <col min="8430" max="8430" width="14.42578125" style="331" customWidth="1"/>
    <col min="8431" max="8431" width="11" style="331" customWidth="1"/>
    <col min="8432" max="8432" width="19.140625" style="331" customWidth="1"/>
    <col min="8433" max="8433" width="26.42578125" style="331" customWidth="1"/>
    <col min="8434" max="8434" width="19.140625" style="331" customWidth="1"/>
    <col min="8435" max="8436" width="21.42578125" style="331" customWidth="1"/>
    <col min="8437" max="8437" width="20.42578125" style="331" customWidth="1"/>
    <col min="8438" max="8439" width="26.42578125" style="331" customWidth="1"/>
    <col min="8440" max="8443" width="16.140625" style="331" customWidth="1"/>
    <col min="8444" max="8683" width="10" style="331"/>
    <col min="8684" max="8684" width="21.42578125" style="331" customWidth="1"/>
    <col min="8685" max="8685" width="26.42578125" style="331" customWidth="1"/>
    <col min="8686" max="8686" width="14.42578125" style="331" customWidth="1"/>
    <col min="8687" max="8687" width="11" style="331" customWidth="1"/>
    <col min="8688" max="8688" width="19.140625" style="331" customWidth="1"/>
    <col min="8689" max="8689" width="26.42578125" style="331" customWidth="1"/>
    <col min="8690" max="8690" width="19.140625" style="331" customWidth="1"/>
    <col min="8691" max="8692" width="21.42578125" style="331" customWidth="1"/>
    <col min="8693" max="8693" width="20.42578125" style="331" customWidth="1"/>
    <col min="8694" max="8695" width="26.42578125" style="331" customWidth="1"/>
    <col min="8696" max="8699" width="16.140625" style="331" customWidth="1"/>
    <col min="8700" max="8939" width="10" style="331"/>
    <col min="8940" max="8940" width="21.42578125" style="331" customWidth="1"/>
    <col min="8941" max="8941" width="26.42578125" style="331" customWidth="1"/>
    <col min="8942" max="8942" width="14.42578125" style="331" customWidth="1"/>
    <col min="8943" max="8943" width="11" style="331" customWidth="1"/>
    <col min="8944" max="8944" width="19.140625" style="331" customWidth="1"/>
    <col min="8945" max="8945" width="26.42578125" style="331" customWidth="1"/>
    <col min="8946" max="8946" width="19.140625" style="331" customWidth="1"/>
    <col min="8947" max="8948" width="21.42578125" style="331" customWidth="1"/>
    <col min="8949" max="8949" width="20.42578125" style="331" customWidth="1"/>
    <col min="8950" max="8951" width="26.42578125" style="331" customWidth="1"/>
    <col min="8952" max="8955" width="16.140625" style="331" customWidth="1"/>
    <col min="8956" max="9195" width="10" style="331"/>
    <col min="9196" max="9196" width="21.42578125" style="331" customWidth="1"/>
    <col min="9197" max="9197" width="26.42578125" style="331" customWidth="1"/>
    <col min="9198" max="9198" width="14.42578125" style="331" customWidth="1"/>
    <col min="9199" max="9199" width="11" style="331" customWidth="1"/>
    <col min="9200" max="9200" width="19.140625" style="331" customWidth="1"/>
    <col min="9201" max="9201" width="26.42578125" style="331" customWidth="1"/>
    <col min="9202" max="9202" width="19.140625" style="331" customWidth="1"/>
    <col min="9203" max="9204" width="21.42578125" style="331" customWidth="1"/>
    <col min="9205" max="9205" width="20.42578125" style="331" customWidth="1"/>
    <col min="9206" max="9207" width="26.42578125" style="331" customWidth="1"/>
    <col min="9208" max="9211" width="16.140625" style="331" customWidth="1"/>
    <col min="9212" max="9451" width="10" style="331"/>
    <col min="9452" max="9452" width="21.42578125" style="331" customWidth="1"/>
    <col min="9453" max="9453" width="26.42578125" style="331" customWidth="1"/>
    <col min="9454" max="9454" width="14.42578125" style="331" customWidth="1"/>
    <col min="9455" max="9455" width="11" style="331" customWidth="1"/>
    <col min="9456" max="9456" width="19.140625" style="331" customWidth="1"/>
    <col min="9457" max="9457" width="26.42578125" style="331" customWidth="1"/>
    <col min="9458" max="9458" width="19.140625" style="331" customWidth="1"/>
    <col min="9459" max="9460" width="21.42578125" style="331" customWidth="1"/>
    <col min="9461" max="9461" width="20.42578125" style="331" customWidth="1"/>
    <col min="9462" max="9463" width="26.42578125" style="331" customWidth="1"/>
    <col min="9464" max="9467" width="16.140625" style="331" customWidth="1"/>
    <col min="9468" max="9707" width="10" style="331"/>
    <col min="9708" max="9708" width="21.42578125" style="331" customWidth="1"/>
    <col min="9709" max="9709" width="26.42578125" style="331" customWidth="1"/>
    <col min="9710" max="9710" width="14.42578125" style="331" customWidth="1"/>
    <col min="9711" max="9711" width="11" style="331" customWidth="1"/>
    <col min="9712" max="9712" width="19.140625" style="331" customWidth="1"/>
    <col min="9713" max="9713" width="26.42578125" style="331" customWidth="1"/>
    <col min="9714" max="9714" width="19.140625" style="331" customWidth="1"/>
    <col min="9715" max="9716" width="21.42578125" style="331" customWidth="1"/>
    <col min="9717" max="9717" width="20.42578125" style="331" customWidth="1"/>
    <col min="9718" max="9719" width="26.42578125" style="331" customWidth="1"/>
    <col min="9720" max="9723" width="16.140625" style="331" customWidth="1"/>
    <col min="9724" max="9963" width="10" style="331"/>
    <col min="9964" max="9964" width="21.42578125" style="331" customWidth="1"/>
    <col min="9965" max="9965" width="26.42578125" style="331" customWidth="1"/>
    <col min="9966" max="9966" width="14.42578125" style="331" customWidth="1"/>
    <col min="9967" max="9967" width="11" style="331" customWidth="1"/>
    <col min="9968" max="9968" width="19.140625" style="331" customWidth="1"/>
    <col min="9969" max="9969" width="26.42578125" style="331" customWidth="1"/>
    <col min="9970" max="9970" width="19.140625" style="331" customWidth="1"/>
    <col min="9971" max="9972" width="21.42578125" style="331" customWidth="1"/>
    <col min="9973" max="9973" width="20.42578125" style="331" customWidth="1"/>
    <col min="9974" max="9975" width="26.42578125" style="331" customWidth="1"/>
    <col min="9976" max="9979" width="16.140625" style="331" customWidth="1"/>
    <col min="9980" max="10219" width="10" style="331"/>
    <col min="10220" max="10220" width="21.42578125" style="331" customWidth="1"/>
    <col min="10221" max="10221" width="26.42578125" style="331" customWidth="1"/>
    <col min="10222" max="10222" width="14.42578125" style="331" customWidth="1"/>
    <col min="10223" max="10223" width="11" style="331" customWidth="1"/>
    <col min="10224" max="10224" width="19.140625" style="331" customWidth="1"/>
    <col min="10225" max="10225" width="26.42578125" style="331" customWidth="1"/>
    <col min="10226" max="10226" width="19.140625" style="331" customWidth="1"/>
    <col min="10227" max="10228" width="21.42578125" style="331" customWidth="1"/>
    <col min="10229" max="10229" width="20.42578125" style="331" customWidth="1"/>
    <col min="10230" max="10231" width="26.42578125" style="331" customWidth="1"/>
    <col min="10232" max="10235" width="16.140625" style="331" customWidth="1"/>
    <col min="10236" max="10475" width="10" style="331"/>
    <col min="10476" max="10476" width="21.42578125" style="331" customWidth="1"/>
    <col min="10477" max="10477" width="26.42578125" style="331" customWidth="1"/>
    <col min="10478" max="10478" width="14.42578125" style="331" customWidth="1"/>
    <col min="10479" max="10479" width="11" style="331" customWidth="1"/>
    <col min="10480" max="10480" width="19.140625" style="331" customWidth="1"/>
    <col min="10481" max="10481" width="26.42578125" style="331" customWidth="1"/>
    <col min="10482" max="10482" width="19.140625" style="331" customWidth="1"/>
    <col min="10483" max="10484" width="21.42578125" style="331" customWidth="1"/>
    <col min="10485" max="10485" width="20.42578125" style="331" customWidth="1"/>
    <col min="10486" max="10487" width="26.42578125" style="331" customWidth="1"/>
    <col min="10488" max="10491" width="16.140625" style="331" customWidth="1"/>
    <col min="10492" max="10731" width="10" style="331"/>
    <col min="10732" max="10732" width="21.42578125" style="331" customWidth="1"/>
    <col min="10733" max="10733" width="26.42578125" style="331" customWidth="1"/>
    <col min="10734" max="10734" width="14.42578125" style="331" customWidth="1"/>
    <col min="10735" max="10735" width="11" style="331" customWidth="1"/>
    <col min="10736" max="10736" width="19.140625" style="331" customWidth="1"/>
    <col min="10737" max="10737" width="26.42578125" style="331" customWidth="1"/>
    <col min="10738" max="10738" width="19.140625" style="331" customWidth="1"/>
    <col min="10739" max="10740" width="21.42578125" style="331" customWidth="1"/>
    <col min="10741" max="10741" width="20.42578125" style="331" customWidth="1"/>
    <col min="10742" max="10743" width="26.42578125" style="331" customWidth="1"/>
    <col min="10744" max="10747" width="16.140625" style="331" customWidth="1"/>
    <col min="10748" max="10987" width="10" style="331"/>
    <col min="10988" max="10988" width="21.42578125" style="331" customWidth="1"/>
    <col min="10989" max="10989" width="26.42578125" style="331" customWidth="1"/>
    <col min="10990" max="10990" width="14.42578125" style="331" customWidth="1"/>
    <col min="10991" max="10991" width="11" style="331" customWidth="1"/>
    <col min="10992" max="10992" width="19.140625" style="331" customWidth="1"/>
    <col min="10993" max="10993" width="26.42578125" style="331" customWidth="1"/>
    <col min="10994" max="10994" width="19.140625" style="331" customWidth="1"/>
    <col min="10995" max="10996" width="21.42578125" style="331" customWidth="1"/>
    <col min="10997" max="10997" width="20.42578125" style="331" customWidth="1"/>
    <col min="10998" max="10999" width="26.42578125" style="331" customWidth="1"/>
    <col min="11000" max="11003" width="16.140625" style="331" customWidth="1"/>
    <col min="11004" max="11243" width="10" style="331"/>
    <col min="11244" max="11244" width="21.42578125" style="331" customWidth="1"/>
    <col min="11245" max="11245" width="26.42578125" style="331" customWidth="1"/>
    <col min="11246" max="11246" width="14.42578125" style="331" customWidth="1"/>
    <col min="11247" max="11247" width="11" style="331" customWidth="1"/>
    <col min="11248" max="11248" width="19.140625" style="331" customWidth="1"/>
    <col min="11249" max="11249" width="26.42578125" style="331" customWidth="1"/>
    <col min="11250" max="11250" width="19.140625" style="331" customWidth="1"/>
    <col min="11251" max="11252" width="21.42578125" style="331" customWidth="1"/>
    <col min="11253" max="11253" width="20.42578125" style="331" customWidth="1"/>
    <col min="11254" max="11255" width="26.42578125" style="331" customWidth="1"/>
    <col min="11256" max="11259" width="16.140625" style="331" customWidth="1"/>
    <col min="11260" max="11499" width="10" style="331"/>
    <col min="11500" max="11500" width="21.42578125" style="331" customWidth="1"/>
    <col min="11501" max="11501" width="26.42578125" style="331" customWidth="1"/>
    <col min="11502" max="11502" width="14.42578125" style="331" customWidth="1"/>
    <col min="11503" max="11503" width="11" style="331" customWidth="1"/>
    <col min="11504" max="11504" width="19.140625" style="331" customWidth="1"/>
    <col min="11505" max="11505" width="26.42578125" style="331" customWidth="1"/>
    <col min="11506" max="11506" width="19.140625" style="331" customWidth="1"/>
    <col min="11507" max="11508" width="21.42578125" style="331" customWidth="1"/>
    <col min="11509" max="11509" width="20.42578125" style="331" customWidth="1"/>
    <col min="11510" max="11511" width="26.42578125" style="331" customWidth="1"/>
    <col min="11512" max="11515" width="16.140625" style="331" customWidth="1"/>
    <col min="11516" max="11755" width="10" style="331"/>
    <col min="11756" max="11756" width="21.42578125" style="331" customWidth="1"/>
    <col min="11757" max="11757" width="26.42578125" style="331" customWidth="1"/>
    <col min="11758" max="11758" width="14.42578125" style="331" customWidth="1"/>
    <col min="11759" max="11759" width="11" style="331" customWidth="1"/>
    <col min="11760" max="11760" width="19.140625" style="331" customWidth="1"/>
    <col min="11761" max="11761" width="26.42578125" style="331" customWidth="1"/>
    <col min="11762" max="11762" width="19.140625" style="331" customWidth="1"/>
    <col min="11763" max="11764" width="21.42578125" style="331" customWidth="1"/>
    <col min="11765" max="11765" width="20.42578125" style="331" customWidth="1"/>
    <col min="11766" max="11767" width="26.42578125" style="331" customWidth="1"/>
    <col min="11768" max="11771" width="16.140625" style="331" customWidth="1"/>
    <col min="11772" max="12011" width="10" style="331"/>
    <col min="12012" max="12012" width="21.42578125" style="331" customWidth="1"/>
    <col min="12013" max="12013" width="26.42578125" style="331" customWidth="1"/>
    <col min="12014" max="12014" width="14.42578125" style="331" customWidth="1"/>
    <col min="12015" max="12015" width="11" style="331" customWidth="1"/>
    <col min="12016" max="12016" width="19.140625" style="331" customWidth="1"/>
    <col min="12017" max="12017" width="26.42578125" style="331" customWidth="1"/>
    <col min="12018" max="12018" width="19.140625" style="331" customWidth="1"/>
    <col min="12019" max="12020" width="21.42578125" style="331" customWidth="1"/>
    <col min="12021" max="12021" width="20.42578125" style="331" customWidth="1"/>
    <col min="12022" max="12023" width="26.42578125" style="331" customWidth="1"/>
    <col min="12024" max="12027" width="16.140625" style="331" customWidth="1"/>
    <col min="12028" max="12267" width="10" style="331"/>
    <col min="12268" max="12268" width="21.42578125" style="331" customWidth="1"/>
    <col min="12269" max="12269" width="26.42578125" style="331" customWidth="1"/>
    <col min="12270" max="12270" width="14.42578125" style="331" customWidth="1"/>
    <col min="12271" max="12271" width="11" style="331" customWidth="1"/>
    <col min="12272" max="12272" width="19.140625" style="331" customWidth="1"/>
    <col min="12273" max="12273" width="26.42578125" style="331" customWidth="1"/>
    <col min="12274" max="12274" width="19.140625" style="331" customWidth="1"/>
    <col min="12275" max="12276" width="21.42578125" style="331" customWidth="1"/>
    <col min="12277" max="12277" width="20.42578125" style="331" customWidth="1"/>
    <col min="12278" max="12279" width="26.42578125" style="331" customWidth="1"/>
    <col min="12280" max="12283" width="16.140625" style="331" customWidth="1"/>
    <col min="12284" max="12523" width="10" style="331"/>
    <col min="12524" max="12524" width="21.42578125" style="331" customWidth="1"/>
    <col min="12525" max="12525" width="26.42578125" style="331" customWidth="1"/>
    <col min="12526" max="12526" width="14.42578125" style="331" customWidth="1"/>
    <col min="12527" max="12527" width="11" style="331" customWidth="1"/>
    <col min="12528" max="12528" width="19.140625" style="331" customWidth="1"/>
    <col min="12529" max="12529" width="26.42578125" style="331" customWidth="1"/>
    <col min="12530" max="12530" width="19.140625" style="331" customWidth="1"/>
    <col min="12531" max="12532" width="21.42578125" style="331" customWidth="1"/>
    <col min="12533" max="12533" width="20.42578125" style="331" customWidth="1"/>
    <col min="12534" max="12535" width="26.42578125" style="331" customWidth="1"/>
    <col min="12536" max="12539" width="16.140625" style="331" customWidth="1"/>
    <col min="12540" max="12779" width="10" style="331"/>
    <col min="12780" max="12780" width="21.42578125" style="331" customWidth="1"/>
    <col min="12781" max="12781" width="26.42578125" style="331" customWidth="1"/>
    <col min="12782" max="12782" width="14.42578125" style="331" customWidth="1"/>
    <col min="12783" max="12783" width="11" style="331" customWidth="1"/>
    <col min="12784" max="12784" width="19.140625" style="331" customWidth="1"/>
    <col min="12785" max="12785" width="26.42578125" style="331" customWidth="1"/>
    <col min="12786" max="12786" width="19.140625" style="331" customWidth="1"/>
    <col min="12787" max="12788" width="21.42578125" style="331" customWidth="1"/>
    <col min="12789" max="12789" width="20.42578125" style="331" customWidth="1"/>
    <col min="12790" max="12791" width="26.42578125" style="331" customWidth="1"/>
    <col min="12792" max="12795" width="16.140625" style="331" customWidth="1"/>
    <col min="12796" max="13035" width="10" style="331"/>
    <col min="13036" max="13036" width="21.42578125" style="331" customWidth="1"/>
    <col min="13037" max="13037" width="26.42578125" style="331" customWidth="1"/>
    <col min="13038" max="13038" width="14.42578125" style="331" customWidth="1"/>
    <col min="13039" max="13039" width="11" style="331" customWidth="1"/>
    <col min="13040" max="13040" width="19.140625" style="331" customWidth="1"/>
    <col min="13041" max="13041" width="26.42578125" style="331" customWidth="1"/>
    <col min="13042" max="13042" width="19.140625" style="331" customWidth="1"/>
    <col min="13043" max="13044" width="21.42578125" style="331" customWidth="1"/>
    <col min="13045" max="13045" width="20.42578125" style="331" customWidth="1"/>
    <col min="13046" max="13047" width="26.42578125" style="331" customWidth="1"/>
    <col min="13048" max="13051" width="16.140625" style="331" customWidth="1"/>
    <col min="13052" max="13291" width="10" style="331"/>
    <col min="13292" max="13292" width="21.42578125" style="331" customWidth="1"/>
    <col min="13293" max="13293" width="26.42578125" style="331" customWidth="1"/>
    <col min="13294" max="13294" width="14.42578125" style="331" customWidth="1"/>
    <col min="13295" max="13295" width="11" style="331" customWidth="1"/>
    <col min="13296" max="13296" width="19.140625" style="331" customWidth="1"/>
    <col min="13297" max="13297" width="26.42578125" style="331" customWidth="1"/>
    <col min="13298" max="13298" width="19.140625" style="331" customWidth="1"/>
    <col min="13299" max="13300" width="21.42578125" style="331" customWidth="1"/>
    <col min="13301" max="13301" width="20.42578125" style="331" customWidth="1"/>
    <col min="13302" max="13303" width="26.42578125" style="331" customWidth="1"/>
    <col min="13304" max="13307" width="16.140625" style="331" customWidth="1"/>
    <col min="13308" max="13547" width="10" style="331"/>
    <col min="13548" max="13548" width="21.42578125" style="331" customWidth="1"/>
    <col min="13549" max="13549" width="26.42578125" style="331" customWidth="1"/>
    <col min="13550" max="13550" width="14.42578125" style="331" customWidth="1"/>
    <col min="13551" max="13551" width="11" style="331" customWidth="1"/>
    <col min="13552" max="13552" width="19.140625" style="331" customWidth="1"/>
    <col min="13553" max="13553" width="26.42578125" style="331" customWidth="1"/>
    <col min="13554" max="13554" width="19.140625" style="331" customWidth="1"/>
    <col min="13555" max="13556" width="21.42578125" style="331" customWidth="1"/>
    <col min="13557" max="13557" width="20.42578125" style="331" customWidth="1"/>
    <col min="13558" max="13559" width="26.42578125" style="331" customWidth="1"/>
    <col min="13560" max="13563" width="16.140625" style="331" customWidth="1"/>
    <col min="13564" max="13803" width="10" style="331"/>
    <col min="13804" max="13804" width="21.42578125" style="331" customWidth="1"/>
    <col min="13805" max="13805" width="26.42578125" style="331" customWidth="1"/>
    <col min="13806" max="13806" width="14.42578125" style="331" customWidth="1"/>
    <col min="13807" max="13807" width="11" style="331" customWidth="1"/>
    <col min="13808" max="13808" width="19.140625" style="331" customWidth="1"/>
    <col min="13809" max="13809" width="26.42578125" style="331" customWidth="1"/>
    <col min="13810" max="13810" width="19.140625" style="331" customWidth="1"/>
    <col min="13811" max="13812" width="21.42578125" style="331" customWidth="1"/>
    <col min="13813" max="13813" width="20.42578125" style="331" customWidth="1"/>
    <col min="13814" max="13815" width="26.42578125" style="331" customWidth="1"/>
    <col min="13816" max="13819" width="16.140625" style="331" customWidth="1"/>
    <col min="13820" max="14059" width="10" style="331"/>
    <col min="14060" max="14060" width="21.42578125" style="331" customWidth="1"/>
    <col min="14061" max="14061" width="26.42578125" style="331" customWidth="1"/>
    <col min="14062" max="14062" width="14.42578125" style="331" customWidth="1"/>
    <col min="14063" max="14063" width="11" style="331" customWidth="1"/>
    <col min="14064" max="14064" width="19.140625" style="331" customWidth="1"/>
    <col min="14065" max="14065" width="26.42578125" style="331" customWidth="1"/>
    <col min="14066" max="14066" width="19.140625" style="331" customWidth="1"/>
    <col min="14067" max="14068" width="21.42578125" style="331" customWidth="1"/>
    <col min="14069" max="14069" width="20.42578125" style="331" customWidth="1"/>
    <col min="14070" max="14071" width="26.42578125" style="331" customWidth="1"/>
    <col min="14072" max="14075" width="16.140625" style="331" customWidth="1"/>
    <col min="14076" max="14315" width="10" style="331"/>
    <col min="14316" max="14316" width="21.42578125" style="331" customWidth="1"/>
    <col min="14317" max="14317" width="26.42578125" style="331" customWidth="1"/>
    <col min="14318" max="14318" width="14.42578125" style="331" customWidth="1"/>
    <col min="14319" max="14319" width="11" style="331" customWidth="1"/>
    <col min="14320" max="14320" width="19.140625" style="331" customWidth="1"/>
    <col min="14321" max="14321" width="26.42578125" style="331" customWidth="1"/>
    <col min="14322" max="14322" width="19.140625" style="331" customWidth="1"/>
    <col min="14323" max="14324" width="21.42578125" style="331" customWidth="1"/>
    <col min="14325" max="14325" width="20.42578125" style="331" customWidth="1"/>
    <col min="14326" max="14327" width="26.42578125" style="331" customWidth="1"/>
    <col min="14328" max="14331" width="16.140625" style="331" customWidth="1"/>
    <col min="14332" max="14571" width="10" style="331"/>
    <col min="14572" max="14572" width="21.42578125" style="331" customWidth="1"/>
    <col min="14573" max="14573" width="26.42578125" style="331" customWidth="1"/>
    <col min="14574" max="14574" width="14.42578125" style="331" customWidth="1"/>
    <col min="14575" max="14575" width="11" style="331" customWidth="1"/>
    <col min="14576" max="14576" width="19.140625" style="331" customWidth="1"/>
    <col min="14577" max="14577" width="26.42578125" style="331" customWidth="1"/>
    <col min="14578" max="14578" width="19.140625" style="331" customWidth="1"/>
    <col min="14579" max="14580" width="21.42578125" style="331" customWidth="1"/>
    <col min="14581" max="14581" width="20.42578125" style="331" customWidth="1"/>
    <col min="14582" max="14583" width="26.42578125" style="331" customWidth="1"/>
    <col min="14584" max="14587" width="16.140625" style="331" customWidth="1"/>
    <col min="14588" max="14827" width="10" style="331"/>
    <col min="14828" max="14828" width="21.42578125" style="331" customWidth="1"/>
    <col min="14829" max="14829" width="26.42578125" style="331" customWidth="1"/>
    <col min="14830" max="14830" width="14.42578125" style="331" customWidth="1"/>
    <col min="14831" max="14831" width="11" style="331" customWidth="1"/>
    <col min="14832" max="14832" width="19.140625" style="331" customWidth="1"/>
    <col min="14833" max="14833" width="26.42578125" style="331" customWidth="1"/>
    <col min="14834" max="14834" width="19.140625" style="331" customWidth="1"/>
    <col min="14835" max="14836" width="21.42578125" style="331" customWidth="1"/>
    <col min="14837" max="14837" width="20.42578125" style="331" customWidth="1"/>
    <col min="14838" max="14839" width="26.42578125" style="331" customWidth="1"/>
    <col min="14840" max="14843" width="16.140625" style="331" customWidth="1"/>
    <col min="14844" max="15083" width="10" style="331"/>
    <col min="15084" max="15084" width="21.42578125" style="331" customWidth="1"/>
    <col min="15085" max="15085" width="26.42578125" style="331" customWidth="1"/>
    <col min="15086" max="15086" width="14.42578125" style="331" customWidth="1"/>
    <col min="15087" max="15087" width="11" style="331" customWidth="1"/>
    <col min="15088" max="15088" width="19.140625" style="331" customWidth="1"/>
    <col min="15089" max="15089" width="26.42578125" style="331" customWidth="1"/>
    <col min="15090" max="15090" width="19.140625" style="331" customWidth="1"/>
    <col min="15091" max="15092" width="21.42578125" style="331" customWidth="1"/>
    <col min="15093" max="15093" width="20.42578125" style="331" customWidth="1"/>
    <col min="15094" max="15095" width="26.42578125" style="331" customWidth="1"/>
    <col min="15096" max="15099" width="16.140625" style="331" customWidth="1"/>
    <col min="15100" max="15339" width="10" style="331"/>
    <col min="15340" max="15340" width="21.42578125" style="331" customWidth="1"/>
    <col min="15341" max="15341" width="26.42578125" style="331" customWidth="1"/>
    <col min="15342" max="15342" width="14.42578125" style="331" customWidth="1"/>
    <col min="15343" max="15343" width="11" style="331" customWidth="1"/>
    <col min="15344" max="15344" width="19.140625" style="331" customWidth="1"/>
    <col min="15345" max="15345" width="26.42578125" style="331" customWidth="1"/>
    <col min="15346" max="15346" width="19.140625" style="331" customWidth="1"/>
    <col min="15347" max="15348" width="21.42578125" style="331" customWidth="1"/>
    <col min="15349" max="15349" width="20.42578125" style="331" customWidth="1"/>
    <col min="15350" max="15351" width="26.42578125" style="331" customWidth="1"/>
    <col min="15352" max="15355" width="16.140625" style="331" customWidth="1"/>
    <col min="15356" max="15595" width="10" style="331"/>
    <col min="15596" max="15596" width="21.42578125" style="331" customWidth="1"/>
    <col min="15597" max="15597" width="26.42578125" style="331" customWidth="1"/>
    <col min="15598" max="15598" width="14.42578125" style="331" customWidth="1"/>
    <col min="15599" max="15599" width="11" style="331" customWidth="1"/>
    <col min="15600" max="15600" width="19.140625" style="331" customWidth="1"/>
    <col min="15601" max="15601" width="26.42578125" style="331" customWidth="1"/>
    <col min="15602" max="15602" width="19.140625" style="331" customWidth="1"/>
    <col min="15603" max="15604" width="21.42578125" style="331" customWidth="1"/>
    <col min="15605" max="15605" width="20.42578125" style="331" customWidth="1"/>
    <col min="15606" max="15607" width="26.42578125" style="331" customWidth="1"/>
    <col min="15608" max="15611" width="16.140625" style="331" customWidth="1"/>
    <col min="15612" max="15851" width="10" style="331"/>
    <col min="15852" max="15852" width="21.42578125" style="331" customWidth="1"/>
    <col min="15853" max="15853" width="26.42578125" style="331" customWidth="1"/>
    <col min="15854" max="15854" width="14.42578125" style="331" customWidth="1"/>
    <col min="15855" max="15855" width="11" style="331" customWidth="1"/>
    <col min="15856" max="15856" width="19.140625" style="331" customWidth="1"/>
    <col min="15857" max="15857" width="26.42578125" style="331" customWidth="1"/>
    <col min="15858" max="15858" width="19.140625" style="331" customWidth="1"/>
    <col min="15859" max="15860" width="21.42578125" style="331" customWidth="1"/>
    <col min="15861" max="15861" width="20.42578125" style="331" customWidth="1"/>
    <col min="15862" max="15863" width="26.42578125" style="331" customWidth="1"/>
    <col min="15864" max="15867" width="16.140625" style="331" customWidth="1"/>
    <col min="15868" max="16107" width="10" style="331"/>
    <col min="16108" max="16108" width="21.42578125" style="331" customWidth="1"/>
    <col min="16109" max="16109" width="26.42578125" style="331" customWidth="1"/>
    <col min="16110" max="16110" width="14.42578125" style="331" customWidth="1"/>
    <col min="16111" max="16111" width="11" style="331" customWidth="1"/>
    <col min="16112" max="16112" width="19.140625" style="331" customWidth="1"/>
    <col min="16113" max="16113" width="26.42578125" style="331" customWidth="1"/>
    <col min="16114" max="16114" width="19.140625" style="331" customWidth="1"/>
    <col min="16115" max="16116" width="21.42578125" style="331" customWidth="1"/>
    <col min="16117" max="16117" width="20.42578125" style="331" customWidth="1"/>
    <col min="16118" max="16119" width="26.42578125" style="331" customWidth="1"/>
    <col min="16120" max="16123" width="16.140625" style="331" customWidth="1"/>
    <col min="16124" max="16384" width="10" style="331"/>
  </cols>
  <sheetData>
    <row r="1" spans="1:42" ht="4.3499999999999996" customHeight="1" x14ac:dyDescent="0.5">
      <c r="A1" s="329"/>
      <c r="B1" s="329"/>
      <c r="C1" s="330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9"/>
      <c r="R1" s="9"/>
      <c r="S1" s="329"/>
      <c r="T1" s="329"/>
    </row>
    <row r="2" spans="1:42" ht="4.3499999999999996" customHeight="1" thickBot="1" x14ac:dyDescent="0.55000000000000004">
      <c r="A2" s="329"/>
      <c r="B2" s="329"/>
      <c r="C2" s="330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9"/>
      <c r="R2" s="9"/>
      <c r="S2" s="329"/>
      <c r="T2" s="329"/>
    </row>
    <row r="3" spans="1:42" ht="25.35" customHeight="1" thickBot="1" x14ac:dyDescent="0.55000000000000004">
      <c r="A3" s="329"/>
      <c r="B3" s="329"/>
      <c r="C3" s="6" t="str">
        <f>"PROPERTY TAX INFORMATION ("&amp;$T$3&amp;")"</f>
        <v>PROPERTY TAX INFORMATION (2025)</v>
      </c>
      <c r="D3" s="3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33" t="str">
        <f>'Exec Summ'!F6</f>
        <v>Hudson View Park</v>
      </c>
      <c r="Q3" s="9"/>
      <c r="R3" s="9"/>
      <c r="S3" s="334" t="s">
        <v>70</v>
      </c>
      <c r="T3" s="335">
        <v>2025</v>
      </c>
    </row>
    <row r="4" spans="1:42" ht="20.100000000000001" customHeight="1" thickTop="1" x14ac:dyDescent="0.5">
      <c r="A4" s="329"/>
      <c r="B4" s="329"/>
      <c r="C4" s="330"/>
      <c r="D4" s="894" t="s">
        <v>1839</v>
      </c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9"/>
      <c r="R4" s="9"/>
      <c r="S4" s="9"/>
      <c r="T4" s="9"/>
    </row>
    <row r="5" spans="1:42" ht="25.35" customHeight="1" x14ac:dyDescent="0.25">
      <c r="A5" s="337"/>
      <c r="B5" s="337"/>
      <c r="C5" s="338"/>
      <c r="D5" s="339" t="s">
        <v>23</v>
      </c>
      <c r="E5" s="339" t="s">
        <v>71</v>
      </c>
      <c r="F5" s="339" t="s">
        <v>72</v>
      </c>
      <c r="G5" s="339" t="s">
        <v>73</v>
      </c>
      <c r="H5" s="340" t="s">
        <v>60</v>
      </c>
      <c r="I5" s="340" t="s">
        <v>74</v>
      </c>
      <c r="J5" s="340" t="s">
        <v>47</v>
      </c>
      <c r="K5" s="340" t="s">
        <v>75</v>
      </c>
      <c r="L5" s="340" t="s">
        <v>76</v>
      </c>
      <c r="M5" s="340" t="s">
        <v>77</v>
      </c>
      <c r="N5" s="340" t="s">
        <v>87</v>
      </c>
      <c r="O5" s="340" t="s">
        <v>78</v>
      </c>
      <c r="P5" s="341" t="s">
        <v>79</v>
      </c>
      <c r="Q5" s="342"/>
      <c r="R5" s="343"/>
      <c r="S5" s="344" t="s">
        <v>209</v>
      </c>
      <c r="T5" s="344" t="s">
        <v>208</v>
      </c>
    </row>
    <row r="6" spans="1:42" ht="25.35" customHeight="1" x14ac:dyDescent="0.5">
      <c r="A6" s="345"/>
      <c r="B6" s="345"/>
      <c r="C6" s="346"/>
      <c r="D6" s="860">
        <f>D25</f>
        <v>0</v>
      </c>
      <c r="E6" s="860">
        <f t="shared" ref="E6:N6" si="0">E25</f>
        <v>0</v>
      </c>
      <c r="F6" s="860">
        <f t="shared" si="0"/>
        <v>0</v>
      </c>
      <c r="G6" s="861">
        <f t="shared" si="0"/>
        <v>0</v>
      </c>
      <c r="H6" s="862">
        <f t="shared" si="0"/>
        <v>0</v>
      </c>
      <c r="I6" s="863">
        <f t="shared" si="0"/>
        <v>0</v>
      </c>
      <c r="J6" s="862">
        <f t="shared" si="0"/>
        <v>0</v>
      </c>
      <c r="K6" s="606">
        <f t="shared" si="0"/>
        <v>0</v>
      </c>
      <c r="L6" s="606">
        <f t="shared" si="0"/>
        <v>0</v>
      </c>
      <c r="M6" s="348">
        <f>SUM(K6:L6)</f>
        <v>0</v>
      </c>
      <c r="N6" s="614">
        <f t="shared" si="0"/>
        <v>0</v>
      </c>
      <c r="O6" s="350" t="e">
        <f>N6/M6</f>
        <v>#DIV/0!</v>
      </c>
      <c r="P6" s="351"/>
      <c r="Q6" s="352"/>
      <c r="R6" s="353"/>
      <c r="S6" s="424"/>
      <c r="T6" s="354" t="str">
        <f>$P$22</f>
        <v>Hudson View Park</v>
      </c>
    </row>
    <row r="7" spans="1:42" ht="25.35" customHeight="1" x14ac:dyDescent="0.5">
      <c r="A7" s="345"/>
      <c r="B7" s="345"/>
      <c r="C7" s="346"/>
      <c r="D7" s="860">
        <f>D26</f>
        <v>0</v>
      </c>
      <c r="E7" s="860">
        <f t="shared" ref="E7:N7" si="1">E26</f>
        <v>0</v>
      </c>
      <c r="F7" s="860">
        <f t="shared" si="1"/>
        <v>0</v>
      </c>
      <c r="G7" s="861">
        <f t="shared" si="1"/>
        <v>0</v>
      </c>
      <c r="H7" s="862">
        <f t="shared" si="1"/>
        <v>0</v>
      </c>
      <c r="I7" s="863">
        <f t="shared" si="1"/>
        <v>0</v>
      </c>
      <c r="J7" s="862">
        <f t="shared" si="1"/>
        <v>0</v>
      </c>
      <c r="K7" s="606">
        <f t="shared" si="1"/>
        <v>0</v>
      </c>
      <c r="L7" s="606">
        <f t="shared" si="1"/>
        <v>0</v>
      </c>
      <c r="M7" s="348">
        <f>SUM(K7:L7)</f>
        <v>0</v>
      </c>
      <c r="N7" s="614">
        <f t="shared" si="1"/>
        <v>0</v>
      </c>
      <c r="O7" s="350" t="e">
        <f>N7/M7</f>
        <v>#DIV/0!</v>
      </c>
      <c r="P7" s="351"/>
      <c r="Q7" s="352"/>
      <c r="R7" s="353"/>
      <c r="S7" s="424"/>
      <c r="T7" s="354" t="str">
        <f>$P$22</f>
        <v>Hudson View Park</v>
      </c>
    </row>
    <row r="8" spans="1:42" ht="25.35" customHeight="1" x14ac:dyDescent="0.25">
      <c r="A8" s="355"/>
      <c r="B8" s="355"/>
      <c r="C8" s="356"/>
      <c r="D8" s="357" t="s">
        <v>81</v>
      </c>
      <c r="E8" s="357"/>
      <c r="F8" s="357"/>
      <c r="G8" s="357"/>
      <c r="H8" s="358"/>
      <c r="I8" s="359">
        <f>SUM(I6:I7)</f>
        <v>0</v>
      </c>
      <c r="J8" s="360"/>
      <c r="K8" s="361">
        <f>SUM(K6:K7)</f>
        <v>0</v>
      </c>
      <c r="L8" s="361">
        <f>SUM(L6:L7)</f>
        <v>0</v>
      </c>
      <c r="M8" s="361">
        <f>SUM(M6:M7)</f>
        <v>0</v>
      </c>
      <c r="N8" s="361">
        <f>SUM(N6:N7)</f>
        <v>0</v>
      </c>
      <c r="O8" s="362" t="str">
        <f>IFERROR(N8/M8,"n/a")</f>
        <v>n/a</v>
      </c>
      <c r="P8" s="363"/>
      <c r="Q8" s="364"/>
      <c r="R8" s="365"/>
      <c r="S8" s="365"/>
      <c r="T8" s="365"/>
      <c r="U8" s="365"/>
      <c r="X8" s="365"/>
      <c r="Y8" s="365"/>
      <c r="Z8" s="365"/>
    </row>
    <row r="9" spans="1:42" ht="10.35" customHeight="1" x14ac:dyDescent="0.25">
      <c r="A9" s="355"/>
      <c r="B9" s="355"/>
      <c r="C9" s="366"/>
      <c r="D9" s="367"/>
      <c r="E9" s="367"/>
      <c r="F9" s="367"/>
      <c r="G9" s="367"/>
      <c r="H9" s="367"/>
      <c r="I9" s="367"/>
      <c r="J9" s="367"/>
      <c r="K9" s="367"/>
      <c r="L9" s="367"/>
      <c r="M9" s="368"/>
      <c r="N9" s="368"/>
      <c r="O9" s="369"/>
      <c r="P9" s="370"/>
      <c r="Q9" s="364"/>
    </row>
    <row r="10" spans="1:42" ht="20.100000000000001" customHeight="1" x14ac:dyDescent="0.5">
      <c r="A10" s="329"/>
      <c r="B10" s="329"/>
      <c r="C10" s="330"/>
      <c r="D10" s="371" t="s">
        <v>82</v>
      </c>
      <c r="E10" s="372"/>
      <c r="F10" s="372"/>
      <c r="G10" s="373"/>
      <c r="H10" s="371" t="s">
        <v>83</v>
      </c>
      <c r="I10" s="425"/>
      <c r="J10" s="425"/>
      <c r="K10" s="893" t="s">
        <v>1838</v>
      </c>
      <c r="L10" s="373"/>
      <c r="M10" s="371" t="s">
        <v>84</v>
      </c>
      <c r="N10" s="374"/>
      <c r="O10" s="374"/>
      <c r="P10" s="374"/>
      <c r="Q10" s="336"/>
      <c r="S10" s="375"/>
      <c r="X10" s="376"/>
      <c r="AC10" s="376"/>
      <c r="AG10" s="377"/>
      <c r="AH10" s="376"/>
      <c r="AM10" s="376"/>
    </row>
    <row r="11" spans="1:42" ht="20.100000000000001" customHeight="1" x14ac:dyDescent="0.5">
      <c r="A11" s="329"/>
      <c r="B11" s="329"/>
      <c r="C11" s="330"/>
      <c r="D11" s="378" t="s">
        <v>13</v>
      </c>
      <c r="E11" s="379"/>
      <c r="F11" s="380" t="e">
        <f>'Exec Summ'!G19</f>
        <v>#DIV/0!</v>
      </c>
      <c r="G11" s="379"/>
      <c r="H11" s="381" t="s">
        <v>85</v>
      </c>
      <c r="I11" s="382"/>
      <c r="J11" s="382"/>
      <c r="K11" s="383" t="s">
        <v>59</v>
      </c>
      <c r="L11" s="379"/>
      <c r="M11" s="384" t="s">
        <v>86</v>
      </c>
      <c r="N11" s="384" t="s">
        <v>77</v>
      </c>
      <c r="O11" s="384" t="s">
        <v>87</v>
      </c>
      <c r="P11" s="384" t="s">
        <v>78</v>
      </c>
      <c r="Q11" s="336"/>
      <c r="S11" s="384"/>
      <c r="T11" s="384"/>
      <c r="U11" s="384"/>
      <c r="V11" s="384"/>
      <c r="X11" s="384"/>
      <c r="Y11" s="384"/>
      <c r="Z11" s="384"/>
      <c r="AA11" s="384"/>
      <c r="AC11" s="384"/>
      <c r="AD11" s="384"/>
      <c r="AE11" s="384"/>
      <c r="AF11" s="384"/>
      <c r="AH11" s="384"/>
      <c r="AI11" s="384"/>
      <c r="AJ11" s="384"/>
      <c r="AK11" s="384"/>
      <c r="AM11" s="384"/>
      <c r="AN11" s="384"/>
      <c r="AO11" s="384"/>
      <c r="AP11" s="384"/>
    </row>
    <row r="12" spans="1:42" ht="20.100000000000001" customHeight="1" x14ac:dyDescent="0.5">
      <c r="A12" s="329"/>
      <c r="B12" s="329"/>
      <c r="C12" s="330"/>
      <c r="D12" s="385">
        <v>1</v>
      </c>
      <c r="E12" s="379"/>
      <c r="F12" s="386" t="e">
        <f>F11*$D$12</f>
        <v>#DIV/0!</v>
      </c>
      <c r="G12" s="379"/>
      <c r="H12" s="381" t="s">
        <v>91</v>
      </c>
      <c r="I12" s="387"/>
      <c r="J12" s="387"/>
      <c r="K12" s="396" t="s">
        <v>59</v>
      </c>
      <c r="L12" s="379"/>
      <c r="M12" s="347">
        <f>$T$3-3</f>
        <v>2022</v>
      </c>
      <c r="N12" s="101">
        <f>IFERROR(N31+N47,"n/a")</f>
        <v>0</v>
      </c>
      <c r="O12" s="101">
        <f>IFERROR(O31+O47,"n/a")</f>
        <v>0</v>
      </c>
      <c r="P12" s="388" t="str">
        <f>IFERROR(O12/N12,"n/a")</f>
        <v>n/a</v>
      </c>
      <c r="Q12" s="336"/>
      <c r="S12" s="389"/>
      <c r="T12" s="389"/>
      <c r="U12" s="390"/>
      <c r="V12" s="391"/>
      <c r="W12" s="392"/>
      <c r="X12" s="393"/>
      <c r="Y12" s="393"/>
      <c r="Z12" s="100"/>
      <c r="AA12" s="391"/>
      <c r="AB12" s="392"/>
      <c r="AC12" s="394"/>
      <c r="AD12" s="393"/>
      <c r="AE12" s="100"/>
      <c r="AF12" s="391"/>
      <c r="AG12" s="392"/>
      <c r="AH12" s="394"/>
      <c r="AI12" s="393"/>
      <c r="AJ12" s="100"/>
      <c r="AK12" s="391"/>
      <c r="AL12" s="392"/>
      <c r="AM12" s="394"/>
      <c r="AN12" s="393"/>
      <c r="AO12" s="100"/>
      <c r="AP12" s="391"/>
    </row>
    <row r="13" spans="1:42" ht="20.100000000000001" customHeight="1" x14ac:dyDescent="0.5">
      <c r="A13" s="329"/>
      <c r="B13" s="329"/>
      <c r="C13" s="330"/>
      <c r="D13" s="395" t="s">
        <v>92</v>
      </c>
      <c r="E13" s="379"/>
      <c r="F13" s="432">
        <v>0</v>
      </c>
      <c r="G13" s="379"/>
      <c r="H13" s="381" t="s">
        <v>93</v>
      </c>
      <c r="I13" s="387"/>
      <c r="J13" s="387"/>
      <c r="K13" s="396" t="s">
        <v>59</v>
      </c>
      <c r="L13" s="379"/>
      <c r="M13" s="347">
        <f>M12+1</f>
        <v>2023</v>
      </c>
      <c r="N13" s="101">
        <f t="shared" ref="N13" si="2">N32+N48</f>
        <v>0</v>
      </c>
      <c r="O13" s="101">
        <f t="shared" ref="O13:O14" si="3">O32+O48</f>
        <v>0</v>
      </c>
      <c r="P13" s="388" t="str">
        <f>IFERROR(O13/N13,"n/a")</f>
        <v>n/a</v>
      </c>
      <c r="Q13" s="336"/>
      <c r="S13" s="390"/>
      <c r="T13" s="390"/>
      <c r="U13" s="390"/>
      <c r="V13" s="391"/>
      <c r="W13" s="392"/>
      <c r="X13" s="393"/>
      <c r="Y13" s="393"/>
      <c r="Z13" s="100"/>
      <c r="AA13" s="391"/>
      <c r="AB13" s="392"/>
      <c r="AC13" s="394"/>
      <c r="AD13" s="393"/>
      <c r="AE13" s="100"/>
      <c r="AF13" s="391"/>
      <c r="AG13" s="392"/>
      <c r="AH13" s="394"/>
      <c r="AI13" s="393"/>
      <c r="AJ13" s="100"/>
      <c r="AK13" s="391"/>
      <c r="AL13" s="392"/>
      <c r="AM13" s="394"/>
      <c r="AN13" s="393"/>
      <c r="AO13" s="100"/>
      <c r="AP13" s="391"/>
    </row>
    <row r="14" spans="1:42" ht="20.100000000000001" customHeight="1" x14ac:dyDescent="0.5">
      <c r="A14" s="329"/>
      <c r="B14" s="329"/>
      <c r="C14" s="330"/>
      <c r="D14" s="397" t="s">
        <v>94</v>
      </c>
      <c r="E14" s="398"/>
      <c r="F14" s="399" t="e">
        <f>(F12*P15)+F13</f>
        <v>#DIV/0!</v>
      </c>
      <c r="G14" s="379"/>
      <c r="H14" s="429" t="s">
        <v>95</v>
      </c>
      <c r="I14" s="430"/>
      <c r="J14" s="430"/>
      <c r="K14" s="431" t="s">
        <v>59</v>
      </c>
      <c r="L14" s="379"/>
      <c r="M14" s="347">
        <f>M13+1</f>
        <v>2024</v>
      </c>
      <c r="N14" s="101">
        <f t="shared" ref="N14" si="4">N33+N49</f>
        <v>0</v>
      </c>
      <c r="O14" s="101">
        <f t="shared" si="3"/>
        <v>0</v>
      </c>
      <c r="P14" s="388" t="str">
        <f>IFERROR(O14/N14,"n/a")</f>
        <v>n/a</v>
      </c>
      <c r="Q14" s="336"/>
      <c r="S14" s="390"/>
      <c r="T14" s="390"/>
      <c r="U14" s="390"/>
      <c r="V14" s="391"/>
      <c r="W14" s="392"/>
      <c r="X14" s="393"/>
      <c r="Y14" s="393"/>
      <c r="Z14" s="402"/>
      <c r="AA14" s="391"/>
      <c r="AB14" s="392"/>
      <c r="AC14" s="394"/>
      <c r="AD14" s="393"/>
      <c r="AE14" s="402"/>
      <c r="AF14" s="391"/>
      <c r="AG14" s="392"/>
      <c r="AH14" s="394"/>
      <c r="AI14" s="393"/>
      <c r="AJ14" s="402"/>
      <c r="AK14" s="391"/>
      <c r="AL14" s="392"/>
      <c r="AM14" s="394"/>
      <c r="AN14" s="393"/>
      <c r="AO14" s="402"/>
      <c r="AP14" s="391"/>
    </row>
    <row r="15" spans="1:42" ht="20.100000000000001" customHeight="1" x14ac:dyDescent="0.5">
      <c r="A15" s="329"/>
      <c r="B15" s="329"/>
      <c r="C15" s="330"/>
      <c r="D15" s="379"/>
      <c r="E15" s="379"/>
      <c r="F15" s="379"/>
      <c r="G15" s="379" t="s">
        <v>80</v>
      </c>
      <c r="H15" s="381" t="s">
        <v>96</v>
      </c>
      <c r="I15" s="400"/>
      <c r="J15" s="379"/>
      <c r="K15" s="383" t="s">
        <v>59</v>
      </c>
      <c r="L15" s="379"/>
      <c r="M15" s="347">
        <f>M14+1</f>
        <v>2025</v>
      </c>
      <c r="N15" s="349">
        <f>M8</f>
        <v>0</v>
      </c>
      <c r="O15" s="403">
        <f>N8</f>
        <v>0</v>
      </c>
      <c r="P15" s="388" t="str">
        <f>IFERROR(O15/N15,"n/a")</f>
        <v>n/a</v>
      </c>
      <c r="Q15" s="336"/>
      <c r="S15" s="390"/>
      <c r="T15" s="390"/>
      <c r="U15" s="404"/>
      <c r="V15" s="391"/>
      <c r="W15" s="392"/>
      <c r="X15" s="404"/>
      <c r="Y15" s="393"/>
      <c r="Z15" s="403"/>
      <c r="AA15" s="391"/>
      <c r="AB15" s="392"/>
      <c r="AC15" s="404"/>
      <c r="AD15" s="393"/>
      <c r="AE15" s="403"/>
      <c r="AF15" s="391"/>
      <c r="AG15" s="392"/>
      <c r="AH15" s="404"/>
      <c r="AI15" s="393"/>
      <c r="AJ15" s="403"/>
      <c r="AK15" s="391"/>
      <c r="AL15" s="392"/>
      <c r="AM15" s="404"/>
      <c r="AN15" s="393"/>
      <c r="AO15" s="403"/>
      <c r="AP15" s="391"/>
    </row>
    <row r="16" spans="1:42" ht="20.100000000000001" customHeight="1" x14ac:dyDescent="0.5">
      <c r="A16" s="329"/>
      <c r="B16" s="329"/>
      <c r="C16" s="330"/>
      <c r="D16" s="405" t="s">
        <v>46</v>
      </c>
      <c r="E16" s="102" t="s">
        <v>1696</v>
      </c>
      <c r="F16" s="379"/>
      <c r="G16" s="379"/>
      <c r="H16" s="381" t="s">
        <v>91</v>
      </c>
      <c r="I16" s="400"/>
      <c r="J16" s="379"/>
      <c r="K16" s="396" t="s">
        <v>59</v>
      </c>
      <c r="L16" s="379"/>
      <c r="M16" s="347" t="s">
        <v>1814</v>
      </c>
      <c r="N16" s="798" t="s">
        <v>1815</v>
      </c>
      <c r="O16" s="402"/>
      <c r="P16" s="388"/>
      <c r="Q16" s="336"/>
      <c r="S16" s="390"/>
    </row>
    <row r="17" spans="1:42" ht="20.100000000000001" customHeight="1" x14ac:dyDescent="0.25">
      <c r="H17" s="381" t="s">
        <v>93</v>
      </c>
      <c r="I17" s="400"/>
      <c r="J17" s="379"/>
      <c r="K17" s="396" t="s">
        <v>59</v>
      </c>
      <c r="L17" s="415"/>
    </row>
    <row r="18" spans="1:42" ht="20.100000000000001" customHeight="1" x14ac:dyDescent="0.25">
      <c r="H18" s="381" t="s">
        <v>95</v>
      </c>
      <c r="I18" s="400"/>
      <c r="J18" s="400"/>
      <c r="K18" s="401" t="s">
        <v>59</v>
      </c>
      <c r="L18" s="415"/>
    </row>
    <row r="19" spans="1:42" ht="7.35" customHeight="1" outlineLevel="1" x14ac:dyDescent="0.25">
      <c r="L19" s="415"/>
    </row>
    <row r="20" spans="1:42" ht="23.25" outlineLevel="1" x14ac:dyDescent="0.25">
      <c r="C20" s="452" t="s">
        <v>216</v>
      </c>
      <c r="D20" s="453"/>
      <c r="E20" s="453"/>
      <c r="F20" s="453"/>
      <c r="G20" s="453"/>
      <c r="H20" s="453"/>
      <c r="I20" s="453"/>
      <c r="J20" s="453"/>
      <c r="K20" s="453"/>
      <c r="L20" s="454"/>
      <c r="M20" s="453"/>
      <c r="N20" s="453"/>
      <c r="O20" s="453"/>
      <c r="P20" s="453"/>
    </row>
    <row r="21" spans="1:42" ht="10.5" customHeight="1" outlineLevel="1" x14ac:dyDescent="0.5">
      <c r="A21" s="329"/>
      <c r="B21" s="329"/>
      <c r="C21" s="330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9"/>
      <c r="R21" s="9"/>
      <c r="S21" s="329"/>
      <c r="T21" s="329"/>
    </row>
    <row r="22" spans="1:42" ht="25.35" customHeight="1" outlineLevel="1" thickBot="1" x14ac:dyDescent="0.55000000000000004">
      <c r="A22" s="329"/>
      <c r="B22" s="329"/>
      <c r="C22" s="6" t="str">
        <f>"PROPERTY TAX INFORMATION ("&amp;$T$3&amp;")"</f>
        <v>PROPERTY TAX INFORMATION (2025)</v>
      </c>
      <c r="D22" s="33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16" t="str">
        <f>'Unit Mix'!D64</f>
        <v>Hudson View Park</v>
      </c>
      <c r="Q22" s="9"/>
      <c r="R22" s="9"/>
      <c r="S22" s="417"/>
      <c r="T22" s="418"/>
    </row>
    <row r="23" spans="1:42" ht="20.100000000000001" customHeight="1" outlineLevel="1" thickTop="1" x14ac:dyDescent="0.5">
      <c r="A23" s="329"/>
      <c r="B23" s="329"/>
      <c r="C23" s="330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9"/>
      <c r="R23" s="9"/>
      <c r="S23" s="9"/>
      <c r="T23" s="9"/>
    </row>
    <row r="24" spans="1:42" ht="25.35" customHeight="1" outlineLevel="1" x14ac:dyDescent="0.25">
      <c r="A24" s="337"/>
      <c r="B24" s="337"/>
      <c r="C24" s="338"/>
      <c r="D24" s="339" t="s">
        <v>23</v>
      </c>
      <c r="E24" s="339" t="s">
        <v>71</v>
      </c>
      <c r="F24" s="339" t="s">
        <v>72</v>
      </c>
      <c r="G24" s="339" t="s">
        <v>73</v>
      </c>
      <c r="H24" s="340" t="s">
        <v>60</v>
      </c>
      <c r="I24" s="340" t="s">
        <v>74</v>
      </c>
      <c r="J24" s="340" t="s">
        <v>47</v>
      </c>
      <c r="K24" s="340" t="s">
        <v>75</v>
      </c>
      <c r="L24" s="340" t="s">
        <v>76</v>
      </c>
      <c r="M24" s="340" t="s">
        <v>77</v>
      </c>
      <c r="N24" s="340" t="s">
        <v>87</v>
      </c>
      <c r="O24" s="340" t="s">
        <v>78</v>
      </c>
      <c r="P24" s="341" t="s">
        <v>79</v>
      </c>
      <c r="Q24" s="342"/>
      <c r="R24" s="343"/>
      <c r="S24" s="344" t="s">
        <v>209</v>
      </c>
      <c r="T24" s="343"/>
    </row>
    <row r="25" spans="1:42" ht="25.35" customHeight="1" outlineLevel="1" x14ac:dyDescent="0.5">
      <c r="A25" s="345"/>
      <c r="B25" s="345"/>
      <c r="C25" s="346"/>
      <c r="D25" s="605"/>
      <c r="E25" s="419"/>
      <c r="F25" s="419"/>
      <c r="G25" s="420"/>
      <c r="H25" s="421"/>
      <c r="I25" s="422"/>
      <c r="J25" s="421"/>
      <c r="K25" s="606"/>
      <c r="L25" s="606"/>
      <c r="M25" s="348">
        <f t="shared" ref="M25:M26" si="5">SUM(K25:L25)</f>
        <v>0</v>
      </c>
      <c r="N25" s="614"/>
      <c r="O25" s="350" t="str">
        <f t="shared" ref="O25:O26" si="6">IFERROR(N25/M25,"n/a")</f>
        <v>n/a</v>
      </c>
      <c r="P25" s="351"/>
      <c r="Q25" s="352"/>
      <c r="R25" s="353"/>
      <c r="S25" s="424"/>
      <c r="T25" s="424"/>
    </row>
    <row r="26" spans="1:42" ht="25.35" customHeight="1" outlineLevel="1" x14ac:dyDescent="0.5">
      <c r="A26" s="345"/>
      <c r="B26" s="345"/>
      <c r="C26" s="346"/>
      <c r="D26" s="605"/>
      <c r="E26" s="419"/>
      <c r="F26" s="419"/>
      <c r="G26" s="610"/>
      <c r="H26" s="421"/>
      <c r="I26" s="422"/>
      <c r="J26" s="421"/>
      <c r="K26" s="606"/>
      <c r="L26" s="606"/>
      <c r="M26" s="348">
        <f t="shared" si="5"/>
        <v>0</v>
      </c>
      <c r="N26" s="614"/>
      <c r="O26" s="350" t="str">
        <f t="shared" si="6"/>
        <v>n/a</v>
      </c>
      <c r="P26" s="351"/>
      <c r="Q26" s="352"/>
      <c r="R26" s="353"/>
      <c r="S26" s="424"/>
      <c r="T26" s="424"/>
    </row>
    <row r="27" spans="1:42" ht="25.35" customHeight="1" outlineLevel="1" x14ac:dyDescent="0.25">
      <c r="A27" s="355"/>
      <c r="B27" s="355"/>
      <c r="C27" s="356"/>
      <c r="D27" s="357" t="s">
        <v>81</v>
      </c>
      <c r="E27" s="357"/>
      <c r="F27" s="357"/>
      <c r="G27" s="357"/>
      <c r="H27" s="358"/>
      <c r="I27" s="359">
        <f>SUM(I25:I26)</f>
        <v>0</v>
      </c>
      <c r="J27" s="360"/>
      <c r="K27" s="361">
        <f t="shared" ref="K27:N27" si="7">SUM(K25:K26)</f>
        <v>0</v>
      </c>
      <c r="L27" s="361">
        <f t="shared" si="7"/>
        <v>0</v>
      </c>
      <c r="M27" s="361">
        <f t="shared" si="7"/>
        <v>0</v>
      </c>
      <c r="N27" s="361">
        <f t="shared" si="7"/>
        <v>0</v>
      </c>
      <c r="O27" s="362" t="str">
        <f>IFERROR(N27/M27,"n/a")</f>
        <v>n/a</v>
      </c>
      <c r="P27" s="363"/>
      <c r="Q27" s="364"/>
      <c r="R27" s="365"/>
      <c r="S27" s="365"/>
      <c r="T27" s="365"/>
      <c r="U27" s="365"/>
      <c r="X27" s="365"/>
      <c r="Y27" s="365"/>
      <c r="Z27" s="365"/>
    </row>
    <row r="28" spans="1:42" ht="10.35" customHeight="1" outlineLevel="1" x14ac:dyDescent="0.25">
      <c r="A28" s="355"/>
      <c r="B28" s="355"/>
      <c r="C28" s="366"/>
      <c r="D28" s="367"/>
      <c r="E28" s="367"/>
      <c r="F28" s="367"/>
      <c r="G28" s="367"/>
      <c r="H28" s="367"/>
      <c r="I28" s="367"/>
      <c r="J28" s="367"/>
      <c r="K28" s="367"/>
      <c r="L28" s="367"/>
      <c r="M28" s="368"/>
      <c r="N28" s="368"/>
      <c r="O28" s="369"/>
      <c r="P28" s="370"/>
      <c r="Q28" s="364"/>
    </row>
    <row r="29" spans="1:42" ht="20.100000000000001" customHeight="1" outlineLevel="1" x14ac:dyDescent="0.5">
      <c r="A29" s="329"/>
      <c r="B29" s="329"/>
      <c r="C29" s="330"/>
      <c r="D29" s="379"/>
      <c r="E29" s="379"/>
      <c r="F29" s="379"/>
      <c r="G29" s="373"/>
      <c r="H29" s="371" t="s">
        <v>83</v>
      </c>
      <c r="I29" s="425"/>
      <c r="J29" s="425"/>
      <c r="K29" s="372"/>
      <c r="L29" s="373"/>
      <c r="M29" s="371" t="s">
        <v>84</v>
      </c>
      <c r="N29" s="374"/>
      <c r="O29" s="374"/>
      <c r="P29" s="374"/>
      <c r="Q29" s="336"/>
      <c r="S29" s="426">
        <f>G25</f>
        <v>0</v>
      </c>
      <c r="X29" s="426">
        <f>G26</f>
        <v>0</v>
      </c>
      <c r="AG29" s="377"/>
      <c r="AH29" s="376"/>
      <c r="AM29" s="376"/>
    </row>
    <row r="30" spans="1:42" ht="20.100000000000001" customHeight="1" outlineLevel="1" x14ac:dyDescent="0.5">
      <c r="A30" s="329"/>
      <c r="B30" s="329"/>
      <c r="C30" s="330"/>
      <c r="D30" s="379"/>
      <c r="E30" s="379"/>
      <c r="F30" s="379"/>
      <c r="G30" s="379"/>
      <c r="H30" s="381" t="s">
        <v>85</v>
      </c>
      <c r="I30" s="382"/>
      <c r="J30" s="382"/>
      <c r="K30" s="383" t="s">
        <v>59</v>
      </c>
      <c r="L30" s="379"/>
      <c r="M30" s="384" t="s">
        <v>86</v>
      </c>
      <c r="N30" s="384" t="s">
        <v>77</v>
      </c>
      <c r="O30" s="384" t="s">
        <v>87</v>
      </c>
      <c r="P30" s="384" t="s">
        <v>78</v>
      </c>
      <c r="Q30" s="336"/>
      <c r="S30" s="384" t="s">
        <v>77</v>
      </c>
      <c r="T30" s="427" t="s">
        <v>88</v>
      </c>
      <c r="U30" s="427" t="s">
        <v>89</v>
      </c>
      <c r="V30" s="427" t="s">
        <v>90</v>
      </c>
      <c r="X30" s="384" t="s">
        <v>77</v>
      </c>
      <c r="Y30" s="427" t="s">
        <v>88</v>
      </c>
      <c r="Z30" s="427" t="s">
        <v>89</v>
      </c>
      <c r="AA30" s="427" t="s">
        <v>90</v>
      </c>
      <c r="AH30" s="384"/>
      <c r="AI30" s="384"/>
      <c r="AJ30" s="384"/>
      <c r="AK30" s="384"/>
      <c r="AM30" s="384"/>
      <c r="AN30" s="384"/>
      <c r="AO30" s="384"/>
      <c r="AP30" s="384"/>
    </row>
    <row r="31" spans="1:42" ht="20.100000000000001" customHeight="1" outlineLevel="1" x14ac:dyDescent="0.5">
      <c r="A31" s="329"/>
      <c r="B31" s="329"/>
      <c r="C31" s="330"/>
      <c r="D31" s="379"/>
      <c r="E31" s="379"/>
      <c r="F31" s="379"/>
      <c r="G31" s="379"/>
      <c r="H31" s="381" t="s">
        <v>91</v>
      </c>
      <c r="I31" s="387"/>
      <c r="J31" s="387"/>
      <c r="K31" s="396" t="s">
        <v>59</v>
      </c>
      <c r="L31" s="379"/>
      <c r="M31" s="347">
        <f>$T$3-3</f>
        <v>2022</v>
      </c>
      <c r="N31" s="101">
        <f>IFERROR(S31+X31+AC31+AH31+AM31,"n/a")</f>
        <v>0</v>
      </c>
      <c r="O31" s="101">
        <f>IFERROR(U31+Z31+AE31+AJ31+AO31,"n/a")</f>
        <v>0</v>
      </c>
      <c r="P31" s="388" t="str">
        <f>IFERROR(O31/N31,"n/a")</f>
        <v>n/a</v>
      </c>
      <c r="Q31" s="336"/>
      <c r="S31" s="389"/>
      <c r="T31" s="389"/>
      <c r="U31" s="389"/>
      <c r="V31" s="428" t="str">
        <f>IFERROR(T31/S31,"n/a")</f>
        <v>n/a</v>
      </c>
      <c r="W31" s="392"/>
      <c r="X31" s="389"/>
      <c r="Y31" s="389"/>
      <c r="Z31" s="389"/>
      <c r="AA31" s="428" t="str">
        <f t="shared" ref="AA31:AA34" si="8">IFERROR(Y31/X31,"n/a")</f>
        <v>n/a</v>
      </c>
      <c r="AB31" s="392"/>
      <c r="AG31" s="392"/>
      <c r="AH31" s="394"/>
      <c r="AI31" s="393"/>
      <c r="AJ31" s="100"/>
      <c r="AK31" s="391"/>
      <c r="AL31" s="392"/>
      <c r="AM31" s="394"/>
      <c r="AN31" s="393"/>
      <c r="AO31" s="100"/>
      <c r="AP31" s="391"/>
    </row>
    <row r="32" spans="1:42" ht="20.100000000000001" customHeight="1" outlineLevel="1" x14ac:dyDescent="0.5">
      <c r="A32" s="329"/>
      <c r="B32" s="329"/>
      <c r="C32" s="330"/>
      <c r="D32" s="379"/>
      <c r="E32" s="379"/>
      <c r="F32" s="379"/>
      <c r="G32" s="379"/>
      <c r="H32" s="381" t="s">
        <v>93</v>
      </c>
      <c r="I32" s="387"/>
      <c r="J32" s="387"/>
      <c r="K32" s="396" t="s">
        <v>59</v>
      </c>
      <c r="L32" s="379"/>
      <c r="M32" s="347">
        <f>M31+1</f>
        <v>2023</v>
      </c>
      <c r="N32" s="101">
        <f>IFERROR(S32+X32+AC32+AH32+AM32,"n/a")</f>
        <v>0</v>
      </c>
      <c r="O32" s="101">
        <f>U32+Z32+AE32+AJ32+AO32</f>
        <v>0</v>
      </c>
      <c r="P32" s="388" t="str">
        <f>IFERROR(O32/N32,"n/a")</f>
        <v>n/a</v>
      </c>
      <c r="Q32" s="336"/>
      <c r="S32" s="390"/>
      <c r="T32" s="390"/>
      <c r="U32" s="390"/>
      <c r="V32" s="428" t="str">
        <f>IFERROR(T32/S32,"n/a")</f>
        <v>n/a</v>
      </c>
      <c r="W32" s="392"/>
      <c r="X32" s="390"/>
      <c r="Y32" s="390"/>
      <c r="Z32" s="390"/>
      <c r="AA32" s="428" t="str">
        <f t="shared" si="8"/>
        <v>n/a</v>
      </c>
      <c r="AB32" s="392"/>
      <c r="AD32" s="390"/>
      <c r="AE32" s="390"/>
      <c r="AF32" s="428"/>
      <c r="AG32" s="392"/>
      <c r="AH32" s="394"/>
      <c r="AI32" s="393"/>
      <c r="AJ32" s="100"/>
      <c r="AK32" s="391"/>
      <c r="AL32" s="392"/>
      <c r="AM32" s="394"/>
      <c r="AN32" s="393"/>
      <c r="AO32" s="100"/>
      <c r="AP32" s="391"/>
    </row>
    <row r="33" spans="1:42" ht="20.100000000000001" customHeight="1" outlineLevel="1" x14ac:dyDescent="0.5">
      <c r="A33" s="329"/>
      <c r="B33" s="329"/>
      <c r="C33" s="330"/>
      <c r="D33" s="379"/>
      <c r="E33" s="379"/>
      <c r="F33" s="379"/>
      <c r="G33" s="379"/>
      <c r="H33" s="429" t="s">
        <v>95</v>
      </c>
      <c r="I33" s="430"/>
      <c r="J33" s="430"/>
      <c r="K33" s="431" t="s">
        <v>59</v>
      </c>
      <c r="L33" s="379"/>
      <c r="M33" s="347">
        <f>M32+1</f>
        <v>2024</v>
      </c>
      <c r="N33" s="101">
        <f>IFERROR(S33+X33+AC33+AH33+AM33,"n/a")</f>
        <v>0</v>
      </c>
      <c r="O33" s="101">
        <f t="shared" ref="O33" si="9">U33+Z33+AE33+AJ33+AO33</f>
        <v>0</v>
      </c>
      <c r="P33" s="388" t="str">
        <f>IFERROR(O33/N33,"n/a")</f>
        <v>n/a</v>
      </c>
      <c r="Q33" s="336"/>
      <c r="S33" s="390"/>
      <c r="T33" s="390"/>
      <c r="U33" s="390"/>
      <c r="V33" s="428" t="str">
        <f>IFERROR(T33/S33,"n/a")</f>
        <v>n/a</v>
      </c>
      <c r="W33" s="392"/>
      <c r="X33" s="390"/>
      <c r="Y33" s="390"/>
      <c r="Z33" s="390"/>
      <c r="AA33" s="428" t="str">
        <f t="shared" si="8"/>
        <v>n/a</v>
      </c>
      <c r="AB33" s="392"/>
      <c r="AC33" s="390"/>
      <c r="AD33" s="390"/>
      <c r="AE33" s="390"/>
      <c r="AF33" s="428"/>
      <c r="AG33" s="392"/>
      <c r="AH33" s="394"/>
      <c r="AI33" s="393"/>
      <c r="AJ33" s="402"/>
      <c r="AK33" s="391"/>
      <c r="AL33" s="392"/>
      <c r="AM33" s="394"/>
      <c r="AN33" s="393"/>
      <c r="AO33" s="402"/>
      <c r="AP33" s="391"/>
    </row>
    <row r="34" spans="1:42" ht="20.100000000000001" customHeight="1" outlineLevel="1" x14ac:dyDescent="0.5">
      <c r="A34" s="329"/>
      <c r="B34" s="329"/>
      <c r="C34" s="330"/>
      <c r="D34" s="379"/>
      <c r="E34" s="379"/>
      <c r="F34" s="379"/>
      <c r="G34" s="379" t="s">
        <v>80</v>
      </c>
      <c r="H34" s="381" t="s">
        <v>96</v>
      </c>
      <c r="I34" s="400"/>
      <c r="J34" s="379"/>
      <c r="K34" s="383" t="s">
        <v>59</v>
      </c>
      <c r="L34" s="379"/>
      <c r="M34" s="347">
        <f>M33+1</f>
        <v>2025</v>
      </c>
      <c r="N34" s="349">
        <f>M27</f>
        <v>0</v>
      </c>
      <c r="O34" s="403">
        <f>N27</f>
        <v>0</v>
      </c>
      <c r="P34" s="388" t="str">
        <f>IFERROR(O34/N34,"n/a")</f>
        <v>n/a</v>
      </c>
      <c r="Q34" s="336"/>
      <c r="S34" s="607">
        <f>M25</f>
        <v>0</v>
      </c>
      <c r="T34" s="390"/>
      <c r="U34" s="404">
        <f>N25</f>
        <v>0</v>
      </c>
      <c r="V34" s="428" t="str">
        <f>IFERROR(T34/S34,"n/a")</f>
        <v>n/a</v>
      </c>
      <c r="W34" s="392"/>
      <c r="X34" s="404">
        <f>M26</f>
        <v>0</v>
      </c>
      <c r="Y34" s="390"/>
      <c r="Z34" s="404">
        <f>N26</f>
        <v>0</v>
      </c>
      <c r="AA34" s="428" t="str">
        <f t="shared" si="8"/>
        <v>n/a</v>
      </c>
      <c r="AB34" s="392"/>
      <c r="AC34" s="404"/>
      <c r="AD34" s="390"/>
      <c r="AE34" s="404"/>
      <c r="AF34" s="428"/>
      <c r="AG34" s="392"/>
      <c r="AH34" s="404"/>
      <c r="AI34" s="393"/>
      <c r="AJ34" s="403"/>
      <c r="AK34" s="391"/>
      <c r="AL34" s="392"/>
      <c r="AM34" s="404"/>
      <c r="AN34" s="393"/>
      <c r="AO34" s="403"/>
      <c r="AP34" s="391"/>
    </row>
    <row r="35" spans="1:42" ht="20.100000000000001" customHeight="1" outlineLevel="1" x14ac:dyDescent="0.5">
      <c r="A35" s="329"/>
      <c r="B35" s="329"/>
      <c r="C35" s="330"/>
      <c r="D35" s="405" t="s">
        <v>46</v>
      </c>
      <c r="E35" s="102" t="s">
        <v>1696</v>
      </c>
      <c r="F35" s="379"/>
      <c r="G35" s="379"/>
      <c r="H35" s="381" t="s">
        <v>91</v>
      </c>
      <c r="I35" s="400"/>
      <c r="J35" s="379"/>
      <c r="K35" s="396" t="s">
        <v>59</v>
      </c>
      <c r="L35" s="379"/>
      <c r="M35" s="406"/>
      <c r="Q35" s="336"/>
    </row>
    <row r="36" spans="1:42" ht="20.100000000000001" customHeight="1" outlineLevel="1" x14ac:dyDescent="0.5">
      <c r="A36" s="329"/>
      <c r="B36" s="329"/>
      <c r="C36" s="330"/>
      <c r="D36" s="407"/>
      <c r="E36" s="408"/>
      <c r="F36" s="379"/>
      <c r="G36" s="379"/>
      <c r="H36" s="381" t="s">
        <v>93</v>
      </c>
      <c r="I36" s="400"/>
      <c r="J36" s="379"/>
      <c r="K36" s="396" t="s">
        <v>59</v>
      </c>
      <c r="L36" s="379"/>
      <c r="M36" s="409"/>
      <c r="N36" s="410"/>
      <c r="O36" s="411"/>
      <c r="P36" s="412"/>
      <c r="Q36" s="336"/>
    </row>
    <row r="37" spans="1:42" ht="20.100000000000001" customHeight="1" outlineLevel="1" x14ac:dyDescent="0.5">
      <c r="A37" s="329"/>
      <c r="B37" s="329"/>
      <c r="C37" s="330"/>
      <c r="D37" s="413"/>
      <c r="E37" s="408"/>
      <c r="F37" s="379"/>
      <c r="G37" s="379"/>
      <c r="H37" s="381" t="s">
        <v>95</v>
      </c>
      <c r="I37" s="400"/>
      <c r="J37" s="400"/>
      <c r="K37" s="401" t="s">
        <v>59</v>
      </c>
      <c r="L37" s="379"/>
      <c r="M37" s="409"/>
      <c r="N37" s="409"/>
      <c r="O37" s="409"/>
      <c r="P37" s="414"/>
      <c r="Q37" s="336"/>
      <c r="S37" s="424"/>
    </row>
    <row r="38" spans="1:42" ht="7.35" customHeight="1" outlineLevel="1" x14ac:dyDescent="0.25">
      <c r="L38" s="415"/>
    </row>
    <row r="39" spans="1:42" ht="25.35" customHeight="1" outlineLevel="1" thickBot="1" x14ac:dyDescent="0.55000000000000004">
      <c r="A39" s="329"/>
      <c r="B39" s="329"/>
      <c r="C39" s="6" t="str">
        <f>"PROPERTY TAX INFORMATION ("&amp;$T$3&amp;")"</f>
        <v>PROPERTY TAX INFORMATION (2025)</v>
      </c>
      <c r="D39" s="33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6" t="str">
        <f>'Unit Mix'!D65</f>
        <v>[Property 2 Name]</v>
      </c>
      <c r="Q39" s="9"/>
      <c r="R39" s="9"/>
      <c r="S39" s="417"/>
      <c r="T39" s="418"/>
    </row>
    <row r="40" spans="1:42" ht="20.100000000000001" customHeight="1" outlineLevel="1" thickTop="1" x14ac:dyDescent="0.5">
      <c r="A40" s="329"/>
      <c r="B40" s="329"/>
      <c r="C40" s="330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9"/>
      <c r="R40" s="9"/>
      <c r="S40" s="9"/>
      <c r="T40" s="9"/>
    </row>
    <row r="41" spans="1:42" ht="25.35" customHeight="1" outlineLevel="1" x14ac:dyDescent="0.25">
      <c r="A41" s="337"/>
      <c r="B41" s="337"/>
      <c r="C41" s="338"/>
      <c r="D41" s="339" t="s">
        <v>23</v>
      </c>
      <c r="E41" s="339" t="s">
        <v>71</v>
      </c>
      <c r="F41" s="339" t="s">
        <v>72</v>
      </c>
      <c r="G41" s="339" t="s">
        <v>73</v>
      </c>
      <c r="H41" s="340" t="s">
        <v>60</v>
      </c>
      <c r="I41" s="340" t="s">
        <v>74</v>
      </c>
      <c r="J41" s="340" t="s">
        <v>47</v>
      </c>
      <c r="K41" s="340" t="s">
        <v>75</v>
      </c>
      <c r="L41" s="340" t="s">
        <v>76</v>
      </c>
      <c r="M41" s="340" t="s">
        <v>77</v>
      </c>
      <c r="N41" s="340" t="s">
        <v>87</v>
      </c>
      <c r="O41" s="340" t="s">
        <v>78</v>
      </c>
      <c r="P41" s="341" t="s">
        <v>79</v>
      </c>
      <c r="Q41" s="342"/>
      <c r="R41" s="343"/>
      <c r="S41" s="344" t="s">
        <v>209</v>
      </c>
      <c r="T41" s="343"/>
    </row>
    <row r="42" spans="1:42" ht="25.35" customHeight="1" outlineLevel="1" x14ac:dyDescent="0.5">
      <c r="A42" s="345"/>
      <c r="B42" s="345"/>
      <c r="C42" s="346"/>
      <c r="D42" s="419"/>
      <c r="E42" s="419"/>
      <c r="F42" s="419"/>
      <c r="G42" s="610"/>
      <c r="H42" s="421"/>
      <c r="I42" s="422"/>
      <c r="J42" s="421"/>
      <c r="K42" s="348"/>
      <c r="L42" s="423"/>
      <c r="M42" s="348">
        <f>SUM(K42:L42)</f>
        <v>0</v>
      </c>
      <c r="N42" s="614"/>
      <c r="O42" s="350" t="str">
        <f>IFERROR(N42/M42,"n/a")</f>
        <v>n/a</v>
      </c>
      <c r="P42" s="351"/>
      <c r="Q42" s="352" t="s">
        <v>80</v>
      </c>
      <c r="R42" s="353"/>
      <c r="S42" s="424"/>
      <c r="T42" s="353"/>
    </row>
    <row r="43" spans="1:42" ht="25.35" customHeight="1" outlineLevel="1" x14ac:dyDescent="0.25">
      <c r="A43" s="355"/>
      <c r="B43" s="355"/>
      <c r="C43" s="356"/>
      <c r="D43" s="357" t="s">
        <v>81</v>
      </c>
      <c r="E43" s="357"/>
      <c r="F43" s="357"/>
      <c r="G43" s="357"/>
      <c r="H43" s="358"/>
      <c r="I43" s="359">
        <f>SUM(I42:I42)</f>
        <v>0</v>
      </c>
      <c r="J43" s="360"/>
      <c r="K43" s="361">
        <f>SUM(K42:K42)</f>
        <v>0</v>
      </c>
      <c r="L43" s="361">
        <f>SUM(L42:L42)</f>
        <v>0</v>
      </c>
      <c r="M43" s="361">
        <f>SUM(M42:M42)</f>
        <v>0</v>
      </c>
      <c r="N43" s="361">
        <f>SUM(N42:N42)</f>
        <v>0</v>
      </c>
      <c r="O43" s="362" t="str">
        <f>IFERROR(N43/M43,"n/a")</f>
        <v>n/a</v>
      </c>
      <c r="P43" s="363"/>
      <c r="Q43" s="364"/>
      <c r="R43" s="365"/>
      <c r="S43" s="365"/>
      <c r="T43" s="365"/>
      <c r="U43" s="365"/>
      <c r="X43" s="365"/>
      <c r="Y43" s="365"/>
      <c r="Z43" s="365"/>
    </row>
    <row r="44" spans="1:42" ht="10.35" customHeight="1" outlineLevel="1" x14ac:dyDescent="0.25">
      <c r="A44" s="355"/>
      <c r="B44" s="355"/>
      <c r="C44" s="366"/>
      <c r="D44" s="367"/>
      <c r="E44" s="367"/>
      <c r="F44" s="367"/>
      <c r="G44" s="367"/>
      <c r="H44" s="367"/>
      <c r="I44" s="367"/>
      <c r="J44" s="367"/>
      <c r="K44" s="367"/>
      <c r="L44" s="367"/>
      <c r="M44" s="368"/>
      <c r="N44" s="368"/>
      <c r="O44" s="369"/>
      <c r="P44" s="370"/>
      <c r="Q44" s="364"/>
    </row>
    <row r="45" spans="1:42" ht="20.100000000000001" customHeight="1" outlineLevel="1" x14ac:dyDescent="0.5">
      <c r="A45" s="329"/>
      <c r="B45" s="329"/>
      <c r="C45" s="330"/>
      <c r="D45" s="379"/>
      <c r="E45" s="379"/>
      <c r="F45" s="379"/>
      <c r="G45" s="373"/>
      <c r="H45" s="371" t="s">
        <v>83</v>
      </c>
      <c r="I45" s="425"/>
      <c r="J45" s="425"/>
      <c r="K45" s="372"/>
      <c r="L45" s="373"/>
      <c r="M45" s="371" t="s">
        <v>84</v>
      </c>
      <c r="N45" s="374"/>
      <c r="O45" s="374"/>
      <c r="P45" s="374"/>
      <c r="Q45" s="336"/>
      <c r="S45" s="426">
        <f>G42</f>
        <v>0</v>
      </c>
      <c r="X45" s="365"/>
      <c r="Y45" s="365"/>
      <c r="Z45" s="365"/>
      <c r="AA45" s="365"/>
      <c r="AM45" s="376"/>
    </row>
    <row r="46" spans="1:42" ht="20.100000000000001" customHeight="1" outlineLevel="1" x14ac:dyDescent="0.5">
      <c r="A46" s="329"/>
      <c r="B46" s="329"/>
      <c r="C46" s="330"/>
      <c r="D46" s="379"/>
      <c r="E46" s="379"/>
      <c r="F46" s="379"/>
      <c r="G46" s="379"/>
      <c r="H46" s="381" t="s">
        <v>85</v>
      </c>
      <c r="I46" s="382"/>
      <c r="J46" s="382"/>
      <c r="K46" s="383" t="s">
        <v>59</v>
      </c>
      <c r="L46" s="379"/>
      <c r="M46" s="384" t="s">
        <v>86</v>
      </c>
      <c r="N46" s="384" t="s">
        <v>77</v>
      </c>
      <c r="O46" s="384" t="s">
        <v>87</v>
      </c>
      <c r="P46" s="384" t="s">
        <v>78</v>
      </c>
      <c r="Q46" s="336"/>
      <c r="S46" s="384" t="s">
        <v>77</v>
      </c>
      <c r="T46" s="427" t="s">
        <v>88</v>
      </c>
      <c r="U46" s="427" t="s">
        <v>89</v>
      </c>
      <c r="V46" s="427" t="s">
        <v>90</v>
      </c>
      <c r="X46" s="365"/>
      <c r="Y46" s="365"/>
      <c r="Z46" s="365"/>
      <c r="AA46" s="365"/>
      <c r="AM46" s="384"/>
      <c r="AN46" s="384"/>
      <c r="AO46" s="384"/>
      <c r="AP46" s="384"/>
    </row>
    <row r="47" spans="1:42" ht="20.100000000000001" customHeight="1" outlineLevel="1" x14ac:dyDescent="0.5">
      <c r="A47" s="329"/>
      <c r="B47" s="329"/>
      <c r="C47" s="330"/>
      <c r="D47" s="379"/>
      <c r="E47" s="379"/>
      <c r="F47" s="379"/>
      <c r="G47" s="379"/>
      <c r="H47" s="381" t="s">
        <v>91</v>
      </c>
      <c r="I47" s="387"/>
      <c r="J47" s="387"/>
      <c r="K47" s="396" t="s">
        <v>59</v>
      </c>
      <c r="L47" s="379"/>
      <c r="M47" s="347">
        <f>$T$3-3</f>
        <v>2022</v>
      </c>
      <c r="N47" s="101">
        <f>IFERROR(S47+X47+AC47+AH47+AM47,"n/a")</f>
        <v>0</v>
      </c>
      <c r="O47" s="101">
        <f>IFERROR(U47+Z47+AE47+AJ47+AO47,"n/a")</f>
        <v>0</v>
      </c>
      <c r="P47" s="388" t="str">
        <f>IFERROR(O47/N47,"n/a")</f>
        <v>n/a</v>
      </c>
      <c r="Q47" s="336"/>
      <c r="S47" s="389"/>
      <c r="T47" s="389"/>
      <c r="U47" s="389"/>
      <c r="V47" s="428" t="str">
        <f>IFERROR(T47/S47,"n/a")</f>
        <v>n/a</v>
      </c>
      <c r="W47" s="392"/>
      <c r="X47" s="365"/>
      <c r="Y47" s="365"/>
      <c r="Z47" s="365"/>
      <c r="AA47" s="365"/>
      <c r="AB47" s="392"/>
      <c r="AM47" s="394"/>
      <c r="AN47" s="393"/>
      <c r="AO47" s="100"/>
      <c r="AP47" s="391"/>
    </row>
    <row r="48" spans="1:42" ht="20.100000000000001" customHeight="1" outlineLevel="1" x14ac:dyDescent="0.5">
      <c r="A48" s="329"/>
      <c r="B48" s="329"/>
      <c r="C48" s="330"/>
      <c r="D48" s="379"/>
      <c r="E48" s="379"/>
      <c r="F48" s="379"/>
      <c r="G48" s="379"/>
      <c r="H48" s="381" t="s">
        <v>93</v>
      </c>
      <c r="I48" s="387"/>
      <c r="J48" s="387"/>
      <c r="K48" s="396" t="s">
        <v>59</v>
      </c>
      <c r="L48" s="379"/>
      <c r="M48" s="347">
        <f>M47+1</f>
        <v>2023</v>
      </c>
      <c r="N48" s="101">
        <f t="shared" ref="N48:N49" si="10">IFERROR(S48+X48+AC48+AH48+AM48,"n/a")</f>
        <v>0</v>
      </c>
      <c r="O48" s="101">
        <f t="shared" ref="O48:O49" si="11">IFERROR(U48+Z48+AE48+AJ48+AO48,"n/a")</f>
        <v>0</v>
      </c>
      <c r="P48" s="388" t="str">
        <f>IFERROR(O48/N48,"n/a")</f>
        <v>n/a</v>
      </c>
      <c r="Q48" s="336"/>
      <c r="S48" s="390"/>
      <c r="T48" s="390"/>
      <c r="U48" s="390"/>
      <c r="V48" s="428" t="str">
        <f>IFERROR(T48/S48,"n/a")</f>
        <v>n/a</v>
      </c>
      <c r="W48" s="392"/>
      <c r="X48" s="390"/>
      <c r="Y48" s="390"/>
      <c r="Z48" s="390"/>
      <c r="AA48" s="428"/>
      <c r="AB48" s="392"/>
      <c r="AM48" s="394"/>
      <c r="AN48" s="393"/>
      <c r="AO48" s="100"/>
      <c r="AP48" s="391"/>
    </row>
    <row r="49" spans="1:42" ht="20.100000000000001" customHeight="1" outlineLevel="1" x14ac:dyDescent="0.5">
      <c r="A49" s="329"/>
      <c r="B49" s="329"/>
      <c r="C49" s="330"/>
      <c r="D49" s="379"/>
      <c r="E49" s="379"/>
      <c r="F49" s="379"/>
      <c r="G49" s="379"/>
      <c r="H49" s="429" t="s">
        <v>95</v>
      </c>
      <c r="I49" s="430"/>
      <c r="J49" s="430"/>
      <c r="K49" s="431" t="s">
        <v>59</v>
      </c>
      <c r="L49" s="379"/>
      <c r="M49" s="347">
        <f>M48+1</f>
        <v>2024</v>
      </c>
      <c r="N49" s="101">
        <f t="shared" si="10"/>
        <v>0</v>
      </c>
      <c r="O49" s="101">
        <f t="shared" si="11"/>
        <v>0</v>
      </c>
      <c r="P49" s="388" t="str">
        <f>IFERROR(O49/N49,"n/a")</f>
        <v>n/a</v>
      </c>
      <c r="Q49" s="336"/>
      <c r="S49" s="390"/>
      <c r="T49" s="390"/>
      <c r="U49" s="390"/>
      <c r="V49" s="428" t="str">
        <f>IFERROR(T49/S49,"n/a")</f>
        <v>n/a</v>
      </c>
      <c r="W49" s="392"/>
      <c r="X49" s="390"/>
      <c r="Y49" s="390"/>
      <c r="Z49" s="390"/>
      <c r="AA49" s="428"/>
      <c r="AB49" s="392"/>
      <c r="AM49" s="394"/>
      <c r="AN49" s="393"/>
      <c r="AO49" s="402"/>
      <c r="AP49" s="391"/>
    </row>
    <row r="50" spans="1:42" ht="20.100000000000001" customHeight="1" outlineLevel="1" x14ac:dyDescent="0.5">
      <c r="A50" s="329"/>
      <c r="B50" s="329"/>
      <c r="C50" s="330"/>
      <c r="D50" s="379"/>
      <c r="E50" s="379"/>
      <c r="F50" s="379"/>
      <c r="G50" s="379" t="s">
        <v>80</v>
      </c>
      <c r="H50" s="381" t="s">
        <v>96</v>
      </c>
      <c r="I50" s="400"/>
      <c r="J50" s="379"/>
      <c r="K50" s="383" t="s">
        <v>59</v>
      </c>
      <c r="L50" s="379"/>
      <c r="M50" s="347">
        <f>M49+1</f>
        <v>2025</v>
      </c>
      <c r="N50" s="349">
        <f>M43</f>
        <v>0</v>
      </c>
      <c r="O50" s="403">
        <f>N43</f>
        <v>0</v>
      </c>
      <c r="P50" s="388" t="str">
        <f>IFERROR(O50/N50,"n/a")</f>
        <v>n/a</v>
      </c>
      <c r="Q50" s="336"/>
      <c r="S50" s="607">
        <f>M42</f>
        <v>0</v>
      </c>
      <c r="T50" s="390"/>
      <c r="U50" s="404">
        <f>N43</f>
        <v>0</v>
      </c>
      <c r="V50" s="428" t="str">
        <f>IFERROR(T50/S50,"n/a")</f>
        <v>n/a</v>
      </c>
      <c r="W50" s="392"/>
      <c r="X50" s="404"/>
      <c r="Y50" s="390"/>
      <c r="Z50" s="404"/>
      <c r="AA50" s="428"/>
      <c r="AB50" s="392"/>
      <c r="AC50" s="404"/>
      <c r="AD50" s="390"/>
      <c r="AE50" s="404"/>
      <c r="AF50" s="428"/>
      <c r="AG50" s="392"/>
      <c r="AH50" s="404"/>
      <c r="AI50" s="390"/>
      <c r="AJ50" s="404"/>
      <c r="AK50" s="428"/>
      <c r="AL50" s="392"/>
      <c r="AM50" s="404"/>
      <c r="AN50" s="393"/>
      <c r="AO50" s="403"/>
      <c r="AP50" s="391"/>
    </row>
    <row r="51" spans="1:42" ht="20.100000000000001" customHeight="1" outlineLevel="1" x14ac:dyDescent="0.5">
      <c r="A51" s="329"/>
      <c r="B51" s="329"/>
      <c r="C51" s="330"/>
      <c r="D51" s="405" t="s">
        <v>46</v>
      </c>
      <c r="E51" s="102" t="s">
        <v>1696</v>
      </c>
      <c r="F51" s="379"/>
      <c r="G51" s="379"/>
      <c r="H51" s="381" t="s">
        <v>91</v>
      </c>
      <c r="I51" s="400"/>
      <c r="J51" s="379"/>
      <c r="K51" s="396" t="s">
        <v>59</v>
      </c>
      <c r="L51" s="379"/>
      <c r="M51" s="406"/>
      <c r="Q51" s="336"/>
    </row>
    <row r="52" spans="1:42" ht="20.100000000000001" customHeight="1" outlineLevel="1" x14ac:dyDescent="0.5">
      <c r="A52" s="329"/>
      <c r="B52" s="329"/>
      <c r="C52" s="330"/>
      <c r="D52" s="407"/>
      <c r="E52" s="408"/>
      <c r="F52" s="379"/>
      <c r="G52" s="379"/>
      <c r="H52" s="381" t="s">
        <v>93</v>
      </c>
      <c r="I52" s="400"/>
      <c r="J52" s="379"/>
      <c r="K52" s="396" t="s">
        <v>59</v>
      </c>
      <c r="L52" s="379"/>
      <c r="M52" s="409"/>
      <c r="N52" s="410"/>
      <c r="O52" s="411"/>
      <c r="P52" s="412"/>
      <c r="Q52" s="336"/>
    </row>
    <row r="53" spans="1:42" ht="20.100000000000001" customHeight="1" outlineLevel="1" x14ac:dyDescent="0.5">
      <c r="A53" s="329"/>
      <c r="B53" s="329"/>
      <c r="C53" s="330"/>
      <c r="D53" s="413"/>
      <c r="E53" s="408"/>
      <c r="F53" s="379"/>
      <c r="G53" s="379"/>
      <c r="H53" s="381" t="s">
        <v>95</v>
      </c>
      <c r="I53" s="400"/>
      <c r="J53" s="400"/>
      <c r="K53" s="401" t="s">
        <v>59</v>
      </c>
      <c r="L53" s="379"/>
      <c r="M53" s="409"/>
      <c r="N53" s="409"/>
      <c r="O53" s="409"/>
      <c r="P53" s="414"/>
      <c r="Q53" s="336"/>
    </row>
    <row r="54" spans="1:42" ht="7.35" customHeight="1" outlineLevel="1" x14ac:dyDescent="0.25">
      <c r="L54" s="415"/>
    </row>
    <row r="55" spans="1:42" ht="15" customHeight="1" outlineLevel="1" collapsed="1" x14ac:dyDescent="0.25">
      <c r="H55" s="424"/>
    </row>
    <row r="56" spans="1:42" ht="15" customHeight="1" x14ac:dyDescent="0.25">
      <c r="T56" s="511"/>
    </row>
    <row r="57" spans="1:42" ht="15" customHeight="1" x14ac:dyDescent="0.25">
      <c r="D57" s="424"/>
      <c r="M57" s="793"/>
    </row>
    <row r="58" spans="1:42" ht="15" customHeight="1" x14ac:dyDescent="0.25">
      <c r="M58" s="794"/>
      <c r="N58" s="797"/>
    </row>
    <row r="59" spans="1:42" ht="15" customHeight="1" x14ac:dyDescent="0.25">
      <c r="M59" s="794"/>
      <c r="N59" s="797"/>
    </row>
    <row r="60" spans="1:42" ht="15" customHeight="1" x14ac:dyDescent="0.25">
      <c r="M60" s="794"/>
      <c r="N60" s="797"/>
    </row>
    <row r="61" spans="1:42" ht="15" customHeight="1" x14ac:dyDescent="0.25">
      <c r="M61" s="794"/>
      <c r="N61" s="797"/>
    </row>
    <row r="62" spans="1:42" ht="15" customHeight="1" x14ac:dyDescent="0.25">
      <c r="M62" s="795"/>
      <c r="N62" s="796"/>
    </row>
  </sheetData>
  <pageMargins left="0.45" right="0.45" top="0.75" bottom="0.75" header="0.3" footer="0.3"/>
  <pageSetup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6992-7F3B-4240-9043-61D69C260F94}">
  <sheetPr codeName="Sheet23">
    <tabColor theme="1" tint="0.499984740745262"/>
    <pageSetUpPr fitToPage="1"/>
  </sheetPr>
  <dimension ref="C1:AI688"/>
  <sheetViews>
    <sheetView showGridLines="0" view="pageBreakPreview" zoomScale="90" zoomScaleNormal="100" zoomScaleSheetLayoutView="90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3.85546875" style="103" hidden="1" customWidth="1" outlineLevel="1"/>
    <col min="5" max="5" width="20.140625" style="103" bestFit="1" customWidth="1" collapsed="1"/>
    <col min="6" max="6" width="13.85546875" style="103" customWidth="1"/>
    <col min="7" max="7" width="15.42578125" style="103" customWidth="1"/>
    <col min="8" max="8" width="13.85546875" style="103" customWidth="1"/>
    <col min="9" max="9" width="13.140625" style="103" customWidth="1"/>
    <col min="10" max="10" width="15.42578125" style="103" customWidth="1"/>
    <col min="11" max="11" width="12.140625" style="103" customWidth="1"/>
    <col min="12" max="13" width="14.42578125" style="103" customWidth="1"/>
    <col min="14" max="14" width="12.140625" style="103" customWidth="1" collapsed="1"/>
    <col min="15" max="15" width="9.85546875" style="103" customWidth="1"/>
    <col min="16" max="16" width="12.140625" style="103" customWidth="1"/>
    <col min="17" max="17" width="9.85546875" style="103" customWidth="1"/>
    <col min="18" max="18" width="12.140625" style="103" customWidth="1"/>
    <col min="19" max="19" width="9.85546875" style="103" customWidth="1"/>
    <col min="20" max="20" width="12.140625" style="103" customWidth="1"/>
    <col min="21" max="21" width="9.85546875" style="103" customWidth="1"/>
    <col min="22" max="22" width="12.140625" style="103" customWidth="1"/>
    <col min="23" max="23" width="9.85546875" style="103" customWidth="1"/>
    <col min="24" max="25" width="13.42578125" style="103" customWidth="1"/>
    <col min="26" max="30" width="13.42578125" style="103" hidden="1" customWidth="1" outlineLevel="1"/>
    <col min="31" max="31" width="0.85546875" style="103" customWidth="1" collapsed="1"/>
    <col min="32" max="32" width="16.42578125" style="103" bestFit="1" customWidth="1"/>
    <col min="33" max="33" width="17.42578125" style="103" bestFit="1" customWidth="1"/>
    <col min="34" max="16384" width="9.42578125" style="103"/>
  </cols>
  <sheetData>
    <row r="1" spans="3:34" ht="4.3499999999999996" customHeight="1" x14ac:dyDescent="0.25">
      <c r="G1" s="104"/>
      <c r="J1" s="103" t="s">
        <v>176</v>
      </c>
    </row>
    <row r="2" spans="3:34" ht="4.3499999999999996" customHeight="1" x14ac:dyDescent="0.25">
      <c r="G2" s="104"/>
    </row>
    <row r="3" spans="3:34" ht="21.75" customHeight="1" thickBot="1" x14ac:dyDescent="0.35">
      <c r="C3" s="89" t="s">
        <v>123</v>
      </c>
      <c r="D3" s="89"/>
      <c r="E3" s="89"/>
      <c r="F3" s="89"/>
      <c r="G3" s="90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99"/>
      <c r="X3" s="99"/>
      <c r="Y3" s="99" t="str">
        <f>'Exec Summ'!$F$6</f>
        <v>Hudson View Park</v>
      </c>
      <c r="Z3" s="99"/>
      <c r="AA3" s="99"/>
      <c r="AB3" s="99"/>
      <c r="AC3" s="99"/>
      <c r="AD3" s="99"/>
      <c r="AF3" s="286">
        <f>OneLineRR!$C$70</f>
        <v>45931</v>
      </c>
      <c r="AG3" s="145" t="s">
        <v>196</v>
      </c>
      <c r="AH3" s="287" t="str">
        <f>IF(COUNTIF(E20:H20,"False")=0,"OK","ERROR")</f>
        <v>OK</v>
      </c>
    </row>
    <row r="4" spans="3:34" ht="20.100000000000001" customHeight="1" thickTop="1" x14ac:dyDescent="0.3">
      <c r="C4" s="108"/>
    </row>
    <row r="5" spans="3:34" ht="22.35" customHeight="1" x14ac:dyDescent="0.25">
      <c r="C5" s="539" t="s">
        <v>124</v>
      </c>
      <c r="D5" s="539"/>
      <c r="E5" s="539"/>
      <c r="F5" s="539"/>
      <c r="G5" s="539"/>
      <c r="H5" s="539"/>
      <c r="I5" s="539"/>
      <c r="J5" s="539"/>
      <c r="K5" s="540" t="s">
        <v>108</v>
      </c>
      <c r="L5" s="539"/>
      <c r="M5" s="541"/>
      <c r="N5" s="539" t="s">
        <v>125</v>
      </c>
      <c r="O5" s="542"/>
      <c r="P5" s="539"/>
      <c r="Q5" s="542"/>
      <c r="R5" s="542"/>
      <c r="S5" s="539"/>
      <c r="T5" s="539"/>
      <c r="U5" s="539"/>
      <c r="V5" s="539"/>
      <c r="W5" s="541"/>
      <c r="X5" s="539"/>
      <c r="Y5" s="539"/>
      <c r="Z5" s="539"/>
      <c r="AA5" s="539"/>
      <c r="AB5" s="539"/>
      <c r="AC5" s="539"/>
      <c r="AD5" s="541"/>
    </row>
    <row r="6" spans="3:34" ht="22.35" customHeight="1" x14ac:dyDescent="0.25">
      <c r="C6" s="279"/>
      <c r="D6" s="280" t="s">
        <v>22</v>
      </c>
      <c r="E6" s="280" t="s">
        <v>98</v>
      </c>
      <c r="F6" s="281" t="s">
        <v>99</v>
      </c>
      <c r="G6" s="281" t="s">
        <v>100</v>
      </c>
      <c r="H6" s="281" t="s">
        <v>101</v>
      </c>
      <c r="I6" s="281" t="s">
        <v>102</v>
      </c>
      <c r="J6" s="281" t="s">
        <v>48</v>
      </c>
      <c r="K6" s="299" t="s">
        <v>48</v>
      </c>
      <c r="L6" s="281" t="s">
        <v>126</v>
      </c>
      <c r="M6" s="300" t="s">
        <v>127</v>
      </c>
      <c r="N6" s="299" t="s">
        <v>128</v>
      </c>
      <c r="O6" s="300" t="s">
        <v>129</v>
      </c>
      <c r="P6" s="299" t="s">
        <v>130</v>
      </c>
      <c r="Q6" s="300" t="s">
        <v>129</v>
      </c>
      <c r="R6" s="299" t="s">
        <v>131</v>
      </c>
      <c r="S6" s="300" t="s">
        <v>129</v>
      </c>
      <c r="T6" s="299" t="s">
        <v>132</v>
      </c>
      <c r="U6" s="300" t="s">
        <v>129</v>
      </c>
      <c r="V6" s="281" t="s">
        <v>133</v>
      </c>
      <c r="W6" s="300" t="s">
        <v>129</v>
      </c>
      <c r="X6" s="281" t="s">
        <v>205</v>
      </c>
      <c r="Y6" s="281" t="s">
        <v>206</v>
      </c>
      <c r="Z6" s="326">
        <v>1</v>
      </c>
      <c r="AA6" s="326">
        <f>Z6+1</f>
        <v>2</v>
      </c>
      <c r="AB6" s="326">
        <f t="shared" ref="AB6:AD6" si="0">AA6+1</f>
        <v>3</v>
      </c>
      <c r="AC6" s="326">
        <f t="shared" si="0"/>
        <v>4</v>
      </c>
      <c r="AD6" s="327">
        <f t="shared" si="0"/>
        <v>5</v>
      </c>
    </row>
    <row r="7" spans="3:34" ht="14.1" customHeight="1" x14ac:dyDescent="0.25">
      <c r="D7" s="148" t="str">
        <f>'Unit Mix'!D6</f>
        <v>Hudson View Park</v>
      </c>
      <c r="E7" s="111" t="str">
        <f>'Unit Mix'!E6</f>
        <v>Studio - Small, Gold</v>
      </c>
      <c r="F7" s="289">
        <f>IF('Unit Mix'!AA6="","",'Unit Mix'!AA6)</f>
        <v>0</v>
      </c>
      <c r="G7" s="112">
        <f>IF('Unit Mix'!F6="","",'Unit Mix'!F6)</f>
        <v>0</v>
      </c>
      <c r="H7" s="113">
        <f>IF('Unit Mix'!G6="","",'Unit Mix'!G6)</f>
        <v>0</v>
      </c>
      <c r="I7" s="113" t="e">
        <f>IF('Unit Mix'!H6="","",'Unit Mix'!H6)</f>
        <v>#DIV/0!</v>
      </c>
      <c r="J7" s="114" t="e">
        <f>IF('Unit Mix'!O6="","",'Unit Mix'!P6)</f>
        <v>#DIV/0!</v>
      </c>
      <c r="K7" s="301" t="str">
        <f>IFERROR(AVERAGEIFS('Rent Roll'!P:P,'Rent Roll'!G:G,'Recent Leases'!E7,'Rent Roll'!L:L,"Occ",'Rent Roll'!D:D,'Recent Leases'!D7),"")</f>
        <v/>
      </c>
      <c r="L7" s="114" t="str">
        <f>'Unit Mix'!J6</f>
        <v/>
      </c>
      <c r="M7" s="302" t="str">
        <f t="shared" ref="M7" si="1">IFERROR(L7/K7,"")</f>
        <v/>
      </c>
      <c r="N7" s="301" t="str">
        <f>IFERROR(AVERAGEIFS('Rent Roll'!M:M,'Rent Roll'!D:D,'Recent Leases'!D7,'Rent Roll'!G:G,'Recent Leases'!E7,'Rent Roll'!U:U,"&gt;="&amp;'Recent Leases'!$AF$3-181),"n/a")</f>
        <v>n/a</v>
      </c>
      <c r="O7" s="307">
        <f>IFERROR(COUNTIFS('Rent Roll'!D:D,'Recent Leases'!D7,'Rent Roll'!G:G,'Recent Leases'!E7,'Rent Roll'!U:U,"&gt;="&amp;'Recent Leases'!$AF$3-181),"n/a")</f>
        <v>0</v>
      </c>
      <c r="P7" s="301" t="str">
        <f>IFERROR(AVERAGEIFS('Rent Roll'!M:M,'Rent Roll'!D:D,'Recent Leases'!D7,'Rent Roll'!G:G,'Recent Leases'!E7,'Rent Roll'!U:U,"&gt;="&amp;'Recent Leases'!$AF$3-121),"n/a")</f>
        <v>n/a</v>
      </c>
      <c r="Q7" s="307">
        <f>IFERROR(COUNTIFS('Rent Roll'!D:D,'Recent Leases'!D7,'Rent Roll'!G:G,'Recent Leases'!E7,'Rent Roll'!U:U,"&gt;="&amp;'Recent Leases'!$AF$3-121),"n/a")</f>
        <v>0</v>
      </c>
      <c r="R7" s="301" t="str">
        <f>IFERROR(AVERAGEIFS('Rent Roll'!M:M,'Rent Roll'!D:D,'Recent Leases'!D7,'Rent Roll'!G:G,'Recent Leases'!E7,'Rent Roll'!U:U,"&gt;="&amp;'Recent Leases'!$AF$3-91),"n/a")</f>
        <v>n/a</v>
      </c>
      <c r="S7" s="307">
        <f>IFERROR(COUNTIFS('Rent Roll'!D:D,'Recent Leases'!D7,'Rent Roll'!G:G,'Recent Leases'!E7,'Rent Roll'!U:U,"&gt;="&amp;'Recent Leases'!$AF$3-91),"n/a")</f>
        <v>0</v>
      </c>
      <c r="T7" s="301" t="str">
        <f>IFERROR(AVERAGEIFS('Rent Roll'!M:M,'Rent Roll'!D:D,'Recent Leases'!D7,'Rent Roll'!G:G,'Recent Leases'!E7,'Rent Roll'!U:U,"&gt;="&amp;'Recent Leases'!$AF$3-61),"n/a")</f>
        <v>n/a</v>
      </c>
      <c r="U7" s="307">
        <f>IFERROR(COUNTIFS('Rent Roll'!D:D,'Recent Leases'!D7,'Rent Roll'!G:G,'Recent Leases'!E7,'Rent Roll'!U:U,"&gt;="&amp;'Recent Leases'!$AF$3-61),"n/a")</f>
        <v>0</v>
      </c>
      <c r="V7" s="114" t="str">
        <f>IFERROR(AVERAGEIFS('Rent Roll'!M:M,'Rent Roll'!D:D,'Recent Leases'!D7,'Rent Roll'!G:G,'Recent Leases'!E7,'Rent Roll'!U:U,"&gt;="&amp;'Recent Leases'!$AF$3-31),"n/a")</f>
        <v>n/a</v>
      </c>
      <c r="W7" s="310">
        <f>IFERROR(COUNTIFS('Rent Roll'!D:D,'Recent Leases'!D7,'Rent Roll'!G:G,'Recent Leases'!E7,'Rent Roll'!U:U,"&gt;="&amp;'Recent Leases'!$AF$3-31),"n/a")</f>
        <v>0</v>
      </c>
      <c r="X7" s="311" t="e">
        <f t="shared" ref="X7" si="2">AVERAGE(Z7:AD7)</f>
        <v>#DIV/0!</v>
      </c>
      <c r="Y7" s="311" t="e">
        <f t="shared" ref="Y7" si="3">AVERAGE(Z7:AA7)</f>
        <v>#DIV/0!</v>
      </c>
      <c r="Z7" s="311" t="str" cm="1">
        <f t="array" ref="Z7">IFERROR(INDEX('Rent Roll'!$M$8:$M$515,MATCH(LARGE(IF(('Rent Roll'!$G$8:$G$515='Recent Leases'!$E7)*('Rent Roll'!$D$8:$D$515='Recent Leases'!$D7),'Rent Roll'!$AB$8:$AB$515),'Recent Leases'!Z$6),'Rent Roll'!$AB$8:$AB$515,0)),"")</f>
        <v/>
      </c>
      <c r="AA7" s="311" t="str" cm="1">
        <f t="array" ref="AA7">IFERROR(INDEX('Rent Roll'!$M$8:$M$515,MATCH(LARGE(IF(('Rent Roll'!$G$8:$G$515='Recent Leases'!$E7)*('Rent Roll'!$D$8:$D$515='Recent Leases'!$D7),'Rent Roll'!$AB$8:$AB$515),'Recent Leases'!AA$6),'Rent Roll'!$AB$8:$AB$515,0)),"")</f>
        <v/>
      </c>
      <c r="AB7" s="311" t="str" cm="1">
        <f t="array" ref="AB7">IFERROR(INDEX('Rent Roll'!$M$8:$M$515,MATCH(LARGE(IF(('Rent Roll'!$G$8:$G$515='Recent Leases'!$E7)*('Rent Roll'!$D$8:$D$515='Recent Leases'!$D7),'Rent Roll'!$AB$8:$AB$515),'Recent Leases'!AB$6),'Rent Roll'!$AB$8:$AB$515,0)),"")</f>
        <v/>
      </c>
      <c r="AC7" s="311" t="str" cm="1">
        <f t="array" ref="AC7">IFERROR(INDEX('Rent Roll'!$M$8:$M$515,MATCH(LARGE(IF(('Rent Roll'!$G$8:$G$515='Recent Leases'!$E7)*('Rent Roll'!$D$8:$D$515='Recent Leases'!$D7),'Rent Roll'!$AB$8:$AB$515),'Recent Leases'!AC$6),'Rent Roll'!$AB$8:$AB$515,0)),"")</f>
        <v/>
      </c>
      <c r="AD7" s="324" t="str" cm="1">
        <f t="array" ref="AD7">IFERROR(INDEX('Rent Roll'!$M$8:$M$515,MATCH(LARGE(IF(('Rent Roll'!$G$8:$G$515='Recent Leases'!$E7)*('Rent Roll'!$D$8:$D$515='Recent Leases'!$D7),'Rent Roll'!$AB$8:$AB$515),'Recent Leases'!AD$6),'Rent Roll'!$AB$8:$AB$515,0)),"")</f>
        <v/>
      </c>
    </row>
    <row r="8" spans="3:34" ht="14.1" customHeight="1" x14ac:dyDescent="0.25">
      <c r="D8" s="148" t="str">
        <f>'Unit Mix'!D7</f>
        <v>Hudson View Park</v>
      </c>
      <c r="E8" s="111" t="str">
        <f>'Unit Mix'!E7</f>
        <v>Studio - Small, Platinum</v>
      </c>
      <c r="F8" s="289">
        <f>IF('Unit Mix'!AA7="","",'Unit Mix'!AA7)</f>
        <v>0</v>
      </c>
      <c r="G8" s="112">
        <f>IF('Unit Mix'!F7="","",'Unit Mix'!F7)</f>
        <v>0</v>
      </c>
      <c r="H8" s="113">
        <f>IF('Unit Mix'!G7="","",'Unit Mix'!G7)</f>
        <v>0</v>
      </c>
      <c r="I8" s="113" t="e">
        <f>IF('Unit Mix'!H7="","",'Unit Mix'!H7)</f>
        <v>#DIV/0!</v>
      </c>
      <c r="J8" s="114" t="e">
        <f>IF('Unit Mix'!O7="","",'Unit Mix'!P7)</f>
        <v>#DIV/0!</v>
      </c>
      <c r="K8" s="301" t="str">
        <f>IFERROR(AVERAGEIFS('Rent Roll'!P:P,'Rent Roll'!G:G,'Recent Leases'!E8,'Rent Roll'!L:L,"Occ",'Rent Roll'!D:D,'Recent Leases'!D8),"")</f>
        <v/>
      </c>
      <c r="L8" s="114" t="str">
        <f>'Unit Mix'!J7</f>
        <v/>
      </c>
      <c r="M8" s="302" t="str">
        <f t="shared" ref="M8:M11" si="4">IFERROR(L8/K8,"")</f>
        <v/>
      </c>
      <c r="N8" s="301" t="str">
        <f>IFERROR(AVERAGEIFS('Rent Roll'!M:M,'Rent Roll'!D:D,'Recent Leases'!D8,'Rent Roll'!G:G,'Recent Leases'!E8,'Rent Roll'!U:U,"&gt;="&amp;'Recent Leases'!$AF$3-181),"n/a")</f>
        <v>n/a</v>
      </c>
      <c r="O8" s="307">
        <f>IFERROR(COUNTIFS('Rent Roll'!D:D,'Recent Leases'!D8,'Rent Roll'!G:G,'Recent Leases'!E8,'Rent Roll'!U:U,"&gt;="&amp;'Recent Leases'!$AF$3-181),"n/a")</f>
        <v>0</v>
      </c>
      <c r="P8" s="301" t="str">
        <f>IFERROR(AVERAGEIFS('Rent Roll'!M:M,'Rent Roll'!D:D,'Recent Leases'!D8,'Rent Roll'!G:G,'Recent Leases'!E8,'Rent Roll'!U:U,"&gt;="&amp;'Recent Leases'!$AF$3-121),"n/a")</f>
        <v>n/a</v>
      </c>
      <c r="Q8" s="307">
        <f>IFERROR(COUNTIFS('Rent Roll'!D:D,'Recent Leases'!D8,'Rent Roll'!G:G,'Recent Leases'!E8,'Rent Roll'!U:U,"&gt;="&amp;'Recent Leases'!$AF$3-121),"n/a")</f>
        <v>0</v>
      </c>
      <c r="R8" s="301" t="str">
        <f>IFERROR(AVERAGEIFS('Rent Roll'!M:M,'Rent Roll'!D:D,'Recent Leases'!D8,'Rent Roll'!G:G,'Recent Leases'!E8,'Rent Roll'!U:U,"&gt;="&amp;'Recent Leases'!$AF$3-91),"n/a")</f>
        <v>n/a</v>
      </c>
      <c r="S8" s="307">
        <f>IFERROR(COUNTIFS('Rent Roll'!D:D,'Recent Leases'!D8,'Rent Roll'!G:G,'Recent Leases'!E8,'Rent Roll'!U:U,"&gt;="&amp;'Recent Leases'!$AF$3-91),"n/a")</f>
        <v>0</v>
      </c>
      <c r="T8" s="301" t="str">
        <f>IFERROR(AVERAGEIFS('Rent Roll'!M:M,'Rent Roll'!D:D,'Recent Leases'!D8,'Rent Roll'!G:G,'Recent Leases'!E8,'Rent Roll'!U:U,"&gt;="&amp;'Recent Leases'!$AF$3-61),"n/a")</f>
        <v>n/a</v>
      </c>
      <c r="U8" s="307">
        <f>IFERROR(COUNTIFS('Rent Roll'!D:D,'Recent Leases'!D8,'Rent Roll'!G:G,'Recent Leases'!E8,'Rent Roll'!U:U,"&gt;="&amp;'Recent Leases'!$AF$3-61),"n/a")</f>
        <v>0</v>
      </c>
      <c r="V8" s="114" t="str">
        <f>IFERROR(AVERAGEIFS('Rent Roll'!M:M,'Rent Roll'!D:D,'Recent Leases'!D8,'Rent Roll'!G:G,'Recent Leases'!E8,'Rent Roll'!U:U,"&gt;="&amp;'Recent Leases'!$AF$3-31),"n/a")</f>
        <v>n/a</v>
      </c>
      <c r="W8" s="310">
        <f>IFERROR(COUNTIFS('Rent Roll'!D:D,'Recent Leases'!D8,'Rent Roll'!G:G,'Recent Leases'!E8,'Rent Roll'!U:U,"&gt;="&amp;'Recent Leases'!$AF$3-31),"n/a")</f>
        <v>0</v>
      </c>
      <c r="X8" s="311" t="e">
        <f t="shared" ref="X8:X11" si="5">AVERAGE(Z8:AD8)</f>
        <v>#DIV/0!</v>
      </c>
      <c r="Y8" s="311" t="e">
        <f t="shared" ref="Y8:Y11" si="6">AVERAGE(Z8:AA8)</f>
        <v>#DIV/0!</v>
      </c>
      <c r="Z8" s="311" t="str" cm="1">
        <f t="array" ref="Z8">IFERROR(INDEX('Rent Roll'!$M$8:$M$515,MATCH(LARGE(IF(('Rent Roll'!$G$8:$G$515='Recent Leases'!$E8)*('Rent Roll'!$D$8:$D$515='Recent Leases'!$D8),'Rent Roll'!$AB$8:$AB$515),'Recent Leases'!Z$6),'Rent Roll'!$AB$8:$AB$515,0)),"")</f>
        <v/>
      </c>
      <c r="AA8" s="311" t="str" cm="1">
        <f t="array" ref="AA8">IFERROR(INDEX('Rent Roll'!$M$8:$M$515,MATCH(LARGE(IF(('Rent Roll'!$G$8:$G$515='Recent Leases'!$E8)*('Rent Roll'!$D$8:$D$515='Recent Leases'!$D8),'Rent Roll'!$AB$8:$AB$515),'Recent Leases'!AA$6),'Rent Roll'!$AB$8:$AB$515,0)),"")</f>
        <v/>
      </c>
      <c r="AB8" s="311" t="str" cm="1">
        <f t="array" ref="AB8">IFERROR(INDEX('Rent Roll'!$M$8:$M$515,MATCH(LARGE(IF(('Rent Roll'!$G$8:$G$515='Recent Leases'!$E8)*('Rent Roll'!$D$8:$D$515='Recent Leases'!$D8),'Rent Roll'!$AB$8:$AB$515),'Recent Leases'!AB$6),'Rent Roll'!$AB$8:$AB$515,0)),"")</f>
        <v/>
      </c>
      <c r="AC8" s="311" t="str" cm="1">
        <f t="array" ref="AC8">IFERROR(INDEX('Rent Roll'!$M$8:$M$515,MATCH(LARGE(IF(('Rent Roll'!$G$8:$G$515='Recent Leases'!$E8)*('Rent Roll'!$D$8:$D$515='Recent Leases'!$D8),'Rent Roll'!$AB$8:$AB$515),'Recent Leases'!AC$6),'Rent Roll'!$AB$8:$AB$515,0)),"")</f>
        <v/>
      </c>
      <c r="AD8" s="324" t="str" cm="1">
        <f t="array" ref="AD8">IFERROR(INDEX('Rent Roll'!$M$8:$M$515,MATCH(LARGE(IF(('Rent Roll'!$G$8:$G$515='Recent Leases'!$E8)*('Rent Roll'!$D$8:$D$515='Recent Leases'!$D8),'Rent Roll'!$AB$8:$AB$515),'Recent Leases'!AD$6),'Rent Roll'!$AB$8:$AB$515,0)),"")</f>
        <v/>
      </c>
    </row>
    <row r="9" spans="3:34" ht="14.1" customHeight="1" x14ac:dyDescent="0.25">
      <c r="D9" s="148" t="str">
        <f>'Unit Mix'!D8</f>
        <v>Hudson View Park</v>
      </c>
      <c r="E9" s="111" t="str">
        <f>'Unit Mix'!E8</f>
        <v>Studio - Medium, Gold</v>
      </c>
      <c r="F9" s="289">
        <f>IF('Unit Mix'!AA8="","",'Unit Mix'!AA8)</f>
        <v>0</v>
      </c>
      <c r="G9" s="112">
        <f>IF('Unit Mix'!F8="","",'Unit Mix'!F8)</f>
        <v>0</v>
      </c>
      <c r="H9" s="113">
        <f>IF('Unit Mix'!G8="","",'Unit Mix'!G8)</f>
        <v>0</v>
      </c>
      <c r="I9" s="113" t="e">
        <f>IF('Unit Mix'!H8="","",'Unit Mix'!H8)</f>
        <v>#DIV/0!</v>
      </c>
      <c r="J9" s="114" t="e">
        <f>IF('Unit Mix'!O8="","",'Unit Mix'!P8)</f>
        <v>#DIV/0!</v>
      </c>
      <c r="K9" s="301" t="str">
        <f>IFERROR(AVERAGEIFS('Rent Roll'!P:P,'Rent Roll'!G:G,'Recent Leases'!E9,'Rent Roll'!L:L,"Occ",'Rent Roll'!D:D,'Recent Leases'!D9),"")</f>
        <v/>
      </c>
      <c r="L9" s="114" t="str">
        <f>'Unit Mix'!J8</f>
        <v/>
      </c>
      <c r="M9" s="302" t="str">
        <f t="shared" si="4"/>
        <v/>
      </c>
      <c r="N9" s="301" t="str">
        <f>IFERROR(AVERAGEIFS('Rent Roll'!M:M,'Rent Roll'!D:D,'Recent Leases'!D9,'Rent Roll'!G:G,'Recent Leases'!E9,'Rent Roll'!U:U,"&gt;="&amp;'Recent Leases'!$AF$3-181),"n/a")</f>
        <v>n/a</v>
      </c>
      <c r="O9" s="307">
        <f>IFERROR(COUNTIFS('Rent Roll'!D:D,'Recent Leases'!D9,'Rent Roll'!G:G,'Recent Leases'!E9,'Rent Roll'!U:U,"&gt;="&amp;'Recent Leases'!$AF$3-181),"n/a")</f>
        <v>0</v>
      </c>
      <c r="P9" s="301" t="str">
        <f>IFERROR(AVERAGEIFS('Rent Roll'!M:M,'Rent Roll'!D:D,'Recent Leases'!D9,'Rent Roll'!G:G,'Recent Leases'!E9,'Rent Roll'!U:U,"&gt;="&amp;'Recent Leases'!$AF$3-121),"n/a")</f>
        <v>n/a</v>
      </c>
      <c r="Q9" s="307">
        <f>IFERROR(COUNTIFS('Rent Roll'!D:D,'Recent Leases'!D9,'Rent Roll'!G:G,'Recent Leases'!E9,'Rent Roll'!U:U,"&gt;="&amp;'Recent Leases'!$AF$3-121),"n/a")</f>
        <v>0</v>
      </c>
      <c r="R9" s="301" t="str">
        <f>IFERROR(AVERAGEIFS('Rent Roll'!M:M,'Rent Roll'!D:D,'Recent Leases'!D9,'Rent Roll'!G:G,'Recent Leases'!E9,'Rent Roll'!U:U,"&gt;="&amp;'Recent Leases'!$AF$3-91),"n/a")</f>
        <v>n/a</v>
      </c>
      <c r="S9" s="307">
        <f>IFERROR(COUNTIFS('Rent Roll'!D:D,'Recent Leases'!D9,'Rent Roll'!G:G,'Recent Leases'!E9,'Rent Roll'!U:U,"&gt;="&amp;'Recent Leases'!$AF$3-91),"n/a")</f>
        <v>0</v>
      </c>
      <c r="T9" s="301" t="str">
        <f>IFERROR(AVERAGEIFS('Rent Roll'!M:M,'Rent Roll'!D:D,'Recent Leases'!D9,'Rent Roll'!G:G,'Recent Leases'!E9,'Rent Roll'!U:U,"&gt;="&amp;'Recent Leases'!$AF$3-61),"n/a")</f>
        <v>n/a</v>
      </c>
      <c r="U9" s="307">
        <f>IFERROR(COUNTIFS('Rent Roll'!D:D,'Recent Leases'!D9,'Rent Roll'!G:G,'Recent Leases'!E9,'Rent Roll'!U:U,"&gt;="&amp;'Recent Leases'!$AF$3-61),"n/a")</f>
        <v>0</v>
      </c>
      <c r="V9" s="114" t="str">
        <f>IFERROR(AVERAGEIFS('Rent Roll'!M:M,'Rent Roll'!D:D,'Recent Leases'!D9,'Rent Roll'!G:G,'Recent Leases'!E9,'Rent Roll'!U:U,"&gt;="&amp;'Recent Leases'!$AF$3-31),"n/a")</f>
        <v>n/a</v>
      </c>
      <c r="W9" s="310">
        <f>IFERROR(COUNTIFS('Rent Roll'!D:D,'Recent Leases'!D9,'Rent Roll'!G:G,'Recent Leases'!E9,'Rent Roll'!U:U,"&gt;="&amp;'Recent Leases'!$AF$3-31),"n/a")</f>
        <v>0</v>
      </c>
      <c r="X9" s="311" t="e">
        <f t="shared" si="5"/>
        <v>#DIV/0!</v>
      </c>
      <c r="Y9" s="311" t="e">
        <f t="shared" si="6"/>
        <v>#DIV/0!</v>
      </c>
      <c r="Z9" s="311" t="str" cm="1">
        <f t="array" ref="Z9">IFERROR(INDEX('Rent Roll'!$M$8:$M$515,MATCH(LARGE(IF(('Rent Roll'!$G$8:$G$515='Recent Leases'!$E9)*('Rent Roll'!$D$8:$D$515='Recent Leases'!$D9),'Rent Roll'!$AB$8:$AB$515),'Recent Leases'!Z$6),'Rent Roll'!$AB$8:$AB$515,0)),"")</f>
        <v/>
      </c>
      <c r="AA9" s="311" t="str" cm="1">
        <f t="array" ref="AA9">IFERROR(INDEX('Rent Roll'!$M$8:$M$515,MATCH(LARGE(IF(('Rent Roll'!$G$8:$G$515='Recent Leases'!$E9)*('Rent Roll'!$D$8:$D$515='Recent Leases'!$D9),'Rent Roll'!$AB$8:$AB$515),'Recent Leases'!AA$6),'Rent Roll'!$AB$8:$AB$515,0)),"")</f>
        <v/>
      </c>
      <c r="AB9" s="311" t="str" cm="1">
        <f t="array" ref="AB9">IFERROR(INDEX('Rent Roll'!$M$8:$M$515,MATCH(LARGE(IF(('Rent Roll'!$G$8:$G$515='Recent Leases'!$E9)*('Rent Roll'!$D$8:$D$515='Recent Leases'!$D9),'Rent Roll'!$AB$8:$AB$515),'Recent Leases'!AB$6),'Rent Roll'!$AB$8:$AB$515,0)),"")</f>
        <v/>
      </c>
      <c r="AC9" s="311" t="str" cm="1">
        <f t="array" ref="AC9">IFERROR(INDEX('Rent Roll'!$M$8:$M$515,MATCH(LARGE(IF(('Rent Roll'!$G$8:$G$515='Recent Leases'!$E9)*('Rent Roll'!$D$8:$D$515='Recent Leases'!$D9),'Rent Roll'!$AB$8:$AB$515),'Recent Leases'!AC$6),'Rent Roll'!$AB$8:$AB$515,0)),"")</f>
        <v/>
      </c>
      <c r="AD9" s="324" t="str" cm="1">
        <f t="array" ref="AD9">IFERROR(INDEX('Rent Roll'!$M$8:$M$515,MATCH(LARGE(IF(('Rent Roll'!$G$8:$G$515='Recent Leases'!$E9)*('Rent Roll'!$D$8:$D$515='Recent Leases'!$D9),'Rent Roll'!$AB$8:$AB$515),'Recent Leases'!AD$6),'Rent Roll'!$AB$8:$AB$515,0)),"")</f>
        <v/>
      </c>
    </row>
    <row r="10" spans="3:34" ht="14.1" customHeight="1" x14ac:dyDescent="0.25">
      <c r="D10" s="148" t="str">
        <f>'Unit Mix'!D9</f>
        <v>Hudson View Park</v>
      </c>
      <c r="E10" s="111" t="str">
        <f>'Unit Mix'!E9</f>
        <v>Studio - Medium, Platinum</v>
      </c>
      <c r="F10" s="289">
        <f>IF('Unit Mix'!AA9="","",'Unit Mix'!AA9)</f>
        <v>0</v>
      </c>
      <c r="G10" s="112">
        <f>IF('Unit Mix'!F9="","",'Unit Mix'!F9)</f>
        <v>0</v>
      </c>
      <c r="H10" s="113">
        <f>IF('Unit Mix'!G9="","",'Unit Mix'!G9)</f>
        <v>0</v>
      </c>
      <c r="I10" s="113" t="e">
        <f>IF('Unit Mix'!H9="","",'Unit Mix'!H9)</f>
        <v>#DIV/0!</v>
      </c>
      <c r="J10" s="114" t="e">
        <f>IF('Unit Mix'!O9="","",'Unit Mix'!P9)</f>
        <v>#DIV/0!</v>
      </c>
      <c r="K10" s="301" t="str">
        <f>IFERROR(AVERAGEIFS('Rent Roll'!P:P,'Rent Roll'!G:G,'Recent Leases'!E10,'Rent Roll'!L:L,"Occ",'Rent Roll'!D:D,'Recent Leases'!D10),"")</f>
        <v/>
      </c>
      <c r="L10" s="114" t="str">
        <f>'Unit Mix'!J9</f>
        <v/>
      </c>
      <c r="M10" s="302" t="str">
        <f t="shared" si="4"/>
        <v/>
      </c>
      <c r="N10" s="301" t="str">
        <f>IFERROR(AVERAGEIFS('Rent Roll'!M:M,'Rent Roll'!D:D,'Recent Leases'!D10,'Rent Roll'!G:G,'Recent Leases'!E10,'Rent Roll'!U:U,"&gt;="&amp;'Recent Leases'!$AF$3-181),"n/a")</f>
        <v>n/a</v>
      </c>
      <c r="O10" s="307">
        <f>IFERROR(COUNTIFS('Rent Roll'!D:D,'Recent Leases'!D10,'Rent Roll'!G:G,'Recent Leases'!E10,'Rent Roll'!U:U,"&gt;="&amp;'Recent Leases'!$AF$3-181),"n/a")</f>
        <v>0</v>
      </c>
      <c r="P10" s="301" t="str">
        <f>IFERROR(AVERAGEIFS('Rent Roll'!M:M,'Rent Roll'!D:D,'Recent Leases'!D10,'Rent Roll'!G:G,'Recent Leases'!E10,'Rent Roll'!U:U,"&gt;="&amp;'Recent Leases'!$AF$3-121),"n/a")</f>
        <v>n/a</v>
      </c>
      <c r="Q10" s="307">
        <f>IFERROR(COUNTIFS('Rent Roll'!D:D,'Recent Leases'!D10,'Rent Roll'!G:G,'Recent Leases'!E10,'Rent Roll'!U:U,"&gt;="&amp;'Recent Leases'!$AF$3-121),"n/a")</f>
        <v>0</v>
      </c>
      <c r="R10" s="301" t="str">
        <f>IFERROR(AVERAGEIFS('Rent Roll'!M:M,'Rent Roll'!D:D,'Recent Leases'!D10,'Rent Roll'!G:G,'Recent Leases'!E10,'Rent Roll'!U:U,"&gt;="&amp;'Recent Leases'!$AF$3-91),"n/a")</f>
        <v>n/a</v>
      </c>
      <c r="S10" s="307">
        <f>IFERROR(COUNTIFS('Rent Roll'!D:D,'Recent Leases'!D10,'Rent Roll'!G:G,'Recent Leases'!E10,'Rent Roll'!U:U,"&gt;="&amp;'Recent Leases'!$AF$3-91),"n/a")</f>
        <v>0</v>
      </c>
      <c r="T10" s="301" t="str">
        <f>IFERROR(AVERAGEIFS('Rent Roll'!M:M,'Rent Roll'!D:D,'Recent Leases'!D10,'Rent Roll'!G:G,'Recent Leases'!E10,'Rent Roll'!U:U,"&gt;="&amp;'Recent Leases'!$AF$3-61),"n/a")</f>
        <v>n/a</v>
      </c>
      <c r="U10" s="307">
        <f>IFERROR(COUNTIFS('Rent Roll'!D:D,'Recent Leases'!D10,'Rent Roll'!G:G,'Recent Leases'!E10,'Rent Roll'!U:U,"&gt;="&amp;'Recent Leases'!$AF$3-61),"n/a")</f>
        <v>0</v>
      </c>
      <c r="V10" s="114" t="str">
        <f>IFERROR(AVERAGEIFS('Rent Roll'!M:M,'Rent Roll'!D:D,'Recent Leases'!D10,'Rent Roll'!G:G,'Recent Leases'!E10,'Rent Roll'!U:U,"&gt;="&amp;'Recent Leases'!$AF$3-31),"n/a")</f>
        <v>n/a</v>
      </c>
      <c r="W10" s="310">
        <f>IFERROR(COUNTIFS('Rent Roll'!D:D,'Recent Leases'!D10,'Rent Roll'!G:G,'Recent Leases'!E10,'Rent Roll'!U:U,"&gt;="&amp;'Recent Leases'!$AF$3-31),"n/a")</f>
        <v>0</v>
      </c>
      <c r="X10" s="311" t="e">
        <f t="shared" si="5"/>
        <v>#DIV/0!</v>
      </c>
      <c r="Y10" s="311" t="e">
        <f t="shared" si="6"/>
        <v>#DIV/0!</v>
      </c>
      <c r="Z10" s="311" t="str" cm="1">
        <f t="array" ref="Z10">IFERROR(INDEX('Rent Roll'!$M$8:$M$515,MATCH(LARGE(IF(('Rent Roll'!$G$8:$G$515='Recent Leases'!$E10)*('Rent Roll'!$D$8:$D$515='Recent Leases'!$D10),'Rent Roll'!$AB$8:$AB$515),'Recent Leases'!Z$6),'Rent Roll'!$AB$8:$AB$515,0)),"")</f>
        <v/>
      </c>
      <c r="AA10" s="311" t="str" cm="1">
        <f t="array" ref="AA10">IFERROR(INDEX('Rent Roll'!$M$8:$M$515,MATCH(LARGE(IF(('Rent Roll'!$G$8:$G$515='Recent Leases'!$E10)*('Rent Roll'!$D$8:$D$515='Recent Leases'!$D10),'Rent Roll'!$AB$8:$AB$515),'Recent Leases'!AA$6),'Rent Roll'!$AB$8:$AB$515,0)),"")</f>
        <v/>
      </c>
      <c r="AB10" s="311" t="str" cm="1">
        <f t="array" ref="AB10">IFERROR(INDEX('Rent Roll'!$M$8:$M$515,MATCH(LARGE(IF(('Rent Roll'!$G$8:$G$515='Recent Leases'!$E10)*('Rent Roll'!$D$8:$D$515='Recent Leases'!$D10),'Rent Roll'!$AB$8:$AB$515),'Recent Leases'!AB$6),'Rent Roll'!$AB$8:$AB$515,0)),"")</f>
        <v/>
      </c>
      <c r="AC10" s="311" t="str" cm="1">
        <f t="array" ref="AC10">IFERROR(INDEX('Rent Roll'!$M$8:$M$515,MATCH(LARGE(IF(('Rent Roll'!$G$8:$G$515='Recent Leases'!$E10)*('Rent Roll'!$D$8:$D$515='Recent Leases'!$D10),'Rent Roll'!$AB$8:$AB$515),'Recent Leases'!AC$6),'Rent Roll'!$AB$8:$AB$515,0)),"")</f>
        <v/>
      </c>
      <c r="AD10" s="324" t="str" cm="1">
        <f t="array" ref="AD10">IFERROR(INDEX('Rent Roll'!$M$8:$M$515,MATCH(LARGE(IF(('Rent Roll'!$G$8:$G$515='Recent Leases'!$E10)*('Rent Roll'!$D$8:$D$515='Recent Leases'!$D10),'Rent Roll'!$AB$8:$AB$515),'Recent Leases'!AD$6),'Rent Roll'!$AB$8:$AB$515,0)),"")</f>
        <v/>
      </c>
    </row>
    <row r="11" spans="3:34" ht="14.1" customHeight="1" x14ac:dyDescent="0.25">
      <c r="D11" s="148" t="str">
        <f>'Unit Mix'!D10</f>
        <v>Hudson View Park</v>
      </c>
      <c r="E11" s="111" t="str">
        <f>'Unit Mix'!E10</f>
        <v>Studio - Medium, Silver</v>
      </c>
      <c r="F11" s="289">
        <f>IF('Unit Mix'!AA10="","",'Unit Mix'!AA10)</f>
        <v>0</v>
      </c>
      <c r="G11" s="112">
        <f>IF('Unit Mix'!F10="","",'Unit Mix'!F10)</f>
        <v>0</v>
      </c>
      <c r="H11" s="113">
        <f>IF('Unit Mix'!G10="","",'Unit Mix'!G10)</f>
        <v>0</v>
      </c>
      <c r="I11" s="113" t="e">
        <f>IF('Unit Mix'!H10="","",'Unit Mix'!H10)</f>
        <v>#DIV/0!</v>
      </c>
      <c r="J11" s="114" t="e">
        <f>IF('Unit Mix'!O10="","",'Unit Mix'!P10)</f>
        <v>#DIV/0!</v>
      </c>
      <c r="K11" s="301" t="str">
        <f>IFERROR(AVERAGEIFS('Rent Roll'!P:P,'Rent Roll'!G:G,'Recent Leases'!E11,'Rent Roll'!L:L,"Occ",'Rent Roll'!D:D,'Recent Leases'!D11),"")</f>
        <v/>
      </c>
      <c r="L11" s="114" t="str">
        <f>'Unit Mix'!J10</f>
        <v/>
      </c>
      <c r="M11" s="302" t="str">
        <f t="shared" si="4"/>
        <v/>
      </c>
      <c r="N11" s="301" t="str">
        <f>IFERROR(AVERAGEIFS('Rent Roll'!M:M,'Rent Roll'!D:D,'Recent Leases'!D11,'Rent Roll'!G:G,'Recent Leases'!E11,'Rent Roll'!U:U,"&gt;="&amp;'Recent Leases'!$AF$3-181),"n/a")</f>
        <v>n/a</v>
      </c>
      <c r="O11" s="307">
        <f>IFERROR(COUNTIFS('Rent Roll'!D:D,'Recent Leases'!D11,'Rent Roll'!G:G,'Recent Leases'!E11,'Rent Roll'!U:U,"&gt;="&amp;'Recent Leases'!$AF$3-181),"n/a")</f>
        <v>0</v>
      </c>
      <c r="P11" s="301" t="str">
        <f>IFERROR(AVERAGEIFS('Rent Roll'!M:M,'Rent Roll'!D:D,'Recent Leases'!D11,'Rent Roll'!G:G,'Recent Leases'!E11,'Rent Roll'!U:U,"&gt;="&amp;'Recent Leases'!$AF$3-121),"n/a")</f>
        <v>n/a</v>
      </c>
      <c r="Q11" s="307">
        <f>IFERROR(COUNTIFS('Rent Roll'!D:D,'Recent Leases'!D11,'Rent Roll'!G:G,'Recent Leases'!E11,'Rent Roll'!U:U,"&gt;="&amp;'Recent Leases'!$AF$3-121),"n/a")</f>
        <v>0</v>
      </c>
      <c r="R11" s="301" t="str">
        <f>IFERROR(AVERAGEIFS('Rent Roll'!M:M,'Rent Roll'!D:D,'Recent Leases'!D11,'Rent Roll'!G:G,'Recent Leases'!E11,'Rent Roll'!U:U,"&gt;="&amp;'Recent Leases'!$AF$3-91),"n/a")</f>
        <v>n/a</v>
      </c>
      <c r="S11" s="307">
        <f>IFERROR(COUNTIFS('Rent Roll'!D:D,'Recent Leases'!D11,'Rent Roll'!G:G,'Recent Leases'!E11,'Rent Roll'!U:U,"&gt;="&amp;'Recent Leases'!$AF$3-91),"n/a")</f>
        <v>0</v>
      </c>
      <c r="T11" s="301" t="str">
        <f>IFERROR(AVERAGEIFS('Rent Roll'!M:M,'Rent Roll'!D:D,'Recent Leases'!D11,'Rent Roll'!G:G,'Recent Leases'!E11,'Rent Roll'!U:U,"&gt;="&amp;'Recent Leases'!$AF$3-61),"n/a")</f>
        <v>n/a</v>
      </c>
      <c r="U11" s="307">
        <f>IFERROR(COUNTIFS('Rent Roll'!D:D,'Recent Leases'!D11,'Rent Roll'!G:G,'Recent Leases'!E11,'Rent Roll'!U:U,"&gt;="&amp;'Recent Leases'!$AF$3-61),"n/a")</f>
        <v>0</v>
      </c>
      <c r="V11" s="114" t="str">
        <f>IFERROR(AVERAGEIFS('Rent Roll'!M:M,'Rent Roll'!D:D,'Recent Leases'!D11,'Rent Roll'!G:G,'Recent Leases'!E11,'Rent Roll'!U:U,"&gt;="&amp;'Recent Leases'!$AF$3-31),"n/a")</f>
        <v>n/a</v>
      </c>
      <c r="W11" s="310">
        <f>IFERROR(COUNTIFS('Rent Roll'!D:D,'Recent Leases'!D11,'Rent Roll'!G:G,'Recent Leases'!E11,'Rent Roll'!U:U,"&gt;="&amp;'Recent Leases'!$AF$3-31),"n/a")</f>
        <v>0</v>
      </c>
      <c r="X11" s="311" t="e">
        <f t="shared" si="5"/>
        <v>#DIV/0!</v>
      </c>
      <c r="Y11" s="311" t="e">
        <f t="shared" si="6"/>
        <v>#DIV/0!</v>
      </c>
      <c r="Z11" s="311" t="str" cm="1">
        <f t="array" ref="Z11">IFERROR(INDEX('Rent Roll'!$M$8:$M$515,MATCH(LARGE(IF(('Rent Roll'!$G$8:$G$515='Recent Leases'!$E11)*('Rent Roll'!$D$8:$D$515='Recent Leases'!$D11),'Rent Roll'!$AB$8:$AB$515),'Recent Leases'!Z$6),'Rent Roll'!$AB$8:$AB$515,0)),"")</f>
        <v/>
      </c>
      <c r="AA11" s="311" t="str" cm="1">
        <f t="array" ref="AA11">IFERROR(INDEX('Rent Roll'!$M$8:$M$515,MATCH(LARGE(IF(('Rent Roll'!$G$8:$G$515='Recent Leases'!$E11)*('Rent Roll'!$D$8:$D$515='Recent Leases'!$D11),'Rent Roll'!$AB$8:$AB$515),'Recent Leases'!AA$6),'Rent Roll'!$AB$8:$AB$515,0)),"")</f>
        <v/>
      </c>
      <c r="AB11" s="311" t="str" cm="1">
        <f t="array" ref="AB11">IFERROR(INDEX('Rent Roll'!$M$8:$M$515,MATCH(LARGE(IF(('Rent Roll'!$G$8:$G$515='Recent Leases'!$E11)*('Rent Roll'!$D$8:$D$515='Recent Leases'!$D11),'Rent Roll'!$AB$8:$AB$515),'Recent Leases'!AB$6),'Rent Roll'!$AB$8:$AB$515,0)),"")</f>
        <v/>
      </c>
      <c r="AC11" s="311" t="str" cm="1">
        <f t="array" ref="AC11">IFERROR(INDEX('Rent Roll'!$M$8:$M$515,MATCH(LARGE(IF(('Rent Roll'!$G$8:$G$515='Recent Leases'!$E11)*('Rent Roll'!$D$8:$D$515='Recent Leases'!$D11),'Rent Roll'!$AB$8:$AB$515),'Recent Leases'!AC$6),'Rent Roll'!$AB$8:$AB$515,0)),"")</f>
        <v/>
      </c>
      <c r="AD11" s="324" t="str" cm="1">
        <f t="array" ref="AD11">IFERROR(INDEX('Rent Roll'!$M$8:$M$515,MATCH(LARGE(IF(('Rent Roll'!$G$8:$G$515='Recent Leases'!$E11)*('Rent Roll'!$D$8:$D$515='Recent Leases'!$D11),'Rent Roll'!$AB$8:$AB$515),'Recent Leases'!AD$6),'Rent Roll'!$AB$8:$AB$515,0)),"")</f>
        <v/>
      </c>
    </row>
    <row r="12" spans="3:34" ht="14.1" customHeight="1" x14ac:dyDescent="0.25">
      <c r="C12" s="115" t="s">
        <v>56</v>
      </c>
      <c r="D12" s="115"/>
      <c r="E12" s="115"/>
      <c r="F12" s="116">
        <f>SUM(F7:F11)</f>
        <v>0</v>
      </c>
      <c r="G12" s="116">
        <f>SUM(G7:G11)</f>
        <v>0</v>
      </c>
      <c r="H12" s="117">
        <f>SUM(H7:H11)</f>
        <v>0</v>
      </c>
      <c r="I12" s="117" t="e">
        <f>SUMPRODUCT(I7:I11,G7:G11)/$G$12</f>
        <v>#DIV/0!</v>
      </c>
      <c r="J12" s="118" t="e">
        <f>SUMPRODUCT(J7:J11,$G$7:$G$11)/SUM($G$7:$G$11)</f>
        <v>#DIV/0!</v>
      </c>
      <c r="K12" s="303" t="e">
        <f>SUMPRODUCT(K7:K11,$F$7:$F$11)/SUM($F$7:$F$11)</f>
        <v>#DIV/0!</v>
      </c>
      <c r="L12" s="118" t="e">
        <f>SUMPRODUCT(L7:L11,$F$7:$F$11)/SUM($F$7:$F$11)</f>
        <v>#DIV/0!</v>
      </c>
      <c r="M12" s="304" t="e">
        <f>L12/K12</f>
        <v>#DIV/0!</v>
      </c>
      <c r="N12" s="303" t="str">
        <f>IF(COUNTIF(N7:N11,"N/A")&gt;0,"n/a",(SUMPRODUCT(N7:N11,O7:O11)/SUM(O7:O11)))</f>
        <v>n/a</v>
      </c>
      <c r="O12" s="308">
        <f>SUM(O7:O11)</f>
        <v>0</v>
      </c>
      <c r="P12" s="303" t="str">
        <f>IF(COUNTIF(P7:P11,"N/A")&gt;0,"n/a",(SUMPRODUCT(P7:P11,Q7:Q11)/SUM(Q7:Q11)))</f>
        <v>n/a</v>
      </c>
      <c r="Q12" s="308">
        <f>SUM(Q7:Q11)</f>
        <v>0</v>
      </c>
      <c r="R12" s="303" t="str">
        <f>IF(COUNTIF(R7:R11,"N/A")&gt;0,"n/a",(SUMPRODUCT(R7:R11,S7:S11)/SUM(S7:S11)))</f>
        <v>n/a</v>
      </c>
      <c r="S12" s="308">
        <f>SUM(S7:S11)</f>
        <v>0</v>
      </c>
      <c r="T12" s="303" t="str">
        <f>IF(COUNTIF(T7:T11,"N/A")&gt;0,"n/a",(SUMPRODUCT(T7:T11,U7:U11)/SUM(U7:U11)))</f>
        <v>n/a</v>
      </c>
      <c r="U12" s="308">
        <f>SUM(U7:U11)</f>
        <v>0</v>
      </c>
      <c r="V12" s="118" t="str">
        <f>IF(COUNTIF(V7:V11,"N/A")&gt;0,"n/a",(SUMPRODUCT(V7:V11,W7:W11)/SUM(W7:W11)))</f>
        <v>n/a</v>
      </c>
      <c r="W12" s="322">
        <f>SUM(W7:W11)</f>
        <v>0</v>
      </c>
      <c r="X12" s="291" t="str">
        <f>IFERROR(SUMPRODUCT(X7:X11,$G$7:$G$11)/SUM($G$7:$G$11),"n/a")</f>
        <v>n/a</v>
      </c>
      <c r="Y12" s="291" t="str">
        <f>IFERROR(SUMPRODUCT(Y7:Y11,$G$7:$G$11)/SUM($G$7:$G$11),"n/a")</f>
        <v>n/a</v>
      </c>
      <c r="Z12" s="291" t="str">
        <f>IFERROR(SUMPRODUCT(Z7:Z7,$G$7:$G$7)/SUM($G$7:$G$7),"n/a")</f>
        <v>n/a</v>
      </c>
      <c r="AA12" s="291" t="str">
        <f>IFERROR(SUMPRODUCT(AA7:AA7,$G$7:$G$7)/SUM($G$7:$G$7),"n/a")</f>
        <v>n/a</v>
      </c>
      <c r="AB12" s="291" t="str">
        <f>IFERROR(SUMPRODUCT(AB7:AB7,$G$7:$G$7)/SUM($G$7:$G$7),"n/a")</f>
        <v>n/a</v>
      </c>
      <c r="AC12" s="291" t="str">
        <f>IFERROR(SUMPRODUCT(AC7:AC7,$G$7:$G$7)/SUM($G$7:$G$7),"n/a")</f>
        <v>n/a</v>
      </c>
      <c r="AD12" s="325" t="str">
        <f>IFERROR(SUMPRODUCT(AD7:AD7,$G$7:$G$7)/SUM($G$7:$G$7),"n/a")</f>
        <v>n/a</v>
      </c>
    </row>
    <row r="13" spans="3:34" ht="20.100000000000001" hidden="1" customHeight="1" outlineLevel="1" x14ac:dyDescent="0.25">
      <c r="C13" s="124"/>
      <c r="D13" s="294" t="str">
        <f>'Unit Mix'!D64</f>
        <v>Hudson View Park</v>
      </c>
      <c r="E13" s="124"/>
      <c r="F13" s="295">
        <f t="shared" ref="F13:H17" si="7">SUMIF($D$7:$D$11,$D13,F$7:F$11)</f>
        <v>0</v>
      </c>
      <c r="G13" s="295">
        <f t="shared" si="7"/>
        <v>0</v>
      </c>
      <c r="H13" s="296">
        <f t="shared" si="7"/>
        <v>0</v>
      </c>
      <c r="I13" s="296" t="e" cm="1">
        <f t="array" ref="I13">SUMPRODUCT(--($D$7:$D$11=$D13),$I$7:$I$11,$G$7:$G$11)/$G13</f>
        <v>#DIV/0!</v>
      </c>
      <c r="J13" s="298" t="e">
        <f>'Unit Mix'!M64</f>
        <v>#DIV/0!</v>
      </c>
      <c r="K13" s="305" t="e" cm="1">
        <f t="array" ref="K13">SUMPRODUCT(--($D$7:$D$11=$D13),$K$7:$K$11,$F$7:$F$11)/$F13</f>
        <v>#DIV/0!</v>
      </c>
      <c r="L13" s="298" t="e">
        <f>'Unit Mix'!J64</f>
        <v>#DIV/0!</v>
      </c>
      <c r="M13" s="306" t="str">
        <f t="shared" ref="M13:M17" si="8">IFERROR(L13/K13,"")</f>
        <v/>
      </c>
      <c r="N13" s="305" t="str" cm="1">
        <f t="array" ref="N13">IFERROR(SUMPRODUCT(--($D$7:$D$11=$D13),N$7:N$11,O$7:O$11)/O13,"n/a")</f>
        <v>n/a</v>
      </c>
      <c r="O13" s="309">
        <f>SUMIF($D$7:$D$11,$D13,O$7:O$11)</f>
        <v>0</v>
      </c>
      <c r="P13" s="305" t="str" cm="1">
        <f t="array" ref="P13">IFERROR(SUMPRODUCT(--($D$7:$D$11=$D13),P$7:P$11,Q$7:Q$11)/Q13,"n/a")</f>
        <v>n/a</v>
      </c>
      <c r="Q13" s="309">
        <f>SUMIF($D$7:$D$11,$D13,Q$7:Q$11)</f>
        <v>0</v>
      </c>
      <c r="R13" s="305" t="str" cm="1">
        <f t="array" ref="R13">IFERROR(SUMPRODUCT(--($D$7:$D$11=$D13),R$7:R$11,S$7:S$11)/S13,"n/a")</f>
        <v>n/a</v>
      </c>
      <c r="S13" s="309">
        <f>SUMIF($D$7:$D$11,$D13,S$7:S$11)</f>
        <v>0</v>
      </c>
      <c r="T13" s="305" t="str" cm="1">
        <f t="array" ref="T13">IFERROR(SUMPRODUCT(--($D$7:$D$11=$D13),T$7:T$11,U$7:U$11)/U13,"n/a")</f>
        <v>n/a</v>
      </c>
      <c r="U13" s="309">
        <f>SUMIF($D$7:$D$11,$D13,U$7:U$11)</f>
        <v>0</v>
      </c>
      <c r="V13" s="305" t="str" cm="1">
        <f t="array" ref="V13">IFERROR(SUMPRODUCT(--($D$7:$D$11=$D13),V$7:V$11,W$7:W$11)/W13,"n/a")</f>
        <v>n/a</v>
      </c>
      <c r="W13" s="323">
        <f>SUMIF($D$7:$D$11,$D13,W$7:W$11)</f>
        <v>0</v>
      </c>
      <c r="X13" s="316" t="str" cm="1">
        <f t="array" ref="X13">IFERROR(SUMPRODUCT(--($D$7:$D$11=$D13),X$7:X$11,$G$7:$G$11)/$G13,"n/a")</f>
        <v>n/a</v>
      </c>
      <c r="Y13" s="129" t="str" cm="1">
        <f t="array" ref="Y13">IFERROR(SUMPRODUCT(--($D$7:$D$11=$D13),Y$7:Y$11,$G$7:$G$11)/$G13,"n/a")</f>
        <v>n/a</v>
      </c>
      <c r="Z13" s="129" t="str" cm="1">
        <f t="array" ref="Z13">IFERROR(SUMPRODUCT(--($D$7:$D$11=$D13),Z$7:Z$11,$G$7:$G$11)/$G13,"n/a")</f>
        <v>n/a</v>
      </c>
      <c r="AA13" s="129" t="str" cm="1">
        <f t="array" ref="AA13">IFERROR(SUMPRODUCT(--($D$7:$D$11=$D13),AA$7:AA$11,$G$7:$G$11)/$G13,"n/a")</f>
        <v>n/a</v>
      </c>
      <c r="AB13" s="129" t="str" cm="1">
        <f t="array" ref="AB13">IFERROR(SUMPRODUCT(--($D$7:$D$11=$D13),AB$7:AB$11,$G$7:$G$11)/$G13,"n/a")</f>
        <v>n/a</v>
      </c>
      <c r="AC13" s="129" t="str" cm="1">
        <f t="array" ref="AC13">IFERROR(SUMPRODUCT(--($D$7:$D$11=$D13),AC$7:AC$11,$G$7:$G$11)/$G13,"n/a")</f>
        <v>n/a</v>
      </c>
      <c r="AD13" s="129" t="str" cm="1">
        <f t="array" ref="AD13">IFERROR(SUMPRODUCT(--($D$7:$D$11=$D13),AD$7:AD$11,$G$7:$G$11)/$G13,"n/a")</f>
        <v>n/a</v>
      </c>
    </row>
    <row r="14" spans="3:34" ht="20.100000000000001" hidden="1" customHeight="1" outlineLevel="1" x14ac:dyDescent="0.25">
      <c r="C14" s="124"/>
      <c r="D14" s="294" t="str">
        <f>'Unit Mix'!D65</f>
        <v>[Property 2 Name]</v>
      </c>
      <c r="E14" s="124"/>
      <c r="F14" s="295">
        <f t="shared" si="7"/>
        <v>0</v>
      </c>
      <c r="G14" s="295">
        <f t="shared" si="7"/>
        <v>0</v>
      </c>
      <c r="H14" s="296">
        <f t="shared" si="7"/>
        <v>0</v>
      </c>
      <c r="I14" s="296" t="e" cm="1">
        <f t="array" ref="I14">SUMPRODUCT(--($D$7:$D$11=$D14),$I$7:$I$11,$G$7:$G$11)/$G14</f>
        <v>#DIV/0!</v>
      </c>
      <c r="J14" s="298" t="e">
        <f>'Unit Mix'!M65</f>
        <v>#DIV/0!</v>
      </c>
      <c r="K14" s="305" t="e" cm="1">
        <f t="array" ref="K14">SUMPRODUCT(--($D$7:$D$11=$D14),$K$7:$K$11,$F$7:$F$11)/$F14</f>
        <v>#DIV/0!</v>
      </c>
      <c r="L14" s="298" t="e">
        <f>'Unit Mix'!J65</f>
        <v>#DIV/0!</v>
      </c>
      <c r="M14" s="306" t="str">
        <f t="shared" si="8"/>
        <v/>
      </c>
      <c r="N14" s="305" t="str" cm="1">
        <f t="array" ref="N14">IFERROR(SUMPRODUCT(--($D$7:$D$11=$D14),N$7:N$11,O$7:O$11)/O14,"n/a")</f>
        <v>n/a</v>
      </c>
      <c r="O14" s="309">
        <f>SUMIF($D$7:$D$11,$D14,O$7:O$11)</f>
        <v>0</v>
      </c>
      <c r="P14" s="305" t="str" cm="1">
        <f t="array" ref="P14">IFERROR(SUMPRODUCT(--($D$7:$D$11=$D14),P$7:P$11,Q$7:Q$11)/Q14,"n/a")</f>
        <v>n/a</v>
      </c>
      <c r="Q14" s="309">
        <f>SUMIF($D$7:$D$11,$D14,Q$7:Q$11)</f>
        <v>0</v>
      </c>
      <c r="R14" s="305" t="str" cm="1">
        <f t="array" ref="R14">IFERROR(SUMPRODUCT(--($D$7:$D$11=$D14),R$7:R$11,S$7:S$11)/S14,"n/a")</f>
        <v>n/a</v>
      </c>
      <c r="S14" s="309">
        <f>SUMIF($D$7:$D$11,$D14,S$7:S$11)</f>
        <v>0</v>
      </c>
      <c r="T14" s="305" t="str" cm="1">
        <f t="array" ref="T14">IFERROR(SUMPRODUCT(--($D$7:$D$11=$D14),T$7:T$11,U$7:U$11)/U14,"n/a")</f>
        <v>n/a</v>
      </c>
      <c r="U14" s="309">
        <f>SUMIF($D$7:$D$11,$D14,U$7:U$11)</f>
        <v>0</v>
      </c>
      <c r="V14" s="305" t="str" cm="1">
        <f t="array" ref="V14">IFERROR(SUMPRODUCT(--($D$7:$D$11=$D14),V$7:V$11,W$7:W$11)/W14,"n/a")</f>
        <v>n/a</v>
      </c>
      <c r="W14" s="323">
        <f>SUMIF($D$7:$D$11,$D14,W$7:W$11)</f>
        <v>0</v>
      </c>
      <c r="X14" s="316" t="str" cm="1">
        <f t="array" ref="X14">IFERROR(SUMPRODUCT(--($D$7:$D$11=$D14),X$7:X$11,$G$7:$G$11)/$G14,"n/a")</f>
        <v>n/a</v>
      </c>
      <c r="Y14" s="129" t="str" cm="1">
        <f t="array" ref="Y14">IFERROR(SUMPRODUCT(--($D$7:$D$11=$D14),Y$7:Y$11,$G$7:$G$11)/$G14,"n/a")</f>
        <v>n/a</v>
      </c>
      <c r="Z14" s="129" t="str" cm="1">
        <f t="array" ref="Z14">IFERROR(SUMPRODUCT(--($D$7:$D$11=$D14),Z$7:Z$11,$G$7:$G$11)/$G14,"n/a")</f>
        <v>n/a</v>
      </c>
      <c r="AA14" s="129" t="str" cm="1">
        <f t="array" ref="AA14">IFERROR(SUMPRODUCT(--($D$7:$D$11=$D14),AA$7:AA$11,$G$7:$G$11)/$G14,"n/a")</f>
        <v>n/a</v>
      </c>
      <c r="AB14" s="129" t="str" cm="1">
        <f t="array" ref="AB14">IFERROR(SUMPRODUCT(--($D$7:$D$11=$D14),AB$7:AB$11,$G$7:$G$11)/$G14,"n/a")</f>
        <v>n/a</v>
      </c>
      <c r="AC14" s="129" t="str" cm="1">
        <f t="array" ref="AC14">IFERROR(SUMPRODUCT(--($D$7:$D$11=$D14),AC$7:AC$11,$G$7:$G$11)/$G14,"n/a")</f>
        <v>n/a</v>
      </c>
      <c r="AD14" s="129" t="str" cm="1">
        <f t="array" ref="AD14">IFERROR(SUMPRODUCT(--($D$7:$D$11=$D14),AD$7:AD$11,$G$7:$G$11)/$G14,"n/a")</f>
        <v>n/a</v>
      </c>
    </row>
    <row r="15" spans="3:34" ht="20.100000000000001" hidden="1" customHeight="1" outlineLevel="1" x14ac:dyDescent="0.25">
      <c r="C15" s="124"/>
      <c r="D15" s="294" t="str">
        <f>'Unit Mix'!D66</f>
        <v>[Property 3 Name]</v>
      </c>
      <c r="E15" s="124"/>
      <c r="F15" s="295">
        <f t="shared" si="7"/>
        <v>0</v>
      </c>
      <c r="G15" s="295">
        <f t="shared" si="7"/>
        <v>0</v>
      </c>
      <c r="H15" s="296">
        <f t="shared" si="7"/>
        <v>0</v>
      </c>
      <c r="I15" s="296" t="e" cm="1">
        <f t="array" ref="I15">SUMPRODUCT(--($D$7:$D$11=$D15),$I$7:$I$11,$G$7:$G$11)/$G15</f>
        <v>#DIV/0!</v>
      </c>
      <c r="J15" s="298" t="e">
        <f>'Unit Mix'!M66</f>
        <v>#DIV/0!</v>
      </c>
      <c r="K15" s="305" t="e" cm="1">
        <f t="array" ref="K15">SUMPRODUCT(--($D$7:$D$11=$D15),$K$7:$K$11,$F$7:$F$11)/$F15</f>
        <v>#DIV/0!</v>
      </c>
      <c r="L15" s="298" t="e">
        <f>'Unit Mix'!J66</f>
        <v>#DIV/0!</v>
      </c>
      <c r="M15" s="306" t="str">
        <f t="shared" si="8"/>
        <v/>
      </c>
      <c r="N15" s="305" t="str" cm="1">
        <f t="array" ref="N15">IFERROR(SUMPRODUCT(--($D$7:$D$11=$D15),N$7:N$11,O$7:O$11)/O15,"n/a")</f>
        <v>n/a</v>
      </c>
      <c r="O15" s="309">
        <f>SUMIF($D$7:$D$11,$D15,O$7:O$11)</f>
        <v>0</v>
      </c>
      <c r="P15" s="305" t="str" cm="1">
        <f t="array" ref="P15">IFERROR(SUMPRODUCT(--($D$7:$D$11=$D15),P$7:P$11,Q$7:Q$11)/Q15,"n/a")</f>
        <v>n/a</v>
      </c>
      <c r="Q15" s="309">
        <f>SUMIF($D$7:$D$11,$D15,Q$7:Q$11)</f>
        <v>0</v>
      </c>
      <c r="R15" s="305" t="str" cm="1">
        <f t="array" ref="R15">IFERROR(SUMPRODUCT(--($D$7:$D$11=$D15),R$7:R$11,S$7:S$11)/S15,"n/a")</f>
        <v>n/a</v>
      </c>
      <c r="S15" s="309">
        <f>SUMIF($D$7:$D$11,$D15,S$7:S$11)</f>
        <v>0</v>
      </c>
      <c r="T15" s="305" t="str" cm="1">
        <f t="array" ref="T15">IFERROR(SUMPRODUCT(--($D$7:$D$11=$D15),T$7:T$11,U$7:U$11)/U15,"n/a")</f>
        <v>n/a</v>
      </c>
      <c r="U15" s="309">
        <f>SUMIF($D$7:$D$11,$D15,U$7:U$11)</f>
        <v>0</v>
      </c>
      <c r="V15" s="305" t="str" cm="1">
        <f t="array" ref="V15">IFERROR(SUMPRODUCT(--($D$7:$D$11=$D15),V$7:V$11,W$7:W$11)/W15,"n/a")</f>
        <v>n/a</v>
      </c>
      <c r="W15" s="323">
        <f>SUMIF($D$7:$D$11,$D15,W$7:W$11)</f>
        <v>0</v>
      </c>
      <c r="X15" s="316" t="str" cm="1">
        <f t="array" ref="X15">IFERROR(SUMPRODUCT(--($D$7:$D$11=$D15),X$7:X$11,$G$7:$G$11)/$G15,"n/a")</f>
        <v>n/a</v>
      </c>
      <c r="Y15" s="129" t="str" cm="1">
        <f t="array" ref="Y15">IFERROR(SUMPRODUCT(--($D$7:$D$11=$D15),Y$7:Y$11,$G$7:$G$11)/$G15,"n/a")</f>
        <v>n/a</v>
      </c>
      <c r="Z15" s="129" t="str" cm="1">
        <f t="array" ref="Z15">IFERROR(SUMPRODUCT(--($D$7:$D$11=$D15),Z$7:Z$11,$G$7:$G$11)/$G15,"n/a")</f>
        <v>n/a</v>
      </c>
      <c r="AA15" s="129" t="str" cm="1">
        <f t="array" ref="AA15">IFERROR(SUMPRODUCT(--($D$7:$D$11=$D15),AA$7:AA$11,$G$7:$G$11)/$G15,"n/a")</f>
        <v>n/a</v>
      </c>
      <c r="AB15" s="129" t="str" cm="1">
        <f t="array" ref="AB15">IFERROR(SUMPRODUCT(--($D$7:$D$11=$D15),AB$7:AB$11,$G$7:$G$11)/$G15,"n/a")</f>
        <v>n/a</v>
      </c>
      <c r="AC15" s="129" t="str" cm="1">
        <f t="array" ref="AC15">IFERROR(SUMPRODUCT(--($D$7:$D$11=$D15),AC$7:AC$11,$G$7:$G$11)/$G15,"n/a")</f>
        <v>n/a</v>
      </c>
      <c r="AD15" s="129" t="str" cm="1">
        <f t="array" ref="AD15">IFERROR(SUMPRODUCT(--($D$7:$D$11=$D15),AD$7:AD$11,$G$7:$G$11)/$G15,"n/a")</f>
        <v>n/a</v>
      </c>
    </row>
    <row r="16" spans="3:34" ht="20.100000000000001" hidden="1" customHeight="1" outlineLevel="1" x14ac:dyDescent="0.25">
      <c r="C16" s="124"/>
      <c r="D16" s="294" t="str">
        <f>'Unit Mix'!D67</f>
        <v>[Property 4 Name]</v>
      </c>
      <c r="E16" s="124"/>
      <c r="F16" s="295">
        <f t="shared" si="7"/>
        <v>0</v>
      </c>
      <c r="G16" s="295">
        <f t="shared" si="7"/>
        <v>0</v>
      </c>
      <c r="H16" s="296">
        <f t="shared" si="7"/>
        <v>0</v>
      </c>
      <c r="I16" s="296" t="e" cm="1">
        <f t="array" ref="I16">SUMPRODUCT(--($D$7:$D$11=$D16),$I$7:$I$11,$G$7:$G$11)/$G16</f>
        <v>#DIV/0!</v>
      </c>
      <c r="J16" s="298" t="e">
        <f>'Unit Mix'!M67</f>
        <v>#DIV/0!</v>
      </c>
      <c r="K16" s="305" t="e" cm="1">
        <f t="array" ref="K16">SUMPRODUCT(--($D$7:$D$11=$D16),$K$7:$K$11,$F$7:$F$11)/$F16</f>
        <v>#DIV/0!</v>
      </c>
      <c r="L16" s="298" t="e">
        <f>'Unit Mix'!J67</f>
        <v>#DIV/0!</v>
      </c>
      <c r="M16" s="306" t="str">
        <f t="shared" si="8"/>
        <v/>
      </c>
      <c r="N16" s="305" t="str" cm="1">
        <f t="array" ref="N16">IFERROR(SUMPRODUCT(--($D$7:$D$11=$D16),N$7:N$11,O$7:O$11)/O16,"n/a")</f>
        <v>n/a</v>
      </c>
      <c r="O16" s="309">
        <f>SUMIF($D$7:$D$11,$D16,O$7:O$11)</f>
        <v>0</v>
      </c>
      <c r="P16" s="305" t="str" cm="1">
        <f t="array" ref="P16">IFERROR(SUMPRODUCT(--($D$7:$D$11=$D16),P$7:P$11,Q$7:Q$11)/Q16,"n/a")</f>
        <v>n/a</v>
      </c>
      <c r="Q16" s="309">
        <f>SUMIF($D$7:$D$11,$D16,Q$7:Q$11)</f>
        <v>0</v>
      </c>
      <c r="R16" s="305" t="str" cm="1">
        <f t="array" ref="R16">IFERROR(SUMPRODUCT(--($D$7:$D$11=$D16),R$7:R$11,S$7:S$11)/S16,"n/a")</f>
        <v>n/a</v>
      </c>
      <c r="S16" s="309">
        <f>SUMIF($D$7:$D$11,$D16,S$7:S$11)</f>
        <v>0</v>
      </c>
      <c r="T16" s="305" t="str" cm="1">
        <f t="array" ref="T16">IFERROR(SUMPRODUCT(--($D$7:$D$11=$D16),T$7:T$11,U$7:U$11)/U16,"n/a")</f>
        <v>n/a</v>
      </c>
      <c r="U16" s="309">
        <f>SUMIF($D$7:$D$11,$D16,U$7:U$11)</f>
        <v>0</v>
      </c>
      <c r="V16" s="305" t="str" cm="1">
        <f t="array" ref="V16">IFERROR(SUMPRODUCT(--($D$7:$D$11=$D16),V$7:V$11,W$7:W$11)/W16,"n/a")</f>
        <v>n/a</v>
      </c>
      <c r="W16" s="323">
        <f>SUMIF($D$7:$D$11,$D16,W$7:W$11)</f>
        <v>0</v>
      </c>
      <c r="X16" s="316" t="str" cm="1">
        <f t="array" ref="X16">IFERROR(SUMPRODUCT(--($D$7:$D$11=$D16),X$7:X$11,$G$7:$G$11)/$G16,"n/a")</f>
        <v>n/a</v>
      </c>
      <c r="Y16" s="129" t="str" cm="1">
        <f t="array" ref="Y16">IFERROR(SUMPRODUCT(--($D$7:$D$11=$D16),Y$7:Y$11,$G$7:$G$11)/$G16,"n/a")</f>
        <v>n/a</v>
      </c>
      <c r="Z16" s="129" t="str" cm="1">
        <f t="array" ref="Z16">IFERROR(SUMPRODUCT(--($D$7:$D$11=$D16),Z$7:Z$11,$G$7:$G$11)/$G16,"n/a")</f>
        <v>n/a</v>
      </c>
      <c r="AA16" s="129" t="str" cm="1">
        <f t="array" ref="AA16">IFERROR(SUMPRODUCT(--($D$7:$D$11=$D16),AA$7:AA$11,$G$7:$G$11)/$G16,"n/a")</f>
        <v>n/a</v>
      </c>
      <c r="AB16" s="129" t="str" cm="1">
        <f t="array" ref="AB16">IFERROR(SUMPRODUCT(--($D$7:$D$11=$D16),AB$7:AB$11,$G$7:$G$11)/$G16,"n/a")</f>
        <v>n/a</v>
      </c>
      <c r="AC16" s="129" t="str" cm="1">
        <f t="array" ref="AC16">IFERROR(SUMPRODUCT(--($D$7:$D$11=$D16),AC$7:AC$11,$G$7:$G$11)/$G16,"n/a")</f>
        <v>n/a</v>
      </c>
      <c r="AD16" s="129" t="str" cm="1">
        <f t="array" ref="AD16">IFERROR(SUMPRODUCT(--($D$7:$D$11=$D16),AD$7:AD$11,$G$7:$G$11)/$G16,"n/a")</f>
        <v>n/a</v>
      </c>
    </row>
    <row r="17" spans="3:34" ht="20.100000000000001" hidden="1" customHeight="1" outlineLevel="1" x14ac:dyDescent="0.25">
      <c r="C17" s="124"/>
      <c r="D17" s="294" t="str">
        <f>'Unit Mix'!D68</f>
        <v>[Property 5 Name]</v>
      </c>
      <c r="E17" s="124"/>
      <c r="F17" s="295">
        <f t="shared" si="7"/>
        <v>0</v>
      </c>
      <c r="G17" s="295">
        <f t="shared" si="7"/>
        <v>0</v>
      </c>
      <c r="H17" s="296">
        <f t="shared" si="7"/>
        <v>0</v>
      </c>
      <c r="I17" s="296" t="e" cm="1">
        <f t="array" ref="I17">SUMPRODUCT(--($D$7:$D$11=$D17),$I$7:$I$11,$G$7:$G$11)/$G17</f>
        <v>#DIV/0!</v>
      </c>
      <c r="J17" s="298" t="e">
        <f>'Unit Mix'!M68</f>
        <v>#DIV/0!</v>
      </c>
      <c r="K17" s="305" t="e" cm="1">
        <f t="array" ref="K17">SUMPRODUCT(--($D$7:$D$11=$D17),$K$7:$K$11,$F$7:$F$11)/$F17</f>
        <v>#DIV/0!</v>
      </c>
      <c r="L17" s="298" t="e">
        <f>'Unit Mix'!J68</f>
        <v>#DIV/0!</v>
      </c>
      <c r="M17" s="306" t="str">
        <f t="shared" si="8"/>
        <v/>
      </c>
      <c r="N17" s="305" t="str" cm="1">
        <f t="array" ref="N17">IFERROR(SUMPRODUCT(--($D$7:$D$11=$D17),N$7:N$11,O$7:O$11)/O17,"n/a")</f>
        <v>n/a</v>
      </c>
      <c r="O17" s="309">
        <f>SUMIF($D$7:$D$11,$D17,O$7:O$11)</f>
        <v>0</v>
      </c>
      <c r="P17" s="305" t="str" cm="1">
        <f t="array" ref="P17">IFERROR(SUMPRODUCT(--($D$7:$D$11=$D17),P$7:P$11,Q$7:Q$11)/Q17,"n/a")</f>
        <v>n/a</v>
      </c>
      <c r="Q17" s="309">
        <f>SUMIF($D$7:$D$11,$D17,Q$7:Q$11)</f>
        <v>0</v>
      </c>
      <c r="R17" s="305" t="str" cm="1">
        <f t="array" ref="R17">IFERROR(SUMPRODUCT(--($D$7:$D$11=$D17),R$7:R$11,S$7:S$11)/S17,"n/a")</f>
        <v>n/a</v>
      </c>
      <c r="S17" s="309">
        <f>SUMIF($D$7:$D$11,$D17,S$7:S$11)</f>
        <v>0</v>
      </c>
      <c r="T17" s="305" t="str" cm="1">
        <f t="array" ref="T17">IFERROR(SUMPRODUCT(--($D$7:$D$11=$D17),T$7:T$11,U$7:U$11)/U17,"n/a")</f>
        <v>n/a</v>
      </c>
      <c r="U17" s="309">
        <f>SUMIF($D$7:$D$11,$D17,U$7:U$11)</f>
        <v>0</v>
      </c>
      <c r="V17" s="305" t="str" cm="1">
        <f t="array" ref="V17">IFERROR(SUMPRODUCT(--($D$7:$D$11=$D17),V$7:V$11,W$7:W$11)/W17,"n/a")</f>
        <v>n/a</v>
      </c>
      <c r="W17" s="323">
        <f>SUMIF($D$7:$D$11,$D17,W$7:W$11)</f>
        <v>0</v>
      </c>
      <c r="X17" s="316" t="str" cm="1">
        <f t="array" ref="X17">IFERROR(SUMPRODUCT(--($D$7:$D$11=$D17),X$7:X$11,$G$7:$G$11)/$G17,"n/a")</f>
        <v>n/a</v>
      </c>
      <c r="Y17" s="129" t="str" cm="1">
        <f t="array" ref="Y17">IFERROR(SUMPRODUCT(--($D$7:$D$11=$D17),Y$7:Y$11,$G$7:$G$11)/$G17,"n/a")</f>
        <v>n/a</v>
      </c>
      <c r="Z17" s="129" t="str" cm="1">
        <f t="array" ref="Z17">IFERROR(SUMPRODUCT(--($D$7:$D$11=$D17),Z$7:Z$11,$G$7:$G$11)/$G17,"n/a")</f>
        <v>n/a</v>
      </c>
      <c r="AA17" s="129" t="str" cm="1">
        <f t="array" ref="AA17">IFERROR(SUMPRODUCT(--($D$7:$D$11=$D17),AA$7:AA$11,$G$7:$G$11)/$G17,"n/a")</f>
        <v>n/a</v>
      </c>
      <c r="AB17" s="129" t="str" cm="1">
        <f t="array" ref="AB17">IFERROR(SUMPRODUCT(--($D$7:$D$11=$D17),AB$7:AB$11,$G$7:$G$11)/$G17,"n/a")</f>
        <v>n/a</v>
      </c>
      <c r="AC17" s="129" t="str" cm="1">
        <f t="array" ref="AC17">IFERROR(SUMPRODUCT(--($D$7:$D$11=$D17),AC$7:AC$11,$G$7:$G$11)/$G17,"n/a")</f>
        <v>n/a</v>
      </c>
      <c r="AD17" s="129" t="str" cm="1">
        <f t="array" ref="AD17">IFERROR(SUMPRODUCT(--($D$7:$D$11=$D17),AD$7:AD$11,$G$7:$G$11)/$G17,"n/a")</f>
        <v>n/a</v>
      </c>
    </row>
    <row r="18" spans="3:34" ht="7.35" customHeight="1" collapsed="1" x14ac:dyDescent="0.25"/>
    <row r="19" spans="3:34" x14ac:dyDescent="0.25">
      <c r="D19" s="104"/>
      <c r="E19" s="165"/>
      <c r="F19" s="448"/>
      <c r="G19" s="448"/>
      <c r="H19" s="448"/>
      <c r="I19" s="448"/>
      <c r="J19" s="448"/>
      <c r="K19" s="448"/>
      <c r="L19" s="448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F19" s="133"/>
    </row>
    <row r="20" spans="3:34" x14ac:dyDescent="0.25">
      <c r="D20" s="104"/>
      <c r="E20" s="165"/>
      <c r="F20" s="448" t="b">
        <f>F12=AI36</f>
        <v>1</v>
      </c>
      <c r="G20" s="448" t="b">
        <f>G12=AI35</f>
        <v>1</v>
      </c>
      <c r="H20" s="448" t="b">
        <f>H12=AI38</f>
        <v>1</v>
      </c>
      <c r="I20" s="448"/>
      <c r="J20" s="448"/>
      <c r="K20" s="448"/>
      <c r="L20" s="448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F20" s="133"/>
    </row>
    <row r="21" spans="3:34" ht="18.75" x14ac:dyDescent="0.3">
      <c r="D21" s="104"/>
      <c r="E21" s="758"/>
    </row>
    <row r="22" spans="3:34" x14ac:dyDescent="0.25">
      <c r="D22" s="104"/>
      <c r="K22" s="103" t="s">
        <v>80</v>
      </c>
    </row>
    <row r="23" spans="3:34" ht="17.25" x14ac:dyDescent="0.25">
      <c r="D23" s="146"/>
      <c r="E23" s="146"/>
      <c r="F23" s="147"/>
      <c r="G23" s="147"/>
      <c r="H23" s="147"/>
      <c r="I23" s="147"/>
      <c r="J23" s="147"/>
      <c r="AG23" s="136"/>
      <c r="AH23" s="136"/>
    </row>
    <row r="24" spans="3:34" ht="17.25" x14ac:dyDescent="0.25">
      <c r="D24" s="292"/>
      <c r="E24" s="111"/>
      <c r="F24" s="147"/>
      <c r="G24" s="147"/>
      <c r="H24" s="147"/>
      <c r="I24" s="147"/>
      <c r="J24" s="147"/>
      <c r="AG24" s="149"/>
      <c r="AH24" s="149"/>
    </row>
    <row r="25" spans="3:34" ht="17.25" x14ac:dyDescent="0.25">
      <c r="D25" s="292"/>
      <c r="E25" s="111"/>
      <c r="F25" s="147"/>
      <c r="G25" s="147"/>
      <c r="H25" s="147"/>
      <c r="I25" s="147"/>
      <c r="J25" s="147"/>
      <c r="AG25" s="104"/>
      <c r="AH25" s="104"/>
    </row>
    <row r="26" spans="3:34" ht="17.25" x14ac:dyDescent="0.25">
      <c r="D26" s="292"/>
      <c r="E26" s="111"/>
      <c r="F26" s="147"/>
      <c r="G26" s="147"/>
      <c r="H26" s="147"/>
      <c r="I26" s="147"/>
      <c r="J26" s="147"/>
      <c r="AG26" s="104"/>
      <c r="AH26" s="104"/>
    </row>
    <row r="27" spans="3:34" ht="17.25" x14ac:dyDescent="0.25">
      <c r="D27" s="292"/>
      <c r="E27" s="111"/>
      <c r="F27" s="147"/>
      <c r="G27" s="147"/>
      <c r="H27" s="147"/>
      <c r="I27" s="147"/>
      <c r="J27" s="147"/>
      <c r="AG27" s="104"/>
      <c r="AH27" s="104"/>
    </row>
    <row r="28" spans="3:34" ht="17.25" x14ac:dyDescent="0.25">
      <c r="D28" s="292"/>
      <c r="E28" s="111"/>
      <c r="F28" s="147"/>
      <c r="G28" s="147"/>
      <c r="H28" s="147"/>
      <c r="I28" s="147"/>
      <c r="J28" s="147"/>
      <c r="AG28" s="104"/>
      <c r="AH28" s="104"/>
    </row>
    <row r="29" spans="3:34" ht="17.25" x14ac:dyDescent="0.25">
      <c r="D29" s="292"/>
      <c r="E29" s="111"/>
      <c r="F29" s="147"/>
      <c r="G29" s="147"/>
      <c r="H29" s="147"/>
      <c r="I29" s="147"/>
      <c r="J29" s="147"/>
      <c r="AG29" s="104"/>
      <c r="AH29" s="104"/>
    </row>
    <row r="30" spans="3:34" ht="17.25" x14ac:dyDescent="0.25">
      <c r="F30" s="147"/>
      <c r="G30" s="147"/>
      <c r="H30" s="147"/>
      <c r="I30" s="147"/>
      <c r="J30" s="147"/>
    </row>
    <row r="31" spans="3:34" ht="17.25" x14ac:dyDescent="0.25">
      <c r="D31" s="104"/>
      <c r="F31" s="147"/>
      <c r="G31" s="147"/>
      <c r="H31" s="147"/>
      <c r="I31" s="147"/>
      <c r="J31" s="147"/>
    </row>
    <row r="32" spans="3:34" ht="17.25" x14ac:dyDescent="0.25">
      <c r="D32" s="104"/>
      <c r="F32" s="147"/>
      <c r="G32" s="147"/>
      <c r="H32" s="147"/>
      <c r="I32" s="147"/>
      <c r="J32" s="147"/>
    </row>
    <row r="33" spans="4:35" x14ac:dyDescent="0.25">
      <c r="D33" s="104"/>
    </row>
    <row r="34" spans="4:35" x14ac:dyDescent="0.25">
      <c r="D34" s="104"/>
      <c r="AG34" s="136" t="s">
        <v>115</v>
      </c>
      <c r="AH34" s="119"/>
    </row>
    <row r="35" spans="4:35" x14ac:dyDescent="0.25">
      <c r="D35" s="104"/>
      <c r="AG35" s="103" t="s">
        <v>116</v>
      </c>
      <c r="AH35" s="137"/>
      <c r="AI35" s="138">
        <f>'Rent Roll'!$AG$526</f>
        <v>0</v>
      </c>
    </row>
    <row r="36" spans="4:35" x14ac:dyDescent="0.25">
      <c r="D36" s="104"/>
      <c r="AG36" s="103" t="s">
        <v>99</v>
      </c>
      <c r="AH36" s="139"/>
      <c r="AI36" s="138">
        <f>'Rent Roll'!$AG$527</f>
        <v>0</v>
      </c>
    </row>
    <row r="37" spans="4:35" x14ac:dyDescent="0.25">
      <c r="D37" s="104"/>
      <c r="AG37" s="103" t="s">
        <v>117</v>
      </c>
      <c r="AH37" s="140"/>
      <c r="AI37" s="141" t="e">
        <f>'Rent Roll'!$AG$528</f>
        <v>#DIV/0!</v>
      </c>
    </row>
    <row r="38" spans="4:35" x14ac:dyDescent="0.25">
      <c r="D38" s="104"/>
      <c r="AG38" s="103" t="s">
        <v>118</v>
      </c>
      <c r="AH38" s="142"/>
      <c r="AI38" s="138">
        <f>'Rent Roll'!$AG$529</f>
        <v>0</v>
      </c>
    </row>
    <row r="39" spans="4:35" x14ac:dyDescent="0.25">
      <c r="D39" s="104"/>
      <c r="AG39" s="103" t="s">
        <v>119</v>
      </c>
      <c r="AH39" s="143"/>
      <c r="AI39" s="138">
        <f>'Rent Roll'!$AG$530</f>
        <v>0</v>
      </c>
    </row>
    <row r="40" spans="4:35" x14ac:dyDescent="0.25">
      <c r="D40" s="104"/>
      <c r="AG40" s="103" t="s">
        <v>120</v>
      </c>
      <c r="AH40" s="144"/>
      <c r="AI40" s="141" t="e">
        <f>'Rent Roll'!$AG$531</f>
        <v>#DIV/0!</v>
      </c>
    </row>
    <row r="41" spans="4:35" x14ac:dyDescent="0.25">
      <c r="D41" s="104"/>
      <c r="AG41" s="103" t="s">
        <v>103</v>
      </c>
      <c r="AH41" s="134"/>
      <c r="AI41" s="138">
        <f>'Rent Roll'!$AG$532</f>
        <v>0</v>
      </c>
    </row>
    <row r="42" spans="4:35" x14ac:dyDescent="0.25">
      <c r="D42" s="104"/>
      <c r="AG42" s="103" t="s">
        <v>104</v>
      </c>
      <c r="AH42" s="142"/>
      <c r="AI42" s="138">
        <f>'Rent Roll'!$AG$533</f>
        <v>0</v>
      </c>
    </row>
    <row r="43" spans="4:35" x14ac:dyDescent="0.25">
      <c r="D43" s="104"/>
      <c r="AG43" s="103" t="s">
        <v>121</v>
      </c>
      <c r="AI43" s="138">
        <f>'Rent Roll'!$AG$535</f>
        <v>0</v>
      </c>
    </row>
    <row r="44" spans="4:35" x14ac:dyDescent="0.25">
      <c r="D44" s="104"/>
      <c r="AG44" s="103" t="s">
        <v>122</v>
      </c>
      <c r="AI44" s="138">
        <f>'Rent Roll'!$AG$534</f>
        <v>0</v>
      </c>
    </row>
    <row r="45" spans="4:35" customFormat="1" x14ac:dyDescent="0.25"/>
    <row r="46" spans="4:35" customFormat="1" x14ac:dyDescent="0.25"/>
    <row r="47" spans="4:35" customFormat="1" x14ac:dyDescent="0.25"/>
    <row r="48" spans="4:35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</sheetData>
  <pageMargins left="0.45" right="0.45" top="0.75" bottom="0.75" header="0.3" footer="0.3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E642-32ED-458A-BADA-5B8B1783151A}">
  <sheetPr codeName="Sheet29">
    <tabColor theme="1" tint="0.499984740745262"/>
    <pageSetUpPr fitToPage="1"/>
  </sheetPr>
  <dimension ref="B1:AG537"/>
  <sheetViews>
    <sheetView showGridLines="0" view="pageBreakPreview" zoomScale="85" zoomScaleNormal="100" zoomScaleSheetLayoutView="85" workbookViewId="0">
      <pane ySplit="7" topLeftCell="A8" activePane="bottomLeft" state="frozen"/>
      <selection activeCell="I16" sqref="I16"/>
      <selection pane="bottomLeft" activeCell="A8" sqref="A8"/>
    </sheetView>
  </sheetViews>
  <sheetFormatPr defaultColWidth="9.42578125" defaultRowHeight="15" outlineLevelRow="1" outlineLevelCol="1" x14ac:dyDescent="0.25"/>
  <cols>
    <col min="1" max="3" width="0.85546875" style="103" customWidth="1"/>
    <col min="4" max="4" width="23.85546875" style="104" hidden="1" customWidth="1" outlineLevel="1"/>
    <col min="5" max="5" width="13.42578125" style="104" bestFit="1" customWidth="1" collapsed="1"/>
    <col min="6" max="6" width="30.140625" style="103" hidden="1" customWidth="1" outlineLevel="1"/>
    <col min="7" max="7" width="27.42578125" style="103" bestFit="1" customWidth="1" collapsed="1"/>
    <col min="8" max="8" width="20" style="103" hidden="1" customWidth="1" outlineLevel="1"/>
    <col min="9" max="9" width="12.140625" style="103" hidden="1" customWidth="1" outlineLevel="1"/>
    <col min="10" max="10" width="17.140625" style="103" hidden="1" customWidth="1" outlineLevel="1"/>
    <col min="11" max="11" width="14.140625" style="103" customWidth="1" collapsed="1"/>
    <col min="12" max="12" width="6.85546875" style="103" hidden="1" customWidth="1" outlineLevel="1"/>
    <col min="13" max="13" width="15.140625" style="150" customWidth="1" collapsed="1"/>
    <col min="14" max="14" width="15.140625" style="150" customWidth="1"/>
    <col min="15" max="15" width="15.140625" style="150" hidden="1" customWidth="1" outlineLevel="1" collapsed="1"/>
    <col min="16" max="16" width="15.140625" style="150" customWidth="1" collapsed="1"/>
    <col min="17" max="17" width="10.42578125" style="150" hidden="1" customWidth="1" outlineLevel="1"/>
    <col min="18" max="18" width="11.42578125" style="150" hidden="1" customWidth="1" outlineLevel="1"/>
    <col min="19" max="19" width="10.85546875" style="150" hidden="1" customWidth="1" outlineLevel="1" collapsed="1"/>
    <col min="20" max="20" width="10.42578125" style="150" hidden="1" customWidth="1" outlineLevel="1"/>
    <col min="21" max="21" width="14.42578125" style="151" customWidth="1" collapsed="1"/>
    <col min="22" max="22" width="15.42578125" style="151" customWidth="1"/>
    <col min="23" max="23" width="0.85546875" style="151" customWidth="1"/>
    <col min="24" max="25" width="0.85546875" style="103" customWidth="1"/>
    <col min="26" max="26" width="9.140625" style="103" bestFit="1" customWidth="1"/>
    <col min="27" max="27" width="4.85546875" style="103" bestFit="1" customWidth="1"/>
    <col min="28" max="28" width="11.42578125" style="103" hidden="1" customWidth="1" outlineLevel="1"/>
    <col min="29" max="29" width="9.42578125" style="103" collapsed="1"/>
    <col min="30" max="30" width="9.42578125" style="103"/>
    <col min="31" max="31" width="7.140625" style="103" bestFit="1" customWidth="1"/>
    <col min="32" max="32" width="9.42578125" style="103" bestFit="1" customWidth="1"/>
    <col min="33" max="33" width="11.140625" style="103" bestFit="1" customWidth="1"/>
    <col min="34" max="16384" width="9.42578125" style="103"/>
  </cols>
  <sheetData>
    <row r="1" spans="3:33" ht="4.3499999999999996" customHeight="1" x14ac:dyDescent="0.25"/>
    <row r="2" spans="3:33" ht="4.3499999999999996" customHeight="1" x14ac:dyDescent="0.25"/>
    <row r="3" spans="3:33" ht="25.35" customHeight="1" thickBot="1" x14ac:dyDescent="0.35">
      <c r="C3" s="98" t="s">
        <v>136</v>
      </c>
      <c r="D3" s="152"/>
      <c r="E3" s="98"/>
      <c r="F3" s="13"/>
      <c r="G3" s="13"/>
      <c r="H3" s="13"/>
      <c r="I3" s="13"/>
      <c r="J3" s="90"/>
      <c r="K3" s="13"/>
      <c r="L3" s="13"/>
      <c r="M3" s="153"/>
      <c r="N3" s="153"/>
      <c r="O3" s="153"/>
      <c r="P3" s="556"/>
      <c r="Q3" s="153"/>
      <c r="R3" s="153"/>
      <c r="S3" s="153"/>
      <c r="T3" s="153"/>
      <c r="U3" s="14"/>
      <c r="V3" s="99"/>
      <c r="W3" s="14"/>
      <c r="X3" s="107" t="str">
        <f>'Exec Summ'!$F$6</f>
        <v>Hudson View Park</v>
      </c>
      <c r="Y3" s="107"/>
      <c r="Z3" s="285">
        <f>'Exec Summ'!$F$10</f>
        <v>0</v>
      </c>
      <c r="AA3" s="287" t="str">
        <f>IF(COUNTIF(B518:V518,"False")=0,"OK","ERROR")</f>
        <v>ERROR</v>
      </c>
    </row>
    <row r="4" spans="3:33" ht="10.35" customHeight="1" thickTop="1" x14ac:dyDescent="0.25">
      <c r="Z4" s="1121" t="s">
        <v>1886</v>
      </c>
    </row>
    <row r="5" spans="3:33" ht="25.35" hidden="1" customHeight="1" outlineLevel="1" x14ac:dyDescent="0.4">
      <c r="C5" s="282" t="s">
        <v>137</v>
      </c>
      <c r="D5" s="282"/>
      <c r="E5" s="282"/>
      <c r="F5" s="282"/>
      <c r="G5" s="282"/>
      <c r="H5" s="282"/>
      <c r="I5" s="282"/>
      <c r="J5" s="282"/>
      <c r="K5" s="282"/>
      <c r="L5" s="282"/>
      <c r="M5" s="282" t="s">
        <v>138</v>
      </c>
      <c r="N5" s="282"/>
      <c r="O5" s="282"/>
      <c r="P5" s="282"/>
      <c r="Q5" s="282"/>
      <c r="R5" s="283"/>
      <c r="S5" s="283"/>
      <c r="T5" s="282"/>
      <c r="U5" s="284"/>
      <c r="V5" s="284"/>
      <c r="W5" s="284"/>
      <c r="AE5" s="136"/>
      <c r="AF5" s="136"/>
    </row>
    <row r="6" spans="3:33" ht="15" customHeight="1" collapsed="1" x14ac:dyDescent="0.25">
      <c r="C6" s="526"/>
      <c r="D6" s="543" t="s">
        <v>3</v>
      </c>
      <c r="E6" s="544" t="s">
        <v>53</v>
      </c>
      <c r="F6" s="544" t="s">
        <v>53</v>
      </c>
      <c r="G6" s="544" t="s">
        <v>139</v>
      </c>
      <c r="H6" s="544" t="s">
        <v>187</v>
      </c>
      <c r="I6" s="544" t="s">
        <v>140</v>
      </c>
      <c r="J6" s="543" t="s">
        <v>45</v>
      </c>
      <c r="K6" s="544" t="s">
        <v>219</v>
      </c>
      <c r="L6" s="545" t="s">
        <v>141</v>
      </c>
      <c r="M6" s="546" t="s">
        <v>26</v>
      </c>
      <c r="N6" s="546" t="s">
        <v>227</v>
      </c>
      <c r="O6" s="546" t="s">
        <v>235</v>
      </c>
      <c r="P6" s="546" t="s">
        <v>27</v>
      </c>
      <c r="Q6" s="546" t="s">
        <v>144</v>
      </c>
      <c r="R6" s="546" t="s">
        <v>142</v>
      </c>
      <c r="S6" s="546" t="s">
        <v>143</v>
      </c>
      <c r="T6" s="546" t="s">
        <v>188</v>
      </c>
      <c r="U6" s="547" t="s">
        <v>2</v>
      </c>
      <c r="V6" s="546" t="s">
        <v>2</v>
      </c>
      <c r="W6" s="547"/>
      <c r="AE6" s="136"/>
      <c r="AF6" s="136"/>
    </row>
    <row r="7" spans="3:33" ht="17.25" x14ac:dyDescent="0.4">
      <c r="C7" s="526"/>
      <c r="D7" s="548" t="s">
        <v>145</v>
      </c>
      <c r="E7" s="549" t="s">
        <v>0</v>
      </c>
      <c r="F7" s="549" t="s">
        <v>62</v>
      </c>
      <c r="G7" s="549" t="s">
        <v>146</v>
      </c>
      <c r="H7" s="549" t="s">
        <v>1</v>
      </c>
      <c r="I7" s="550" t="s">
        <v>62</v>
      </c>
      <c r="J7" s="548" t="s">
        <v>145</v>
      </c>
      <c r="K7" s="549" t="s">
        <v>55</v>
      </c>
      <c r="L7" s="551" t="s">
        <v>147</v>
      </c>
      <c r="M7" s="552" t="s">
        <v>61</v>
      </c>
      <c r="N7" s="552" t="s">
        <v>61</v>
      </c>
      <c r="O7" s="552" t="s">
        <v>61</v>
      </c>
      <c r="P7" s="552" t="s">
        <v>61</v>
      </c>
      <c r="Q7" s="553" t="s">
        <v>50</v>
      </c>
      <c r="R7" s="552" t="s">
        <v>148</v>
      </c>
      <c r="S7" s="552" t="s">
        <v>149</v>
      </c>
      <c r="T7" s="552" t="s">
        <v>189</v>
      </c>
      <c r="U7" s="554" t="s">
        <v>135</v>
      </c>
      <c r="V7" s="552" t="s">
        <v>150</v>
      </c>
      <c r="W7" s="554"/>
      <c r="AB7" s="136" t="s">
        <v>207</v>
      </c>
      <c r="AE7" s="459"/>
    </row>
    <row r="8" spans="3:33" x14ac:dyDescent="0.25">
      <c r="D8" s="154" t="str">
        <f>OneLineRR!A99</f>
        <v>Hudson View Park</v>
      </c>
      <c r="E8" s="104">
        <f>OneLineRR!J99</f>
        <v>0</v>
      </c>
      <c r="F8" s="104">
        <f>OneLineRR!K99</f>
        <v>0</v>
      </c>
      <c r="G8" s="155" t="e">
        <f>OneLineRR!D99</f>
        <v>#N/A</v>
      </c>
      <c r="H8" s="155" t="e">
        <f>IF(OneLineRR!G99="Yes","Affordable","Market")</f>
        <v>#N/A</v>
      </c>
      <c r="I8" s="104" t="e">
        <f>OneLineRR!I99</f>
        <v>#N/A</v>
      </c>
      <c r="J8" s="156">
        <f>OneLineRR!M99</f>
        <v>0</v>
      </c>
      <c r="K8" s="634">
        <f>OneLineRR!L99</f>
        <v>0</v>
      </c>
      <c r="L8" s="143" t="str">
        <f>OneLineRR!C99</f>
        <v>Occ</v>
      </c>
      <c r="M8" s="636">
        <f>OneLineRR!O99</f>
        <v>0</v>
      </c>
      <c r="N8" s="636">
        <f>IF(L8="Vac",P8,0)</f>
        <v>0</v>
      </c>
      <c r="O8" s="636">
        <f>OneLineRR!N99</f>
        <v>0</v>
      </c>
      <c r="P8" s="636" t="e" cm="1">
        <f t="array" ref="P8">INDEX('Unit Mix'!$P$6:$P$62,MATCH(1,('Rent Roll'!G8='Unit Mix'!$E$6:$E$62)*(D8='Unit Mix'!$D$6:$D$62),0))</f>
        <v>#N/A</v>
      </c>
      <c r="Q8" s="150">
        <f>OneLineRR!T99</f>
        <v>0</v>
      </c>
      <c r="R8" s="150">
        <f>OneLineRR!U99</f>
        <v>0</v>
      </c>
      <c r="S8" s="150">
        <f>OneLineRR!V99</f>
        <v>0</v>
      </c>
      <c r="T8" s="150">
        <f>OneLineRR!W99</f>
        <v>0</v>
      </c>
      <c r="U8" s="157" t="str">
        <f>IF(OneLineRR!Q99="","",OneLineRR!Q99)</f>
        <v/>
      </c>
      <c r="V8" s="157" t="str">
        <f>IF(OneLineRR!R99="","",OneLineRR!R99)</f>
        <v/>
      </c>
      <c r="AB8" s="320" t="str">
        <f>IFERROR(U8+(COUNTIF($U$8:U8,U8)-1)/10000,"")</f>
        <v/>
      </c>
      <c r="AC8" s="119"/>
      <c r="AD8" s="119"/>
      <c r="AE8" s="458"/>
    </row>
    <row r="9" spans="3:33" x14ac:dyDescent="0.25">
      <c r="D9" s="154" t="str">
        <f>OneLineRR!A100</f>
        <v>Hudson View Park</v>
      </c>
      <c r="E9" s="104">
        <f>OneLineRR!J100</f>
        <v>0</v>
      </c>
      <c r="F9" s="104">
        <f>OneLineRR!K100</f>
        <v>0</v>
      </c>
      <c r="G9" s="155" t="e">
        <f>OneLineRR!D100</f>
        <v>#N/A</v>
      </c>
      <c r="H9" s="155" t="e">
        <f>IF(OneLineRR!G100="Yes","Affordable","Market")</f>
        <v>#N/A</v>
      </c>
      <c r="I9" s="104" t="e">
        <f>OneLineRR!I100</f>
        <v>#N/A</v>
      </c>
      <c r="J9" s="156">
        <f>OneLineRR!M100</f>
        <v>0</v>
      </c>
      <c r="K9" s="634">
        <f>OneLineRR!L100</f>
        <v>0</v>
      </c>
      <c r="L9" s="143" t="str">
        <f>OneLineRR!C100</f>
        <v>Occ</v>
      </c>
      <c r="M9" s="636">
        <f>OneLineRR!O100</f>
        <v>0</v>
      </c>
      <c r="N9" s="636">
        <f t="shared" ref="N9:N72" si="0">IF(L9="Vac",P9,0)</f>
        <v>0</v>
      </c>
      <c r="O9" s="636">
        <f>OneLineRR!N100</f>
        <v>0</v>
      </c>
      <c r="P9" s="636" t="e" cm="1">
        <f t="array" ref="P9">INDEX('Unit Mix'!$P$6:$P$62,MATCH(1,('Rent Roll'!G9='Unit Mix'!$E$6:$E$62)*(D9='Unit Mix'!$D$6:$D$62),0))</f>
        <v>#N/A</v>
      </c>
      <c r="Q9" s="150">
        <f>OneLineRR!T100</f>
        <v>0</v>
      </c>
      <c r="R9" s="150">
        <f>OneLineRR!U100</f>
        <v>0</v>
      </c>
      <c r="S9" s="150">
        <f>OneLineRR!V100</f>
        <v>0</v>
      </c>
      <c r="T9" s="150">
        <f>OneLineRR!W100</f>
        <v>0</v>
      </c>
      <c r="U9" s="157" t="str">
        <f>IF(OneLineRR!Q100="","",OneLineRR!Q100)</f>
        <v/>
      </c>
      <c r="V9" s="157" t="str">
        <f>IF(OneLineRR!R100="","",OneLineRR!R100)</f>
        <v/>
      </c>
      <c r="AB9" s="320" t="str">
        <f>IFERROR(U9+(COUNTIF($U$8:U9,U9)-1)/10000,"")</f>
        <v/>
      </c>
      <c r="AC9" s="119"/>
      <c r="AD9" s="119"/>
      <c r="AE9" s="458"/>
    </row>
    <row r="10" spans="3:33" x14ac:dyDescent="0.25">
      <c r="D10" s="154" t="str">
        <f>OneLineRR!A101</f>
        <v>Hudson View Park</v>
      </c>
      <c r="E10" s="104">
        <f>OneLineRR!J101</f>
        <v>0</v>
      </c>
      <c r="F10" s="104">
        <f>OneLineRR!K101</f>
        <v>0</v>
      </c>
      <c r="G10" s="155" t="e">
        <f>OneLineRR!D101</f>
        <v>#N/A</v>
      </c>
      <c r="H10" s="155" t="e">
        <f>IF(OneLineRR!G101="Yes","Affordable","Market")</f>
        <v>#N/A</v>
      </c>
      <c r="I10" s="104" t="e">
        <f>OneLineRR!I101</f>
        <v>#N/A</v>
      </c>
      <c r="J10" s="156">
        <f>OneLineRR!M101</f>
        <v>0</v>
      </c>
      <c r="K10" s="634">
        <f>OneLineRR!L101</f>
        <v>0</v>
      </c>
      <c r="L10" s="143" t="str">
        <f>OneLineRR!C101</f>
        <v>Occ</v>
      </c>
      <c r="M10" s="636">
        <f>OneLineRR!O101</f>
        <v>0</v>
      </c>
      <c r="N10" s="636">
        <f t="shared" si="0"/>
        <v>0</v>
      </c>
      <c r="O10" s="636">
        <f>OneLineRR!N101</f>
        <v>0</v>
      </c>
      <c r="P10" s="636" t="e" cm="1">
        <f t="array" ref="P10">INDEX('Unit Mix'!$P$6:$P$62,MATCH(1,('Rent Roll'!G10='Unit Mix'!$E$6:$E$62)*(D10='Unit Mix'!$D$6:$D$62),0))</f>
        <v>#N/A</v>
      </c>
      <c r="Q10" s="150">
        <f>OneLineRR!T101</f>
        <v>0</v>
      </c>
      <c r="R10" s="150">
        <f>OneLineRR!U101</f>
        <v>0</v>
      </c>
      <c r="S10" s="150">
        <f>OneLineRR!V101</f>
        <v>0</v>
      </c>
      <c r="T10" s="150">
        <f>OneLineRR!W101</f>
        <v>0</v>
      </c>
      <c r="U10" s="157" t="str">
        <f>IF(OneLineRR!Q101="","",OneLineRR!Q101)</f>
        <v/>
      </c>
      <c r="V10" s="157" t="str">
        <f>IF(OneLineRR!R101="","",OneLineRR!R101)</f>
        <v/>
      </c>
      <c r="AB10" s="321" t="str">
        <f>IFERROR(U10+(COUNTIF($U$8:U10,U10)-1)/10000,"")</f>
        <v/>
      </c>
      <c r="AC10" s="158"/>
      <c r="AD10" s="119"/>
      <c r="AE10" s="458"/>
    </row>
    <row r="11" spans="3:33" x14ac:dyDescent="0.25">
      <c r="D11" s="154" t="str">
        <f>OneLineRR!A102</f>
        <v>Hudson View Park</v>
      </c>
      <c r="E11" s="104">
        <f>OneLineRR!J102</f>
        <v>0</v>
      </c>
      <c r="F11" s="104">
        <f>OneLineRR!K102</f>
        <v>0</v>
      </c>
      <c r="G11" s="155" t="e">
        <f>OneLineRR!D102</f>
        <v>#N/A</v>
      </c>
      <c r="H11" s="155" t="e">
        <f>IF(OneLineRR!G102="Yes","Affordable","Market")</f>
        <v>#N/A</v>
      </c>
      <c r="I11" s="104" t="e">
        <f>OneLineRR!I102</f>
        <v>#N/A</v>
      </c>
      <c r="J11" s="156">
        <f>OneLineRR!M102</f>
        <v>0</v>
      </c>
      <c r="K11" s="634">
        <f>OneLineRR!L102</f>
        <v>0</v>
      </c>
      <c r="L11" s="143" t="str">
        <f>OneLineRR!C102</f>
        <v>Occ</v>
      </c>
      <c r="M11" s="636">
        <f>OneLineRR!O102</f>
        <v>0</v>
      </c>
      <c r="N11" s="636">
        <f t="shared" si="0"/>
        <v>0</v>
      </c>
      <c r="O11" s="636">
        <f>OneLineRR!N102</f>
        <v>0</v>
      </c>
      <c r="P11" s="636" t="e" cm="1">
        <f t="array" ref="P11">INDEX('Unit Mix'!$P$6:$P$62,MATCH(1,('Rent Roll'!G11='Unit Mix'!$E$6:$E$62)*(D11='Unit Mix'!$D$6:$D$62),0))</f>
        <v>#N/A</v>
      </c>
      <c r="Q11" s="150">
        <f>OneLineRR!T102</f>
        <v>0</v>
      </c>
      <c r="R11" s="150">
        <f>OneLineRR!U102</f>
        <v>0</v>
      </c>
      <c r="S11" s="150">
        <f>OneLineRR!V102</f>
        <v>0</v>
      </c>
      <c r="T11" s="150">
        <f>OneLineRR!W102</f>
        <v>0</v>
      </c>
      <c r="U11" s="157" t="str">
        <f>IF(OneLineRR!Q102="","",OneLineRR!Q102)</f>
        <v/>
      </c>
      <c r="V11" s="157" t="str">
        <f>IF(OneLineRR!R102="","",OneLineRR!R102)</f>
        <v/>
      </c>
      <c r="AB11" s="320" t="str">
        <f>IFERROR(U11+(COUNTIF($U$8:U11,U11)-1)/10000,"")</f>
        <v/>
      </c>
      <c r="AC11" s="158"/>
      <c r="AD11" s="119"/>
      <c r="AE11" s="458"/>
      <c r="AG11" s="119"/>
    </row>
    <row r="12" spans="3:33" x14ac:dyDescent="0.25">
      <c r="D12" s="154" t="str">
        <f>OneLineRR!A103</f>
        <v>Hudson View Park</v>
      </c>
      <c r="E12" s="104">
        <f>OneLineRR!J103</f>
        <v>0</v>
      </c>
      <c r="F12" s="104">
        <f>OneLineRR!K103</f>
        <v>0</v>
      </c>
      <c r="G12" s="155" t="e">
        <f>OneLineRR!D103</f>
        <v>#N/A</v>
      </c>
      <c r="H12" s="155" t="e">
        <f>IF(OneLineRR!G103="Yes","Affordable","Market")</f>
        <v>#N/A</v>
      </c>
      <c r="I12" s="104" t="e">
        <f>OneLineRR!I103</f>
        <v>#N/A</v>
      </c>
      <c r="J12" s="156">
        <f>OneLineRR!M103</f>
        <v>0</v>
      </c>
      <c r="K12" s="634">
        <f>OneLineRR!L103</f>
        <v>0</v>
      </c>
      <c r="L12" s="143" t="str">
        <f>OneLineRR!C103</f>
        <v>Occ</v>
      </c>
      <c r="M12" s="636">
        <f>OneLineRR!O103</f>
        <v>0</v>
      </c>
      <c r="N12" s="636">
        <f t="shared" si="0"/>
        <v>0</v>
      </c>
      <c r="O12" s="636">
        <f>OneLineRR!N103</f>
        <v>0</v>
      </c>
      <c r="P12" s="636" t="e" cm="1">
        <f t="array" ref="P12">INDEX('Unit Mix'!$P$6:$P$62,MATCH(1,('Rent Roll'!G12='Unit Mix'!$E$6:$E$62)*(D12='Unit Mix'!$D$6:$D$62),0))</f>
        <v>#N/A</v>
      </c>
      <c r="Q12" s="150">
        <f>OneLineRR!T103</f>
        <v>0</v>
      </c>
      <c r="R12" s="150">
        <f>OneLineRR!U103</f>
        <v>0</v>
      </c>
      <c r="S12" s="150">
        <f>OneLineRR!V103</f>
        <v>0</v>
      </c>
      <c r="T12" s="150">
        <f>OneLineRR!W103</f>
        <v>0</v>
      </c>
      <c r="U12" s="157" t="str">
        <f>IF(OneLineRR!Q103="","",OneLineRR!Q103)</f>
        <v/>
      </c>
      <c r="V12" s="157" t="str">
        <f>IF(OneLineRR!R103="","",OneLineRR!R103)</f>
        <v/>
      </c>
      <c r="AB12" s="320" t="str">
        <f>IFERROR(U12+(COUNTIF($U$8:U12,U12)-1)/10000,"")</f>
        <v/>
      </c>
      <c r="AC12" s="158"/>
      <c r="AD12" s="119"/>
      <c r="AE12" s="460"/>
      <c r="AG12" s="119"/>
    </row>
    <row r="13" spans="3:33" x14ac:dyDescent="0.25">
      <c r="D13" s="154" t="str">
        <f>OneLineRR!A104</f>
        <v>Hudson View Park</v>
      </c>
      <c r="E13" s="104">
        <f>OneLineRR!J104</f>
        <v>0</v>
      </c>
      <c r="F13" s="104">
        <f>OneLineRR!K104</f>
        <v>0</v>
      </c>
      <c r="G13" s="155" t="e">
        <f>OneLineRR!D104</f>
        <v>#N/A</v>
      </c>
      <c r="H13" s="155" t="e">
        <f>IF(OneLineRR!G104="Yes","Affordable","Market")</f>
        <v>#N/A</v>
      </c>
      <c r="I13" s="104" t="e">
        <f>OneLineRR!I104</f>
        <v>#N/A</v>
      </c>
      <c r="J13" s="156">
        <f>OneLineRR!M104</f>
        <v>0</v>
      </c>
      <c r="K13" s="634">
        <f>OneLineRR!L104</f>
        <v>0</v>
      </c>
      <c r="L13" s="143" t="str">
        <f>OneLineRR!C104</f>
        <v>Occ</v>
      </c>
      <c r="M13" s="636">
        <f>OneLineRR!O104</f>
        <v>0</v>
      </c>
      <c r="N13" s="636">
        <f t="shared" si="0"/>
        <v>0</v>
      </c>
      <c r="O13" s="636">
        <f>OneLineRR!N104</f>
        <v>0</v>
      </c>
      <c r="P13" s="636" t="e" cm="1">
        <f t="array" ref="P13">INDEX('Unit Mix'!$P$6:$P$62,MATCH(1,('Rent Roll'!G13='Unit Mix'!$E$6:$E$62)*(D13='Unit Mix'!$D$6:$D$62),0))</f>
        <v>#N/A</v>
      </c>
      <c r="Q13" s="150">
        <f>OneLineRR!T104</f>
        <v>0</v>
      </c>
      <c r="R13" s="150">
        <f>OneLineRR!U104</f>
        <v>0</v>
      </c>
      <c r="S13" s="150">
        <f>OneLineRR!V104</f>
        <v>0</v>
      </c>
      <c r="T13" s="150">
        <f>OneLineRR!W104</f>
        <v>0</v>
      </c>
      <c r="U13" s="157" t="str">
        <f>IF(OneLineRR!Q104="","",OneLineRR!Q104)</f>
        <v/>
      </c>
      <c r="V13" s="157" t="str">
        <f>IF(OneLineRR!R104="","",OneLineRR!R104)</f>
        <v/>
      </c>
      <c r="AB13" s="320" t="str">
        <f>IFERROR(U13+(COUNTIF($U$8:U13,U13)-1)/10000,"")</f>
        <v/>
      </c>
      <c r="AC13" s="158"/>
      <c r="AD13" s="119"/>
      <c r="AE13" s="460"/>
      <c r="AG13" s="119"/>
    </row>
    <row r="14" spans="3:33" x14ac:dyDescent="0.25">
      <c r="D14" s="154" t="str">
        <f>OneLineRR!A105</f>
        <v>Hudson View Park</v>
      </c>
      <c r="E14" s="104">
        <f>OneLineRR!J105</f>
        <v>0</v>
      </c>
      <c r="F14" s="104">
        <f>OneLineRR!K105</f>
        <v>0</v>
      </c>
      <c r="G14" s="155" t="e">
        <f>OneLineRR!D105</f>
        <v>#N/A</v>
      </c>
      <c r="H14" s="155" t="e">
        <f>IF(OneLineRR!G105="Yes","Affordable","Market")</f>
        <v>#N/A</v>
      </c>
      <c r="I14" s="104" t="e">
        <f>OneLineRR!I105</f>
        <v>#N/A</v>
      </c>
      <c r="J14" s="156">
        <f>OneLineRR!M105</f>
        <v>0</v>
      </c>
      <c r="K14" s="634">
        <f>OneLineRR!L105</f>
        <v>0</v>
      </c>
      <c r="L14" s="143" t="str">
        <f>OneLineRR!C105</f>
        <v>Occ</v>
      </c>
      <c r="M14" s="636">
        <f>OneLineRR!O105</f>
        <v>0</v>
      </c>
      <c r="N14" s="636">
        <f t="shared" si="0"/>
        <v>0</v>
      </c>
      <c r="O14" s="636">
        <f>OneLineRR!N105</f>
        <v>0</v>
      </c>
      <c r="P14" s="636" t="e" cm="1">
        <f t="array" ref="P14">INDEX('Unit Mix'!$P$6:$P$62,MATCH(1,('Rent Roll'!G14='Unit Mix'!$E$6:$E$62)*(D14='Unit Mix'!$D$6:$D$62),0))</f>
        <v>#N/A</v>
      </c>
      <c r="Q14" s="150">
        <f>OneLineRR!T105</f>
        <v>0</v>
      </c>
      <c r="R14" s="150">
        <f>OneLineRR!U105</f>
        <v>0</v>
      </c>
      <c r="S14" s="150">
        <f>OneLineRR!V105</f>
        <v>0</v>
      </c>
      <c r="T14" s="150">
        <f>OneLineRR!W105</f>
        <v>0</v>
      </c>
      <c r="U14" s="157" t="str">
        <f>IF(OneLineRR!Q105="","",OneLineRR!Q105)</f>
        <v/>
      </c>
      <c r="V14" s="157" t="str">
        <f>IF(OneLineRR!R105="","",OneLineRR!R105)</f>
        <v/>
      </c>
      <c r="AB14" s="320" t="str">
        <f>IFERROR(U14+(COUNTIF($U$8:U14,U14)-1)/10000,"")</f>
        <v/>
      </c>
      <c r="AC14" s="158"/>
      <c r="AD14" s="119"/>
      <c r="AE14" s="460"/>
      <c r="AG14" s="119"/>
    </row>
    <row r="15" spans="3:33" x14ac:dyDescent="0.25">
      <c r="D15" s="154" t="str">
        <f>OneLineRR!A106</f>
        <v>Hudson View Park</v>
      </c>
      <c r="E15" s="104">
        <f>OneLineRR!J106</f>
        <v>0</v>
      </c>
      <c r="F15" s="104">
        <f>OneLineRR!K106</f>
        <v>0</v>
      </c>
      <c r="G15" s="155" t="e">
        <f>OneLineRR!D106</f>
        <v>#N/A</v>
      </c>
      <c r="H15" s="155" t="e">
        <f>IF(OneLineRR!G106="Yes","Affordable","Market")</f>
        <v>#N/A</v>
      </c>
      <c r="I15" s="104" t="e">
        <f>OneLineRR!I106</f>
        <v>#N/A</v>
      </c>
      <c r="J15" s="156">
        <f>OneLineRR!M106</f>
        <v>0</v>
      </c>
      <c r="K15" s="634">
        <f>OneLineRR!L106</f>
        <v>0</v>
      </c>
      <c r="L15" s="143" t="str">
        <f>OneLineRR!C106</f>
        <v>Occ</v>
      </c>
      <c r="M15" s="636">
        <f>OneLineRR!O106</f>
        <v>0</v>
      </c>
      <c r="N15" s="636">
        <f t="shared" si="0"/>
        <v>0</v>
      </c>
      <c r="O15" s="636">
        <f>OneLineRR!N106</f>
        <v>0</v>
      </c>
      <c r="P15" s="636" t="e" cm="1">
        <f t="array" ref="P15">INDEX('Unit Mix'!$P$6:$P$62,MATCH(1,('Rent Roll'!G15='Unit Mix'!$E$6:$E$62)*(D15='Unit Mix'!$D$6:$D$62),0))</f>
        <v>#N/A</v>
      </c>
      <c r="Q15" s="150">
        <f>OneLineRR!T106</f>
        <v>0</v>
      </c>
      <c r="R15" s="150">
        <f>OneLineRR!U106</f>
        <v>0</v>
      </c>
      <c r="S15" s="150">
        <f>OneLineRR!V106</f>
        <v>0</v>
      </c>
      <c r="T15" s="150">
        <f>OneLineRR!W106</f>
        <v>0</v>
      </c>
      <c r="U15" s="157" t="str">
        <f>IF(OneLineRR!Q106="","",OneLineRR!Q106)</f>
        <v/>
      </c>
      <c r="V15" s="157" t="str">
        <f>IF(OneLineRR!R106="","",OneLineRR!R106)</f>
        <v/>
      </c>
      <c r="AB15" s="320" t="str">
        <f>IFERROR(U15+(COUNTIF($U$8:U15,U15)-1)/10000,"")</f>
        <v/>
      </c>
      <c r="AC15" s="158"/>
      <c r="AD15" s="119"/>
      <c r="AE15" s="460"/>
      <c r="AG15" s="119"/>
    </row>
    <row r="16" spans="3:33" x14ac:dyDescent="0.25">
      <c r="D16" s="154" t="str">
        <f>OneLineRR!A107</f>
        <v>Hudson View Park</v>
      </c>
      <c r="E16" s="104">
        <f>OneLineRR!J107</f>
        <v>0</v>
      </c>
      <c r="F16" s="104">
        <f>OneLineRR!K107</f>
        <v>0</v>
      </c>
      <c r="G16" s="155" t="e">
        <f>OneLineRR!D107</f>
        <v>#N/A</v>
      </c>
      <c r="H16" s="155" t="e">
        <f>IF(OneLineRR!G107="Yes","Affordable","Market")</f>
        <v>#N/A</v>
      </c>
      <c r="I16" s="104" t="e">
        <f>OneLineRR!I107</f>
        <v>#N/A</v>
      </c>
      <c r="J16" s="156">
        <f>OneLineRR!M107</f>
        <v>0</v>
      </c>
      <c r="K16" s="634">
        <f>OneLineRR!L107</f>
        <v>0</v>
      </c>
      <c r="L16" s="143" t="str">
        <f>OneLineRR!C107</f>
        <v>Occ</v>
      </c>
      <c r="M16" s="636">
        <f>OneLineRR!O107</f>
        <v>0</v>
      </c>
      <c r="N16" s="636">
        <f t="shared" si="0"/>
        <v>0</v>
      </c>
      <c r="O16" s="636">
        <f>OneLineRR!N107</f>
        <v>0</v>
      </c>
      <c r="P16" s="636" t="e" cm="1">
        <f t="array" ref="P16">INDEX('Unit Mix'!$P$6:$P$62,MATCH(1,('Rent Roll'!G16='Unit Mix'!$E$6:$E$62)*(D16='Unit Mix'!$D$6:$D$62),0))</f>
        <v>#N/A</v>
      </c>
      <c r="Q16" s="150">
        <f>OneLineRR!T107</f>
        <v>0</v>
      </c>
      <c r="R16" s="150">
        <f>OneLineRR!U107</f>
        <v>0</v>
      </c>
      <c r="S16" s="150">
        <f>OneLineRR!V107</f>
        <v>0</v>
      </c>
      <c r="T16" s="150">
        <f>OneLineRR!W107</f>
        <v>0</v>
      </c>
      <c r="U16" s="157" t="str">
        <f>IF(OneLineRR!Q107="","",OneLineRR!Q107)</f>
        <v/>
      </c>
      <c r="V16" s="157" t="str">
        <f>IF(OneLineRR!R107="","",OneLineRR!R107)</f>
        <v/>
      </c>
      <c r="AB16" s="320" t="str">
        <f>IFERROR(U16+(COUNTIF($U$8:U16,U16)-1)/10000,"")</f>
        <v/>
      </c>
      <c r="AC16" s="158"/>
      <c r="AD16" s="119"/>
      <c r="AE16" s="460"/>
      <c r="AG16" s="119"/>
    </row>
    <row r="17" spans="4:33" x14ac:dyDescent="0.25">
      <c r="D17" s="154" t="str">
        <f>OneLineRR!A108</f>
        <v>Hudson View Park</v>
      </c>
      <c r="E17" s="104">
        <f>OneLineRR!J108</f>
        <v>0</v>
      </c>
      <c r="F17" s="104">
        <f>OneLineRR!K108</f>
        <v>0</v>
      </c>
      <c r="G17" s="155" t="e">
        <f>OneLineRR!D108</f>
        <v>#N/A</v>
      </c>
      <c r="H17" s="155" t="e">
        <f>IF(OneLineRR!G108="Yes","Affordable","Market")</f>
        <v>#N/A</v>
      </c>
      <c r="I17" s="104" t="e">
        <f>OneLineRR!I108</f>
        <v>#N/A</v>
      </c>
      <c r="J17" s="156">
        <f>OneLineRR!M108</f>
        <v>0</v>
      </c>
      <c r="K17" s="634">
        <f>OneLineRR!L108</f>
        <v>0</v>
      </c>
      <c r="L17" s="143" t="str">
        <f>OneLineRR!C108</f>
        <v>Occ</v>
      </c>
      <c r="M17" s="636">
        <f>OneLineRR!O108</f>
        <v>0</v>
      </c>
      <c r="N17" s="636">
        <f t="shared" si="0"/>
        <v>0</v>
      </c>
      <c r="O17" s="636">
        <f>OneLineRR!N108</f>
        <v>0</v>
      </c>
      <c r="P17" s="636" t="e" cm="1">
        <f t="array" ref="P17">INDEX('Unit Mix'!$P$6:$P$62,MATCH(1,('Rent Roll'!G17='Unit Mix'!$E$6:$E$62)*(D17='Unit Mix'!$D$6:$D$62),0))</f>
        <v>#N/A</v>
      </c>
      <c r="Q17" s="150">
        <f>OneLineRR!T108</f>
        <v>0</v>
      </c>
      <c r="R17" s="150">
        <f>OneLineRR!U108</f>
        <v>0</v>
      </c>
      <c r="S17" s="150">
        <f>OneLineRR!V108</f>
        <v>0</v>
      </c>
      <c r="T17" s="150">
        <f>OneLineRR!W108</f>
        <v>0</v>
      </c>
      <c r="U17" s="157" t="str">
        <f>IF(OneLineRR!Q108="","",OneLineRR!Q108)</f>
        <v/>
      </c>
      <c r="V17" s="157" t="str">
        <f>IF(OneLineRR!R108="","",OneLineRR!R108)</f>
        <v/>
      </c>
      <c r="AB17" s="320" t="str">
        <f>IFERROR(U17+(COUNTIF($U$8:U17,U17)-1)/10000,"")</f>
        <v/>
      </c>
      <c r="AC17" s="158"/>
      <c r="AD17" s="119"/>
      <c r="AE17" s="460"/>
      <c r="AG17" s="119"/>
    </row>
    <row r="18" spans="4:33" x14ac:dyDescent="0.25">
      <c r="D18" s="154" t="str">
        <f>OneLineRR!A109</f>
        <v>Hudson View Park</v>
      </c>
      <c r="E18" s="104">
        <f>OneLineRR!J109</f>
        <v>0</v>
      </c>
      <c r="F18" s="104">
        <f>OneLineRR!K109</f>
        <v>0</v>
      </c>
      <c r="G18" s="155" t="e">
        <f>OneLineRR!D109</f>
        <v>#N/A</v>
      </c>
      <c r="H18" s="155" t="e">
        <f>IF(OneLineRR!G109="Yes","Affordable","Market")</f>
        <v>#N/A</v>
      </c>
      <c r="I18" s="104" t="e">
        <f>OneLineRR!I109</f>
        <v>#N/A</v>
      </c>
      <c r="J18" s="156">
        <f>OneLineRR!M109</f>
        <v>0</v>
      </c>
      <c r="K18" s="634">
        <f>OneLineRR!L109</f>
        <v>0</v>
      </c>
      <c r="L18" s="143" t="str">
        <f>OneLineRR!C109</f>
        <v>Occ</v>
      </c>
      <c r="M18" s="636">
        <f>OneLineRR!O109</f>
        <v>0</v>
      </c>
      <c r="N18" s="636">
        <f t="shared" si="0"/>
        <v>0</v>
      </c>
      <c r="O18" s="636">
        <f>OneLineRR!N109</f>
        <v>0</v>
      </c>
      <c r="P18" s="636" t="e" cm="1">
        <f t="array" ref="P18">INDEX('Unit Mix'!$P$6:$P$62,MATCH(1,('Rent Roll'!G18='Unit Mix'!$E$6:$E$62)*(D18='Unit Mix'!$D$6:$D$62),0))</f>
        <v>#N/A</v>
      </c>
      <c r="Q18" s="150">
        <f>OneLineRR!T109</f>
        <v>0</v>
      </c>
      <c r="R18" s="150">
        <f>OneLineRR!U109</f>
        <v>0</v>
      </c>
      <c r="S18" s="150">
        <f>OneLineRR!V109</f>
        <v>0</v>
      </c>
      <c r="T18" s="150">
        <f>OneLineRR!W109</f>
        <v>0</v>
      </c>
      <c r="U18" s="157" t="str">
        <f>IF(OneLineRR!Q109="","",OneLineRR!Q109)</f>
        <v/>
      </c>
      <c r="V18" s="157" t="str">
        <f>IF(OneLineRR!R109="","",OneLineRR!R109)</f>
        <v/>
      </c>
      <c r="AB18" s="320" t="str">
        <f>IFERROR(U18+(COUNTIF($U$8:U18,U18)-1)/10000,"")</f>
        <v/>
      </c>
      <c r="AC18" s="158"/>
      <c r="AD18" s="119"/>
      <c r="AE18" s="460"/>
      <c r="AG18" s="119"/>
    </row>
    <row r="19" spans="4:33" x14ac:dyDescent="0.25">
      <c r="D19" s="154" t="str">
        <f>OneLineRR!A110</f>
        <v>Hudson View Park</v>
      </c>
      <c r="E19" s="104">
        <f>OneLineRR!J110</f>
        <v>0</v>
      </c>
      <c r="F19" s="104">
        <f>OneLineRR!K110</f>
        <v>0</v>
      </c>
      <c r="G19" s="155" t="e">
        <f>OneLineRR!D110</f>
        <v>#N/A</v>
      </c>
      <c r="H19" s="155" t="e">
        <f>IF(OneLineRR!G110="Yes","Affordable","Market")</f>
        <v>#N/A</v>
      </c>
      <c r="I19" s="104" t="e">
        <f>OneLineRR!I110</f>
        <v>#N/A</v>
      </c>
      <c r="J19" s="156">
        <f>OneLineRR!M110</f>
        <v>0</v>
      </c>
      <c r="K19" s="634">
        <f>OneLineRR!L110</f>
        <v>0</v>
      </c>
      <c r="L19" s="143" t="str">
        <f>OneLineRR!C110</f>
        <v>Occ</v>
      </c>
      <c r="M19" s="636">
        <f>OneLineRR!O110</f>
        <v>0</v>
      </c>
      <c r="N19" s="636">
        <f t="shared" si="0"/>
        <v>0</v>
      </c>
      <c r="O19" s="636">
        <f>OneLineRR!N110</f>
        <v>0</v>
      </c>
      <c r="P19" s="636" t="e" cm="1">
        <f t="array" ref="P19">INDEX('Unit Mix'!$P$6:$P$62,MATCH(1,('Rent Roll'!G19='Unit Mix'!$E$6:$E$62)*(D19='Unit Mix'!$D$6:$D$62),0))</f>
        <v>#N/A</v>
      </c>
      <c r="Q19" s="150">
        <f>OneLineRR!T110</f>
        <v>0</v>
      </c>
      <c r="R19" s="150">
        <f>OneLineRR!U110</f>
        <v>0</v>
      </c>
      <c r="S19" s="150">
        <f>OneLineRR!V110</f>
        <v>0</v>
      </c>
      <c r="T19" s="150">
        <f>OneLineRR!W110</f>
        <v>0</v>
      </c>
      <c r="U19" s="157" t="str">
        <f>IF(OneLineRR!Q110="","",OneLineRR!Q110)</f>
        <v/>
      </c>
      <c r="V19" s="157" t="str">
        <f>IF(OneLineRR!R110="","",OneLineRR!R110)</f>
        <v/>
      </c>
      <c r="AB19" s="320" t="str">
        <f>IFERROR(U19+(COUNTIF($U$8:U19,U19)-1)/10000,"")</f>
        <v/>
      </c>
      <c r="AC19" s="158"/>
      <c r="AD19" s="119"/>
      <c r="AE19" s="460"/>
      <c r="AG19" s="119"/>
    </row>
    <row r="20" spans="4:33" x14ac:dyDescent="0.25">
      <c r="D20" s="154" t="str">
        <f>OneLineRR!A111</f>
        <v>Hudson View Park</v>
      </c>
      <c r="E20" s="104">
        <f>OneLineRR!J111</f>
        <v>0</v>
      </c>
      <c r="F20" s="104">
        <f>OneLineRR!K111</f>
        <v>0</v>
      </c>
      <c r="G20" s="155" t="e">
        <f>OneLineRR!D111</f>
        <v>#N/A</v>
      </c>
      <c r="H20" s="155" t="e">
        <f>IF(OneLineRR!G111="Yes","Affordable","Market")</f>
        <v>#N/A</v>
      </c>
      <c r="I20" s="104" t="e">
        <f>OneLineRR!I111</f>
        <v>#N/A</v>
      </c>
      <c r="J20" s="156">
        <f>OneLineRR!M111</f>
        <v>0</v>
      </c>
      <c r="K20" s="634">
        <f>OneLineRR!L111</f>
        <v>0</v>
      </c>
      <c r="L20" s="143" t="str">
        <f>OneLineRR!C111</f>
        <v>Occ</v>
      </c>
      <c r="M20" s="636">
        <f>OneLineRR!O111</f>
        <v>0</v>
      </c>
      <c r="N20" s="636">
        <f t="shared" si="0"/>
        <v>0</v>
      </c>
      <c r="O20" s="636">
        <f>OneLineRR!N111</f>
        <v>0</v>
      </c>
      <c r="P20" s="636" t="e" cm="1">
        <f t="array" ref="P20">INDEX('Unit Mix'!$P$6:$P$62,MATCH(1,('Rent Roll'!G20='Unit Mix'!$E$6:$E$62)*(D20='Unit Mix'!$D$6:$D$62),0))</f>
        <v>#N/A</v>
      </c>
      <c r="Q20" s="150">
        <f>OneLineRR!T111</f>
        <v>0</v>
      </c>
      <c r="R20" s="150">
        <f>OneLineRR!U111</f>
        <v>0</v>
      </c>
      <c r="S20" s="150">
        <f>OneLineRR!V111</f>
        <v>0</v>
      </c>
      <c r="T20" s="150">
        <f>OneLineRR!W111</f>
        <v>0</v>
      </c>
      <c r="U20" s="157" t="str">
        <f>IF(OneLineRR!Q111="","",OneLineRR!Q111)</f>
        <v/>
      </c>
      <c r="V20" s="157" t="str">
        <f>IF(OneLineRR!R111="","",OneLineRR!R111)</f>
        <v/>
      </c>
      <c r="AB20" s="320" t="str">
        <f>IFERROR(U20+(COUNTIF($U$8:U20,U20)-1)/10000,"")</f>
        <v/>
      </c>
      <c r="AC20" s="158"/>
      <c r="AD20" s="119"/>
      <c r="AE20" s="460"/>
      <c r="AG20" s="119"/>
    </row>
    <row r="21" spans="4:33" x14ac:dyDescent="0.25">
      <c r="D21" s="154" t="str">
        <f>OneLineRR!A112</f>
        <v>Hudson View Park</v>
      </c>
      <c r="E21" s="104">
        <f>OneLineRR!J112</f>
        <v>0</v>
      </c>
      <c r="F21" s="104">
        <f>OneLineRR!K112</f>
        <v>0</v>
      </c>
      <c r="G21" s="155" t="e">
        <f>OneLineRR!D112</f>
        <v>#N/A</v>
      </c>
      <c r="H21" s="155" t="e">
        <f>IF(OneLineRR!G112="Yes","Affordable","Market")</f>
        <v>#N/A</v>
      </c>
      <c r="I21" s="104" t="e">
        <f>OneLineRR!I112</f>
        <v>#N/A</v>
      </c>
      <c r="J21" s="156">
        <f>OneLineRR!M112</f>
        <v>0</v>
      </c>
      <c r="K21" s="634">
        <f>OneLineRR!L112</f>
        <v>0</v>
      </c>
      <c r="L21" s="143" t="str">
        <f>OneLineRR!C112</f>
        <v>Occ</v>
      </c>
      <c r="M21" s="636">
        <f>OneLineRR!O112</f>
        <v>0</v>
      </c>
      <c r="N21" s="636">
        <f t="shared" si="0"/>
        <v>0</v>
      </c>
      <c r="O21" s="636">
        <f>OneLineRR!N112</f>
        <v>0</v>
      </c>
      <c r="P21" s="636" t="e" cm="1">
        <f t="array" ref="P21">INDEX('Unit Mix'!$P$6:$P$62,MATCH(1,('Rent Roll'!G21='Unit Mix'!$E$6:$E$62)*(D21='Unit Mix'!$D$6:$D$62),0))</f>
        <v>#N/A</v>
      </c>
      <c r="Q21" s="150">
        <f>OneLineRR!T112</f>
        <v>0</v>
      </c>
      <c r="R21" s="150">
        <f>OneLineRR!U112</f>
        <v>0</v>
      </c>
      <c r="S21" s="150">
        <f>OneLineRR!V112</f>
        <v>0</v>
      </c>
      <c r="T21" s="150">
        <f>OneLineRR!W112</f>
        <v>0</v>
      </c>
      <c r="U21" s="157" t="str">
        <f>IF(OneLineRR!Q112="","",OneLineRR!Q112)</f>
        <v/>
      </c>
      <c r="V21" s="157" t="str">
        <f>IF(OneLineRR!R112="","",OneLineRR!R112)</f>
        <v/>
      </c>
      <c r="AB21" s="320" t="str">
        <f>IFERROR(U21+(COUNTIF($U$8:U21,U21)-1)/10000,"")</f>
        <v/>
      </c>
      <c r="AC21" s="158"/>
      <c r="AD21" s="119"/>
      <c r="AE21" s="460"/>
      <c r="AG21" s="119"/>
    </row>
    <row r="22" spans="4:33" x14ac:dyDescent="0.25">
      <c r="D22" s="154" t="str">
        <f>OneLineRR!A113</f>
        <v>Hudson View Park</v>
      </c>
      <c r="E22" s="104">
        <f>OneLineRR!J113</f>
        <v>0</v>
      </c>
      <c r="F22" s="104">
        <f>OneLineRR!K113</f>
        <v>0</v>
      </c>
      <c r="G22" s="155" t="e">
        <f>OneLineRR!D113</f>
        <v>#N/A</v>
      </c>
      <c r="H22" s="155" t="e">
        <f>IF(OneLineRR!G113="Yes","Affordable","Market")</f>
        <v>#N/A</v>
      </c>
      <c r="I22" s="104" t="e">
        <f>OneLineRR!I113</f>
        <v>#N/A</v>
      </c>
      <c r="J22" s="156">
        <f>OneLineRR!M113</f>
        <v>0</v>
      </c>
      <c r="K22" s="634">
        <f>OneLineRR!L113</f>
        <v>0</v>
      </c>
      <c r="L22" s="143" t="str">
        <f>OneLineRR!C113</f>
        <v>Occ</v>
      </c>
      <c r="M22" s="636">
        <f>OneLineRR!O113</f>
        <v>0</v>
      </c>
      <c r="N22" s="636">
        <f t="shared" si="0"/>
        <v>0</v>
      </c>
      <c r="O22" s="636">
        <f>OneLineRR!N113</f>
        <v>0</v>
      </c>
      <c r="P22" s="636" t="e" cm="1">
        <f t="array" ref="P22">INDEX('Unit Mix'!$P$6:$P$62,MATCH(1,('Rent Roll'!G22='Unit Mix'!$E$6:$E$62)*(D22='Unit Mix'!$D$6:$D$62),0))</f>
        <v>#N/A</v>
      </c>
      <c r="Q22" s="150">
        <f>OneLineRR!T113</f>
        <v>0</v>
      </c>
      <c r="R22" s="150">
        <f>OneLineRR!U113</f>
        <v>0</v>
      </c>
      <c r="S22" s="150">
        <f>OneLineRR!V113</f>
        <v>0</v>
      </c>
      <c r="T22" s="150">
        <f>OneLineRR!W113</f>
        <v>0</v>
      </c>
      <c r="U22" s="157" t="str">
        <f>IF(OneLineRR!Q113="","",OneLineRR!Q113)</f>
        <v/>
      </c>
      <c r="V22" s="157" t="str">
        <f>IF(OneLineRR!R113="","",OneLineRR!R113)</f>
        <v/>
      </c>
      <c r="AB22" s="320" t="str">
        <f>IFERROR(U22+(COUNTIF($U$8:U22,U22)-1)/10000,"")</f>
        <v/>
      </c>
      <c r="AC22" s="158"/>
      <c r="AD22" s="119"/>
      <c r="AE22" s="460"/>
      <c r="AG22" s="119"/>
    </row>
    <row r="23" spans="4:33" x14ac:dyDescent="0.25">
      <c r="D23" s="154" t="str">
        <f>OneLineRR!A114</f>
        <v>Hudson View Park</v>
      </c>
      <c r="E23" s="104">
        <f>OneLineRR!J114</f>
        <v>0</v>
      </c>
      <c r="F23" s="104">
        <f>OneLineRR!K114</f>
        <v>0</v>
      </c>
      <c r="G23" s="155" t="e">
        <f>OneLineRR!D114</f>
        <v>#N/A</v>
      </c>
      <c r="H23" s="155" t="e">
        <f>IF(OneLineRR!G114="Yes","Affordable","Market")</f>
        <v>#N/A</v>
      </c>
      <c r="I23" s="104" t="e">
        <f>OneLineRR!I114</f>
        <v>#N/A</v>
      </c>
      <c r="J23" s="156">
        <f>OneLineRR!M114</f>
        <v>0</v>
      </c>
      <c r="K23" s="634">
        <f>OneLineRR!L114</f>
        <v>0</v>
      </c>
      <c r="L23" s="143" t="str">
        <f>OneLineRR!C114</f>
        <v>Occ</v>
      </c>
      <c r="M23" s="636">
        <f>OneLineRR!O114</f>
        <v>0</v>
      </c>
      <c r="N23" s="636">
        <f t="shared" si="0"/>
        <v>0</v>
      </c>
      <c r="O23" s="636">
        <f>OneLineRR!N114</f>
        <v>0</v>
      </c>
      <c r="P23" s="636" t="e" cm="1">
        <f t="array" ref="P23">INDEX('Unit Mix'!$P$6:$P$62,MATCH(1,('Rent Roll'!G23='Unit Mix'!$E$6:$E$62)*(D23='Unit Mix'!$D$6:$D$62),0))</f>
        <v>#N/A</v>
      </c>
      <c r="Q23" s="150">
        <f>OneLineRR!T114</f>
        <v>0</v>
      </c>
      <c r="R23" s="150">
        <f>OneLineRR!U114</f>
        <v>0</v>
      </c>
      <c r="S23" s="150">
        <f>OneLineRR!V114</f>
        <v>0</v>
      </c>
      <c r="T23" s="150">
        <f>OneLineRR!W114</f>
        <v>0</v>
      </c>
      <c r="U23" s="157" t="str">
        <f>IF(OneLineRR!Q114="","",OneLineRR!Q114)</f>
        <v/>
      </c>
      <c r="V23" s="157" t="str">
        <f>IF(OneLineRR!R114="","",OneLineRR!R114)</f>
        <v/>
      </c>
      <c r="AB23" s="320" t="str">
        <f>IFERROR(U23+(COUNTIF($U$8:U23,U23)-1)/10000,"")</f>
        <v/>
      </c>
      <c r="AC23" s="158"/>
      <c r="AD23" s="119"/>
      <c r="AE23" s="460"/>
      <c r="AG23" s="119"/>
    </row>
    <row r="24" spans="4:33" x14ac:dyDescent="0.25">
      <c r="D24" s="154" t="str">
        <f>OneLineRR!A115</f>
        <v>Hudson View Park</v>
      </c>
      <c r="E24" s="104">
        <f>OneLineRR!J115</f>
        <v>0</v>
      </c>
      <c r="F24" s="104">
        <f>OneLineRR!K115</f>
        <v>0</v>
      </c>
      <c r="G24" s="155" t="e">
        <f>OneLineRR!D115</f>
        <v>#N/A</v>
      </c>
      <c r="H24" s="155" t="e">
        <f>IF(OneLineRR!G115="Yes","Affordable","Market")</f>
        <v>#N/A</v>
      </c>
      <c r="I24" s="104" t="e">
        <f>OneLineRR!I115</f>
        <v>#N/A</v>
      </c>
      <c r="J24" s="156">
        <f>OneLineRR!M115</f>
        <v>0</v>
      </c>
      <c r="K24" s="634">
        <f>OneLineRR!L115</f>
        <v>0</v>
      </c>
      <c r="L24" s="143" t="str">
        <f>OneLineRR!C115</f>
        <v>Occ</v>
      </c>
      <c r="M24" s="636">
        <f>OneLineRR!O115</f>
        <v>0</v>
      </c>
      <c r="N24" s="636">
        <f t="shared" si="0"/>
        <v>0</v>
      </c>
      <c r="O24" s="636">
        <f>OneLineRR!N115</f>
        <v>0</v>
      </c>
      <c r="P24" s="636" t="e" cm="1">
        <f t="array" ref="P24">INDEX('Unit Mix'!$P$6:$P$62,MATCH(1,('Rent Roll'!G24='Unit Mix'!$E$6:$E$62)*(D24='Unit Mix'!$D$6:$D$62),0))</f>
        <v>#N/A</v>
      </c>
      <c r="Q24" s="150">
        <f>OneLineRR!T115</f>
        <v>0</v>
      </c>
      <c r="R24" s="150">
        <f>OneLineRR!U115</f>
        <v>0</v>
      </c>
      <c r="S24" s="150">
        <f>OneLineRR!V115</f>
        <v>0</v>
      </c>
      <c r="T24" s="150">
        <f>OneLineRR!W115</f>
        <v>0</v>
      </c>
      <c r="U24" s="157" t="str">
        <f>IF(OneLineRR!Q115="","",OneLineRR!Q115)</f>
        <v/>
      </c>
      <c r="V24" s="157" t="str">
        <f>IF(OneLineRR!R115="","",OneLineRR!R115)</f>
        <v/>
      </c>
      <c r="AB24" s="320" t="str">
        <f>IFERROR(U24+(COUNTIF($U$8:U24,U24)-1)/10000,"")</f>
        <v/>
      </c>
      <c r="AC24" s="158"/>
      <c r="AD24" s="119"/>
      <c r="AE24" s="460"/>
      <c r="AG24" s="119"/>
    </row>
    <row r="25" spans="4:33" x14ac:dyDescent="0.25">
      <c r="D25" s="154" t="str">
        <f>OneLineRR!A116</f>
        <v>Hudson View Park</v>
      </c>
      <c r="E25" s="104">
        <f>OneLineRR!J116</f>
        <v>0</v>
      </c>
      <c r="F25" s="104">
        <f>OneLineRR!K116</f>
        <v>0</v>
      </c>
      <c r="G25" s="155" t="e">
        <f>OneLineRR!D116</f>
        <v>#N/A</v>
      </c>
      <c r="H25" s="155" t="e">
        <f>IF(OneLineRR!G116="Yes","Affordable","Market")</f>
        <v>#N/A</v>
      </c>
      <c r="I25" s="104" t="e">
        <f>OneLineRR!I116</f>
        <v>#N/A</v>
      </c>
      <c r="J25" s="156">
        <f>OneLineRR!M116</f>
        <v>0</v>
      </c>
      <c r="K25" s="634">
        <f>OneLineRR!L116</f>
        <v>0</v>
      </c>
      <c r="L25" s="143" t="str">
        <f>OneLineRR!C116</f>
        <v>Occ</v>
      </c>
      <c r="M25" s="636">
        <f>OneLineRR!O116</f>
        <v>0</v>
      </c>
      <c r="N25" s="636">
        <f t="shared" si="0"/>
        <v>0</v>
      </c>
      <c r="O25" s="636">
        <f>OneLineRR!N116</f>
        <v>0</v>
      </c>
      <c r="P25" s="636" t="e" cm="1">
        <f t="array" ref="P25">INDEX('Unit Mix'!$P$6:$P$62,MATCH(1,('Rent Roll'!G25='Unit Mix'!$E$6:$E$62)*(D25='Unit Mix'!$D$6:$D$62),0))</f>
        <v>#N/A</v>
      </c>
      <c r="Q25" s="150">
        <f>OneLineRR!T116</f>
        <v>0</v>
      </c>
      <c r="R25" s="150">
        <f>OneLineRR!U116</f>
        <v>0</v>
      </c>
      <c r="S25" s="150">
        <f>OneLineRR!V116</f>
        <v>0</v>
      </c>
      <c r="T25" s="150">
        <f>OneLineRR!W116</f>
        <v>0</v>
      </c>
      <c r="U25" s="157" t="str">
        <f>IF(OneLineRR!Q116="","",OneLineRR!Q116)</f>
        <v/>
      </c>
      <c r="V25" s="157" t="str">
        <f>IF(OneLineRR!R116="","",OneLineRR!R116)</f>
        <v/>
      </c>
      <c r="AB25" s="320" t="str">
        <f>IFERROR(U25+(COUNTIF($U$8:U25,U25)-1)/10000,"")</f>
        <v/>
      </c>
      <c r="AC25" s="158"/>
      <c r="AD25" s="119"/>
      <c r="AE25" s="460"/>
      <c r="AG25" s="119"/>
    </row>
    <row r="26" spans="4:33" x14ac:dyDescent="0.25">
      <c r="D26" s="154" t="str">
        <f>OneLineRR!A117</f>
        <v>Hudson View Park</v>
      </c>
      <c r="E26" s="104">
        <f>OneLineRR!J117</f>
        <v>0</v>
      </c>
      <c r="F26" s="104">
        <f>OneLineRR!K117</f>
        <v>0</v>
      </c>
      <c r="G26" s="155" t="e">
        <f>OneLineRR!D117</f>
        <v>#N/A</v>
      </c>
      <c r="H26" s="155" t="e">
        <f>IF(OneLineRR!G117="Yes","Affordable","Market")</f>
        <v>#N/A</v>
      </c>
      <c r="I26" s="104" t="e">
        <f>OneLineRR!I117</f>
        <v>#N/A</v>
      </c>
      <c r="J26" s="156">
        <f>OneLineRR!M117</f>
        <v>0</v>
      </c>
      <c r="K26" s="634">
        <f>OneLineRR!L117</f>
        <v>0</v>
      </c>
      <c r="L26" s="143" t="str">
        <f>OneLineRR!C117</f>
        <v>Occ</v>
      </c>
      <c r="M26" s="636">
        <f>OneLineRR!O117</f>
        <v>0</v>
      </c>
      <c r="N26" s="636">
        <f t="shared" si="0"/>
        <v>0</v>
      </c>
      <c r="O26" s="636">
        <f>OneLineRR!N117</f>
        <v>0</v>
      </c>
      <c r="P26" s="636" t="e" cm="1">
        <f t="array" ref="P26">INDEX('Unit Mix'!$P$6:$P$62,MATCH(1,('Rent Roll'!G26='Unit Mix'!$E$6:$E$62)*(D26='Unit Mix'!$D$6:$D$62),0))</f>
        <v>#N/A</v>
      </c>
      <c r="Q26" s="150">
        <f>OneLineRR!T117</f>
        <v>0</v>
      </c>
      <c r="R26" s="150">
        <f>OneLineRR!U117</f>
        <v>0</v>
      </c>
      <c r="S26" s="150">
        <f>OneLineRR!V117</f>
        <v>0</v>
      </c>
      <c r="T26" s="150">
        <f>OneLineRR!W117</f>
        <v>0</v>
      </c>
      <c r="U26" s="157" t="str">
        <f>IF(OneLineRR!Q117="","",OneLineRR!Q117)</f>
        <v/>
      </c>
      <c r="V26" s="157" t="str">
        <f>IF(OneLineRR!R117="","",OneLineRR!R117)</f>
        <v/>
      </c>
      <c r="AB26" s="320" t="str">
        <f>IFERROR(U26+(COUNTIF($U$8:U26,U26)-1)/10000,"")</f>
        <v/>
      </c>
      <c r="AC26" s="158"/>
      <c r="AD26" s="119"/>
      <c r="AE26" s="460"/>
      <c r="AG26" s="119"/>
    </row>
    <row r="27" spans="4:33" x14ac:dyDescent="0.25">
      <c r="D27" s="154" t="str">
        <f>OneLineRR!A118</f>
        <v>Hudson View Park</v>
      </c>
      <c r="E27" s="104">
        <f>OneLineRR!J118</f>
        <v>0</v>
      </c>
      <c r="F27" s="104">
        <f>OneLineRR!K118</f>
        <v>0</v>
      </c>
      <c r="G27" s="155" t="e">
        <f>OneLineRR!D118</f>
        <v>#N/A</v>
      </c>
      <c r="H27" s="155" t="e">
        <f>IF(OneLineRR!G118="Yes","Affordable","Market")</f>
        <v>#N/A</v>
      </c>
      <c r="I27" s="104" t="e">
        <f>OneLineRR!I118</f>
        <v>#N/A</v>
      </c>
      <c r="J27" s="156">
        <f>OneLineRR!M118</f>
        <v>0</v>
      </c>
      <c r="K27" s="634">
        <f>OneLineRR!L118</f>
        <v>0</v>
      </c>
      <c r="L27" s="143" t="str">
        <f>OneLineRR!C118</f>
        <v>Occ</v>
      </c>
      <c r="M27" s="636">
        <f>OneLineRR!O118</f>
        <v>0</v>
      </c>
      <c r="N27" s="636">
        <f t="shared" si="0"/>
        <v>0</v>
      </c>
      <c r="O27" s="636">
        <f>OneLineRR!N118</f>
        <v>0</v>
      </c>
      <c r="P27" s="636" t="e" cm="1">
        <f t="array" ref="P27">INDEX('Unit Mix'!$P$6:$P$62,MATCH(1,('Rent Roll'!G27='Unit Mix'!$E$6:$E$62)*(D27='Unit Mix'!$D$6:$D$62),0))</f>
        <v>#N/A</v>
      </c>
      <c r="Q27" s="150">
        <f>OneLineRR!T118</f>
        <v>0</v>
      </c>
      <c r="R27" s="150">
        <f>OneLineRR!U118</f>
        <v>0</v>
      </c>
      <c r="S27" s="150">
        <f>OneLineRR!V118</f>
        <v>0</v>
      </c>
      <c r="T27" s="150">
        <f>OneLineRR!W118</f>
        <v>0</v>
      </c>
      <c r="U27" s="157" t="str">
        <f>IF(OneLineRR!Q118="","",OneLineRR!Q118)</f>
        <v/>
      </c>
      <c r="V27" s="157" t="str">
        <f>IF(OneLineRR!R118="","",OneLineRR!R118)</f>
        <v/>
      </c>
      <c r="AB27" s="320" t="str">
        <f>IFERROR(U27+(COUNTIF($U$8:U27,U27)-1)/10000,"")</f>
        <v/>
      </c>
      <c r="AC27" s="158"/>
      <c r="AD27" s="119"/>
      <c r="AE27" s="460"/>
      <c r="AG27" s="119"/>
    </row>
    <row r="28" spans="4:33" x14ac:dyDescent="0.25">
      <c r="D28" s="154" t="str">
        <f>OneLineRR!A119</f>
        <v>Hudson View Park</v>
      </c>
      <c r="E28" s="104">
        <f>OneLineRR!J119</f>
        <v>0</v>
      </c>
      <c r="F28" s="104">
        <f>OneLineRR!K119</f>
        <v>0</v>
      </c>
      <c r="G28" s="155" t="e">
        <f>OneLineRR!D119</f>
        <v>#N/A</v>
      </c>
      <c r="H28" s="155" t="e">
        <f>IF(OneLineRR!G119="Yes","Affordable","Market")</f>
        <v>#N/A</v>
      </c>
      <c r="I28" s="104" t="e">
        <f>OneLineRR!I119</f>
        <v>#N/A</v>
      </c>
      <c r="J28" s="156">
        <f>OneLineRR!M119</f>
        <v>0</v>
      </c>
      <c r="K28" s="634">
        <f>OneLineRR!L119</f>
        <v>0</v>
      </c>
      <c r="L28" s="143" t="str">
        <f>OneLineRR!C119</f>
        <v>Occ</v>
      </c>
      <c r="M28" s="636">
        <f>OneLineRR!O119</f>
        <v>0</v>
      </c>
      <c r="N28" s="636">
        <f t="shared" si="0"/>
        <v>0</v>
      </c>
      <c r="O28" s="636">
        <f>OneLineRR!N119</f>
        <v>0</v>
      </c>
      <c r="P28" s="636" t="e" cm="1">
        <f t="array" ref="P28">INDEX('Unit Mix'!$P$6:$P$62,MATCH(1,('Rent Roll'!G28='Unit Mix'!$E$6:$E$62)*(D28='Unit Mix'!$D$6:$D$62),0))</f>
        <v>#N/A</v>
      </c>
      <c r="Q28" s="150">
        <f>OneLineRR!T119</f>
        <v>0</v>
      </c>
      <c r="R28" s="150">
        <f>OneLineRR!U119</f>
        <v>0</v>
      </c>
      <c r="S28" s="150">
        <f>OneLineRR!V119</f>
        <v>0</v>
      </c>
      <c r="T28" s="150">
        <f>OneLineRR!W119</f>
        <v>0</v>
      </c>
      <c r="U28" s="157" t="str">
        <f>IF(OneLineRR!Q119="","",OneLineRR!Q119)</f>
        <v/>
      </c>
      <c r="V28" s="157" t="str">
        <f>IF(OneLineRR!R119="","",OneLineRR!R119)</f>
        <v/>
      </c>
      <c r="AB28" s="320" t="str">
        <f>IFERROR(U28+(COUNTIF($U$8:U28,U28)-1)/10000,"")</f>
        <v/>
      </c>
      <c r="AC28" s="158"/>
      <c r="AD28" s="119"/>
      <c r="AE28" s="460"/>
      <c r="AG28" s="119"/>
    </row>
    <row r="29" spans="4:33" x14ac:dyDescent="0.25">
      <c r="D29" s="154" t="str">
        <f>OneLineRR!A120</f>
        <v>Hudson View Park</v>
      </c>
      <c r="E29" s="104">
        <f>OneLineRR!J120</f>
        <v>0</v>
      </c>
      <c r="F29" s="104">
        <f>OneLineRR!K120</f>
        <v>0</v>
      </c>
      <c r="G29" s="155" t="e">
        <f>OneLineRR!D120</f>
        <v>#N/A</v>
      </c>
      <c r="H29" s="155" t="e">
        <f>IF(OneLineRR!G120="Yes","Affordable","Market")</f>
        <v>#N/A</v>
      </c>
      <c r="I29" s="104" t="e">
        <f>OneLineRR!I120</f>
        <v>#N/A</v>
      </c>
      <c r="J29" s="156">
        <f>OneLineRR!M120</f>
        <v>0</v>
      </c>
      <c r="K29" s="634">
        <f>OneLineRR!L120</f>
        <v>0</v>
      </c>
      <c r="L29" s="143" t="str">
        <f>OneLineRR!C120</f>
        <v>Occ</v>
      </c>
      <c r="M29" s="636">
        <f>OneLineRR!O120</f>
        <v>0</v>
      </c>
      <c r="N29" s="636">
        <f t="shared" si="0"/>
        <v>0</v>
      </c>
      <c r="O29" s="636">
        <f>OneLineRR!N120</f>
        <v>0</v>
      </c>
      <c r="P29" s="636" t="e" cm="1">
        <f t="array" ref="P29">INDEX('Unit Mix'!$P$6:$P$62,MATCH(1,('Rent Roll'!G29='Unit Mix'!$E$6:$E$62)*(D29='Unit Mix'!$D$6:$D$62),0))</f>
        <v>#N/A</v>
      </c>
      <c r="Q29" s="150">
        <f>OneLineRR!T120</f>
        <v>0</v>
      </c>
      <c r="R29" s="150">
        <f>OneLineRR!U120</f>
        <v>0</v>
      </c>
      <c r="S29" s="150">
        <f>OneLineRR!V120</f>
        <v>0</v>
      </c>
      <c r="T29" s="150">
        <f>OneLineRR!W120</f>
        <v>0</v>
      </c>
      <c r="U29" s="157" t="str">
        <f>IF(OneLineRR!Q120="","",OneLineRR!Q120)</f>
        <v/>
      </c>
      <c r="V29" s="157" t="str">
        <f>IF(OneLineRR!R120="","",OneLineRR!R120)</f>
        <v/>
      </c>
      <c r="AB29" s="320" t="str">
        <f>IFERROR(U29+(COUNTIF($U$8:U29,U29)-1)/10000,"")</f>
        <v/>
      </c>
      <c r="AC29" s="158"/>
      <c r="AD29" s="119"/>
      <c r="AE29" s="460"/>
      <c r="AG29" s="119"/>
    </row>
    <row r="30" spans="4:33" x14ac:dyDescent="0.25">
      <c r="D30" s="154" t="str">
        <f>OneLineRR!A121</f>
        <v>Hudson View Park</v>
      </c>
      <c r="E30" s="104">
        <f>OneLineRR!J121</f>
        <v>0</v>
      </c>
      <c r="F30" s="104">
        <f>OneLineRR!K121</f>
        <v>0</v>
      </c>
      <c r="G30" s="155" t="e">
        <f>OneLineRR!D121</f>
        <v>#N/A</v>
      </c>
      <c r="H30" s="155" t="e">
        <f>IF(OneLineRR!G121="Yes","Affordable","Market")</f>
        <v>#N/A</v>
      </c>
      <c r="I30" s="104" t="e">
        <f>OneLineRR!I121</f>
        <v>#N/A</v>
      </c>
      <c r="J30" s="156">
        <f>OneLineRR!M121</f>
        <v>0</v>
      </c>
      <c r="K30" s="634">
        <f>OneLineRR!L121</f>
        <v>0</v>
      </c>
      <c r="L30" s="143" t="str">
        <f>OneLineRR!C121</f>
        <v>Occ</v>
      </c>
      <c r="M30" s="636">
        <f>OneLineRR!O121</f>
        <v>0</v>
      </c>
      <c r="N30" s="636">
        <f t="shared" si="0"/>
        <v>0</v>
      </c>
      <c r="O30" s="636">
        <f>OneLineRR!N121</f>
        <v>0</v>
      </c>
      <c r="P30" s="636" t="e" cm="1">
        <f t="array" ref="P30">INDEX('Unit Mix'!$P$6:$P$62,MATCH(1,('Rent Roll'!G30='Unit Mix'!$E$6:$E$62)*(D30='Unit Mix'!$D$6:$D$62),0))</f>
        <v>#N/A</v>
      </c>
      <c r="Q30" s="150">
        <f>OneLineRR!T121</f>
        <v>0</v>
      </c>
      <c r="R30" s="150">
        <f>OneLineRR!U121</f>
        <v>0</v>
      </c>
      <c r="S30" s="150">
        <f>OneLineRR!V121</f>
        <v>0</v>
      </c>
      <c r="T30" s="150">
        <f>OneLineRR!W121</f>
        <v>0</v>
      </c>
      <c r="U30" s="157" t="str">
        <f>IF(OneLineRR!Q121="","",OneLineRR!Q121)</f>
        <v/>
      </c>
      <c r="V30" s="157" t="str">
        <f>IF(OneLineRR!R121="","",OneLineRR!R121)</f>
        <v/>
      </c>
      <c r="AB30" s="320" t="str">
        <f>IFERROR(U30+(COUNTIF($U$8:U30,U30)-1)/10000,"")</f>
        <v/>
      </c>
      <c r="AC30" s="158"/>
      <c r="AD30" s="119"/>
      <c r="AE30" s="460"/>
      <c r="AG30" s="119"/>
    </row>
    <row r="31" spans="4:33" x14ac:dyDescent="0.25">
      <c r="D31" s="154" t="str">
        <f>OneLineRR!A122</f>
        <v>Hudson View Park</v>
      </c>
      <c r="E31" s="104">
        <f>OneLineRR!J122</f>
        <v>0</v>
      </c>
      <c r="F31" s="104">
        <f>OneLineRR!K122</f>
        <v>0</v>
      </c>
      <c r="G31" s="155" t="e">
        <f>OneLineRR!D122</f>
        <v>#N/A</v>
      </c>
      <c r="H31" s="155" t="e">
        <f>IF(OneLineRR!G122="Yes","Affordable","Market")</f>
        <v>#N/A</v>
      </c>
      <c r="I31" s="104" t="e">
        <f>OneLineRR!I122</f>
        <v>#N/A</v>
      </c>
      <c r="J31" s="156">
        <f>OneLineRR!M122</f>
        <v>0</v>
      </c>
      <c r="K31" s="634">
        <f>OneLineRR!L122</f>
        <v>0</v>
      </c>
      <c r="L31" s="143" t="str">
        <f>OneLineRR!C122</f>
        <v>Occ</v>
      </c>
      <c r="M31" s="636">
        <f>OneLineRR!O122</f>
        <v>0</v>
      </c>
      <c r="N31" s="636">
        <f t="shared" si="0"/>
        <v>0</v>
      </c>
      <c r="O31" s="636">
        <f>OneLineRR!N122</f>
        <v>0</v>
      </c>
      <c r="P31" s="636" t="e" cm="1">
        <f t="array" ref="P31">INDEX('Unit Mix'!$P$6:$P$62,MATCH(1,('Rent Roll'!G31='Unit Mix'!$E$6:$E$62)*(D31='Unit Mix'!$D$6:$D$62),0))</f>
        <v>#N/A</v>
      </c>
      <c r="Q31" s="150">
        <f>OneLineRR!T122</f>
        <v>0</v>
      </c>
      <c r="R31" s="150">
        <f>OneLineRR!U122</f>
        <v>0</v>
      </c>
      <c r="S31" s="150">
        <f>OneLineRR!V122</f>
        <v>0</v>
      </c>
      <c r="T31" s="150">
        <f>OneLineRR!W122</f>
        <v>0</v>
      </c>
      <c r="U31" s="157" t="str">
        <f>IF(OneLineRR!Q122="","",OneLineRR!Q122)</f>
        <v/>
      </c>
      <c r="V31" s="157" t="str">
        <f>IF(OneLineRR!R122="","",OneLineRR!R122)</f>
        <v/>
      </c>
      <c r="AB31" s="320" t="str">
        <f>IFERROR(U31+(COUNTIF($U$8:U31,U31)-1)/10000,"")</f>
        <v/>
      </c>
      <c r="AC31" s="158"/>
      <c r="AD31" s="119"/>
      <c r="AE31" s="460"/>
      <c r="AG31" s="119"/>
    </row>
    <row r="32" spans="4:33" x14ac:dyDescent="0.25">
      <c r="D32" s="154" t="str">
        <f>OneLineRR!A123</f>
        <v>Hudson View Park</v>
      </c>
      <c r="E32" s="104">
        <f>OneLineRR!J123</f>
        <v>0</v>
      </c>
      <c r="F32" s="104">
        <f>OneLineRR!K123</f>
        <v>0</v>
      </c>
      <c r="G32" s="155" t="e">
        <f>OneLineRR!D123</f>
        <v>#N/A</v>
      </c>
      <c r="H32" s="155" t="e">
        <f>IF(OneLineRR!G123="Yes","Affordable","Market")</f>
        <v>#N/A</v>
      </c>
      <c r="I32" s="104" t="e">
        <f>OneLineRR!I123</f>
        <v>#N/A</v>
      </c>
      <c r="J32" s="156">
        <f>OneLineRR!M123</f>
        <v>0</v>
      </c>
      <c r="K32" s="634">
        <f>OneLineRR!L123</f>
        <v>0</v>
      </c>
      <c r="L32" s="143" t="str">
        <f>OneLineRR!C123</f>
        <v>Occ</v>
      </c>
      <c r="M32" s="636">
        <f>OneLineRR!O123</f>
        <v>0</v>
      </c>
      <c r="N32" s="636">
        <f t="shared" si="0"/>
        <v>0</v>
      </c>
      <c r="O32" s="636">
        <f>OneLineRR!N123</f>
        <v>0</v>
      </c>
      <c r="P32" s="636" t="e" cm="1">
        <f t="array" ref="P32">INDEX('Unit Mix'!$P$6:$P$62,MATCH(1,('Rent Roll'!G32='Unit Mix'!$E$6:$E$62)*(D32='Unit Mix'!$D$6:$D$62),0))</f>
        <v>#N/A</v>
      </c>
      <c r="Q32" s="150">
        <f>OneLineRR!T123</f>
        <v>0</v>
      </c>
      <c r="R32" s="150">
        <f>OneLineRR!U123</f>
        <v>0</v>
      </c>
      <c r="S32" s="150">
        <f>OneLineRR!V123</f>
        <v>0</v>
      </c>
      <c r="T32" s="150">
        <f>OneLineRR!W123</f>
        <v>0</v>
      </c>
      <c r="U32" s="157" t="str">
        <f>IF(OneLineRR!Q123="","",OneLineRR!Q123)</f>
        <v/>
      </c>
      <c r="V32" s="157" t="str">
        <f>IF(OneLineRR!R123="","",OneLineRR!R123)</f>
        <v/>
      </c>
      <c r="AB32" s="320" t="str">
        <f>IFERROR(U32+(COUNTIF($U$8:U32,U32)-1)/10000,"")</f>
        <v/>
      </c>
      <c r="AC32" s="158"/>
      <c r="AD32" s="119"/>
      <c r="AE32" s="460"/>
      <c r="AG32" s="119"/>
    </row>
    <row r="33" spans="4:33" x14ac:dyDescent="0.25">
      <c r="D33" s="154" t="str">
        <f>OneLineRR!A124</f>
        <v>Hudson View Park</v>
      </c>
      <c r="E33" s="104">
        <f>OneLineRR!J124</f>
        <v>0</v>
      </c>
      <c r="F33" s="104">
        <f>OneLineRR!K124</f>
        <v>0</v>
      </c>
      <c r="G33" s="155" t="e">
        <f>OneLineRR!D124</f>
        <v>#N/A</v>
      </c>
      <c r="H33" s="155" t="e">
        <f>IF(OneLineRR!G124="Yes","Affordable","Market")</f>
        <v>#N/A</v>
      </c>
      <c r="I33" s="104" t="e">
        <f>OneLineRR!I124</f>
        <v>#N/A</v>
      </c>
      <c r="J33" s="156">
        <f>OneLineRR!M124</f>
        <v>0</v>
      </c>
      <c r="K33" s="634">
        <f>OneLineRR!L124</f>
        <v>0</v>
      </c>
      <c r="L33" s="143" t="str">
        <f>OneLineRR!C124</f>
        <v>Occ</v>
      </c>
      <c r="M33" s="636">
        <f>OneLineRR!O124</f>
        <v>0</v>
      </c>
      <c r="N33" s="636">
        <f t="shared" si="0"/>
        <v>0</v>
      </c>
      <c r="O33" s="636">
        <f>OneLineRR!N124</f>
        <v>0</v>
      </c>
      <c r="P33" s="636" t="e" cm="1">
        <f t="array" ref="P33">INDEX('Unit Mix'!$P$6:$P$62,MATCH(1,('Rent Roll'!G33='Unit Mix'!$E$6:$E$62)*(D33='Unit Mix'!$D$6:$D$62),0))</f>
        <v>#N/A</v>
      </c>
      <c r="Q33" s="150">
        <f>OneLineRR!T124</f>
        <v>0</v>
      </c>
      <c r="R33" s="150">
        <f>OneLineRR!U124</f>
        <v>0</v>
      </c>
      <c r="S33" s="150">
        <f>OneLineRR!V124</f>
        <v>0</v>
      </c>
      <c r="T33" s="150">
        <f>OneLineRR!W124</f>
        <v>0</v>
      </c>
      <c r="U33" s="157" t="str">
        <f>IF(OneLineRR!Q124="","",OneLineRR!Q124)</f>
        <v/>
      </c>
      <c r="V33" s="157" t="str">
        <f>IF(OneLineRR!R124="","",OneLineRR!R124)</f>
        <v/>
      </c>
      <c r="AB33" s="320" t="str">
        <f>IFERROR(U33+(COUNTIF($U$8:U33,U33)-1)/10000,"")</f>
        <v/>
      </c>
      <c r="AC33" s="158"/>
      <c r="AD33" s="119"/>
      <c r="AE33" s="460"/>
      <c r="AG33" s="119"/>
    </row>
    <row r="34" spans="4:33" x14ac:dyDescent="0.25">
      <c r="D34" s="154" t="str">
        <f>OneLineRR!A125</f>
        <v>Hudson View Park</v>
      </c>
      <c r="E34" s="104">
        <f>OneLineRR!J125</f>
        <v>0</v>
      </c>
      <c r="F34" s="104">
        <f>OneLineRR!K125</f>
        <v>0</v>
      </c>
      <c r="G34" s="155" t="e">
        <f>OneLineRR!D125</f>
        <v>#N/A</v>
      </c>
      <c r="H34" s="155" t="e">
        <f>IF(OneLineRR!G125="Yes","Affordable","Market")</f>
        <v>#N/A</v>
      </c>
      <c r="I34" s="104" t="e">
        <f>OneLineRR!I125</f>
        <v>#N/A</v>
      </c>
      <c r="J34" s="156">
        <f>OneLineRR!M125</f>
        <v>0</v>
      </c>
      <c r="K34" s="634">
        <f>OneLineRR!L125</f>
        <v>0</v>
      </c>
      <c r="L34" s="143" t="str">
        <f>OneLineRR!C125</f>
        <v>Occ</v>
      </c>
      <c r="M34" s="636">
        <f>OneLineRR!O125</f>
        <v>0</v>
      </c>
      <c r="N34" s="636">
        <f t="shared" si="0"/>
        <v>0</v>
      </c>
      <c r="O34" s="636">
        <f>OneLineRR!N125</f>
        <v>0</v>
      </c>
      <c r="P34" s="636" t="e" cm="1">
        <f t="array" ref="P34">INDEX('Unit Mix'!$P$6:$P$62,MATCH(1,('Rent Roll'!G34='Unit Mix'!$E$6:$E$62)*(D34='Unit Mix'!$D$6:$D$62),0))</f>
        <v>#N/A</v>
      </c>
      <c r="Q34" s="150">
        <f>OneLineRR!T125</f>
        <v>0</v>
      </c>
      <c r="R34" s="150">
        <f>OneLineRR!U125</f>
        <v>0</v>
      </c>
      <c r="S34" s="150">
        <f>OneLineRR!V125</f>
        <v>0</v>
      </c>
      <c r="T34" s="150">
        <f>OneLineRR!W125</f>
        <v>0</v>
      </c>
      <c r="U34" s="157" t="str">
        <f>IF(OneLineRR!Q125="","",OneLineRR!Q125)</f>
        <v/>
      </c>
      <c r="V34" s="157" t="str">
        <f>IF(OneLineRR!R125="","",OneLineRR!R125)</f>
        <v/>
      </c>
      <c r="AB34" s="320" t="str">
        <f>IFERROR(U34+(COUNTIF($U$8:U34,U34)-1)/10000,"")</f>
        <v/>
      </c>
      <c r="AC34" s="158"/>
      <c r="AD34" s="119"/>
      <c r="AE34" s="460"/>
      <c r="AG34" s="119"/>
    </row>
    <row r="35" spans="4:33" x14ac:dyDescent="0.25">
      <c r="D35" s="154" t="str">
        <f>OneLineRR!A126</f>
        <v>Hudson View Park</v>
      </c>
      <c r="E35" s="104">
        <f>OneLineRR!J126</f>
        <v>0</v>
      </c>
      <c r="F35" s="104">
        <f>OneLineRR!K126</f>
        <v>0</v>
      </c>
      <c r="G35" s="155" t="e">
        <f>OneLineRR!D126</f>
        <v>#N/A</v>
      </c>
      <c r="H35" s="155" t="e">
        <f>IF(OneLineRR!G126="Yes","Affordable","Market")</f>
        <v>#N/A</v>
      </c>
      <c r="I35" s="104" t="e">
        <f>OneLineRR!I126</f>
        <v>#N/A</v>
      </c>
      <c r="J35" s="156">
        <f>OneLineRR!M126</f>
        <v>0</v>
      </c>
      <c r="K35" s="634">
        <f>OneLineRR!L126</f>
        <v>0</v>
      </c>
      <c r="L35" s="143" t="str">
        <f>OneLineRR!C126</f>
        <v>Occ</v>
      </c>
      <c r="M35" s="636">
        <f>OneLineRR!O126</f>
        <v>0</v>
      </c>
      <c r="N35" s="636">
        <f t="shared" si="0"/>
        <v>0</v>
      </c>
      <c r="O35" s="636">
        <f>OneLineRR!N126</f>
        <v>0</v>
      </c>
      <c r="P35" s="636" t="e" cm="1">
        <f t="array" ref="P35">INDEX('Unit Mix'!$P$6:$P$62,MATCH(1,('Rent Roll'!G35='Unit Mix'!$E$6:$E$62)*(D35='Unit Mix'!$D$6:$D$62),0))</f>
        <v>#N/A</v>
      </c>
      <c r="Q35" s="150">
        <f>OneLineRR!T126</f>
        <v>0</v>
      </c>
      <c r="R35" s="150">
        <f>OneLineRR!U126</f>
        <v>0</v>
      </c>
      <c r="S35" s="150">
        <f>OneLineRR!V126</f>
        <v>0</v>
      </c>
      <c r="T35" s="150">
        <f>OneLineRR!W126</f>
        <v>0</v>
      </c>
      <c r="U35" s="157" t="str">
        <f>IF(OneLineRR!Q126="","",OneLineRR!Q126)</f>
        <v/>
      </c>
      <c r="V35" s="157" t="str">
        <f>IF(OneLineRR!R126="","",OneLineRR!R126)</f>
        <v/>
      </c>
      <c r="AB35" s="320" t="str">
        <f>IFERROR(U35+(COUNTIF($U$8:U35,U35)-1)/10000,"")</f>
        <v/>
      </c>
      <c r="AC35" s="158"/>
      <c r="AD35" s="119"/>
      <c r="AE35" s="460"/>
      <c r="AG35" s="119"/>
    </row>
    <row r="36" spans="4:33" x14ac:dyDescent="0.25">
      <c r="D36" s="154" t="str">
        <f>OneLineRR!A127</f>
        <v>Hudson View Park</v>
      </c>
      <c r="E36" s="104">
        <f>OneLineRR!J127</f>
        <v>0</v>
      </c>
      <c r="F36" s="104">
        <f>OneLineRR!K127</f>
        <v>0</v>
      </c>
      <c r="G36" s="155" t="e">
        <f>OneLineRR!D127</f>
        <v>#N/A</v>
      </c>
      <c r="H36" s="155" t="e">
        <f>IF(OneLineRR!G127="Yes","Affordable","Market")</f>
        <v>#N/A</v>
      </c>
      <c r="I36" s="104" t="e">
        <f>OneLineRR!I127</f>
        <v>#N/A</v>
      </c>
      <c r="J36" s="156">
        <f>OneLineRR!M127</f>
        <v>0</v>
      </c>
      <c r="K36" s="634">
        <f>OneLineRR!L127</f>
        <v>0</v>
      </c>
      <c r="L36" s="143" t="str">
        <f>OneLineRR!C127</f>
        <v>Occ</v>
      </c>
      <c r="M36" s="636">
        <f>OneLineRR!O127</f>
        <v>0</v>
      </c>
      <c r="N36" s="636">
        <f t="shared" si="0"/>
        <v>0</v>
      </c>
      <c r="O36" s="636">
        <f>OneLineRR!N127</f>
        <v>0</v>
      </c>
      <c r="P36" s="636" t="e" cm="1">
        <f t="array" ref="P36">INDEX('Unit Mix'!$P$6:$P$62,MATCH(1,('Rent Roll'!G36='Unit Mix'!$E$6:$E$62)*(D36='Unit Mix'!$D$6:$D$62),0))</f>
        <v>#N/A</v>
      </c>
      <c r="Q36" s="150">
        <f>OneLineRR!T127</f>
        <v>0</v>
      </c>
      <c r="R36" s="150">
        <f>OneLineRR!U127</f>
        <v>0</v>
      </c>
      <c r="S36" s="150">
        <f>OneLineRR!V127</f>
        <v>0</v>
      </c>
      <c r="T36" s="150">
        <f>OneLineRR!W127</f>
        <v>0</v>
      </c>
      <c r="U36" s="157" t="str">
        <f>IF(OneLineRR!Q127="","",OneLineRR!Q127)</f>
        <v/>
      </c>
      <c r="V36" s="157" t="str">
        <f>IF(OneLineRR!R127="","",OneLineRR!R127)</f>
        <v/>
      </c>
      <c r="AB36" s="320" t="str">
        <f>IFERROR(U36+(COUNTIF($U$8:U36,U36)-1)/10000,"")</f>
        <v/>
      </c>
      <c r="AC36" s="158"/>
      <c r="AD36" s="119"/>
      <c r="AE36" s="460"/>
      <c r="AG36" s="119"/>
    </row>
    <row r="37" spans="4:33" x14ac:dyDescent="0.25">
      <c r="D37" s="154" t="str">
        <f>OneLineRR!A128</f>
        <v>Hudson View Park</v>
      </c>
      <c r="E37" s="104">
        <f>OneLineRR!J128</f>
        <v>0</v>
      </c>
      <c r="F37" s="104">
        <f>OneLineRR!K128</f>
        <v>0</v>
      </c>
      <c r="G37" s="155" t="e">
        <f>OneLineRR!D128</f>
        <v>#N/A</v>
      </c>
      <c r="H37" s="155" t="e">
        <f>IF(OneLineRR!G128="Yes","Affordable","Market")</f>
        <v>#N/A</v>
      </c>
      <c r="I37" s="104" t="e">
        <f>OneLineRR!I128</f>
        <v>#N/A</v>
      </c>
      <c r="J37" s="156">
        <f>OneLineRR!M128</f>
        <v>0</v>
      </c>
      <c r="K37" s="634">
        <f>OneLineRR!L128</f>
        <v>0</v>
      </c>
      <c r="L37" s="143" t="str">
        <f>OneLineRR!C128</f>
        <v>Occ</v>
      </c>
      <c r="M37" s="636">
        <f>OneLineRR!O128</f>
        <v>0</v>
      </c>
      <c r="N37" s="636">
        <f t="shared" si="0"/>
        <v>0</v>
      </c>
      <c r="O37" s="636">
        <f>OneLineRR!N128</f>
        <v>0</v>
      </c>
      <c r="P37" s="636" t="e" cm="1">
        <f t="array" ref="P37">INDEX('Unit Mix'!$P$6:$P$62,MATCH(1,('Rent Roll'!G37='Unit Mix'!$E$6:$E$62)*(D37='Unit Mix'!$D$6:$D$62),0))</f>
        <v>#N/A</v>
      </c>
      <c r="Q37" s="150">
        <f>OneLineRR!T128</f>
        <v>0</v>
      </c>
      <c r="R37" s="150">
        <f>OneLineRR!U128</f>
        <v>0</v>
      </c>
      <c r="S37" s="150">
        <f>OneLineRR!V128</f>
        <v>0</v>
      </c>
      <c r="T37" s="150">
        <f>OneLineRR!W128</f>
        <v>0</v>
      </c>
      <c r="U37" s="157" t="str">
        <f>IF(OneLineRR!Q128="","",OneLineRR!Q128)</f>
        <v/>
      </c>
      <c r="V37" s="157" t="str">
        <f>IF(OneLineRR!R128="","",OneLineRR!R128)</f>
        <v/>
      </c>
      <c r="AB37" s="320" t="str">
        <f>IFERROR(U37+(COUNTIF($U$8:U37,U37)-1)/10000,"")</f>
        <v/>
      </c>
      <c r="AC37" s="158"/>
      <c r="AD37" s="119"/>
      <c r="AE37" s="460"/>
      <c r="AG37" s="119"/>
    </row>
    <row r="38" spans="4:33" x14ac:dyDescent="0.25">
      <c r="D38" s="154" t="str">
        <f>OneLineRR!A129</f>
        <v>Hudson View Park</v>
      </c>
      <c r="E38" s="104">
        <f>OneLineRR!J129</f>
        <v>0</v>
      </c>
      <c r="F38" s="104">
        <f>OneLineRR!K129</f>
        <v>0</v>
      </c>
      <c r="G38" s="155" t="e">
        <f>OneLineRR!D129</f>
        <v>#N/A</v>
      </c>
      <c r="H38" s="155" t="e">
        <f>IF(OneLineRR!G129="Yes","Affordable","Market")</f>
        <v>#N/A</v>
      </c>
      <c r="I38" s="104" t="e">
        <f>OneLineRR!I129</f>
        <v>#N/A</v>
      </c>
      <c r="J38" s="156">
        <f>OneLineRR!M129</f>
        <v>0</v>
      </c>
      <c r="K38" s="634">
        <f>OneLineRR!L129</f>
        <v>0</v>
      </c>
      <c r="L38" s="143" t="str">
        <f>OneLineRR!C129</f>
        <v>Occ</v>
      </c>
      <c r="M38" s="636">
        <f>OneLineRR!O129</f>
        <v>0</v>
      </c>
      <c r="N38" s="636">
        <f t="shared" si="0"/>
        <v>0</v>
      </c>
      <c r="O38" s="636">
        <f>OneLineRR!N129</f>
        <v>0</v>
      </c>
      <c r="P38" s="636" t="e" cm="1">
        <f t="array" ref="P38">INDEX('Unit Mix'!$P$6:$P$62,MATCH(1,('Rent Roll'!G38='Unit Mix'!$E$6:$E$62)*(D38='Unit Mix'!$D$6:$D$62),0))</f>
        <v>#N/A</v>
      </c>
      <c r="Q38" s="150">
        <f>OneLineRR!T129</f>
        <v>0</v>
      </c>
      <c r="R38" s="150">
        <f>OneLineRR!U129</f>
        <v>0</v>
      </c>
      <c r="S38" s="150">
        <f>OneLineRR!V129</f>
        <v>0</v>
      </c>
      <c r="T38" s="150">
        <f>OneLineRR!W129</f>
        <v>0</v>
      </c>
      <c r="U38" s="157" t="str">
        <f>IF(OneLineRR!Q129="","",OneLineRR!Q129)</f>
        <v/>
      </c>
      <c r="V38" s="157" t="str">
        <f>IF(OneLineRR!R129="","",OneLineRR!R129)</f>
        <v/>
      </c>
      <c r="AB38" s="320" t="str">
        <f>IFERROR(U38+(COUNTIF($U$8:U38,U38)-1)/10000,"")</f>
        <v/>
      </c>
      <c r="AC38" s="158"/>
      <c r="AD38" s="119"/>
      <c r="AE38" s="460"/>
      <c r="AG38" s="119"/>
    </row>
    <row r="39" spans="4:33" x14ac:dyDescent="0.25">
      <c r="D39" s="154" t="str">
        <f>OneLineRR!A130</f>
        <v>Hudson View Park</v>
      </c>
      <c r="E39" s="104">
        <f>OneLineRR!J130</f>
        <v>0</v>
      </c>
      <c r="F39" s="104">
        <f>OneLineRR!K130</f>
        <v>0</v>
      </c>
      <c r="G39" s="155" t="e">
        <f>OneLineRR!D130</f>
        <v>#N/A</v>
      </c>
      <c r="H39" s="155" t="e">
        <f>IF(OneLineRR!G130="Yes","Affordable","Market")</f>
        <v>#N/A</v>
      </c>
      <c r="I39" s="104" t="e">
        <f>OneLineRR!I130</f>
        <v>#N/A</v>
      </c>
      <c r="J39" s="156">
        <f>OneLineRR!M130</f>
        <v>0</v>
      </c>
      <c r="K39" s="634">
        <f>OneLineRR!L130</f>
        <v>0</v>
      </c>
      <c r="L39" s="143" t="str">
        <f>OneLineRR!C130</f>
        <v>Occ</v>
      </c>
      <c r="M39" s="636">
        <f>OneLineRR!O130</f>
        <v>0</v>
      </c>
      <c r="N39" s="636">
        <f t="shared" si="0"/>
        <v>0</v>
      </c>
      <c r="O39" s="636">
        <f>OneLineRR!N130</f>
        <v>0</v>
      </c>
      <c r="P39" s="636" t="e" cm="1">
        <f t="array" ref="P39">INDEX('Unit Mix'!$P$6:$P$62,MATCH(1,('Rent Roll'!G39='Unit Mix'!$E$6:$E$62)*(D39='Unit Mix'!$D$6:$D$62),0))</f>
        <v>#N/A</v>
      </c>
      <c r="Q39" s="150">
        <f>OneLineRR!T130</f>
        <v>0</v>
      </c>
      <c r="R39" s="150">
        <f>OneLineRR!U130</f>
        <v>0</v>
      </c>
      <c r="S39" s="150">
        <f>OneLineRR!V130</f>
        <v>0</v>
      </c>
      <c r="T39" s="150">
        <f>OneLineRR!W130</f>
        <v>0</v>
      </c>
      <c r="U39" s="157" t="str">
        <f>IF(OneLineRR!Q130="","",OneLineRR!Q130)</f>
        <v/>
      </c>
      <c r="V39" s="157" t="str">
        <f>IF(OneLineRR!R130="","",OneLineRR!R130)</f>
        <v/>
      </c>
      <c r="AB39" s="320" t="str">
        <f>IFERROR(U39+(COUNTIF($U$8:U39,U39)-1)/10000,"")</f>
        <v/>
      </c>
      <c r="AC39" s="158"/>
      <c r="AD39" s="119"/>
      <c r="AE39" s="460"/>
      <c r="AG39" s="119"/>
    </row>
    <row r="40" spans="4:33" x14ac:dyDescent="0.25">
      <c r="D40" s="154" t="str">
        <f>OneLineRR!A131</f>
        <v>Hudson View Park</v>
      </c>
      <c r="E40" s="104">
        <f>OneLineRR!J131</f>
        <v>0</v>
      </c>
      <c r="F40" s="104">
        <f>OneLineRR!K131</f>
        <v>0</v>
      </c>
      <c r="G40" s="155" t="e">
        <f>OneLineRR!D131</f>
        <v>#N/A</v>
      </c>
      <c r="H40" s="155" t="e">
        <f>IF(OneLineRR!G131="Yes","Affordable","Market")</f>
        <v>#N/A</v>
      </c>
      <c r="I40" s="104" t="e">
        <f>OneLineRR!I131</f>
        <v>#N/A</v>
      </c>
      <c r="J40" s="156">
        <f>OneLineRR!M131</f>
        <v>0</v>
      </c>
      <c r="K40" s="634">
        <f>OneLineRR!L131</f>
        <v>0</v>
      </c>
      <c r="L40" s="143" t="str">
        <f>OneLineRR!C131</f>
        <v>Occ</v>
      </c>
      <c r="M40" s="636">
        <f>OneLineRR!O131</f>
        <v>0</v>
      </c>
      <c r="N40" s="636">
        <f t="shared" si="0"/>
        <v>0</v>
      </c>
      <c r="O40" s="636">
        <f>OneLineRR!N131</f>
        <v>0</v>
      </c>
      <c r="P40" s="636" t="e" cm="1">
        <f t="array" ref="P40">INDEX('Unit Mix'!$P$6:$P$62,MATCH(1,('Rent Roll'!G40='Unit Mix'!$E$6:$E$62)*(D40='Unit Mix'!$D$6:$D$62),0))</f>
        <v>#N/A</v>
      </c>
      <c r="Q40" s="150">
        <f>OneLineRR!T131</f>
        <v>0</v>
      </c>
      <c r="R40" s="150">
        <f>OneLineRR!U131</f>
        <v>0</v>
      </c>
      <c r="S40" s="150">
        <f>OneLineRR!V131</f>
        <v>0</v>
      </c>
      <c r="T40" s="150">
        <f>OneLineRR!W131</f>
        <v>0</v>
      </c>
      <c r="U40" s="157" t="str">
        <f>IF(OneLineRR!Q131="","",OneLineRR!Q131)</f>
        <v/>
      </c>
      <c r="V40" s="157" t="str">
        <f>IF(OneLineRR!R131="","",OneLineRR!R131)</f>
        <v/>
      </c>
      <c r="AB40" s="320" t="str">
        <f>IFERROR(U40+(COUNTIF($U$8:U40,U40)-1)/10000,"")</f>
        <v/>
      </c>
      <c r="AC40" s="158"/>
      <c r="AD40" s="119"/>
      <c r="AE40" s="460"/>
      <c r="AG40" s="119"/>
    </row>
    <row r="41" spans="4:33" x14ac:dyDescent="0.25">
      <c r="D41" s="154" t="str">
        <f>OneLineRR!A132</f>
        <v>Hudson View Park</v>
      </c>
      <c r="E41" s="104">
        <f>OneLineRR!J132</f>
        <v>0</v>
      </c>
      <c r="F41" s="104">
        <f>OneLineRR!K132</f>
        <v>0</v>
      </c>
      <c r="G41" s="155" t="e">
        <f>OneLineRR!D132</f>
        <v>#N/A</v>
      </c>
      <c r="H41" s="155" t="e">
        <f>IF(OneLineRR!G132="Yes","Affordable","Market")</f>
        <v>#N/A</v>
      </c>
      <c r="I41" s="104" t="e">
        <f>OneLineRR!I132</f>
        <v>#N/A</v>
      </c>
      <c r="J41" s="156">
        <f>OneLineRR!M132</f>
        <v>0</v>
      </c>
      <c r="K41" s="634">
        <f>OneLineRR!L132</f>
        <v>0</v>
      </c>
      <c r="L41" s="143" t="str">
        <f>OneLineRR!C132</f>
        <v>Occ</v>
      </c>
      <c r="M41" s="636">
        <f>OneLineRR!O132</f>
        <v>0</v>
      </c>
      <c r="N41" s="636">
        <f t="shared" si="0"/>
        <v>0</v>
      </c>
      <c r="O41" s="636">
        <f>OneLineRR!N132</f>
        <v>0</v>
      </c>
      <c r="P41" s="636" t="e" cm="1">
        <f t="array" ref="P41">INDEX('Unit Mix'!$P$6:$P$62,MATCH(1,('Rent Roll'!G41='Unit Mix'!$E$6:$E$62)*(D41='Unit Mix'!$D$6:$D$62),0))</f>
        <v>#N/A</v>
      </c>
      <c r="Q41" s="150">
        <f>OneLineRR!T132</f>
        <v>0</v>
      </c>
      <c r="R41" s="150">
        <f>OneLineRR!U132</f>
        <v>0</v>
      </c>
      <c r="S41" s="150">
        <f>OneLineRR!V132</f>
        <v>0</v>
      </c>
      <c r="T41" s="150">
        <f>OneLineRR!W132</f>
        <v>0</v>
      </c>
      <c r="U41" s="157" t="str">
        <f>IF(OneLineRR!Q132="","",OneLineRR!Q132)</f>
        <v/>
      </c>
      <c r="V41" s="157" t="str">
        <f>IF(OneLineRR!R132="","",OneLineRR!R132)</f>
        <v/>
      </c>
      <c r="AB41" s="320" t="str">
        <f>IFERROR(U41+(COUNTIF($U$8:U41,U41)-1)/10000,"")</f>
        <v/>
      </c>
      <c r="AC41" s="158"/>
      <c r="AD41" s="119"/>
      <c r="AE41" s="460"/>
      <c r="AG41" s="119"/>
    </row>
    <row r="42" spans="4:33" x14ac:dyDescent="0.25">
      <c r="D42" s="154" t="str">
        <f>OneLineRR!A133</f>
        <v>Hudson View Park</v>
      </c>
      <c r="E42" s="104">
        <f>OneLineRR!J133</f>
        <v>0</v>
      </c>
      <c r="F42" s="104">
        <f>OneLineRR!K133</f>
        <v>0</v>
      </c>
      <c r="G42" s="155" t="e">
        <f>OneLineRR!D133</f>
        <v>#N/A</v>
      </c>
      <c r="H42" s="155" t="e">
        <f>IF(OneLineRR!G133="Yes","Affordable","Market")</f>
        <v>#N/A</v>
      </c>
      <c r="I42" s="104" t="e">
        <f>OneLineRR!I133</f>
        <v>#N/A</v>
      </c>
      <c r="J42" s="156">
        <f>OneLineRR!M133</f>
        <v>0</v>
      </c>
      <c r="K42" s="634">
        <f>OneLineRR!L133</f>
        <v>0</v>
      </c>
      <c r="L42" s="143" t="str">
        <f>OneLineRR!C133</f>
        <v>Occ</v>
      </c>
      <c r="M42" s="636">
        <f>OneLineRR!O133</f>
        <v>0</v>
      </c>
      <c r="N42" s="636">
        <f t="shared" si="0"/>
        <v>0</v>
      </c>
      <c r="O42" s="636">
        <f>OneLineRR!N133</f>
        <v>0</v>
      </c>
      <c r="P42" s="636" t="e" cm="1">
        <f t="array" ref="P42">INDEX('Unit Mix'!$P$6:$P$62,MATCH(1,('Rent Roll'!G42='Unit Mix'!$E$6:$E$62)*(D42='Unit Mix'!$D$6:$D$62),0))</f>
        <v>#N/A</v>
      </c>
      <c r="Q42" s="150">
        <f>OneLineRR!T133</f>
        <v>0</v>
      </c>
      <c r="R42" s="150">
        <f>OneLineRR!U133</f>
        <v>0</v>
      </c>
      <c r="S42" s="150">
        <f>OneLineRR!V133</f>
        <v>0</v>
      </c>
      <c r="T42" s="150">
        <f>OneLineRR!W133</f>
        <v>0</v>
      </c>
      <c r="U42" s="157" t="str">
        <f>IF(OneLineRR!Q133="","",OneLineRR!Q133)</f>
        <v/>
      </c>
      <c r="V42" s="157" t="str">
        <f>IF(OneLineRR!R133="","",OneLineRR!R133)</f>
        <v/>
      </c>
      <c r="AB42" s="320" t="str">
        <f>IFERROR(U42+(COUNTIF($U$8:U42,U42)-1)/10000,"")</f>
        <v/>
      </c>
      <c r="AC42" s="158"/>
      <c r="AD42" s="119"/>
      <c r="AE42" s="460"/>
      <c r="AG42" s="119"/>
    </row>
    <row r="43" spans="4:33" x14ac:dyDescent="0.25">
      <c r="D43" s="154" t="str">
        <f>OneLineRR!A134</f>
        <v>Hudson View Park</v>
      </c>
      <c r="E43" s="104">
        <f>OneLineRR!J134</f>
        <v>0</v>
      </c>
      <c r="F43" s="104">
        <f>OneLineRR!K134</f>
        <v>0</v>
      </c>
      <c r="G43" s="155" t="e">
        <f>OneLineRR!D134</f>
        <v>#N/A</v>
      </c>
      <c r="H43" s="155" t="e">
        <f>IF(OneLineRR!G134="Yes","Affordable","Market")</f>
        <v>#N/A</v>
      </c>
      <c r="I43" s="104" t="e">
        <f>OneLineRR!I134</f>
        <v>#N/A</v>
      </c>
      <c r="J43" s="156">
        <f>OneLineRR!M134</f>
        <v>0</v>
      </c>
      <c r="K43" s="634">
        <f>OneLineRR!L134</f>
        <v>0</v>
      </c>
      <c r="L43" s="143" t="str">
        <f>OneLineRR!C134</f>
        <v>Occ</v>
      </c>
      <c r="M43" s="636">
        <f>OneLineRR!O134</f>
        <v>0</v>
      </c>
      <c r="N43" s="636">
        <f t="shared" si="0"/>
        <v>0</v>
      </c>
      <c r="O43" s="636">
        <f>OneLineRR!N134</f>
        <v>0</v>
      </c>
      <c r="P43" s="636" t="e" cm="1">
        <f t="array" ref="P43">INDEX('Unit Mix'!$P$6:$P$62,MATCH(1,('Rent Roll'!G43='Unit Mix'!$E$6:$E$62)*(D43='Unit Mix'!$D$6:$D$62),0))</f>
        <v>#N/A</v>
      </c>
      <c r="Q43" s="150">
        <f>OneLineRR!T134</f>
        <v>0</v>
      </c>
      <c r="R43" s="150">
        <f>OneLineRR!U134</f>
        <v>0</v>
      </c>
      <c r="S43" s="150">
        <f>OneLineRR!V134</f>
        <v>0</v>
      </c>
      <c r="T43" s="150">
        <f>OneLineRR!W134</f>
        <v>0</v>
      </c>
      <c r="U43" s="157" t="str">
        <f>IF(OneLineRR!Q134="","",OneLineRR!Q134)</f>
        <v/>
      </c>
      <c r="V43" s="157" t="str">
        <f>IF(OneLineRR!R134="","",OneLineRR!R134)</f>
        <v/>
      </c>
      <c r="AB43" s="320" t="str">
        <f>IFERROR(U43+(COUNTIF($U$8:U43,U43)-1)/10000,"")</f>
        <v/>
      </c>
      <c r="AC43" s="158"/>
      <c r="AD43" s="119"/>
      <c r="AE43" s="460"/>
      <c r="AG43" s="119"/>
    </row>
    <row r="44" spans="4:33" x14ac:dyDescent="0.25">
      <c r="D44" s="154" t="str">
        <f>OneLineRR!A135</f>
        <v>Hudson View Park</v>
      </c>
      <c r="E44" s="104">
        <f>OneLineRR!J135</f>
        <v>0</v>
      </c>
      <c r="F44" s="104">
        <f>OneLineRR!K135</f>
        <v>0</v>
      </c>
      <c r="G44" s="155" t="e">
        <f>OneLineRR!D135</f>
        <v>#N/A</v>
      </c>
      <c r="H44" s="155" t="e">
        <f>IF(OneLineRR!G135="Yes","Affordable","Market")</f>
        <v>#N/A</v>
      </c>
      <c r="I44" s="104" t="e">
        <f>OneLineRR!I135</f>
        <v>#N/A</v>
      </c>
      <c r="J44" s="156">
        <f>OneLineRR!M135</f>
        <v>0</v>
      </c>
      <c r="K44" s="634">
        <f>OneLineRR!L135</f>
        <v>0</v>
      </c>
      <c r="L44" s="143" t="str">
        <f>OneLineRR!C135</f>
        <v>Occ</v>
      </c>
      <c r="M44" s="636">
        <f>OneLineRR!O135</f>
        <v>0</v>
      </c>
      <c r="N44" s="636">
        <f t="shared" si="0"/>
        <v>0</v>
      </c>
      <c r="O44" s="636">
        <f>OneLineRR!N135</f>
        <v>0</v>
      </c>
      <c r="P44" s="636" t="e" cm="1">
        <f t="array" ref="P44">INDEX('Unit Mix'!$P$6:$P$62,MATCH(1,('Rent Roll'!G44='Unit Mix'!$E$6:$E$62)*(D44='Unit Mix'!$D$6:$D$62),0))</f>
        <v>#N/A</v>
      </c>
      <c r="Q44" s="150">
        <f>OneLineRR!T135</f>
        <v>0</v>
      </c>
      <c r="R44" s="150">
        <f>OneLineRR!U135</f>
        <v>0</v>
      </c>
      <c r="S44" s="150">
        <f>OneLineRR!V135</f>
        <v>0</v>
      </c>
      <c r="T44" s="150">
        <f>OneLineRR!W135</f>
        <v>0</v>
      </c>
      <c r="U44" s="157" t="str">
        <f>IF(OneLineRR!Q135="","",OneLineRR!Q135)</f>
        <v/>
      </c>
      <c r="V44" s="157" t="str">
        <f>IF(OneLineRR!R135="","",OneLineRR!R135)</f>
        <v/>
      </c>
      <c r="AB44" s="320" t="str">
        <f>IFERROR(U44+(COUNTIF($U$8:U44,U44)-1)/10000,"")</f>
        <v/>
      </c>
      <c r="AC44" s="158"/>
      <c r="AD44" s="119"/>
      <c r="AE44" s="460"/>
      <c r="AG44" s="119"/>
    </row>
    <row r="45" spans="4:33" x14ac:dyDescent="0.25">
      <c r="D45" s="154" t="str">
        <f>OneLineRR!A136</f>
        <v>Hudson View Park</v>
      </c>
      <c r="E45" s="104">
        <f>OneLineRR!J136</f>
        <v>0</v>
      </c>
      <c r="F45" s="104">
        <f>OneLineRR!K136</f>
        <v>0</v>
      </c>
      <c r="G45" s="155" t="e">
        <f>OneLineRR!D136</f>
        <v>#N/A</v>
      </c>
      <c r="H45" s="155" t="e">
        <f>IF(OneLineRR!G136="Yes","Affordable","Market")</f>
        <v>#N/A</v>
      </c>
      <c r="I45" s="104" t="e">
        <f>OneLineRR!I136</f>
        <v>#N/A</v>
      </c>
      <c r="J45" s="156">
        <f>OneLineRR!M136</f>
        <v>0</v>
      </c>
      <c r="K45" s="634">
        <f>OneLineRR!L136</f>
        <v>0</v>
      </c>
      <c r="L45" s="143" t="str">
        <f>OneLineRR!C136</f>
        <v>Occ</v>
      </c>
      <c r="M45" s="636">
        <f>OneLineRR!O136</f>
        <v>0</v>
      </c>
      <c r="N45" s="636">
        <f t="shared" si="0"/>
        <v>0</v>
      </c>
      <c r="O45" s="636">
        <f>OneLineRR!N136</f>
        <v>0</v>
      </c>
      <c r="P45" s="636" t="e" cm="1">
        <f t="array" ref="P45">INDEX('Unit Mix'!$P$6:$P$62,MATCH(1,('Rent Roll'!G45='Unit Mix'!$E$6:$E$62)*(D45='Unit Mix'!$D$6:$D$62),0))</f>
        <v>#N/A</v>
      </c>
      <c r="Q45" s="150">
        <f>OneLineRR!T136</f>
        <v>0</v>
      </c>
      <c r="R45" s="150">
        <f>OneLineRR!U136</f>
        <v>0</v>
      </c>
      <c r="S45" s="150">
        <f>OneLineRR!V136</f>
        <v>0</v>
      </c>
      <c r="T45" s="150">
        <f>OneLineRR!W136</f>
        <v>0</v>
      </c>
      <c r="U45" s="157" t="str">
        <f>IF(OneLineRR!Q136="","",OneLineRR!Q136)</f>
        <v/>
      </c>
      <c r="V45" s="157" t="str">
        <f>IF(OneLineRR!R136="","",OneLineRR!R136)</f>
        <v/>
      </c>
      <c r="AB45" s="320" t="str">
        <f>IFERROR(U45+(COUNTIF($U$8:U45,U45)-1)/10000,"")</f>
        <v/>
      </c>
      <c r="AC45" s="158"/>
      <c r="AD45" s="119"/>
      <c r="AE45" s="460"/>
      <c r="AG45" s="119"/>
    </row>
    <row r="46" spans="4:33" x14ac:dyDescent="0.25">
      <c r="D46" s="154" t="str">
        <f>OneLineRR!A137</f>
        <v>Hudson View Park</v>
      </c>
      <c r="E46" s="104">
        <f>OneLineRR!J137</f>
        <v>0</v>
      </c>
      <c r="F46" s="104">
        <f>OneLineRR!K137</f>
        <v>0</v>
      </c>
      <c r="G46" s="155" t="e">
        <f>OneLineRR!D137</f>
        <v>#N/A</v>
      </c>
      <c r="H46" s="155" t="e">
        <f>IF(OneLineRR!G137="Yes","Affordable","Market")</f>
        <v>#N/A</v>
      </c>
      <c r="I46" s="104" t="e">
        <f>OneLineRR!I137</f>
        <v>#N/A</v>
      </c>
      <c r="J46" s="156">
        <f>OneLineRR!M137</f>
        <v>0</v>
      </c>
      <c r="K46" s="634">
        <f>OneLineRR!L137</f>
        <v>0</v>
      </c>
      <c r="L46" s="143" t="str">
        <f>OneLineRR!C137</f>
        <v>Occ</v>
      </c>
      <c r="M46" s="636">
        <f>OneLineRR!O137</f>
        <v>0</v>
      </c>
      <c r="N46" s="636">
        <f t="shared" si="0"/>
        <v>0</v>
      </c>
      <c r="O46" s="636">
        <f>OneLineRR!N137</f>
        <v>0</v>
      </c>
      <c r="P46" s="636" t="e" cm="1">
        <f t="array" ref="P46">INDEX('Unit Mix'!$P$6:$P$62,MATCH(1,('Rent Roll'!G46='Unit Mix'!$E$6:$E$62)*(D46='Unit Mix'!$D$6:$D$62),0))</f>
        <v>#N/A</v>
      </c>
      <c r="Q46" s="150">
        <f>OneLineRR!T137</f>
        <v>0</v>
      </c>
      <c r="R46" s="150">
        <f>OneLineRR!U137</f>
        <v>0</v>
      </c>
      <c r="S46" s="150">
        <f>OneLineRR!V137</f>
        <v>0</v>
      </c>
      <c r="T46" s="150">
        <f>OneLineRR!W137</f>
        <v>0</v>
      </c>
      <c r="U46" s="157" t="str">
        <f>IF(OneLineRR!Q137="","",OneLineRR!Q137)</f>
        <v/>
      </c>
      <c r="V46" s="157" t="str">
        <f>IF(OneLineRR!R137="","",OneLineRR!R137)</f>
        <v/>
      </c>
      <c r="AB46" s="320" t="str">
        <f>IFERROR(U46+(COUNTIF($U$8:U46,U46)-1)/10000,"")</f>
        <v/>
      </c>
      <c r="AC46" s="158"/>
      <c r="AD46" s="119"/>
      <c r="AE46" s="460"/>
      <c r="AG46" s="119"/>
    </row>
    <row r="47" spans="4:33" x14ac:dyDescent="0.25">
      <c r="D47" s="154" t="str">
        <f>OneLineRR!A138</f>
        <v>Hudson View Park</v>
      </c>
      <c r="E47" s="104">
        <f>OneLineRR!J138</f>
        <v>0</v>
      </c>
      <c r="F47" s="104">
        <f>OneLineRR!K138</f>
        <v>0</v>
      </c>
      <c r="G47" s="155" t="e">
        <f>OneLineRR!D138</f>
        <v>#N/A</v>
      </c>
      <c r="H47" s="155" t="e">
        <f>IF(OneLineRR!G138="Yes","Affordable","Market")</f>
        <v>#N/A</v>
      </c>
      <c r="I47" s="104" t="e">
        <f>OneLineRR!I138</f>
        <v>#N/A</v>
      </c>
      <c r="J47" s="156">
        <f>OneLineRR!M138</f>
        <v>0</v>
      </c>
      <c r="K47" s="634">
        <f>OneLineRR!L138</f>
        <v>0</v>
      </c>
      <c r="L47" s="143" t="str">
        <f>OneLineRR!C138</f>
        <v>Occ</v>
      </c>
      <c r="M47" s="636">
        <f>OneLineRR!O138</f>
        <v>0</v>
      </c>
      <c r="N47" s="636">
        <f t="shared" si="0"/>
        <v>0</v>
      </c>
      <c r="O47" s="636">
        <f>OneLineRR!N138</f>
        <v>0</v>
      </c>
      <c r="P47" s="636" t="e" cm="1">
        <f t="array" ref="P47">INDEX('Unit Mix'!$P$6:$P$62,MATCH(1,('Rent Roll'!G47='Unit Mix'!$E$6:$E$62)*(D47='Unit Mix'!$D$6:$D$62),0))</f>
        <v>#N/A</v>
      </c>
      <c r="Q47" s="150">
        <f>OneLineRR!T138</f>
        <v>0</v>
      </c>
      <c r="R47" s="150">
        <f>OneLineRR!U138</f>
        <v>0</v>
      </c>
      <c r="S47" s="150">
        <f>OneLineRR!V138</f>
        <v>0</v>
      </c>
      <c r="T47" s="150">
        <f>OneLineRR!W138</f>
        <v>0</v>
      </c>
      <c r="U47" s="157" t="str">
        <f>IF(OneLineRR!Q138="","",OneLineRR!Q138)</f>
        <v/>
      </c>
      <c r="V47" s="157" t="str">
        <f>IF(OneLineRR!R138="","",OneLineRR!R138)</f>
        <v/>
      </c>
      <c r="AB47" s="320" t="str">
        <f>IFERROR(U47+(COUNTIF($U$8:U47,U47)-1)/10000,"")</f>
        <v/>
      </c>
      <c r="AC47" s="158"/>
      <c r="AD47" s="119"/>
      <c r="AE47" s="460"/>
      <c r="AG47" s="119"/>
    </row>
    <row r="48" spans="4:33" x14ac:dyDescent="0.25">
      <c r="D48" s="154" t="str">
        <f>OneLineRR!A139</f>
        <v>Hudson View Park</v>
      </c>
      <c r="E48" s="104">
        <f>OneLineRR!J139</f>
        <v>0</v>
      </c>
      <c r="F48" s="104">
        <f>OneLineRR!K139</f>
        <v>0</v>
      </c>
      <c r="G48" s="155" t="e">
        <f>OneLineRR!D139</f>
        <v>#N/A</v>
      </c>
      <c r="H48" s="155" t="e">
        <f>IF(OneLineRR!G139="Yes","Affordable","Market")</f>
        <v>#N/A</v>
      </c>
      <c r="I48" s="104" t="e">
        <f>OneLineRR!I139</f>
        <v>#N/A</v>
      </c>
      <c r="J48" s="156">
        <f>OneLineRR!M139</f>
        <v>0</v>
      </c>
      <c r="K48" s="634">
        <f>OneLineRR!L139</f>
        <v>0</v>
      </c>
      <c r="L48" s="143" t="str">
        <f>OneLineRR!C139</f>
        <v>Occ</v>
      </c>
      <c r="M48" s="636">
        <f>OneLineRR!O139</f>
        <v>0</v>
      </c>
      <c r="N48" s="636">
        <f t="shared" si="0"/>
        <v>0</v>
      </c>
      <c r="O48" s="636">
        <f>OneLineRR!N139</f>
        <v>0</v>
      </c>
      <c r="P48" s="636" t="e" cm="1">
        <f t="array" ref="P48">INDEX('Unit Mix'!$P$6:$P$62,MATCH(1,('Rent Roll'!G48='Unit Mix'!$E$6:$E$62)*(D48='Unit Mix'!$D$6:$D$62),0))</f>
        <v>#N/A</v>
      </c>
      <c r="Q48" s="150">
        <f>OneLineRR!T139</f>
        <v>0</v>
      </c>
      <c r="R48" s="150">
        <f>OneLineRR!U139</f>
        <v>0</v>
      </c>
      <c r="S48" s="150">
        <f>OneLineRR!V139</f>
        <v>0</v>
      </c>
      <c r="T48" s="150">
        <f>OneLineRR!W139</f>
        <v>0</v>
      </c>
      <c r="U48" s="157" t="str">
        <f>IF(OneLineRR!Q139="","",OneLineRR!Q139)</f>
        <v/>
      </c>
      <c r="V48" s="157" t="str">
        <f>IF(OneLineRR!R139="","",OneLineRR!R139)</f>
        <v/>
      </c>
      <c r="AB48" s="320" t="str">
        <f>IFERROR(U48+(COUNTIF($U$8:U48,U48)-1)/10000,"")</f>
        <v/>
      </c>
      <c r="AC48" s="158"/>
      <c r="AD48" s="119"/>
      <c r="AE48" s="460"/>
      <c r="AG48" s="119"/>
    </row>
    <row r="49" spans="4:33" x14ac:dyDescent="0.25">
      <c r="D49" s="154" t="str">
        <f>OneLineRR!A140</f>
        <v>Hudson View Park</v>
      </c>
      <c r="E49" s="104">
        <f>OneLineRR!J140</f>
        <v>0</v>
      </c>
      <c r="F49" s="104">
        <f>OneLineRR!K140</f>
        <v>0</v>
      </c>
      <c r="G49" s="155" t="e">
        <f>OneLineRR!D140</f>
        <v>#N/A</v>
      </c>
      <c r="H49" s="155" t="e">
        <f>IF(OneLineRR!G140="Yes","Affordable","Market")</f>
        <v>#N/A</v>
      </c>
      <c r="I49" s="104" t="e">
        <f>OneLineRR!I140</f>
        <v>#N/A</v>
      </c>
      <c r="J49" s="156">
        <f>OneLineRR!M140</f>
        <v>0</v>
      </c>
      <c r="K49" s="634">
        <f>OneLineRR!L140</f>
        <v>0</v>
      </c>
      <c r="L49" s="143" t="str">
        <f>OneLineRR!C140</f>
        <v>Occ</v>
      </c>
      <c r="M49" s="636">
        <f>OneLineRR!O140</f>
        <v>0</v>
      </c>
      <c r="N49" s="636">
        <f t="shared" si="0"/>
        <v>0</v>
      </c>
      <c r="O49" s="636">
        <f>OneLineRR!N140</f>
        <v>0</v>
      </c>
      <c r="P49" s="636" t="e" cm="1">
        <f t="array" ref="P49">INDEX('Unit Mix'!$P$6:$P$62,MATCH(1,('Rent Roll'!G49='Unit Mix'!$E$6:$E$62)*(D49='Unit Mix'!$D$6:$D$62),0))</f>
        <v>#N/A</v>
      </c>
      <c r="Q49" s="150">
        <f>OneLineRR!T140</f>
        <v>0</v>
      </c>
      <c r="R49" s="150">
        <f>OneLineRR!U140</f>
        <v>0</v>
      </c>
      <c r="S49" s="150">
        <f>OneLineRR!V140</f>
        <v>0</v>
      </c>
      <c r="T49" s="150">
        <f>OneLineRR!W140</f>
        <v>0</v>
      </c>
      <c r="U49" s="157" t="str">
        <f>IF(OneLineRR!Q140="","",OneLineRR!Q140)</f>
        <v/>
      </c>
      <c r="V49" s="157" t="str">
        <f>IF(OneLineRR!R140="","",OneLineRR!R140)</f>
        <v/>
      </c>
      <c r="AB49" s="320" t="str">
        <f>IFERROR(U49+(COUNTIF($U$8:U49,U49)-1)/10000,"")</f>
        <v/>
      </c>
      <c r="AC49" s="158"/>
      <c r="AD49" s="119"/>
      <c r="AE49" s="460"/>
      <c r="AG49" s="119"/>
    </row>
    <row r="50" spans="4:33" x14ac:dyDescent="0.25">
      <c r="D50" s="154" t="str">
        <f>OneLineRR!A141</f>
        <v>Hudson View Park</v>
      </c>
      <c r="E50" s="104">
        <f>OneLineRR!J141</f>
        <v>0</v>
      </c>
      <c r="F50" s="104">
        <f>OneLineRR!K141</f>
        <v>0</v>
      </c>
      <c r="G50" s="155" t="e">
        <f>OneLineRR!D141</f>
        <v>#N/A</v>
      </c>
      <c r="H50" s="155" t="e">
        <f>IF(OneLineRR!G141="Yes","Affordable","Market")</f>
        <v>#N/A</v>
      </c>
      <c r="I50" s="104" t="e">
        <f>OneLineRR!I141</f>
        <v>#N/A</v>
      </c>
      <c r="J50" s="156">
        <f>OneLineRR!M141</f>
        <v>0</v>
      </c>
      <c r="K50" s="634">
        <f>OneLineRR!L141</f>
        <v>0</v>
      </c>
      <c r="L50" s="143" t="str">
        <f>OneLineRR!C141</f>
        <v>Occ</v>
      </c>
      <c r="M50" s="636">
        <f>OneLineRR!O141</f>
        <v>0</v>
      </c>
      <c r="N50" s="636">
        <f t="shared" si="0"/>
        <v>0</v>
      </c>
      <c r="O50" s="636">
        <f>OneLineRR!N141</f>
        <v>0</v>
      </c>
      <c r="P50" s="636" t="e" cm="1">
        <f t="array" ref="P50">INDEX('Unit Mix'!$P$6:$P$62,MATCH(1,('Rent Roll'!G50='Unit Mix'!$E$6:$E$62)*(D50='Unit Mix'!$D$6:$D$62),0))</f>
        <v>#N/A</v>
      </c>
      <c r="Q50" s="150">
        <f>OneLineRR!T141</f>
        <v>0</v>
      </c>
      <c r="R50" s="150">
        <f>OneLineRR!U141</f>
        <v>0</v>
      </c>
      <c r="S50" s="150">
        <f>OneLineRR!V141</f>
        <v>0</v>
      </c>
      <c r="T50" s="150">
        <f>OneLineRR!W141</f>
        <v>0</v>
      </c>
      <c r="U50" s="157" t="str">
        <f>IF(OneLineRR!Q141="","",OneLineRR!Q141)</f>
        <v/>
      </c>
      <c r="V50" s="157" t="str">
        <f>IF(OneLineRR!R141="","",OneLineRR!R141)</f>
        <v/>
      </c>
      <c r="AB50" s="320" t="str">
        <f>IFERROR(U50+(COUNTIF($U$8:U50,U50)-1)/10000,"")</f>
        <v/>
      </c>
      <c r="AC50" s="158"/>
      <c r="AD50" s="119"/>
      <c r="AE50" s="460"/>
      <c r="AG50" s="119"/>
    </row>
    <row r="51" spans="4:33" x14ac:dyDescent="0.25">
      <c r="D51" s="154" t="str">
        <f>OneLineRR!A142</f>
        <v>Hudson View Park</v>
      </c>
      <c r="E51" s="104">
        <f>OneLineRR!J142</f>
        <v>0</v>
      </c>
      <c r="F51" s="104">
        <f>OneLineRR!K142</f>
        <v>0</v>
      </c>
      <c r="G51" s="155" t="e">
        <f>OneLineRR!D142</f>
        <v>#N/A</v>
      </c>
      <c r="H51" s="155" t="e">
        <f>IF(OneLineRR!G142="Yes","Affordable","Market")</f>
        <v>#N/A</v>
      </c>
      <c r="I51" s="104" t="e">
        <f>OneLineRR!I142</f>
        <v>#N/A</v>
      </c>
      <c r="J51" s="156">
        <f>OneLineRR!M142</f>
        <v>0</v>
      </c>
      <c r="K51" s="634">
        <f>OneLineRR!L142</f>
        <v>0</v>
      </c>
      <c r="L51" s="143" t="str">
        <f>OneLineRR!C142</f>
        <v>Occ</v>
      </c>
      <c r="M51" s="636">
        <f>OneLineRR!O142</f>
        <v>0</v>
      </c>
      <c r="N51" s="636">
        <f t="shared" si="0"/>
        <v>0</v>
      </c>
      <c r="O51" s="636">
        <f>OneLineRR!N142</f>
        <v>0</v>
      </c>
      <c r="P51" s="636" t="e" cm="1">
        <f t="array" ref="P51">INDEX('Unit Mix'!$P$6:$P$62,MATCH(1,('Rent Roll'!G51='Unit Mix'!$E$6:$E$62)*(D51='Unit Mix'!$D$6:$D$62),0))</f>
        <v>#N/A</v>
      </c>
      <c r="Q51" s="150">
        <f>OneLineRR!T142</f>
        <v>0</v>
      </c>
      <c r="R51" s="150">
        <f>OneLineRR!U142</f>
        <v>0</v>
      </c>
      <c r="S51" s="150">
        <f>OneLineRR!V142</f>
        <v>0</v>
      </c>
      <c r="T51" s="150">
        <f>OneLineRR!W142</f>
        <v>0</v>
      </c>
      <c r="U51" s="157" t="str">
        <f>IF(OneLineRR!Q142="","",OneLineRR!Q142)</f>
        <v/>
      </c>
      <c r="V51" s="157" t="str">
        <f>IF(OneLineRR!R142="","",OneLineRR!R142)</f>
        <v/>
      </c>
      <c r="AB51" s="320" t="str">
        <f>IFERROR(U51+(COUNTIF($U$8:U51,U51)-1)/10000,"")</f>
        <v/>
      </c>
      <c r="AC51" s="158"/>
      <c r="AD51" s="119"/>
      <c r="AE51" s="460"/>
      <c r="AG51" s="119"/>
    </row>
    <row r="52" spans="4:33" x14ac:dyDescent="0.25">
      <c r="D52" s="154" t="str">
        <f>OneLineRR!A143</f>
        <v>Hudson View Park</v>
      </c>
      <c r="E52" s="104">
        <f>OneLineRR!J143</f>
        <v>0</v>
      </c>
      <c r="F52" s="104">
        <f>OneLineRR!K143</f>
        <v>0</v>
      </c>
      <c r="G52" s="155" t="e">
        <f>OneLineRR!D143</f>
        <v>#N/A</v>
      </c>
      <c r="H52" s="155" t="e">
        <f>IF(OneLineRR!G143="Yes","Affordable","Market")</f>
        <v>#N/A</v>
      </c>
      <c r="I52" s="104" t="e">
        <f>OneLineRR!I143</f>
        <v>#N/A</v>
      </c>
      <c r="J52" s="156">
        <f>OneLineRR!M143</f>
        <v>0</v>
      </c>
      <c r="K52" s="634">
        <f>OneLineRR!L143</f>
        <v>0</v>
      </c>
      <c r="L52" s="143" t="str">
        <f>OneLineRR!C143</f>
        <v>Occ</v>
      </c>
      <c r="M52" s="636">
        <f>OneLineRR!O143</f>
        <v>0</v>
      </c>
      <c r="N52" s="636">
        <f t="shared" si="0"/>
        <v>0</v>
      </c>
      <c r="O52" s="636">
        <f>OneLineRR!N143</f>
        <v>0</v>
      </c>
      <c r="P52" s="636" t="e" cm="1">
        <f t="array" ref="P52">INDEX('Unit Mix'!$P$6:$P$62,MATCH(1,('Rent Roll'!G52='Unit Mix'!$E$6:$E$62)*(D52='Unit Mix'!$D$6:$D$62),0))</f>
        <v>#N/A</v>
      </c>
      <c r="Q52" s="150">
        <f>OneLineRR!T143</f>
        <v>0</v>
      </c>
      <c r="R52" s="150">
        <f>OneLineRR!U143</f>
        <v>0</v>
      </c>
      <c r="S52" s="150">
        <f>OneLineRR!V143</f>
        <v>0</v>
      </c>
      <c r="T52" s="150">
        <f>OneLineRR!W143</f>
        <v>0</v>
      </c>
      <c r="U52" s="157" t="str">
        <f>IF(OneLineRR!Q143="","",OneLineRR!Q143)</f>
        <v/>
      </c>
      <c r="V52" s="157" t="str">
        <f>IF(OneLineRR!R143="","",OneLineRR!R143)</f>
        <v/>
      </c>
      <c r="AB52" s="320" t="str">
        <f>IFERROR(U52+(COUNTIF($U$8:U52,U52)-1)/10000,"")</f>
        <v/>
      </c>
      <c r="AC52" s="158"/>
      <c r="AD52" s="119"/>
      <c r="AE52" s="460"/>
      <c r="AG52" s="119"/>
    </row>
    <row r="53" spans="4:33" x14ac:dyDescent="0.25">
      <c r="D53" s="154" t="str">
        <f>OneLineRR!A144</f>
        <v>Hudson View Park</v>
      </c>
      <c r="E53" s="104">
        <f>OneLineRR!J144</f>
        <v>0</v>
      </c>
      <c r="F53" s="104">
        <f>OneLineRR!K144</f>
        <v>0</v>
      </c>
      <c r="G53" s="155" t="e">
        <f>OneLineRR!D144</f>
        <v>#N/A</v>
      </c>
      <c r="H53" s="155" t="e">
        <f>IF(OneLineRR!G144="Yes","Affordable","Market")</f>
        <v>#N/A</v>
      </c>
      <c r="I53" s="104" t="e">
        <f>OneLineRR!I144</f>
        <v>#N/A</v>
      </c>
      <c r="J53" s="156">
        <f>OneLineRR!M144</f>
        <v>0</v>
      </c>
      <c r="K53" s="634">
        <f>OneLineRR!L144</f>
        <v>0</v>
      </c>
      <c r="L53" s="143" t="str">
        <f>OneLineRR!C144</f>
        <v>Occ</v>
      </c>
      <c r="M53" s="636">
        <f>OneLineRR!O144</f>
        <v>0</v>
      </c>
      <c r="N53" s="636">
        <f t="shared" si="0"/>
        <v>0</v>
      </c>
      <c r="O53" s="636">
        <f>OneLineRR!N144</f>
        <v>0</v>
      </c>
      <c r="P53" s="636" t="e" cm="1">
        <f t="array" ref="P53">INDEX('Unit Mix'!$P$6:$P$62,MATCH(1,('Rent Roll'!G53='Unit Mix'!$E$6:$E$62)*(D53='Unit Mix'!$D$6:$D$62),0))</f>
        <v>#N/A</v>
      </c>
      <c r="Q53" s="150">
        <f>OneLineRR!T144</f>
        <v>0</v>
      </c>
      <c r="R53" s="150">
        <f>OneLineRR!U144</f>
        <v>0</v>
      </c>
      <c r="S53" s="150">
        <f>OneLineRR!V144</f>
        <v>0</v>
      </c>
      <c r="T53" s="150">
        <f>OneLineRR!W144</f>
        <v>0</v>
      </c>
      <c r="U53" s="157" t="str">
        <f>IF(OneLineRR!Q144="","",OneLineRR!Q144)</f>
        <v/>
      </c>
      <c r="V53" s="157" t="str">
        <f>IF(OneLineRR!R144="","",OneLineRR!R144)</f>
        <v/>
      </c>
      <c r="AB53" s="320" t="str">
        <f>IFERROR(U53+(COUNTIF($U$8:U53,U53)-1)/10000,"")</f>
        <v/>
      </c>
      <c r="AC53" s="158"/>
      <c r="AD53" s="119"/>
      <c r="AE53" s="460"/>
      <c r="AG53" s="119"/>
    </row>
    <row r="54" spans="4:33" x14ac:dyDescent="0.25">
      <c r="D54" s="154" t="str">
        <f>OneLineRR!A145</f>
        <v>Hudson View Park</v>
      </c>
      <c r="E54" s="104">
        <f>OneLineRR!J145</f>
        <v>0</v>
      </c>
      <c r="F54" s="104">
        <f>OneLineRR!K145</f>
        <v>0</v>
      </c>
      <c r="G54" s="155" t="e">
        <f>OneLineRR!D145</f>
        <v>#N/A</v>
      </c>
      <c r="H54" s="155" t="e">
        <f>IF(OneLineRR!G145="Yes","Affordable","Market")</f>
        <v>#N/A</v>
      </c>
      <c r="I54" s="104" t="e">
        <f>OneLineRR!I145</f>
        <v>#N/A</v>
      </c>
      <c r="J54" s="156">
        <f>OneLineRR!M145</f>
        <v>0</v>
      </c>
      <c r="K54" s="634">
        <f>OneLineRR!L145</f>
        <v>0</v>
      </c>
      <c r="L54" s="143" t="str">
        <f>OneLineRR!C145</f>
        <v>Occ</v>
      </c>
      <c r="M54" s="636">
        <f>OneLineRR!O145</f>
        <v>0</v>
      </c>
      <c r="N54" s="636">
        <f t="shared" si="0"/>
        <v>0</v>
      </c>
      <c r="O54" s="636">
        <f>OneLineRR!N145</f>
        <v>0</v>
      </c>
      <c r="P54" s="636" t="e" cm="1">
        <f t="array" ref="P54">INDEX('Unit Mix'!$P$6:$P$62,MATCH(1,('Rent Roll'!G54='Unit Mix'!$E$6:$E$62)*(D54='Unit Mix'!$D$6:$D$62),0))</f>
        <v>#N/A</v>
      </c>
      <c r="Q54" s="150">
        <f>OneLineRR!T145</f>
        <v>0</v>
      </c>
      <c r="R54" s="150">
        <f>OneLineRR!U145</f>
        <v>0</v>
      </c>
      <c r="S54" s="150">
        <f>OneLineRR!V145</f>
        <v>0</v>
      </c>
      <c r="T54" s="150">
        <f>OneLineRR!W145</f>
        <v>0</v>
      </c>
      <c r="U54" s="157" t="str">
        <f>IF(OneLineRR!Q145="","",OneLineRR!Q145)</f>
        <v/>
      </c>
      <c r="V54" s="157" t="str">
        <f>IF(OneLineRR!R145="","",OneLineRR!R145)</f>
        <v/>
      </c>
      <c r="AB54" s="320" t="str">
        <f>IFERROR(U54+(COUNTIF($U$8:U54,U54)-1)/10000,"")</f>
        <v/>
      </c>
      <c r="AC54" s="158"/>
      <c r="AD54" s="119"/>
      <c r="AE54" s="460"/>
      <c r="AG54" s="119"/>
    </row>
    <row r="55" spans="4:33" x14ac:dyDescent="0.25">
      <c r="D55" s="154" t="str">
        <f>OneLineRR!A146</f>
        <v>Hudson View Park</v>
      </c>
      <c r="E55" s="104">
        <f>OneLineRR!J146</f>
        <v>0</v>
      </c>
      <c r="F55" s="104">
        <f>OneLineRR!K146</f>
        <v>0</v>
      </c>
      <c r="G55" s="155" t="e">
        <f>OneLineRR!D146</f>
        <v>#N/A</v>
      </c>
      <c r="H55" s="155" t="e">
        <f>IF(OneLineRR!G146="Yes","Affordable","Market")</f>
        <v>#N/A</v>
      </c>
      <c r="I55" s="104" t="e">
        <f>OneLineRR!I146</f>
        <v>#N/A</v>
      </c>
      <c r="J55" s="156">
        <f>OneLineRR!M146</f>
        <v>0</v>
      </c>
      <c r="K55" s="634">
        <f>OneLineRR!L146</f>
        <v>0</v>
      </c>
      <c r="L55" s="143" t="str">
        <f>OneLineRR!C146</f>
        <v>Occ</v>
      </c>
      <c r="M55" s="636">
        <f>OneLineRR!O146</f>
        <v>0</v>
      </c>
      <c r="N55" s="636">
        <f t="shared" si="0"/>
        <v>0</v>
      </c>
      <c r="O55" s="636">
        <f>OneLineRR!N146</f>
        <v>0</v>
      </c>
      <c r="P55" s="636" t="e" cm="1">
        <f t="array" ref="P55">INDEX('Unit Mix'!$P$6:$P$62,MATCH(1,('Rent Roll'!G55='Unit Mix'!$E$6:$E$62)*(D55='Unit Mix'!$D$6:$D$62),0))</f>
        <v>#N/A</v>
      </c>
      <c r="Q55" s="150">
        <f>OneLineRR!T146</f>
        <v>0</v>
      </c>
      <c r="R55" s="150">
        <f>OneLineRR!U146</f>
        <v>0</v>
      </c>
      <c r="S55" s="150">
        <f>OneLineRR!V146</f>
        <v>0</v>
      </c>
      <c r="T55" s="150">
        <f>OneLineRR!W146</f>
        <v>0</v>
      </c>
      <c r="U55" s="157" t="str">
        <f>IF(OneLineRR!Q146="","",OneLineRR!Q146)</f>
        <v/>
      </c>
      <c r="V55" s="157" t="str">
        <f>IF(OneLineRR!R146="","",OneLineRR!R146)</f>
        <v/>
      </c>
      <c r="AB55" s="320" t="str">
        <f>IFERROR(U55+(COUNTIF($U$8:U55,U55)-1)/10000,"")</f>
        <v/>
      </c>
      <c r="AC55" s="158"/>
      <c r="AD55" s="119"/>
      <c r="AE55" s="460"/>
      <c r="AG55" s="119"/>
    </row>
    <row r="56" spans="4:33" x14ac:dyDescent="0.25">
      <c r="D56" s="154" t="str">
        <f>OneLineRR!A147</f>
        <v>Hudson View Park</v>
      </c>
      <c r="E56" s="104">
        <f>OneLineRR!J147</f>
        <v>0</v>
      </c>
      <c r="F56" s="104">
        <f>OneLineRR!K147</f>
        <v>0</v>
      </c>
      <c r="G56" s="155" t="e">
        <f>OneLineRR!D147</f>
        <v>#N/A</v>
      </c>
      <c r="H56" s="155" t="e">
        <f>IF(OneLineRR!G147="Yes","Affordable","Market")</f>
        <v>#N/A</v>
      </c>
      <c r="I56" s="104" t="e">
        <f>OneLineRR!I147</f>
        <v>#N/A</v>
      </c>
      <c r="J56" s="156">
        <f>OneLineRR!M147</f>
        <v>0</v>
      </c>
      <c r="K56" s="634">
        <f>OneLineRR!L147</f>
        <v>0</v>
      </c>
      <c r="L56" s="143" t="str">
        <f>OneLineRR!C147</f>
        <v>Occ</v>
      </c>
      <c r="M56" s="636">
        <f>OneLineRR!O147</f>
        <v>0</v>
      </c>
      <c r="N56" s="636">
        <f t="shared" si="0"/>
        <v>0</v>
      </c>
      <c r="O56" s="636">
        <f>OneLineRR!N147</f>
        <v>0</v>
      </c>
      <c r="P56" s="636" t="e" cm="1">
        <f t="array" ref="P56">INDEX('Unit Mix'!$P$6:$P$62,MATCH(1,('Rent Roll'!G56='Unit Mix'!$E$6:$E$62)*(D56='Unit Mix'!$D$6:$D$62),0))</f>
        <v>#N/A</v>
      </c>
      <c r="Q56" s="150">
        <f>OneLineRR!T147</f>
        <v>0</v>
      </c>
      <c r="R56" s="150">
        <f>OneLineRR!U147</f>
        <v>0</v>
      </c>
      <c r="S56" s="150">
        <f>OneLineRR!V147</f>
        <v>0</v>
      </c>
      <c r="T56" s="150">
        <f>OneLineRR!W147</f>
        <v>0</v>
      </c>
      <c r="U56" s="157" t="str">
        <f>IF(OneLineRR!Q147="","",OneLineRR!Q147)</f>
        <v/>
      </c>
      <c r="V56" s="157" t="str">
        <f>IF(OneLineRR!R147="","",OneLineRR!R147)</f>
        <v/>
      </c>
      <c r="AB56" s="320" t="str">
        <f>IFERROR(U56+(COUNTIF($U$8:U56,U56)-1)/10000,"")</f>
        <v/>
      </c>
      <c r="AC56" s="158"/>
      <c r="AD56" s="119"/>
      <c r="AE56" s="460"/>
      <c r="AG56" s="119"/>
    </row>
    <row r="57" spans="4:33" x14ac:dyDescent="0.25">
      <c r="D57" s="154" t="str">
        <f>OneLineRR!A148</f>
        <v>Hudson View Park</v>
      </c>
      <c r="E57" s="104">
        <f>OneLineRR!J148</f>
        <v>0</v>
      </c>
      <c r="F57" s="104">
        <f>OneLineRR!K148</f>
        <v>0</v>
      </c>
      <c r="G57" s="155" t="e">
        <f>OneLineRR!D148</f>
        <v>#N/A</v>
      </c>
      <c r="H57" s="155" t="e">
        <f>IF(OneLineRR!G148="Yes","Affordable","Market")</f>
        <v>#N/A</v>
      </c>
      <c r="I57" s="104" t="e">
        <f>OneLineRR!I148</f>
        <v>#N/A</v>
      </c>
      <c r="J57" s="156">
        <f>OneLineRR!M148</f>
        <v>0</v>
      </c>
      <c r="K57" s="634">
        <f>OneLineRR!L148</f>
        <v>0</v>
      </c>
      <c r="L57" s="143" t="str">
        <f>OneLineRR!C148</f>
        <v>Occ</v>
      </c>
      <c r="M57" s="636">
        <f>OneLineRR!O148</f>
        <v>0</v>
      </c>
      <c r="N57" s="636">
        <f t="shared" si="0"/>
        <v>0</v>
      </c>
      <c r="O57" s="636">
        <f>OneLineRR!N148</f>
        <v>0</v>
      </c>
      <c r="P57" s="636" t="e" cm="1">
        <f t="array" ref="P57">INDEX('Unit Mix'!$P$6:$P$62,MATCH(1,('Rent Roll'!G57='Unit Mix'!$E$6:$E$62)*(D57='Unit Mix'!$D$6:$D$62),0))</f>
        <v>#N/A</v>
      </c>
      <c r="Q57" s="150">
        <f>OneLineRR!T148</f>
        <v>0</v>
      </c>
      <c r="R57" s="150">
        <f>OneLineRR!U148</f>
        <v>0</v>
      </c>
      <c r="S57" s="150">
        <f>OneLineRR!V148</f>
        <v>0</v>
      </c>
      <c r="T57" s="150">
        <f>OneLineRR!W148</f>
        <v>0</v>
      </c>
      <c r="U57" s="157" t="str">
        <f>IF(OneLineRR!Q148="","",OneLineRR!Q148)</f>
        <v/>
      </c>
      <c r="V57" s="157" t="str">
        <f>IF(OneLineRR!R148="","",OneLineRR!R148)</f>
        <v/>
      </c>
      <c r="AB57" s="320" t="str">
        <f>IFERROR(U57+(COUNTIF($U$8:U57,U57)-1)/10000,"")</f>
        <v/>
      </c>
      <c r="AC57" s="158"/>
      <c r="AD57" s="119"/>
      <c r="AE57" s="460"/>
      <c r="AG57" s="119"/>
    </row>
    <row r="58" spans="4:33" x14ac:dyDescent="0.25">
      <c r="D58" s="154" t="str">
        <f>OneLineRR!A149</f>
        <v>Hudson View Park</v>
      </c>
      <c r="E58" s="104">
        <f>OneLineRR!J149</f>
        <v>0</v>
      </c>
      <c r="F58" s="104">
        <f>OneLineRR!K149</f>
        <v>0</v>
      </c>
      <c r="G58" s="155" t="e">
        <f>OneLineRR!D149</f>
        <v>#N/A</v>
      </c>
      <c r="H58" s="155" t="e">
        <f>IF(OneLineRR!G149="Yes","Affordable","Market")</f>
        <v>#N/A</v>
      </c>
      <c r="I58" s="104" t="e">
        <f>OneLineRR!I149</f>
        <v>#N/A</v>
      </c>
      <c r="J58" s="156">
        <f>OneLineRR!M149</f>
        <v>0</v>
      </c>
      <c r="K58" s="634">
        <f>OneLineRR!L149</f>
        <v>0</v>
      </c>
      <c r="L58" s="143" t="str">
        <f>OneLineRR!C149</f>
        <v>Occ</v>
      </c>
      <c r="M58" s="636">
        <f>OneLineRR!O149</f>
        <v>0</v>
      </c>
      <c r="N58" s="636">
        <f t="shared" si="0"/>
        <v>0</v>
      </c>
      <c r="O58" s="636">
        <f>OneLineRR!N149</f>
        <v>0</v>
      </c>
      <c r="P58" s="636" t="e" cm="1">
        <f t="array" ref="P58">INDEX('Unit Mix'!$P$6:$P$62,MATCH(1,('Rent Roll'!G58='Unit Mix'!$E$6:$E$62)*(D58='Unit Mix'!$D$6:$D$62),0))</f>
        <v>#N/A</v>
      </c>
      <c r="Q58" s="150">
        <f>OneLineRR!T149</f>
        <v>0</v>
      </c>
      <c r="R58" s="150">
        <f>OneLineRR!U149</f>
        <v>0</v>
      </c>
      <c r="S58" s="150">
        <f>OneLineRR!V149</f>
        <v>0</v>
      </c>
      <c r="T58" s="150">
        <f>OneLineRR!W149</f>
        <v>0</v>
      </c>
      <c r="U58" s="157" t="str">
        <f>IF(OneLineRR!Q149="","",OneLineRR!Q149)</f>
        <v/>
      </c>
      <c r="V58" s="157" t="str">
        <f>IF(OneLineRR!R149="","",OneLineRR!R149)</f>
        <v/>
      </c>
      <c r="AB58" s="320" t="str">
        <f>IFERROR(U58+(COUNTIF($U$8:U58,U58)-1)/10000,"")</f>
        <v/>
      </c>
      <c r="AC58" s="158"/>
      <c r="AD58" s="119"/>
      <c r="AE58" s="460"/>
      <c r="AG58" s="119"/>
    </row>
    <row r="59" spans="4:33" x14ac:dyDescent="0.25">
      <c r="D59" s="154" t="str">
        <f>OneLineRR!A150</f>
        <v>Hudson View Park</v>
      </c>
      <c r="E59" s="104">
        <f>OneLineRR!J150</f>
        <v>0</v>
      </c>
      <c r="F59" s="104">
        <f>OneLineRR!K150</f>
        <v>0</v>
      </c>
      <c r="G59" s="155" t="e">
        <f>OneLineRR!D150</f>
        <v>#N/A</v>
      </c>
      <c r="H59" s="155" t="e">
        <f>IF(OneLineRR!G150="Yes","Affordable","Market")</f>
        <v>#N/A</v>
      </c>
      <c r="I59" s="104" t="e">
        <f>OneLineRR!I150</f>
        <v>#N/A</v>
      </c>
      <c r="J59" s="156">
        <f>OneLineRR!M150</f>
        <v>0</v>
      </c>
      <c r="K59" s="634">
        <f>OneLineRR!L150</f>
        <v>0</v>
      </c>
      <c r="L59" s="143" t="str">
        <f>OneLineRR!C150</f>
        <v>Occ</v>
      </c>
      <c r="M59" s="636">
        <f>OneLineRR!O150</f>
        <v>0</v>
      </c>
      <c r="N59" s="636">
        <f t="shared" si="0"/>
        <v>0</v>
      </c>
      <c r="O59" s="636">
        <f>OneLineRR!N150</f>
        <v>0</v>
      </c>
      <c r="P59" s="636" t="e" cm="1">
        <f t="array" ref="P59">INDEX('Unit Mix'!$P$6:$P$62,MATCH(1,('Rent Roll'!G59='Unit Mix'!$E$6:$E$62)*(D59='Unit Mix'!$D$6:$D$62),0))</f>
        <v>#N/A</v>
      </c>
      <c r="Q59" s="150">
        <f>OneLineRR!T150</f>
        <v>0</v>
      </c>
      <c r="R59" s="150">
        <f>OneLineRR!U150</f>
        <v>0</v>
      </c>
      <c r="S59" s="150">
        <f>OneLineRR!V150</f>
        <v>0</v>
      </c>
      <c r="T59" s="150">
        <f>OneLineRR!W150</f>
        <v>0</v>
      </c>
      <c r="U59" s="157" t="str">
        <f>IF(OneLineRR!Q150="","",OneLineRR!Q150)</f>
        <v/>
      </c>
      <c r="V59" s="157" t="str">
        <f>IF(OneLineRR!R150="","",OneLineRR!R150)</f>
        <v/>
      </c>
      <c r="AB59" s="320" t="str">
        <f>IFERROR(U59+(COUNTIF($U$8:U59,U59)-1)/10000,"")</f>
        <v/>
      </c>
      <c r="AC59" s="158"/>
      <c r="AD59" s="119"/>
      <c r="AE59" s="460"/>
      <c r="AG59" s="119"/>
    </row>
    <row r="60" spans="4:33" x14ac:dyDescent="0.25">
      <c r="D60" s="154" t="str">
        <f>OneLineRR!A151</f>
        <v>Hudson View Park</v>
      </c>
      <c r="E60" s="104">
        <f>OneLineRR!J151</f>
        <v>0</v>
      </c>
      <c r="F60" s="104">
        <f>OneLineRR!K151</f>
        <v>0</v>
      </c>
      <c r="G60" s="155" t="e">
        <f>OneLineRR!D151</f>
        <v>#N/A</v>
      </c>
      <c r="H60" s="155" t="e">
        <f>IF(OneLineRR!G151="Yes","Affordable","Market")</f>
        <v>#N/A</v>
      </c>
      <c r="I60" s="104" t="e">
        <f>OneLineRR!I151</f>
        <v>#N/A</v>
      </c>
      <c r="J60" s="156">
        <f>OneLineRR!M151</f>
        <v>0</v>
      </c>
      <c r="K60" s="634">
        <f>OneLineRR!L151</f>
        <v>0</v>
      </c>
      <c r="L60" s="143" t="str">
        <f>OneLineRR!C151</f>
        <v>Occ</v>
      </c>
      <c r="M60" s="636">
        <f>OneLineRR!O151</f>
        <v>0</v>
      </c>
      <c r="N60" s="636">
        <f t="shared" si="0"/>
        <v>0</v>
      </c>
      <c r="O60" s="636">
        <f>OneLineRR!N151</f>
        <v>0</v>
      </c>
      <c r="P60" s="636" t="e" cm="1">
        <f t="array" ref="P60">INDEX('Unit Mix'!$P$6:$P$62,MATCH(1,('Rent Roll'!G60='Unit Mix'!$E$6:$E$62)*(D60='Unit Mix'!$D$6:$D$62),0))</f>
        <v>#N/A</v>
      </c>
      <c r="Q60" s="150">
        <f>OneLineRR!T151</f>
        <v>0</v>
      </c>
      <c r="R60" s="150">
        <f>OneLineRR!U151</f>
        <v>0</v>
      </c>
      <c r="S60" s="150">
        <f>OneLineRR!V151</f>
        <v>0</v>
      </c>
      <c r="T60" s="150">
        <f>OneLineRR!W151</f>
        <v>0</v>
      </c>
      <c r="U60" s="157" t="str">
        <f>IF(OneLineRR!Q151="","",OneLineRR!Q151)</f>
        <v/>
      </c>
      <c r="V60" s="157" t="str">
        <f>IF(OneLineRR!R151="","",OneLineRR!R151)</f>
        <v/>
      </c>
      <c r="AB60" s="320" t="str">
        <f>IFERROR(U60+(COUNTIF($U$8:U60,U60)-1)/10000,"")</f>
        <v/>
      </c>
      <c r="AC60" s="158"/>
      <c r="AD60" s="119"/>
      <c r="AE60" s="460"/>
      <c r="AG60" s="119"/>
    </row>
    <row r="61" spans="4:33" x14ac:dyDescent="0.25">
      <c r="D61" s="154" t="str">
        <f>OneLineRR!A152</f>
        <v>Hudson View Park</v>
      </c>
      <c r="E61" s="104">
        <f>OneLineRR!J152</f>
        <v>0</v>
      </c>
      <c r="F61" s="104">
        <f>OneLineRR!K152</f>
        <v>0</v>
      </c>
      <c r="G61" s="155" t="e">
        <f>OneLineRR!D152</f>
        <v>#N/A</v>
      </c>
      <c r="H61" s="155" t="e">
        <f>IF(OneLineRR!G152="Yes","Affordable","Market")</f>
        <v>#N/A</v>
      </c>
      <c r="I61" s="104" t="e">
        <f>OneLineRR!I152</f>
        <v>#N/A</v>
      </c>
      <c r="J61" s="156">
        <f>OneLineRR!M152</f>
        <v>0</v>
      </c>
      <c r="K61" s="634">
        <f>OneLineRR!L152</f>
        <v>0</v>
      </c>
      <c r="L61" s="143" t="str">
        <f>OneLineRR!C152</f>
        <v>Occ</v>
      </c>
      <c r="M61" s="636">
        <f>OneLineRR!O152</f>
        <v>0</v>
      </c>
      <c r="N61" s="636">
        <f t="shared" si="0"/>
        <v>0</v>
      </c>
      <c r="O61" s="636">
        <f>OneLineRR!N152</f>
        <v>0</v>
      </c>
      <c r="P61" s="636" t="e" cm="1">
        <f t="array" ref="P61">INDEX('Unit Mix'!$P$6:$P$62,MATCH(1,('Rent Roll'!G61='Unit Mix'!$E$6:$E$62)*(D61='Unit Mix'!$D$6:$D$62),0))</f>
        <v>#N/A</v>
      </c>
      <c r="Q61" s="150">
        <f>OneLineRR!T152</f>
        <v>0</v>
      </c>
      <c r="R61" s="150">
        <f>OneLineRR!U152</f>
        <v>0</v>
      </c>
      <c r="S61" s="150">
        <f>OneLineRR!V152</f>
        <v>0</v>
      </c>
      <c r="T61" s="150">
        <f>OneLineRR!W152</f>
        <v>0</v>
      </c>
      <c r="U61" s="157" t="str">
        <f>IF(OneLineRR!Q152="","",OneLineRR!Q152)</f>
        <v/>
      </c>
      <c r="V61" s="157" t="str">
        <f>IF(OneLineRR!R152="","",OneLineRR!R152)</f>
        <v/>
      </c>
      <c r="AB61" s="320" t="str">
        <f>IFERROR(U61+(COUNTIF($U$8:U61,U61)-1)/10000,"")</f>
        <v/>
      </c>
      <c r="AC61" s="158"/>
      <c r="AD61" s="119"/>
      <c r="AE61" s="460"/>
      <c r="AG61" s="119"/>
    </row>
    <row r="62" spans="4:33" x14ac:dyDescent="0.25">
      <c r="D62" s="154" t="str">
        <f>OneLineRR!A153</f>
        <v>Hudson View Park</v>
      </c>
      <c r="E62" s="104">
        <f>OneLineRR!J153</f>
        <v>0</v>
      </c>
      <c r="F62" s="104">
        <f>OneLineRR!K153</f>
        <v>0</v>
      </c>
      <c r="G62" s="155" t="e">
        <f>OneLineRR!D153</f>
        <v>#N/A</v>
      </c>
      <c r="H62" s="155" t="e">
        <f>IF(OneLineRR!G153="Yes","Affordable","Market")</f>
        <v>#N/A</v>
      </c>
      <c r="I62" s="104" t="e">
        <f>OneLineRR!I153</f>
        <v>#N/A</v>
      </c>
      <c r="J62" s="156">
        <f>OneLineRR!M153</f>
        <v>0</v>
      </c>
      <c r="K62" s="634">
        <f>OneLineRR!L153</f>
        <v>0</v>
      </c>
      <c r="L62" s="143" t="str">
        <f>OneLineRR!C153</f>
        <v>Occ</v>
      </c>
      <c r="M62" s="636">
        <f>OneLineRR!O153</f>
        <v>0</v>
      </c>
      <c r="N62" s="636">
        <f t="shared" si="0"/>
        <v>0</v>
      </c>
      <c r="O62" s="636">
        <f>OneLineRR!N153</f>
        <v>0</v>
      </c>
      <c r="P62" s="636" t="e" cm="1">
        <f t="array" ref="P62">INDEX('Unit Mix'!$P$6:$P$62,MATCH(1,('Rent Roll'!G62='Unit Mix'!$E$6:$E$62)*(D62='Unit Mix'!$D$6:$D$62),0))</f>
        <v>#N/A</v>
      </c>
      <c r="Q62" s="150">
        <f>OneLineRR!T153</f>
        <v>0</v>
      </c>
      <c r="R62" s="150">
        <f>OneLineRR!U153</f>
        <v>0</v>
      </c>
      <c r="S62" s="150">
        <f>OneLineRR!V153</f>
        <v>0</v>
      </c>
      <c r="T62" s="150">
        <f>OneLineRR!W153</f>
        <v>0</v>
      </c>
      <c r="U62" s="157" t="str">
        <f>IF(OneLineRR!Q153="","",OneLineRR!Q153)</f>
        <v/>
      </c>
      <c r="V62" s="157" t="str">
        <f>IF(OneLineRR!R153="","",OneLineRR!R153)</f>
        <v/>
      </c>
      <c r="AB62" s="320" t="str">
        <f>IFERROR(U62+(COUNTIF($U$8:U62,U62)-1)/10000,"")</f>
        <v/>
      </c>
      <c r="AC62" s="158"/>
      <c r="AD62" s="119"/>
      <c r="AE62" s="460"/>
      <c r="AG62" s="119"/>
    </row>
    <row r="63" spans="4:33" x14ac:dyDescent="0.25">
      <c r="D63" s="154" t="str">
        <f>OneLineRR!A154</f>
        <v>Hudson View Park</v>
      </c>
      <c r="E63" s="104">
        <f>OneLineRR!J154</f>
        <v>0</v>
      </c>
      <c r="F63" s="104">
        <f>OneLineRR!K154</f>
        <v>0</v>
      </c>
      <c r="G63" s="155" t="e">
        <f>OneLineRR!D154</f>
        <v>#N/A</v>
      </c>
      <c r="H63" s="155" t="e">
        <f>IF(OneLineRR!G154="Yes","Affordable","Market")</f>
        <v>#N/A</v>
      </c>
      <c r="I63" s="104" t="e">
        <f>OneLineRR!I154</f>
        <v>#N/A</v>
      </c>
      <c r="J63" s="156">
        <f>OneLineRR!M154</f>
        <v>0</v>
      </c>
      <c r="K63" s="634">
        <f>OneLineRR!L154</f>
        <v>0</v>
      </c>
      <c r="L63" s="143" t="str">
        <f>OneLineRR!C154</f>
        <v>Occ</v>
      </c>
      <c r="M63" s="636">
        <f>OneLineRR!O154</f>
        <v>0</v>
      </c>
      <c r="N63" s="636">
        <f t="shared" si="0"/>
        <v>0</v>
      </c>
      <c r="O63" s="636">
        <f>OneLineRR!N154</f>
        <v>0</v>
      </c>
      <c r="P63" s="636" t="e" cm="1">
        <f t="array" ref="P63">INDEX('Unit Mix'!$P$6:$P$62,MATCH(1,('Rent Roll'!G63='Unit Mix'!$E$6:$E$62)*(D63='Unit Mix'!$D$6:$D$62),0))</f>
        <v>#N/A</v>
      </c>
      <c r="Q63" s="150">
        <f>OneLineRR!T154</f>
        <v>0</v>
      </c>
      <c r="R63" s="150">
        <f>OneLineRR!U154</f>
        <v>0</v>
      </c>
      <c r="S63" s="150">
        <f>OneLineRR!V154</f>
        <v>0</v>
      </c>
      <c r="T63" s="150">
        <f>OneLineRR!W154</f>
        <v>0</v>
      </c>
      <c r="U63" s="157" t="str">
        <f>IF(OneLineRR!Q154="","",OneLineRR!Q154)</f>
        <v/>
      </c>
      <c r="V63" s="157" t="str">
        <f>IF(OneLineRR!R154="","",OneLineRR!R154)</f>
        <v/>
      </c>
      <c r="AB63" s="320" t="str">
        <f>IFERROR(U63+(COUNTIF($U$8:U63,U63)-1)/10000,"")</f>
        <v/>
      </c>
      <c r="AC63" s="158"/>
      <c r="AD63" s="119"/>
      <c r="AE63" s="460"/>
      <c r="AG63" s="119"/>
    </row>
    <row r="64" spans="4:33" x14ac:dyDescent="0.25">
      <c r="D64" s="154" t="str">
        <f>OneLineRR!A155</f>
        <v>Hudson View Park</v>
      </c>
      <c r="E64" s="104">
        <f>OneLineRR!J155</f>
        <v>0</v>
      </c>
      <c r="F64" s="104">
        <f>OneLineRR!K155</f>
        <v>0</v>
      </c>
      <c r="G64" s="155" t="e">
        <f>OneLineRR!D155</f>
        <v>#N/A</v>
      </c>
      <c r="H64" s="155" t="e">
        <f>IF(OneLineRR!G155="Yes","Affordable","Market")</f>
        <v>#N/A</v>
      </c>
      <c r="I64" s="104" t="e">
        <f>OneLineRR!I155</f>
        <v>#N/A</v>
      </c>
      <c r="J64" s="156">
        <f>OneLineRR!M155</f>
        <v>0</v>
      </c>
      <c r="K64" s="634">
        <f>OneLineRR!L155</f>
        <v>0</v>
      </c>
      <c r="L64" s="143" t="str">
        <f>OneLineRR!C155</f>
        <v>Occ</v>
      </c>
      <c r="M64" s="636">
        <f>OneLineRR!O155</f>
        <v>0</v>
      </c>
      <c r="N64" s="636">
        <f t="shared" si="0"/>
        <v>0</v>
      </c>
      <c r="O64" s="636">
        <f>OneLineRR!N155</f>
        <v>0</v>
      </c>
      <c r="P64" s="636" t="e" cm="1">
        <f t="array" ref="P64">INDEX('Unit Mix'!$P$6:$P$62,MATCH(1,('Rent Roll'!G64='Unit Mix'!$E$6:$E$62)*(D64='Unit Mix'!$D$6:$D$62),0))</f>
        <v>#N/A</v>
      </c>
      <c r="Q64" s="150">
        <f>OneLineRR!T155</f>
        <v>0</v>
      </c>
      <c r="R64" s="150">
        <f>OneLineRR!U155</f>
        <v>0</v>
      </c>
      <c r="S64" s="150">
        <f>OneLineRR!V155</f>
        <v>0</v>
      </c>
      <c r="T64" s="150">
        <f>OneLineRR!W155</f>
        <v>0</v>
      </c>
      <c r="U64" s="157" t="str">
        <f>IF(OneLineRR!Q155="","",OneLineRR!Q155)</f>
        <v/>
      </c>
      <c r="V64" s="157" t="str">
        <f>IF(OneLineRR!R155="","",OneLineRR!R155)</f>
        <v/>
      </c>
      <c r="AB64" s="320" t="str">
        <f>IFERROR(U64+(COUNTIF($U$8:U64,U64)-1)/10000,"")</f>
        <v/>
      </c>
      <c r="AC64" s="158"/>
      <c r="AD64" s="119"/>
      <c r="AE64" s="460"/>
      <c r="AG64" s="119"/>
    </row>
    <row r="65" spans="4:33" x14ac:dyDescent="0.25">
      <c r="D65" s="154" t="str">
        <f>OneLineRR!A156</f>
        <v>Hudson View Park</v>
      </c>
      <c r="E65" s="104">
        <f>OneLineRR!J156</f>
        <v>0</v>
      </c>
      <c r="F65" s="104">
        <f>OneLineRR!K156</f>
        <v>0</v>
      </c>
      <c r="G65" s="155" t="e">
        <f>OneLineRR!D156</f>
        <v>#N/A</v>
      </c>
      <c r="H65" s="155" t="e">
        <f>IF(OneLineRR!G156="Yes","Affordable","Market")</f>
        <v>#N/A</v>
      </c>
      <c r="I65" s="104" t="e">
        <f>OneLineRR!I156</f>
        <v>#N/A</v>
      </c>
      <c r="J65" s="156">
        <f>OneLineRR!M156</f>
        <v>0</v>
      </c>
      <c r="K65" s="634">
        <f>OneLineRR!L156</f>
        <v>0</v>
      </c>
      <c r="L65" s="143" t="str">
        <f>OneLineRR!C156</f>
        <v>Occ</v>
      </c>
      <c r="M65" s="636">
        <f>OneLineRR!O156</f>
        <v>0</v>
      </c>
      <c r="N65" s="636">
        <f t="shared" si="0"/>
        <v>0</v>
      </c>
      <c r="O65" s="636">
        <f>OneLineRR!N156</f>
        <v>0</v>
      </c>
      <c r="P65" s="636" t="e" cm="1">
        <f t="array" ref="P65">INDEX('Unit Mix'!$P$6:$P$62,MATCH(1,('Rent Roll'!G65='Unit Mix'!$E$6:$E$62)*(D65='Unit Mix'!$D$6:$D$62),0))</f>
        <v>#N/A</v>
      </c>
      <c r="Q65" s="150">
        <f>OneLineRR!T156</f>
        <v>0</v>
      </c>
      <c r="R65" s="150">
        <f>OneLineRR!U156</f>
        <v>0</v>
      </c>
      <c r="S65" s="150">
        <f>OneLineRR!V156</f>
        <v>0</v>
      </c>
      <c r="T65" s="150">
        <f>OneLineRR!W156</f>
        <v>0</v>
      </c>
      <c r="U65" s="157" t="str">
        <f>IF(OneLineRR!Q156="","",OneLineRR!Q156)</f>
        <v/>
      </c>
      <c r="V65" s="157" t="str">
        <f>IF(OneLineRR!R156="","",OneLineRR!R156)</f>
        <v/>
      </c>
      <c r="AB65" s="320" t="str">
        <f>IFERROR(U65+(COUNTIF($U$8:U65,U65)-1)/10000,"")</f>
        <v/>
      </c>
      <c r="AC65" s="158"/>
      <c r="AD65" s="119"/>
      <c r="AE65" s="460"/>
      <c r="AG65" s="119"/>
    </row>
    <row r="66" spans="4:33" x14ac:dyDescent="0.25">
      <c r="D66" s="154" t="str">
        <f>OneLineRR!A157</f>
        <v>Hudson View Park</v>
      </c>
      <c r="E66" s="104">
        <f>OneLineRR!J157</f>
        <v>0</v>
      </c>
      <c r="F66" s="104">
        <f>OneLineRR!K157</f>
        <v>0</v>
      </c>
      <c r="G66" s="155" t="e">
        <f>OneLineRR!D157</f>
        <v>#N/A</v>
      </c>
      <c r="H66" s="155" t="e">
        <f>IF(OneLineRR!G157="Yes","Affordable","Market")</f>
        <v>#N/A</v>
      </c>
      <c r="I66" s="104" t="e">
        <f>OneLineRR!I157</f>
        <v>#N/A</v>
      </c>
      <c r="J66" s="156">
        <f>OneLineRR!M157</f>
        <v>0</v>
      </c>
      <c r="K66" s="634">
        <f>OneLineRR!L157</f>
        <v>0</v>
      </c>
      <c r="L66" s="143" t="str">
        <f>OneLineRR!C157</f>
        <v>Occ</v>
      </c>
      <c r="M66" s="636">
        <f>OneLineRR!O157</f>
        <v>0</v>
      </c>
      <c r="N66" s="636">
        <f t="shared" si="0"/>
        <v>0</v>
      </c>
      <c r="O66" s="636">
        <f>OneLineRR!N157</f>
        <v>0</v>
      </c>
      <c r="P66" s="636" t="e" cm="1">
        <f t="array" ref="P66">INDEX('Unit Mix'!$P$6:$P$62,MATCH(1,('Rent Roll'!G66='Unit Mix'!$E$6:$E$62)*(D66='Unit Mix'!$D$6:$D$62),0))</f>
        <v>#N/A</v>
      </c>
      <c r="Q66" s="150">
        <f>OneLineRR!T157</f>
        <v>0</v>
      </c>
      <c r="R66" s="150">
        <f>OneLineRR!U157</f>
        <v>0</v>
      </c>
      <c r="S66" s="150">
        <f>OneLineRR!V157</f>
        <v>0</v>
      </c>
      <c r="T66" s="150">
        <f>OneLineRR!W157</f>
        <v>0</v>
      </c>
      <c r="U66" s="157" t="str">
        <f>IF(OneLineRR!Q157="","",OneLineRR!Q157)</f>
        <v/>
      </c>
      <c r="V66" s="157" t="str">
        <f>IF(OneLineRR!R157="","",OneLineRR!R157)</f>
        <v/>
      </c>
      <c r="AB66" s="320" t="str">
        <f>IFERROR(U66+(COUNTIF($U$8:U66,U66)-1)/10000,"")</f>
        <v/>
      </c>
      <c r="AC66" s="158"/>
      <c r="AD66" s="119"/>
      <c r="AE66" s="460"/>
      <c r="AG66" s="119"/>
    </row>
    <row r="67" spans="4:33" x14ac:dyDescent="0.25">
      <c r="D67" s="154" t="str">
        <f>OneLineRR!A158</f>
        <v>Hudson View Park</v>
      </c>
      <c r="E67" s="104">
        <f>OneLineRR!J158</f>
        <v>0</v>
      </c>
      <c r="F67" s="104">
        <f>OneLineRR!K158</f>
        <v>0</v>
      </c>
      <c r="G67" s="155" t="e">
        <f>OneLineRR!D158</f>
        <v>#N/A</v>
      </c>
      <c r="H67" s="155" t="e">
        <f>IF(OneLineRR!G158="Yes","Affordable","Market")</f>
        <v>#N/A</v>
      </c>
      <c r="I67" s="104" t="e">
        <f>OneLineRR!I158</f>
        <v>#N/A</v>
      </c>
      <c r="J67" s="156">
        <f>OneLineRR!M158</f>
        <v>0</v>
      </c>
      <c r="K67" s="634">
        <f>OneLineRR!L158</f>
        <v>0</v>
      </c>
      <c r="L67" s="143" t="str">
        <f>OneLineRR!C158</f>
        <v>Occ</v>
      </c>
      <c r="M67" s="636">
        <f>OneLineRR!O158</f>
        <v>0</v>
      </c>
      <c r="N67" s="636">
        <f t="shared" si="0"/>
        <v>0</v>
      </c>
      <c r="O67" s="636">
        <f>OneLineRR!N158</f>
        <v>0</v>
      </c>
      <c r="P67" s="636" t="e" cm="1">
        <f t="array" ref="P67">INDEX('Unit Mix'!$P$6:$P$62,MATCH(1,('Rent Roll'!G67='Unit Mix'!$E$6:$E$62)*(D67='Unit Mix'!$D$6:$D$62),0))</f>
        <v>#N/A</v>
      </c>
      <c r="Q67" s="150">
        <f>OneLineRR!T158</f>
        <v>0</v>
      </c>
      <c r="R67" s="150">
        <f>OneLineRR!U158</f>
        <v>0</v>
      </c>
      <c r="S67" s="150">
        <f>OneLineRR!V158</f>
        <v>0</v>
      </c>
      <c r="T67" s="150">
        <f>OneLineRR!W158</f>
        <v>0</v>
      </c>
      <c r="U67" s="157" t="str">
        <f>IF(OneLineRR!Q158="","",OneLineRR!Q158)</f>
        <v/>
      </c>
      <c r="V67" s="157" t="str">
        <f>IF(OneLineRR!R158="","",OneLineRR!R158)</f>
        <v/>
      </c>
      <c r="AB67" s="320" t="str">
        <f>IFERROR(U67+(COUNTIF($U$8:U67,U67)-1)/10000,"")</f>
        <v/>
      </c>
      <c r="AC67" s="158"/>
      <c r="AD67" s="119"/>
      <c r="AE67" s="460"/>
      <c r="AG67" s="119"/>
    </row>
    <row r="68" spans="4:33" x14ac:dyDescent="0.25">
      <c r="D68" s="154" t="str">
        <f>OneLineRR!A159</f>
        <v>Hudson View Park</v>
      </c>
      <c r="E68" s="104">
        <f>OneLineRR!J159</f>
        <v>0</v>
      </c>
      <c r="F68" s="104">
        <f>OneLineRR!K159</f>
        <v>0</v>
      </c>
      <c r="G68" s="155" t="e">
        <f>OneLineRR!D159</f>
        <v>#N/A</v>
      </c>
      <c r="H68" s="155" t="e">
        <f>IF(OneLineRR!G159="Yes","Affordable","Market")</f>
        <v>#N/A</v>
      </c>
      <c r="I68" s="104" t="e">
        <f>OneLineRR!I159</f>
        <v>#N/A</v>
      </c>
      <c r="J68" s="156">
        <f>OneLineRR!M159</f>
        <v>0</v>
      </c>
      <c r="K68" s="634">
        <f>OneLineRR!L159</f>
        <v>0</v>
      </c>
      <c r="L68" s="143" t="str">
        <f>OneLineRR!C159</f>
        <v>Occ</v>
      </c>
      <c r="M68" s="636">
        <f>OneLineRR!O159</f>
        <v>0</v>
      </c>
      <c r="N68" s="636">
        <f t="shared" si="0"/>
        <v>0</v>
      </c>
      <c r="O68" s="636">
        <f>OneLineRR!N159</f>
        <v>0</v>
      </c>
      <c r="P68" s="636" t="e" cm="1">
        <f t="array" ref="P68">INDEX('Unit Mix'!$P$6:$P$62,MATCH(1,('Rent Roll'!G68='Unit Mix'!$E$6:$E$62)*(D68='Unit Mix'!$D$6:$D$62),0))</f>
        <v>#N/A</v>
      </c>
      <c r="Q68" s="150">
        <f>OneLineRR!T159</f>
        <v>0</v>
      </c>
      <c r="R68" s="150">
        <f>OneLineRR!U159</f>
        <v>0</v>
      </c>
      <c r="S68" s="150">
        <f>OneLineRR!V159</f>
        <v>0</v>
      </c>
      <c r="T68" s="150">
        <f>OneLineRR!W159</f>
        <v>0</v>
      </c>
      <c r="U68" s="157" t="str">
        <f>IF(OneLineRR!Q159="","",OneLineRR!Q159)</f>
        <v/>
      </c>
      <c r="V68" s="157" t="str">
        <f>IF(OneLineRR!R159="","",OneLineRR!R159)</f>
        <v/>
      </c>
      <c r="AB68" s="320" t="str">
        <f>IFERROR(U68+(COUNTIF($U$8:U68,U68)-1)/10000,"")</f>
        <v/>
      </c>
      <c r="AC68" s="158"/>
      <c r="AD68" s="119"/>
      <c r="AE68" s="460"/>
      <c r="AG68" s="119"/>
    </row>
    <row r="69" spans="4:33" x14ac:dyDescent="0.25">
      <c r="D69" s="154" t="str">
        <f>OneLineRR!A160</f>
        <v>Hudson View Park</v>
      </c>
      <c r="E69" s="104">
        <f>OneLineRR!J160</f>
        <v>0</v>
      </c>
      <c r="F69" s="104">
        <f>OneLineRR!K160</f>
        <v>0</v>
      </c>
      <c r="G69" s="155" t="e">
        <f>OneLineRR!D160</f>
        <v>#N/A</v>
      </c>
      <c r="H69" s="155" t="e">
        <f>IF(OneLineRR!G160="Yes","Affordable","Market")</f>
        <v>#N/A</v>
      </c>
      <c r="I69" s="104" t="e">
        <f>OneLineRR!I160</f>
        <v>#N/A</v>
      </c>
      <c r="J69" s="156">
        <f>OneLineRR!M160</f>
        <v>0</v>
      </c>
      <c r="K69" s="634">
        <f>OneLineRR!L160</f>
        <v>0</v>
      </c>
      <c r="L69" s="143" t="str">
        <f>OneLineRR!C160</f>
        <v>Occ</v>
      </c>
      <c r="M69" s="636">
        <f>OneLineRR!O160</f>
        <v>0</v>
      </c>
      <c r="N69" s="636">
        <f t="shared" si="0"/>
        <v>0</v>
      </c>
      <c r="O69" s="636">
        <f>OneLineRR!N160</f>
        <v>0</v>
      </c>
      <c r="P69" s="636" t="e" cm="1">
        <f t="array" ref="P69">INDEX('Unit Mix'!$P$6:$P$62,MATCH(1,('Rent Roll'!G69='Unit Mix'!$E$6:$E$62)*(D69='Unit Mix'!$D$6:$D$62),0))</f>
        <v>#N/A</v>
      </c>
      <c r="Q69" s="150">
        <f>OneLineRR!T160</f>
        <v>0</v>
      </c>
      <c r="R69" s="150">
        <f>OneLineRR!U160</f>
        <v>0</v>
      </c>
      <c r="S69" s="150">
        <f>OneLineRR!V160</f>
        <v>0</v>
      </c>
      <c r="T69" s="150">
        <f>OneLineRR!W160</f>
        <v>0</v>
      </c>
      <c r="U69" s="157" t="str">
        <f>IF(OneLineRR!Q160="","",OneLineRR!Q160)</f>
        <v/>
      </c>
      <c r="V69" s="157" t="str">
        <f>IF(OneLineRR!R160="","",OneLineRR!R160)</f>
        <v/>
      </c>
      <c r="AB69" s="320" t="str">
        <f>IFERROR(U69+(COUNTIF($U$8:U69,U69)-1)/10000,"")</f>
        <v/>
      </c>
      <c r="AC69" s="158"/>
      <c r="AD69" s="119"/>
      <c r="AE69" s="460"/>
      <c r="AG69" s="119"/>
    </row>
    <row r="70" spans="4:33" x14ac:dyDescent="0.25">
      <c r="D70" s="154" t="str">
        <f>OneLineRR!A161</f>
        <v>Hudson View Park</v>
      </c>
      <c r="E70" s="104">
        <f>OneLineRR!J161</f>
        <v>0</v>
      </c>
      <c r="F70" s="104">
        <f>OneLineRR!K161</f>
        <v>0</v>
      </c>
      <c r="G70" s="155" t="e">
        <f>OneLineRR!D161</f>
        <v>#N/A</v>
      </c>
      <c r="H70" s="155" t="e">
        <f>IF(OneLineRR!G161="Yes","Affordable","Market")</f>
        <v>#N/A</v>
      </c>
      <c r="I70" s="104" t="e">
        <f>OneLineRR!I161</f>
        <v>#N/A</v>
      </c>
      <c r="J70" s="156">
        <f>OneLineRR!M161</f>
        <v>0</v>
      </c>
      <c r="K70" s="634">
        <f>OneLineRR!L161</f>
        <v>0</v>
      </c>
      <c r="L70" s="143" t="str">
        <f>OneLineRR!C161</f>
        <v>Occ</v>
      </c>
      <c r="M70" s="636">
        <f>OneLineRR!O161</f>
        <v>0</v>
      </c>
      <c r="N70" s="636">
        <f t="shared" si="0"/>
        <v>0</v>
      </c>
      <c r="O70" s="636">
        <f>OneLineRR!N161</f>
        <v>0</v>
      </c>
      <c r="P70" s="636" t="e" cm="1">
        <f t="array" ref="P70">INDEX('Unit Mix'!$P$6:$P$62,MATCH(1,('Rent Roll'!G70='Unit Mix'!$E$6:$E$62)*(D70='Unit Mix'!$D$6:$D$62),0))</f>
        <v>#N/A</v>
      </c>
      <c r="Q70" s="150">
        <f>OneLineRR!T161</f>
        <v>0</v>
      </c>
      <c r="R70" s="150">
        <f>OneLineRR!U161</f>
        <v>0</v>
      </c>
      <c r="S70" s="150">
        <f>OneLineRR!V161</f>
        <v>0</v>
      </c>
      <c r="T70" s="150">
        <f>OneLineRR!W161</f>
        <v>0</v>
      </c>
      <c r="U70" s="157" t="str">
        <f>IF(OneLineRR!Q161="","",OneLineRR!Q161)</f>
        <v/>
      </c>
      <c r="V70" s="157" t="str">
        <f>IF(OneLineRR!R161="","",OneLineRR!R161)</f>
        <v/>
      </c>
      <c r="AB70" s="320" t="str">
        <f>IFERROR(U70+(COUNTIF($U$8:U70,U70)-1)/10000,"")</f>
        <v/>
      </c>
      <c r="AC70" s="158"/>
      <c r="AD70" s="119"/>
      <c r="AE70" s="460"/>
      <c r="AG70" s="119"/>
    </row>
    <row r="71" spans="4:33" x14ac:dyDescent="0.25">
      <c r="D71" s="154" t="str">
        <f>OneLineRR!A162</f>
        <v>Hudson View Park</v>
      </c>
      <c r="E71" s="104">
        <f>OneLineRR!J162</f>
        <v>0</v>
      </c>
      <c r="F71" s="104">
        <f>OneLineRR!K162</f>
        <v>0</v>
      </c>
      <c r="G71" s="155" t="e">
        <f>OneLineRR!D162</f>
        <v>#N/A</v>
      </c>
      <c r="H71" s="155" t="e">
        <f>IF(OneLineRR!G162="Yes","Affordable","Market")</f>
        <v>#N/A</v>
      </c>
      <c r="I71" s="104" t="e">
        <f>OneLineRR!I162</f>
        <v>#N/A</v>
      </c>
      <c r="J71" s="156">
        <f>OneLineRR!M162</f>
        <v>0</v>
      </c>
      <c r="K71" s="634">
        <f>OneLineRR!L162</f>
        <v>0</v>
      </c>
      <c r="L71" s="143" t="str">
        <f>OneLineRR!C162</f>
        <v>Occ</v>
      </c>
      <c r="M71" s="636">
        <f>OneLineRR!O162</f>
        <v>0</v>
      </c>
      <c r="N71" s="636">
        <f t="shared" si="0"/>
        <v>0</v>
      </c>
      <c r="O71" s="636">
        <f>OneLineRR!N162</f>
        <v>0</v>
      </c>
      <c r="P71" s="636" t="e" cm="1">
        <f t="array" ref="P71">INDEX('Unit Mix'!$P$6:$P$62,MATCH(1,('Rent Roll'!G71='Unit Mix'!$E$6:$E$62)*(D71='Unit Mix'!$D$6:$D$62),0))</f>
        <v>#N/A</v>
      </c>
      <c r="Q71" s="150">
        <f>OneLineRR!T162</f>
        <v>0</v>
      </c>
      <c r="R71" s="150">
        <f>OneLineRR!U162</f>
        <v>0</v>
      </c>
      <c r="S71" s="150">
        <f>OneLineRR!V162</f>
        <v>0</v>
      </c>
      <c r="T71" s="150">
        <f>OneLineRR!W162</f>
        <v>0</v>
      </c>
      <c r="U71" s="157" t="str">
        <f>IF(OneLineRR!Q162="","",OneLineRR!Q162)</f>
        <v/>
      </c>
      <c r="V71" s="157" t="str">
        <f>IF(OneLineRR!R162="","",OneLineRR!R162)</f>
        <v/>
      </c>
      <c r="AB71" s="320" t="str">
        <f>IFERROR(U71+(COUNTIF($U$8:U71,U71)-1)/10000,"")</f>
        <v/>
      </c>
      <c r="AC71" s="158"/>
      <c r="AD71" s="119"/>
      <c r="AE71" s="460"/>
      <c r="AG71" s="119"/>
    </row>
    <row r="72" spans="4:33" x14ac:dyDescent="0.25">
      <c r="D72" s="154" t="str">
        <f>OneLineRR!A163</f>
        <v>Hudson View Park</v>
      </c>
      <c r="E72" s="104">
        <f>OneLineRR!J163</f>
        <v>0</v>
      </c>
      <c r="F72" s="104">
        <f>OneLineRR!K163</f>
        <v>0</v>
      </c>
      <c r="G72" s="155" t="e">
        <f>OneLineRR!D163</f>
        <v>#N/A</v>
      </c>
      <c r="H72" s="155" t="e">
        <f>IF(OneLineRR!G163="Yes","Affordable","Market")</f>
        <v>#N/A</v>
      </c>
      <c r="I72" s="104" t="e">
        <f>OneLineRR!I163</f>
        <v>#N/A</v>
      </c>
      <c r="J72" s="156">
        <f>OneLineRR!M163</f>
        <v>0</v>
      </c>
      <c r="K72" s="634">
        <f>OneLineRR!L163</f>
        <v>0</v>
      </c>
      <c r="L72" s="143" t="str">
        <f>OneLineRR!C163</f>
        <v>Occ</v>
      </c>
      <c r="M72" s="636">
        <f>OneLineRR!O163</f>
        <v>0</v>
      </c>
      <c r="N72" s="636">
        <f t="shared" si="0"/>
        <v>0</v>
      </c>
      <c r="O72" s="636">
        <f>OneLineRR!N163</f>
        <v>0</v>
      </c>
      <c r="P72" s="636" t="e" cm="1">
        <f t="array" ref="P72">INDEX('Unit Mix'!$P$6:$P$62,MATCH(1,('Rent Roll'!G72='Unit Mix'!$E$6:$E$62)*(D72='Unit Mix'!$D$6:$D$62),0))</f>
        <v>#N/A</v>
      </c>
      <c r="Q72" s="150">
        <f>OneLineRR!T163</f>
        <v>0</v>
      </c>
      <c r="R72" s="150">
        <f>OneLineRR!U163</f>
        <v>0</v>
      </c>
      <c r="S72" s="150">
        <f>OneLineRR!V163</f>
        <v>0</v>
      </c>
      <c r="T72" s="150">
        <f>OneLineRR!W163</f>
        <v>0</v>
      </c>
      <c r="U72" s="157" t="str">
        <f>IF(OneLineRR!Q163="","",OneLineRR!Q163)</f>
        <v/>
      </c>
      <c r="V72" s="157" t="str">
        <f>IF(OneLineRR!R163="","",OneLineRR!R163)</f>
        <v/>
      </c>
      <c r="AB72" s="320" t="str">
        <f>IFERROR(U72+(COUNTIF($U$8:U72,U72)-1)/10000,"")</f>
        <v/>
      </c>
      <c r="AC72" s="158"/>
      <c r="AD72" s="119"/>
      <c r="AE72" s="460"/>
      <c r="AG72" s="119"/>
    </row>
    <row r="73" spans="4:33" x14ac:dyDescent="0.25">
      <c r="D73" s="154" t="str">
        <f>OneLineRR!A164</f>
        <v>Hudson View Park</v>
      </c>
      <c r="E73" s="104">
        <f>OneLineRR!J164</f>
        <v>0</v>
      </c>
      <c r="F73" s="104">
        <f>OneLineRR!K164</f>
        <v>0</v>
      </c>
      <c r="G73" s="155" t="e">
        <f>OneLineRR!D164</f>
        <v>#N/A</v>
      </c>
      <c r="H73" s="155" t="e">
        <f>IF(OneLineRR!G164="Yes","Affordable","Market")</f>
        <v>#N/A</v>
      </c>
      <c r="I73" s="104" t="e">
        <f>OneLineRR!I164</f>
        <v>#N/A</v>
      </c>
      <c r="J73" s="156">
        <f>OneLineRR!M164</f>
        <v>0</v>
      </c>
      <c r="K73" s="634">
        <f>OneLineRR!L164</f>
        <v>0</v>
      </c>
      <c r="L73" s="143" t="str">
        <f>OneLineRR!C164</f>
        <v>Occ</v>
      </c>
      <c r="M73" s="636">
        <f>OneLineRR!O164</f>
        <v>0</v>
      </c>
      <c r="N73" s="636">
        <f t="shared" ref="N73:N136" si="1">IF(L73="Vac",P73,0)</f>
        <v>0</v>
      </c>
      <c r="O73" s="636">
        <f>OneLineRR!N164</f>
        <v>0</v>
      </c>
      <c r="P73" s="636" t="e" cm="1">
        <f t="array" ref="P73">INDEX('Unit Mix'!$P$6:$P$62,MATCH(1,('Rent Roll'!G73='Unit Mix'!$E$6:$E$62)*(D73='Unit Mix'!$D$6:$D$62),0))</f>
        <v>#N/A</v>
      </c>
      <c r="Q73" s="150">
        <f>OneLineRR!T164</f>
        <v>0</v>
      </c>
      <c r="R73" s="150">
        <f>OneLineRR!U164</f>
        <v>0</v>
      </c>
      <c r="S73" s="150">
        <f>OneLineRR!V164</f>
        <v>0</v>
      </c>
      <c r="T73" s="150">
        <f>OneLineRR!W164</f>
        <v>0</v>
      </c>
      <c r="U73" s="157" t="str">
        <f>IF(OneLineRR!Q164="","",OneLineRR!Q164)</f>
        <v/>
      </c>
      <c r="V73" s="157" t="str">
        <f>IF(OneLineRR!R164="","",OneLineRR!R164)</f>
        <v/>
      </c>
      <c r="AB73" s="320" t="str">
        <f>IFERROR(U73+(COUNTIF($U$8:U73,U73)-1)/10000,"")</f>
        <v/>
      </c>
      <c r="AC73" s="158"/>
      <c r="AD73" s="119"/>
      <c r="AE73" s="460"/>
      <c r="AG73" s="119"/>
    </row>
    <row r="74" spans="4:33" x14ac:dyDescent="0.25">
      <c r="D74" s="154" t="str">
        <f>OneLineRR!A165</f>
        <v>Hudson View Park</v>
      </c>
      <c r="E74" s="104">
        <f>OneLineRR!J165</f>
        <v>0</v>
      </c>
      <c r="F74" s="104">
        <f>OneLineRR!K165</f>
        <v>0</v>
      </c>
      <c r="G74" s="155" t="e">
        <f>OneLineRR!D165</f>
        <v>#N/A</v>
      </c>
      <c r="H74" s="155" t="e">
        <f>IF(OneLineRR!G165="Yes","Affordable","Market")</f>
        <v>#N/A</v>
      </c>
      <c r="I74" s="104" t="e">
        <f>OneLineRR!I165</f>
        <v>#N/A</v>
      </c>
      <c r="J74" s="156">
        <f>OneLineRR!M165</f>
        <v>0</v>
      </c>
      <c r="K74" s="634">
        <f>OneLineRR!L165</f>
        <v>0</v>
      </c>
      <c r="L74" s="143" t="str">
        <f>OneLineRR!C165</f>
        <v>Occ</v>
      </c>
      <c r="M74" s="636">
        <f>OneLineRR!O165</f>
        <v>0</v>
      </c>
      <c r="N74" s="636">
        <f t="shared" si="1"/>
        <v>0</v>
      </c>
      <c r="O74" s="636">
        <f>OneLineRR!N165</f>
        <v>0</v>
      </c>
      <c r="P74" s="636" t="e" cm="1">
        <f t="array" ref="P74">INDEX('Unit Mix'!$P$6:$P$62,MATCH(1,('Rent Roll'!G74='Unit Mix'!$E$6:$E$62)*(D74='Unit Mix'!$D$6:$D$62),0))</f>
        <v>#N/A</v>
      </c>
      <c r="Q74" s="150">
        <f>OneLineRR!T165</f>
        <v>0</v>
      </c>
      <c r="R74" s="150">
        <f>OneLineRR!U165</f>
        <v>0</v>
      </c>
      <c r="S74" s="150">
        <f>OneLineRR!V165</f>
        <v>0</v>
      </c>
      <c r="T74" s="150">
        <f>OneLineRR!W165</f>
        <v>0</v>
      </c>
      <c r="U74" s="157" t="str">
        <f>IF(OneLineRR!Q165="","",OneLineRR!Q165)</f>
        <v/>
      </c>
      <c r="V74" s="157" t="str">
        <f>IF(OneLineRR!R165="","",OneLineRR!R165)</f>
        <v/>
      </c>
      <c r="AB74" s="320" t="str">
        <f>IFERROR(U74+(COUNTIF($U$8:U74,U74)-1)/10000,"")</f>
        <v/>
      </c>
      <c r="AC74" s="158"/>
      <c r="AD74" s="119"/>
      <c r="AE74" s="460"/>
      <c r="AG74" s="119"/>
    </row>
    <row r="75" spans="4:33" x14ac:dyDescent="0.25">
      <c r="D75" s="154" t="str">
        <f>OneLineRR!A166</f>
        <v>Hudson View Park</v>
      </c>
      <c r="E75" s="104">
        <f>OneLineRR!J166</f>
        <v>0</v>
      </c>
      <c r="F75" s="104">
        <f>OneLineRR!K166</f>
        <v>0</v>
      </c>
      <c r="G75" s="155" t="e">
        <f>OneLineRR!D166</f>
        <v>#N/A</v>
      </c>
      <c r="H75" s="155" t="e">
        <f>IF(OneLineRR!G166="Yes","Affordable","Market")</f>
        <v>#N/A</v>
      </c>
      <c r="I75" s="104" t="e">
        <f>OneLineRR!I166</f>
        <v>#N/A</v>
      </c>
      <c r="J75" s="156">
        <f>OneLineRR!M166</f>
        <v>0</v>
      </c>
      <c r="K75" s="634">
        <f>OneLineRR!L166</f>
        <v>0</v>
      </c>
      <c r="L75" s="143" t="str">
        <f>OneLineRR!C166</f>
        <v>Occ</v>
      </c>
      <c r="M75" s="636">
        <f>OneLineRR!O166</f>
        <v>0</v>
      </c>
      <c r="N75" s="636">
        <f t="shared" si="1"/>
        <v>0</v>
      </c>
      <c r="O75" s="636">
        <f>OneLineRR!N166</f>
        <v>0</v>
      </c>
      <c r="P75" s="636" t="e" cm="1">
        <f t="array" ref="P75">INDEX('Unit Mix'!$P$6:$P$62,MATCH(1,('Rent Roll'!G75='Unit Mix'!$E$6:$E$62)*(D75='Unit Mix'!$D$6:$D$62),0))</f>
        <v>#N/A</v>
      </c>
      <c r="Q75" s="150">
        <f>OneLineRR!T166</f>
        <v>0</v>
      </c>
      <c r="R75" s="150">
        <f>OneLineRR!U166</f>
        <v>0</v>
      </c>
      <c r="S75" s="150">
        <f>OneLineRR!V166</f>
        <v>0</v>
      </c>
      <c r="T75" s="150">
        <f>OneLineRR!W166</f>
        <v>0</v>
      </c>
      <c r="U75" s="157" t="str">
        <f>IF(OneLineRR!Q166="","",OneLineRR!Q166)</f>
        <v/>
      </c>
      <c r="V75" s="157" t="str">
        <f>IF(OneLineRR!R166="","",OneLineRR!R166)</f>
        <v/>
      </c>
      <c r="AB75" s="320" t="str">
        <f>IFERROR(U75+(COUNTIF($U$8:U75,U75)-1)/10000,"")</f>
        <v/>
      </c>
      <c r="AC75" s="158"/>
      <c r="AD75" s="119"/>
      <c r="AE75" s="460"/>
      <c r="AG75" s="119"/>
    </row>
    <row r="76" spans="4:33" x14ac:dyDescent="0.25">
      <c r="D76" s="154" t="str">
        <f>OneLineRR!A167</f>
        <v>Hudson View Park</v>
      </c>
      <c r="E76" s="104">
        <f>OneLineRR!J167</f>
        <v>0</v>
      </c>
      <c r="F76" s="104">
        <f>OneLineRR!K167</f>
        <v>0</v>
      </c>
      <c r="G76" s="155" t="e">
        <f>OneLineRR!D167</f>
        <v>#N/A</v>
      </c>
      <c r="H76" s="155" t="e">
        <f>IF(OneLineRR!G167="Yes","Affordable","Market")</f>
        <v>#N/A</v>
      </c>
      <c r="I76" s="104" t="e">
        <f>OneLineRR!I167</f>
        <v>#N/A</v>
      </c>
      <c r="J76" s="156">
        <f>OneLineRR!M167</f>
        <v>0</v>
      </c>
      <c r="K76" s="634">
        <f>OneLineRR!L167</f>
        <v>0</v>
      </c>
      <c r="L76" s="143" t="str">
        <f>OneLineRR!C167</f>
        <v>Occ</v>
      </c>
      <c r="M76" s="636">
        <f>OneLineRR!O167</f>
        <v>0</v>
      </c>
      <c r="N76" s="636">
        <f t="shared" si="1"/>
        <v>0</v>
      </c>
      <c r="O76" s="636">
        <f>OneLineRR!N167</f>
        <v>0</v>
      </c>
      <c r="P76" s="636" t="e" cm="1">
        <f t="array" ref="P76">INDEX('Unit Mix'!$P$6:$P$62,MATCH(1,('Rent Roll'!G76='Unit Mix'!$E$6:$E$62)*(D76='Unit Mix'!$D$6:$D$62),0))</f>
        <v>#N/A</v>
      </c>
      <c r="Q76" s="150">
        <f>OneLineRR!T167</f>
        <v>0</v>
      </c>
      <c r="R76" s="150">
        <f>OneLineRR!U167</f>
        <v>0</v>
      </c>
      <c r="S76" s="150">
        <f>OneLineRR!V167</f>
        <v>0</v>
      </c>
      <c r="T76" s="150">
        <f>OneLineRR!W167</f>
        <v>0</v>
      </c>
      <c r="U76" s="157" t="str">
        <f>IF(OneLineRR!Q167="","",OneLineRR!Q167)</f>
        <v/>
      </c>
      <c r="V76" s="157" t="str">
        <f>IF(OneLineRR!R167="","",OneLineRR!R167)</f>
        <v/>
      </c>
      <c r="AB76" s="320" t="str">
        <f>IFERROR(U76+(COUNTIF($U$8:U76,U76)-1)/10000,"")</f>
        <v/>
      </c>
      <c r="AC76" s="158"/>
      <c r="AD76" s="119"/>
      <c r="AE76" s="460"/>
      <c r="AG76" s="119"/>
    </row>
    <row r="77" spans="4:33" x14ac:dyDescent="0.25">
      <c r="D77" s="154" t="str">
        <f>OneLineRR!A168</f>
        <v>Hudson View Park</v>
      </c>
      <c r="E77" s="104">
        <f>OneLineRR!J168</f>
        <v>0</v>
      </c>
      <c r="F77" s="104">
        <f>OneLineRR!K168</f>
        <v>0</v>
      </c>
      <c r="G77" s="155" t="e">
        <f>OneLineRR!D168</f>
        <v>#N/A</v>
      </c>
      <c r="H77" s="155" t="e">
        <f>IF(OneLineRR!G168="Yes","Affordable","Market")</f>
        <v>#N/A</v>
      </c>
      <c r="I77" s="104" t="e">
        <f>OneLineRR!I168</f>
        <v>#N/A</v>
      </c>
      <c r="J77" s="156">
        <f>OneLineRR!M168</f>
        <v>0</v>
      </c>
      <c r="K77" s="634">
        <f>OneLineRR!L168</f>
        <v>0</v>
      </c>
      <c r="L77" s="143" t="str">
        <f>OneLineRR!C168</f>
        <v>Occ</v>
      </c>
      <c r="M77" s="636">
        <f>OneLineRR!O168</f>
        <v>0</v>
      </c>
      <c r="N77" s="636">
        <f t="shared" si="1"/>
        <v>0</v>
      </c>
      <c r="O77" s="636">
        <f>OneLineRR!N168</f>
        <v>0</v>
      </c>
      <c r="P77" s="636" t="e" cm="1">
        <f t="array" ref="P77">INDEX('Unit Mix'!$P$6:$P$62,MATCH(1,('Rent Roll'!G77='Unit Mix'!$E$6:$E$62)*(D77='Unit Mix'!$D$6:$D$62),0))</f>
        <v>#N/A</v>
      </c>
      <c r="Q77" s="150">
        <f>OneLineRR!T168</f>
        <v>0</v>
      </c>
      <c r="R77" s="150">
        <f>OneLineRR!U168</f>
        <v>0</v>
      </c>
      <c r="S77" s="150">
        <f>OneLineRR!V168</f>
        <v>0</v>
      </c>
      <c r="T77" s="150">
        <f>OneLineRR!W168</f>
        <v>0</v>
      </c>
      <c r="U77" s="157" t="str">
        <f>IF(OneLineRR!Q168="","",OneLineRR!Q168)</f>
        <v/>
      </c>
      <c r="V77" s="157" t="str">
        <f>IF(OneLineRR!R168="","",OneLineRR!R168)</f>
        <v/>
      </c>
      <c r="AB77" s="320" t="str">
        <f>IFERROR(U77+(COUNTIF($U$8:U77,U77)-1)/10000,"")</f>
        <v/>
      </c>
      <c r="AC77" s="158"/>
      <c r="AD77" s="119"/>
      <c r="AE77" s="460"/>
      <c r="AG77" s="119"/>
    </row>
    <row r="78" spans="4:33" x14ac:dyDescent="0.25">
      <c r="D78" s="154" t="str">
        <f>OneLineRR!A169</f>
        <v>Hudson View Park</v>
      </c>
      <c r="E78" s="104">
        <f>OneLineRR!J169</f>
        <v>0</v>
      </c>
      <c r="F78" s="104">
        <f>OneLineRR!K169</f>
        <v>0</v>
      </c>
      <c r="G78" s="155" t="e">
        <f>OneLineRR!D169</f>
        <v>#N/A</v>
      </c>
      <c r="H78" s="155" t="e">
        <f>IF(OneLineRR!G169="Yes","Affordable","Market")</f>
        <v>#N/A</v>
      </c>
      <c r="I78" s="104" t="e">
        <f>OneLineRR!I169</f>
        <v>#N/A</v>
      </c>
      <c r="J78" s="156">
        <f>OneLineRR!M169</f>
        <v>0</v>
      </c>
      <c r="K78" s="634">
        <f>OneLineRR!L169</f>
        <v>0</v>
      </c>
      <c r="L78" s="143" t="str">
        <f>OneLineRR!C169</f>
        <v>Occ</v>
      </c>
      <c r="M78" s="636">
        <f>OneLineRR!O169</f>
        <v>0</v>
      </c>
      <c r="N78" s="636">
        <f t="shared" si="1"/>
        <v>0</v>
      </c>
      <c r="O78" s="636">
        <f>OneLineRR!N169</f>
        <v>0</v>
      </c>
      <c r="P78" s="636" t="e" cm="1">
        <f t="array" ref="P78">INDEX('Unit Mix'!$P$6:$P$62,MATCH(1,('Rent Roll'!G78='Unit Mix'!$E$6:$E$62)*(D78='Unit Mix'!$D$6:$D$62),0))</f>
        <v>#N/A</v>
      </c>
      <c r="Q78" s="150">
        <f>OneLineRR!T169</f>
        <v>0</v>
      </c>
      <c r="R78" s="150">
        <f>OneLineRR!U169</f>
        <v>0</v>
      </c>
      <c r="S78" s="150">
        <f>OneLineRR!V169</f>
        <v>0</v>
      </c>
      <c r="T78" s="150">
        <f>OneLineRR!W169</f>
        <v>0</v>
      </c>
      <c r="U78" s="157" t="str">
        <f>IF(OneLineRR!Q169="","",OneLineRR!Q169)</f>
        <v/>
      </c>
      <c r="V78" s="157" t="str">
        <f>IF(OneLineRR!R169="","",OneLineRR!R169)</f>
        <v/>
      </c>
      <c r="AB78" s="320" t="str">
        <f>IFERROR(U78+(COUNTIF($U$8:U78,U78)-1)/10000,"")</f>
        <v/>
      </c>
      <c r="AC78" s="158"/>
      <c r="AD78" s="119"/>
      <c r="AE78" s="460"/>
      <c r="AG78" s="119"/>
    </row>
    <row r="79" spans="4:33" x14ac:dyDescent="0.25">
      <c r="D79" s="154" t="str">
        <f>OneLineRR!A170</f>
        <v>Hudson View Park</v>
      </c>
      <c r="E79" s="104">
        <f>OneLineRR!J170</f>
        <v>0</v>
      </c>
      <c r="F79" s="104">
        <f>OneLineRR!K170</f>
        <v>0</v>
      </c>
      <c r="G79" s="155" t="e">
        <f>OneLineRR!D170</f>
        <v>#N/A</v>
      </c>
      <c r="H79" s="155" t="e">
        <f>IF(OneLineRR!G170="Yes","Affordable","Market")</f>
        <v>#N/A</v>
      </c>
      <c r="I79" s="104" t="e">
        <f>OneLineRR!I170</f>
        <v>#N/A</v>
      </c>
      <c r="J79" s="156">
        <f>OneLineRR!M170</f>
        <v>0</v>
      </c>
      <c r="K79" s="634">
        <f>OneLineRR!L170</f>
        <v>0</v>
      </c>
      <c r="L79" s="143" t="str">
        <f>OneLineRR!C170</f>
        <v>Occ</v>
      </c>
      <c r="M79" s="636">
        <f>OneLineRR!O170</f>
        <v>0</v>
      </c>
      <c r="N79" s="636">
        <f t="shared" si="1"/>
        <v>0</v>
      </c>
      <c r="O79" s="636">
        <f>OneLineRR!N170</f>
        <v>0</v>
      </c>
      <c r="P79" s="636" t="e" cm="1">
        <f t="array" ref="P79">INDEX('Unit Mix'!$P$6:$P$62,MATCH(1,('Rent Roll'!G79='Unit Mix'!$E$6:$E$62)*(D79='Unit Mix'!$D$6:$D$62),0))</f>
        <v>#N/A</v>
      </c>
      <c r="Q79" s="150">
        <f>OneLineRR!T170</f>
        <v>0</v>
      </c>
      <c r="R79" s="150">
        <f>OneLineRR!U170</f>
        <v>0</v>
      </c>
      <c r="S79" s="150">
        <f>OneLineRR!V170</f>
        <v>0</v>
      </c>
      <c r="T79" s="150">
        <f>OneLineRR!W170</f>
        <v>0</v>
      </c>
      <c r="U79" s="157" t="str">
        <f>IF(OneLineRR!Q170="","",OneLineRR!Q170)</f>
        <v/>
      </c>
      <c r="V79" s="157" t="str">
        <f>IF(OneLineRR!R170="","",OneLineRR!R170)</f>
        <v/>
      </c>
      <c r="AB79" s="320" t="str">
        <f>IFERROR(U79+(COUNTIF($U$8:U79,U79)-1)/10000,"")</f>
        <v/>
      </c>
      <c r="AC79" s="158"/>
      <c r="AD79" s="119"/>
      <c r="AE79" s="460"/>
      <c r="AG79" s="119"/>
    </row>
    <row r="80" spans="4:33" x14ac:dyDescent="0.25">
      <c r="D80" s="154" t="str">
        <f>OneLineRR!A171</f>
        <v>Hudson View Park</v>
      </c>
      <c r="E80" s="104">
        <f>OneLineRR!J171</f>
        <v>0</v>
      </c>
      <c r="F80" s="104">
        <f>OneLineRR!K171</f>
        <v>0</v>
      </c>
      <c r="G80" s="155" t="e">
        <f>OneLineRR!D171</f>
        <v>#N/A</v>
      </c>
      <c r="H80" s="155" t="e">
        <f>IF(OneLineRR!G171="Yes","Affordable","Market")</f>
        <v>#N/A</v>
      </c>
      <c r="I80" s="104" t="e">
        <f>OneLineRR!I171</f>
        <v>#N/A</v>
      </c>
      <c r="J80" s="156">
        <f>OneLineRR!M171</f>
        <v>0</v>
      </c>
      <c r="K80" s="634">
        <f>OneLineRR!L171</f>
        <v>0</v>
      </c>
      <c r="L80" s="143" t="str">
        <f>OneLineRR!C171</f>
        <v>Occ</v>
      </c>
      <c r="M80" s="636">
        <f>OneLineRR!O171</f>
        <v>0</v>
      </c>
      <c r="N80" s="636">
        <f t="shared" si="1"/>
        <v>0</v>
      </c>
      <c r="O80" s="636">
        <f>OneLineRR!N171</f>
        <v>0</v>
      </c>
      <c r="P80" s="636" t="e" cm="1">
        <f t="array" ref="P80">INDEX('Unit Mix'!$P$6:$P$62,MATCH(1,('Rent Roll'!G80='Unit Mix'!$E$6:$E$62)*(D80='Unit Mix'!$D$6:$D$62),0))</f>
        <v>#N/A</v>
      </c>
      <c r="Q80" s="150">
        <f>OneLineRR!T171</f>
        <v>0</v>
      </c>
      <c r="R80" s="150">
        <f>OneLineRR!U171</f>
        <v>0</v>
      </c>
      <c r="S80" s="150">
        <f>OneLineRR!V171</f>
        <v>0</v>
      </c>
      <c r="T80" s="150">
        <f>OneLineRR!W171</f>
        <v>0</v>
      </c>
      <c r="U80" s="157" t="str">
        <f>IF(OneLineRR!Q171="","",OneLineRR!Q171)</f>
        <v/>
      </c>
      <c r="V80" s="157" t="str">
        <f>IF(OneLineRR!R171="","",OneLineRR!R171)</f>
        <v/>
      </c>
      <c r="AB80" s="320" t="str">
        <f>IFERROR(U80+(COUNTIF($U$8:U80,U80)-1)/10000,"")</f>
        <v/>
      </c>
      <c r="AC80" s="158"/>
      <c r="AD80" s="119"/>
      <c r="AE80" s="460"/>
      <c r="AG80" s="119"/>
    </row>
    <row r="81" spans="4:33" x14ac:dyDescent="0.25">
      <c r="D81" s="154" t="str">
        <f>OneLineRR!A172</f>
        <v>Hudson View Park</v>
      </c>
      <c r="E81" s="104">
        <f>OneLineRR!J172</f>
        <v>0</v>
      </c>
      <c r="F81" s="104">
        <f>OneLineRR!K172</f>
        <v>0</v>
      </c>
      <c r="G81" s="155" t="e">
        <f>OneLineRR!D172</f>
        <v>#N/A</v>
      </c>
      <c r="H81" s="155" t="e">
        <f>IF(OneLineRR!G172="Yes","Affordable","Market")</f>
        <v>#N/A</v>
      </c>
      <c r="I81" s="104" t="e">
        <f>OneLineRR!I172</f>
        <v>#N/A</v>
      </c>
      <c r="J81" s="156">
        <f>OneLineRR!M172</f>
        <v>0</v>
      </c>
      <c r="K81" s="634">
        <f>OneLineRR!L172</f>
        <v>0</v>
      </c>
      <c r="L81" s="143" t="str">
        <f>OneLineRR!C172</f>
        <v>Occ</v>
      </c>
      <c r="M81" s="636">
        <f>OneLineRR!O172</f>
        <v>0</v>
      </c>
      <c r="N81" s="636">
        <f t="shared" si="1"/>
        <v>0</v>
      </c>
      <c r="O81" s="636">
        <f>OneLineRR!N172</f>
        <v>0</v>
      </c>
      <c r="P81" s="636" t="e" cm="1">
        <f t="array" ref="P81">INDEX('Unit Mix'!$P$6:$P$62,MATCH(1,('Rent Roll'!G81='Unit Mix'!$E$6:$E$62)*(D81='Unit Mix'!$D$6:$D$62),0))</f>
        <v>#N/A</v>
      </c>
      <c r="Q81" s="150">
        <f>OneLineRR!T172</f>
        <v>0</v>
      </c>
      <c r="R81" s="150">
        <f>OneLineRR!U172</f>
        <v>0</v>
      </c>
      <c r="S81" s="150">
        <f>OneLineRR!V172</f>
        <v>0</v>
      </c>
      <c r="T81" s="150">
        <f>OneLineRR!W172</f>
        <v>0</v>
      </c>
      <c r="U81" s="157" t="str">
        <f>IF(OneLineRR!Q172="","",OneLineRR!Q172)</f>
        <v/>
      </c>
      <c r="V81" s="157" t="str">
        <f>IF(OneLineRR!R172="","",OneLineRR!R172)</f>
        <v/>
      </c>
      <c r="AB81" s="320" t="str">
        <f>IFERROR(U81+(COUNTIF($U$8:U81,U81)-1)/10000,"")</f>
        <v/>
      </c>
      <c r="AC81" s="158"/>
      <c r="AD81" s="119"/>
      <c r="AE81" s="460"/>
      <c r="AG81" s="119"/>
    </row>
    <row r="82" spans="4:33" x14ac:dyDescent="0.25">
      <c r="D82" s="154" t="str">
        <f>OneLineRR!A173</f>
        <v>Hudson View Park</v>
      </c>
      <c r="E82" s="104">
        <f>OneLineRR!J173</f>
        <v>0</v>
      </c>
      <c r="F82" s="104">
        <f>OneLineRR!K173</f>
        <v>0</v>
      </c>
      <c r="G82" s="155" t="e">
        <f>OneLineRR!D173</f>
        <v>#N/A</v>
      </c>
      <c r="H82" s="155" t="e">
        <f>IF(OneLineRR!G173="Yes","Affordable","Market")</f>
        <v>#N/A</v>
      </c>
      <c r="I82" s="104" t="e">
        <f>OneLineRR!I173</f>
        <v>#N/A</v>
      </c>
      <c r="J82" s="156">
        <f>OneLineRR!M173</f>
        <v>0</v>
      </c>
      <c r="K82" s="634">
        <f>OneLineRR!L173</f>
        <v>0</v>
      </c>
      <c r="L82" s="143" t="str">
        <f>OneLineRR!C173</f>
        <v>Occ</v>
      </c>
      <c r="M82" s="636">
        <f>OneLineRR!O173</f>
        <v>0</v>
      </c>
      <c r="N82" s="636">
        <f t="shared" si="1"/>
        <v>0</v>
      </c>
      <c r="O82" s="636">
        <f>OneLineRR!N173</f>
        <v>0</v>
      </c>
      <c r="P82" s="636" t="e" cm="1">
        <f t="array" ref="P82">INDEX('Unit Mix'!$P$6:$P$62,MATCH(1,('Rent Roll'!G82='Unit Mix'!$E$6:$E$62)*(D82='Unit Mix'!$D$6:$D$62),0))</f>
        <v>#N/A</v>
      </c>
      <c r="Q82" s="150">
        <f>OneLineRR!T173</f>
        <v>0</v>
      </c>
      <c r="R82" s="150">
        <f>OneLineRR!U173</f>
        <v>0</v>
      </c>
      <c r="S82" s="150">
        <f>OneLineRR!V173</f>
        <v>0</v>
      </c>
      <c r="T82" s="150">
        <f>OneLineRR!W173</f>
        <v>0</v>
      </c>
      <c r="U82" s="157" t="str">
        <f>IF(OneLineRR!Q173="","",OneLineRR!Q173)</f>
        <v/>
      </c>
      <c r="V82" s="157" t="str">
        <f>IF(OneLineRR!R173="","",OneLineRR!R173)</f>
        <v/>
      </c>
      <c r="AB82" s="320" t="str">
        <f>IFERROR(U82+(COUNTIF($U$8:U82,U82)-1)/10000,"")</f>
        <v/>
      </c>
      <c r="AC82" s="158"/>
      <c r="AD82" s="119"/>
      <c r="AE82" s="460"/>
      <c r="AG82" s="119"/>
    </row>
    <row r="83" spans="4:33" x14ac:dyDescent="0.25">
      <c r="D83" s="154" t="str">
        <f>OneLineRR!A174</f>
        <v>Hudson View Park</v>
      </c>
      <c r="E83" s="104">
        <f>OneLineRR!J174</f>
        <v>0</v>
      </c>
      <c r="F83" s="104">
        <f>OneLineRR!K174</f>
        <v>0</v>
      </c>
      <c r="G83" s="155" t="e">
        <f>OneLineRR!D174</f>
        <v>#N/A</v>
      </c>
      <c r="H83" s="155" t="e">
        <f>IF(OneLineRR!G174="Yes","Affordable","Market")</f>
        <v>#N/A</v>
      </c>
      <c r="I83" s="104" t="e">
        <f>OneLineRR!I174</f>
        <v>#N/A</v>
      </c>
      <c r="J83" s="156">
        <f>OneLineRR!M174</f>
        <v>0</v>
      </c>
      <c r="K83" s="634">
        <f>OneLineRR!L174</f>
        <v>0</v>
      </c>
      <c r="L83" s="143" t="str">
        <f>OneLineRR!C174</f>
        <v>Occ</v>
      </c>
      <c r="M83" s="636">
        <f>OneLineRR!O174</f>
        <v>0</v>
      </c>
      <c r="N83" s="636">
        <f t="shared" si="1"/>
        <v>0</v>
      </c>
      <c r="O83" s="636">
        <f>OneLineRR!N174</f>
        <v>0</v>
      </c>
      <c r="P83" s="636" t="e" cm="1">
        <f t="array" ref="P83">INDEX('Unit Mix'!$P$6:$P$62,MATCH(1,('Rent Roll'!G83='Unit Mix'!$E$6:$E$62)*(D83='Unit Mix'!$D$6:$D$62),0))</f>
        <v>#N/A</v>
      </c>
      <c r="Q83" s="150">
        <f>OneLineRR!T174</f>
        <v>0</v>
      </c>
      <c r="R83" s="150">
        <f>OneLineRR!U174</f>
        <v>0</v>
      </c>
      <c r="S83" s="150">
        <f>OneLineRR!V174</f>
        <v>0</v>
      </c>
      <c r="T83" s="150">
        <f>OneLineRR!W174</f>
        <v>0</v>
      </c>
      <c r="U83" s="157" t="str">
        <f>IF(OneLineRR!Q174="","",OneLineRR!Q174)</f>
        <v/>
      </c>
      <c r="V83" s="157" t="str">
        <f>IF(OneLineRR!R174="","",OneLineRR!R174)</f>
        <v/>
      </c>
      <c r="AB83" s="320" t="str">
        <f>IFERROR(U83+(COUNTIF($U$8:U83,U83)-1)/10000,"")</f>
        <v/>
      </c>
      <c r="AC83" s="158"/>
      <c r="AD83" s="119"/>
      <c r="AE83" s="460"/>
      <c r="AG83" s="119"/>
    </row>
    <row r="84" spans="4:33" x14ac:dyDescent="0.25">
      <c r="D84" s="154" t="str">
        <f>OneLineRR!A175</f>
        <v>Hudson View Park</v>
      </c>
      <c r="E84" s="104">
        <f>OneLineRR!J175</f>
        <v>0</v>
      </c>
      <c r="F84" s="104">
        <f>OneLineRR!K175</f>
        <v>0</v>
      </c>
      <c r="G84" s="155" t="e">
        <f>OneLineRR!D175</f>
        <v>#N/A</v>
      </c>
      <c r="H84" s="155" t="e">
        <f>IF(OneLineRR!G175="Yes","Affordable","Market")</f>
        <v>#N/A</v>
      </c>
      <c r="I84" s="104" t="e">
        <f>OneLineRR!I175</f>
        <v>#N/A</v>
      </c>
      <c r="J84" s="156">
        <f>OneLineRR!M175</f>
        <v>0</v>
      </c>
      <c r="K84" s="634">
        <f>OneLineRR!L175</f>
        <v>0</v>
      </c>
      <c r="L84" s="143" t="str">
        <f>OneLineRR!C175</f>
        <v>Occ</v>
      </c>
      <c r="M84" s="636">
        <f>OneLineRR!O175</f>
        <v>0</v>
      </c>
      <c r="N84" s="636">
        <f t="shared" si="1"/>
        <v>0</v>
      </c>
      <c r="O84" s="636">
        <f>OneLineRR!N175</f>
        <v>0</v>
      </c>
      <c r="P84" s="636" t="e" cm="1">
        <f t="array" ref="P84">INDEX('Unit Mix'!$P$6:$P$62,MATCH(1,('Rent Roll'!G84='Unit Mix'!$E$6:$E$62)*(D84='Unit Mix'!$D$6:$D$62),0))</f>
        <v>#N/A</v>
      </c>
      <c r="Q84" s="150">
        <f>OneLineRR!T175</f>
        <v>0</v>
      </c>
      <c r="R84" s="150">
        <f>OneLineRR!U175</f>
        <v>0</v>
      </c>
      <c r="S84" s="150">
        <f>OneLineRR!V175</f>
        <v>0</v>
      </c>
      <c r="T84" s="150">
        <f>OneLineRR!W175</f>
        <v>0</v>
      </c>
      <c r="U84" s="157" t="str">
        <f>IF(OneLineRR!Q175="","",OneLineRR!Q175)</f>
        <v/>
      </c>
      <c r="V84" s="157" t="str">
        <f>IF(OneLineRR!R175="","",OneLineRR!R175)</f>
        <v/>
      </c>
      <c r="AB84" s="320" t="str">
        <f>IFERROR(U84+(COUNTIF($U$8:U84,U84)-1)/10000,"")</f>
        <v/>
      </c>
      <c r="AC84" s="158"/>
      <c r="AD84" s="119"/>
      <c r="AE84" s="460"/>
      <c r="AG84" s="119"/>
    </row>
    <row r="85" spans="4:33" x14ac:dyDescent="0.25">
      <c r="D85" s="154" t="str">
        <f>OneLineRR!A176</f>
        <v>Hudson View Park</v>
      </c>
      <c r="E85" s="104">
        <f>OneLineRR!J176</f>
        <v>0</v>
      </c>
      <c r="F85" s="104">
        <f>OneLineRR!K176</f>
        <v>0</v>
      </c>
      <c r="G85" s="155" t="e">
        <f>OneLineRR!D176</f>
        <v>#N/A</v>
      </c>
      <c r="H85" s="155" t="e">
        <f>IF(OneLineRR!G176="Yes","Affordable","Market")</f>
        <v>#N/A</v>
      </c>
      <c r="I85" s="104" t="e">
        <f>OneLineRR!I176</f>
        <v>#N/A</v>
      </c>
      <c r="J85" s="156">
        <f>OneLineRR!M176</f>
        <v>0</v>
      </c>
      <c r="K85" s="634">
        <f>OneLineRR!L176</f>
        <v>0</v>
      </c>
      <c r="L85" s="143" t="str">
        <f>OneLineRR!C176</f>
        <v>Occ</v>
      </c>
      <c r="M85" s="636">
        <f>OneLineRR!O176</f>
        <v>0</v>
      </c>
      <c r="N85" s="636">
        <f t="shared" si="1"/>
        <v>0</v>
      </c>
      <c r="O85" s="636">
        <f>OneLineRR!N176</f>
        <v>0</v>
      </c>
      <c r="P85" s="636" t="e" cm="1">
        <f t="array" ref="P85">INDEX('Unit Mix'!$P$6:$P$62,MATCH(1,('Rent Roll'!G85='Unit Mix'!$E$6:$E$62)*(D85='Unit Mix'!$D$6:$D$62),0))</f>
        <v>#N/A</v>
      </c>
      <c r="Q85" s="150">
        <f>OneLineRR!T176</f>
        <v>0</v>
      </c>
      <c r="R85" s="150">
        <f>OneLineRR!U176</f>
        <v>0</v>
      </c>
      <c r="S85" s="150">
        <f>OneLineRR!V176</f>
        <v>0</v>
      </c>
      <c r="T85" s="150">
        <f>OneLineRR!W176</f>
        <v>0</v>
      </c>
      <c r="U85" s="157" t="str">
        <f>IF(OneLineRR!Q176="","",OneLineRR!Q176)</f>
        <v/>
      </c>
      <c r="V85" s="157" t="str">
        <f>IF(OneLineRR!R176="","",OneLineRR!R176)</f>
        <v/>
      </c>
      <c r="AB85" s="320" t="str">
        <f>IFERROR(U85+(COUNTIF($U$8:U85,U85)-1)/10000,"")</f>
        <v/>
      </c>
      <c r="AC85" s="158"/>
      <c r="AD85" s="119"/>
      <c r="AE85" s="460"/>
      <c r="AG85" s="119"/>
    </row>
    <row r="86" spans="4:33" x14ac:dyDescent="0.25">
      <c r="D86" s="154" t="str">
        <f>OneLineRR!A177</f>
        <v>Hudson View Park</v>
      </c>
      <c r="E86" s="104">
        <f>OneLineRR!J177</f>
        <v>0</v>
      </c>
      <c r="F86" s="104">
        <f>OneLineRR!K177</f>
        <v>0</v>
      </c>
      <c r="G86" s="155" t="e">
        <f>OneLineRR!D177</f>
        <v>#N/A</v>
      </c>
      <c r="H86" s="155" t="e">
        <f>IF(OneLineRR!G177="Yes","Affordable","Market")</f>
        <v>#N/A</v>
      </c>
      <c r="I86" s="104" t="e">
        <f>OneLineRR!I177</f>
        <v>#N/A</v>
      </c>
      <c r="J86" s="156">
        <f>OneLineRR!M177</f>
        <v>0</v>
      </c>
      <c r="K86" s="634">
        <f>OneLineRR!L177</f>
        <v>0</v>
      </c>
      <c r="L86" s="143" t="str">
        <f>OneLineRR!C177</f>
        <v>Occ</v>
      </c>
      <c r="M86" s="636">
        <f>OneLineRR!O177</f>
        <v>0</v>
      </c>
      <c r="N86" s="636">
        <f t="shared" si="1"/>
        <v>0</v>
      </c>
      <c r="O86" s="636">
        <f>OneLineRR!N177</f>
        <v>0</v>
      </c>
      <c r="P86" s="636" t="e" cm="1">
        <f t="array" ref="P86">INDEX('Unit Mix'!$P$6:$P$62,MATCH(1,('Rent Roll'!G86='Unit Mix'!$E$6:$E$62)*(D86='Unit Mix'!$D$6:$D$62),0))</f>
        <v>#N/A</v>
      </c>
      <c r="Q86" s="150">
        <f>OneLineRR!T177</f>
        <v>0</v>
      </c>
      <c r="R86" s="150">
        <f>OneLineRR!U177</f>
        <v>0</v>
      </c>
      <c r="S86" s="150">
        <f>OneLineRR!V177</f>
        <v>0</v>
      </c>
      <c r="T86" s="150">
        <f>OneLineRR!W177</f>
        <v>0</v>
      </c>
      <c r="U86" s="157" t="str">
        <f>IF(OneLineRR!Q177="","",OneLineRR!Q177)</f>
        <v/>
      </c>
      <c r="V86" s="157" t="str">
        <f>IF(OneLineRR!R177="","",OneLineRR!R177)</f>
        <v/>
      </c>
      <c r="AB86" s="320" t="str">
        <f>IFERROR(U86+(COUNTIF($U$8:U86,U86)-1)/10000,"")</f>
        <v/>
      </c>
      <c r="AC86" s="158"/>
      <c r="AD86" s="119"/>
      <c r="AE86" s="460"/>
      <c r="AG86" s="119"/>
    </row>
    <row r="87" spans="4:33" x14ac:dyDescent="0.25">
      <c r="D87" s="154" t="str">
        <f>OneLineRR!A178</f>
        <v>Hudson View Park</v>
      </c>
      <c r="E87" s="104">
        <f>OneLineRR!J178</f>
        <v>0</v>
      </c>
      <c r="F87" s="104">
        <f>OneLineRR!K178</f>
        <v>0</v>
      </c>
      <c r="G87" s="155" t="e">
        <f>OneLineRR!D178</f>
        <v>#N/A</v>
      </c>
      <c r="H87" s="155" t="e">
        <f>IF(OneLineRR!G178="Yes","Affordable","Market")</f>
        <v>#N/A</v>
      </c>
      <c r="I87" s="104" t="e">
        <f>OneLineRR!I178</f>
        <v>#N/A</v>
      </c>
      <c r="J87" s="156">
        <f>OneLineRR!M178</f>
        <v>0</v>
      </c>
      <c r="K87" s="634">
        <f>OneLineRR!L178</f>
        <v>0</v>
      </c>
      <c r="L87" s="143" t="str">
        <f>OneLineRR!C178</f>
        <v>Occ</v>
      </c>
      <c r="M87" s="636">
        <f>OneLineRR!O178</f>
        <v>0</v>
      </c>
      <c r="N87" s="636">
        <f t="shared" si="1"/>
        <v>0</v>
      </c>
      <c r="O87" s="636">
        <f>OneLineRR!N178</f>
        <v>0</v>
      </c>
      <c r="P87" s="636" t="e" cm="1">
        <f t="array" ref="P87">INDEX('Unit Mix'!$P$6:$P$62,MATCH(1,('Rent Roll'!G87='Unit Mix'!$E$6:$E$62)*(D87='Unit Mix'!$D$6:$D$62),0))</f>
        <v>#N/A</v>
      </c>
      <c r="Q87" s="150">
        <f>OneLineRR!T178</f>
        <v>0</v>
      </c>
      <c r="R87" s="150">
        <f>OneLineRR!U178</f>
        <v>0</v>
      </c>
      <c r="S87" s="150">
        <f>OneLineRR!V178</f>
        <v>0</v>
      </c>
      <c r="T87" s="150">
        <f>OneLineRR!W178</f>
        <v>0</v>
      </c>
      <c r="U87" s="157" t="str">
        <f>IF(OneLineRR!Q178="","",OneLineRR!Q178)</f>
        <v/>
      </c>
      <c r="V87" s="157" t="str">
        <f>IF(OneLineRR!R178="","",OneLineRR!R178)</f>
        <v/>
      </c>
      <c r="AB87" s="320" t="str">
        <f>IFERROR(U87+(COUNTIF($U$8:U87,U87)-1)/10000,"")</f>
        <v/>
      </c>
      <c r="AC87" s="158"/>
      <c r="AD87" s="119"/>
      <c r="AE87" s="460"/>
      <c r="AG87" s="119"/>
    </row>
    <row r="88" spans="4:33" x14ac:dyDescent="0.25">
      <c r="D88" s="154" t="str">
        <f>OneLineRR!A179</f>
        <v>Hudson View Park</v>
      </c>
      <c r="E88" s="104">
        <f>OneLineRR!J179</f>
        <v>0</v>
      </c>
      <c r="F88" s="104">
        <f>OneLineRR!K179</f>
        <v>0</v>
      </c>
      <c r="G88" s="155" t="e">
        <f>OneLineRR!D179</f>
        <v>#N/A</v>
      </c>
      <c r="H88" s="155" t="e">
        <f>IF(OneLineRR!G179="Yes","Affordable","Market")</f>
        <v>#N/A</v>
      </c>
      <c r="I88" s="104" t="e">
        <f>OneLineRR!I179</f>
        <v>#N/A</v>
      </c>
      <c r="J88" s="156">
        <f>OneLineRR!M179</f>
        <v>0</v>
      </c>
      <c r="K88" s="634">
        <f>OneLineRR!L179</f>
        <v>0</v>
      </c>
      <c r="L88" s="143" t="str">
        <f>OneLineRR!C179</f>
        <v>Occ</v>
      </c>
      <c r="M88" s="636">
        <f>OneLineRR!O179</f>
        <v>0</v>
      </c>
      <c r="N88" s="636">
        <f t="shared" si="1"/>
        <v>0</v>
      </c>
      <c r="O88" s="636">
        <f>OneLineRR!N179</f>
        <v>0</v>
      </c>
      <c r="P88" s="636" t="e" cm="1">
        <f t="array" ref="P88">INDEX('Unit Mix'!$P$6:$P$62,MATCH(1,('Rent Roll'!G88='Unit Mix'!$E$6:$E$62)*(D88='Unit Mix'!$D$6:$D$62),0))</f>
        <v>#N/A</v>
      </c>
      <c r="Q88" s="150">
        <f>OneLineRR!T179</f>
        <v>0</v>
      </c>
      <c r="R88" s="150">
        <f>OneLineRR!U179</f>
        <v>0</v>
      </c>
      <c r="S88" s="150">
        <f>OneLineRR!V179</f>
        <v>0</v>
      </c>
      <c r="T88" s="150">
        <f>OneLineRR!W179</f>
        <v>0</v>
      </c>
      <c r="U88" s="157" t="str">
        <f>IF(OneLineRR!Q179="","",OneLineRR!Q179)</f>
        <v/>
      </c>
      <c r="V88" s="157" t="str">
        <f>IF(OneLineRR!R179="","",OneLineRR!R179)</f>
        <v/>
      </c>
      <c r="AB88" s="320" t="str">
        <f>IFERROR(U88+(COUNTIF($U$8:U88,U88)-1)/10000,"")</f>
        <v/>
      </c>
      <c r="AC88" s="158"/>
      <c r="AD88" s="119"/>
      <c r="AE88" s="460"/>
      <c r="AG88" s="119"/>
    </row>
    <row r="89" spans="4:33" x14ac:dyDescent="0.25">
      <c r="D89" s="154" t="str">
        <f>OneLineRR!A180</f>
        <v>Hudson View Park</v>
      </c>
      <c r="E89" s="104">
        <f>OneLineRR!J180</f>
        <v>0</v>
      </c>
      <c r="F89" s="104">
        <f>OneLineRR!K180</f>
        <v>0</v>
      </c>
      <c r="G89" s="155" t="e">
        <f>OneLineRR!D180</f>
        <v>#N/A</v>
      </c>
      <c r="H89" s="155" t="e">
        <f>IF(OneLineRR!G180="Yes","Affordable","Market")</f>
        <v>#N/A</v>
      </c>
      <c r="I89" s="104" t="e">
        <f>OneLineRR!I180</f>
        <v>#N/A</v>
      </c>
      <c r="J89" s="156">
        <f>OneLineRR!M180</f>
        <v>0</v>
      </c>
      <c r="K89" s="634">
        <f>OneLineRR!L180</f>
        <v>0</v>
      </c>
      <c r="L89" s="143" t="str">
        <f>OneLineRR!C180</f>
        <v>Occ</v>
      </c>
      <c r="M89" s="636">
        <f>OneLineRR!O180</f>
        <v>0</v>
      </c>
      <c r="N89" s="636">
        <f t="shared" si="1"/>
        <v>0</v>
      </c>
      <c r="O89" s="636">
        <f>OneLineRR!N180</f>
        <v>0</v>
      </c>
      <c r="P89" s="636" t="e" cm="1">
        <f t="array" ref="P89">INDEX('Unit Mix'!$P$6:$P$62,MATCH(1,('Rent Roll'!G89='Unit Mix'!$E$6:$E$62)*(D89='Unit Mix'!$D$6:$D$62),0))</f>
        <v>#N/A</v>
      </c>
      <c r="Q89" s="150">
        <f>OneLineRR!T180</f>
        <v>0</v>
      </c>
      <c r="R89" s="150">
        <f>OneLineRR!U180</f>
        <v>0</v>
      </c>
      <c r="S89" s="150">
        <f>OneLineRR!V180</f>
        <v>0</v>
      </c>
      <c r="T89" s="150">
        <f>OneLineRR!W180</f>
        <v>0</v>
      </c>
      <c r="U89" s="157" t="str">
        <f>IF(OneLineRR!Q180="","",OneLineRR!Q180)</f>
        <v/>
      </c>
      <c r="V89" s="157" t="str">
        <f>IF(OneLineRR!R180="","",OneLineRR!R180)</f>
        <v/>
      </c>
      <c r="AB89" s="320" t="str">
        <f>IFERROR(U89+(COUNTIF($U$8:U89,U89)-1)/10000,"")</f>
        <v/>
      </c>
      <c r="AC89" s="158"/>
      <c r="AD89" s="119"/>
      <c r="AE89" s="460"/>
      <c r="AG89" s="119"/>
    </row>
    <row r="90" spans="4:33" x14ac:dyDescent="0.25">
      <c r="D90" s="154" t="str">
        <f>OneLineRR!A181</f>
        <v>Hudson View Park</v>
      </c>
      <c r="E90" s="104">
        <f>OneLineRR!J181</f>
        <v>0</v>
      </c>
      <c r="F90" s="104">
        <f>OneLineRR!K181</f>
        <v>0</v>
      </c>
      <c r="G90" s="155" t="e">
        <f>OneLineRR!D181</f>
        <v>#N/A</v>
      </c>
      <c r="H90" s="155" t="e">
        <f>IF(OneLineRR!G181="Yes","Affordable","Market")</f>
        <v>#N/A</v>
      </c>
      <c r="I90" s="104" t="e">
        <f>OneLineRR!I181</f>
        <v>#N/A</v>
      </c>
      <c r="J90" s="156">
        <f>OneLineRR!M181</f>
        <v>0</v>
      </c>
      <c r="K90" s="634">
        <f>OneLineRR!L181</f>
        <v>0</v>
      </c>
      <c r="L90" s="143" t="str">
        <f>OneLineRR!C181</f>
        <v>Occ</v>
      </c>
      <c r="M90" s="636">
        <f>OneLineRR!O181</f>
        <v>0</v>
      </c>
      <c r="N90" s="636">
        <f t="shared" si="1"/>
        <v>0</v>
      </c>
      <c r="O90" s="636">
        <f>OneLineRR!N181</f>
        <v>0</v>
      </c>
      <c r="P90" s="636" t="e" cm="1">
        <f t="array" ref="P90">INDEX('Unit Mix'!$P$6:$P$62,MATCH(1,('Rent Roll'!G90='Unit Mix'!$E$6:$E$62)*(D90='Unit Mix'!$D$6:$D$62),0))</f>
        <v>#N/A</v>
      </c>
      <c r="Q90" s="150">
        <f>OneLineRR!T181</f>
        <v>0</v>
      </c>
      <c r="R90" s="150">
        <f>OneLineRR!U181</f>
        <v>0</v>
      </c>
      <c r="S90" s="150">
        <f>OneLineRR!V181</f>
        <v>0</v>
      </c>
      <c r="T90" s="150">
        <f>OneLineRR!W181</f>
        <v>0</v>
      </c>
      <c r="U90" s="157" t="str">
        <f>IF(OneLineRR!Q181="","",OneLineRR!Q181)</f>
        <v/>
      </c>
      <c r="V90" s="157" t="str">
        <f>IF(OneLineRR!R181="","",OneLineRR!R181)</f>
        <v/>
      </c>
      <c r="AB90" s="320" t="str">
        <f>IFERROR(U90+(COUNTIF($U$8:U90,U90)-1)/10000,"")</f>
        <v/>
      </c>
      <c r="AC90" s="158"/>
      <c r="AD90" s="119"/>
      <c r="AE90" s="460"/>
      <c r="AG90" s="119"/>
    </row>
    <row r="91" spans="4:33" x14ac:dyDescent="0.25">
      <c r="D91" s="154" t="str">
        <f>OneLineRR!A182</f>
        <v>Hudson View Park</v>
      </c>
      <c r="E91" s="104">
        <f>OneLineRR!J182</f>
        <v>0</v>
      </c>
      <c r="F91" s="104">
        <f>OneLineRR!K182</f>
        <v>0</v>
      </c>
      <c r="G91" s="155" t="e">
        <f>OneLineRR!D182</f>
        <v>#N/A</v>
      </c>
      <c r="H91" s="155" t="e">
        <f>IF(OneLineRR!G182="Yes","Affordable","Market")</f>
        <v>#N/A</v>
      </c>
      <c r="I91" s="104" t="e">
        <f>OneLineRR!I182</f>
        <v>#N/A</v>
      </c>
      <c r="J91" s="156">
        <f>OneLineRR!M182</f>
        <v>0</v>
      </c>
      <c r="K91" s="634">
        <f>OneLineRR!L182</f>
        <v>0</v>
      </c>
      <c r="L91" s="143" t="str">
        <f>OneLineRR!C182</f>
        <v>Occ</v>
      </c>
      <c r="M91" s="636">
        <f>OneLineRR!O182</f>
        <v>0</v>
      </c>
      <c r="N91" s="636">
        <f t="shared" si="1"/>
        <v>0</v>
      </c>
      <c r="O91" s="636">
        <f>OneLineRR!N182</f>
        <v>0</v>
      </c>
      <c r="P91" s="636" t="e" cm="1">
        <f t="array" ref="P91">INDEX('Unit Mix'!$P$6:$P$62,MATCH(1,('Rent Roll'!G91='Unit Mix'!$E$6:$E$62)*(D91='Unit Mix'!$D$6:$D$62),0))</f>
        <v>#N/A</v>
      </c>
      <c r="Q91" s="150">
        <f>OneLineRR!T182</f>
        <v>0</v>
      </c>
      <c r="R91" s="150">
        <f>OneLineRR!U182</f>
        <v>0</v>
      </c>
      <c r="S91" s="150">
        <f>OneLineRR!V182</f>
        <v>0</v>
      </c>
      <c r="T91" s="150">
        <f>OneLineRR!W182</f>
        <v>0</v>
      </c>
      <c r="U91" s="157" t="str">
        <f>IF(OneLineRR!Q182="","",OneLineRR!Q182)</f>
        <v/>
      </c>
      <c r="V91" s="157" t="str">
        <f>IF(OneLineRR!R182="","",OneLineRR!R182)</f>
        <v/>
      </c>
      <c r="AB91" s="320" t="str">
        <f>IFERROR(U91+(COUNTIF($U$8:U91,U91)-1)/10000,"")</f>
        <v/>
      </c>
      <c r="AC91" s="158"/>
      <c r="AD91" s="119"/>
      <c r="AE91" s="460"/>
      <c r="AG91" s="119"/>
    </row>
    <row r="92" spans="4:33" x14ac:dyDescent="0.25">
      <c r="D92" s="154" t="str">
        <f>OneLineRR!A183</f>
        <v>Hudson View Park</v>
      </c>
      <c r="E92" s="104">
        <f>OneLineRR!J183</f>
        <v>0</v>
      </c>
      <c r="F92" s="104">
        <f>OneLineRR!K183</f>
        <v>0</v>
      </c>
      <c r="G92" s="155" t="e">
        <f>OneLineRR!D183</f>
        <v>#N/A</v>
      </c>
      <c r="H92" s="155" t="e">
        <f>IF(OneLineRR!G183="Yes","Affordable","Market")</f>
        <v>#N/A</v>
      </c>
      <c r="I92" s="104" t="e">
        <f>OneLineRR!I183</f>
        <v>#N/A</v>
      </c>
      <c r="J92" s="156">
        <f>OneLineRR!M183</f>
        <v>0</v>
      </c>
      <c r="K92" s="634">
        <f>OneLineRR!L183</f>
        <v>0</v>
      </c>
      <c r="L92" s="143" t="str">
        <f>OneLineRR!C183</f>
        <v>Occ</v>
      </c>
      <c r="M92" s="636">
        <f>OneLineRR!O183</f>
        <v>0</v>
      </c>
      <c r="N92" s="636">
        <f t="shared" si="1"/>
        <v>0</v>
      </c>
      <c r="O92" s="636">
        <f>OneLineRR!N183</f>
        <v>0</v>
      </c>
      <c r="P92" s="636" t="e" cm="1">
        <f t="array" ref="P92">INDEX('Unit Mix'!$P$6:$P$62,MATCH(1,('Rent Roll'!G92='Unit Mix'!$E$6:$E$62)*(D92='Unit Mix'!$D$6:$D$62),0))</f>
        <v>#N/A</v>
      </c>
      <c r="Q92" s="150">
        <f>OneLineRR!T183</f>
        <v>0</v>
      </c>
      <c r="R92" s="150">
        <f>OneLineRR!U183</f>
        <v>0</v>
      </c>
      <c r="S92" s="150">
        <f>OneLineRR!V183</f>
        <v>0</v>
      </c>
      <c r="T92" s="150">
        <f>OneLineRR!W183</f>
        <v>0</v>
      </c>
      <c r="U92" s="157" t="str">
        <f>IF(OneLineRR!Q183="","",OneLineRR!Q183)</f>
        <v/>
      </c>
      <c r="V92" s="157" t="str">
        <f>IF(OneLineRR!R183="","",OneLineRR!R183)</f>
        <v/>
      </c>
      <c r="AB92" s="320" t="str">
        <f>IFERROR(U92+(COUNTIF($U$8:U92,U92)-1)/10000,"")</f>
        <v/>
      </c>
      <c r="AC92" s="158"/>
      <c r="AD92" s="119"/>
      <c r="AE92" s="460"/>
      <c r="AG92" s="119"/>
    </row>
    <row r="93" spans="4:33" x14ac:dyDescent="0.25">
      <c r="D93" s="154" t="str">
        <f>OneLineRR!A184</f>
        <v>Hudson View Park</v>
      </c>
      <c r="E93" s="104">
        <f>OneLineRR!J184</f>
        <v>0</v>
      </c>
      <c r="F93" s="104">
        <f>OneLineRR!K184</f>
        <v>0</v>
      </c>
      <c r="G93" s="155" t="e">
        <f>OneLineRR!D184</f>
        <v>#N/A</v>
      </c>
      <c r="H93" s="155" t="e">
        <f>IF(OneLineRR!G184="Yes","Affordable","Market")</f>
        <v>#N/A</v>
      </c>
      <c r="I93" s="104" t="e">
        <f>OneLineRR!I184</f>
        <v>#N/A</v>
      </c>
      <c r="J93" s="156">
        <f>OneLineRR!M184</f>
        <v>0</v>
      </c>
      <c r="K93" s="634">
        <f>OneLineRR!L184</f>
        <v>0</v>
      </c>
      <c r="L93" s="143" t="str">
        <f>OneLineRR!C184</f>
        <v>Occ</v>
      </c>
      <c r="M93" s="636">
        <f>OneLineRR!O184</f>
        <v>0</v>
      </c>
      <c r="N93" s="636">
        <f t="shared" si="1"/>
        <v>0</v>
      </c>
      <c r="O93" s="636">
        <f>OneLineRR!N184</f>
        <v>0</v>
      </c>
      <c r="P93" s="636" t="e" cm="1">
        <f t="array" ref="P93">INDEX('Unit Mix'!$P$6:$P$62,MATCH(1,('Rent Roll'!G93='Unit Mix'!$E$6:$E$62)*(D93='Unit Mix'!$D$6:$D$62),0))</f>
        <v>#N/A</v>
      </c>
      <c r="Q93" s="150">
        <f>OneLineRR!T184</f>
        <v>0</v>
      </c>
      <c r="R93" s="150">
        <f>OneLineRR!U184</f>
        <v>0</v>
      </c>
      <c r="S93" s="150">
        <f>OneLineRR!V184</f>
        <v>0</v>
      </c>
      <c r="T93" s="150">
        <f>OneLineRR!W184</f>
        <v>0</v>
      </c>
      <c r="U93" s="157" t="str">
        <f>IF(OneLineRR!Q184="","",OneLineRR!Q184)</f>
        <v/>
      </c>
      <c r="V93" s="157" t="str">
        <f>IF(OneLineRR!R184="","",OneLineRR!R184)</f>
        <v/>
      </c>
      <c r="AB93" s="320" t="str">
        <f>IFERROR(U93+(COUNTIF($U$8:U93,U93)-1)/10000,"")</f>
        <v/>
      </c>
      <c r="AC93" s="158"/>
      <c r="AD93" s="119"/>
      <c r="AE93" s="460"/>
      <c r="AG93" s="119"/>
    </row>
    <row r="94" spans="4:33" x14ac:dyDescent="0.25">
      <c r="D94" s="154" t="str">
        <f>OneLineRR!A185</f>
        <v>Hudson View Park</v>
      </c>
      <c r="E94" s="104">
        <f>OneLineRR!J185</f>
        <v>0</v>
      </c>
      <c r="F94" s="104">
        <f>OneLineRR!K185</f>
        <v>0</v>
      </c>
      <c r="G94" s="155" t="e">
        <f>OneLineRR!D185</f>
        <v>#N/A</v>
      </c>
      <c r="H94" s="155" t="e">
        <f>IF(OneLineRR!G185="Yes","Affordable","Market")</f>
        <v>#N/A</v>
      </c>
      <c r="I94" s="104" t="e">
        <f>OneLineRR!I185</f>
        <v>#N/A</v>
      </c>
      <c r="J94" s="156">
        <f>OneLineRR!M185</f>
        <v>0</v>
      </c>
      <c r="K94" s="634">
        <f>OneLineRR!L185</f>
        <v>0</v>
      </c>
      <c r="L94" s="143" t="str">
        <f>OneLineRR!C185</f>
        <v>Occ</v>
      </c>
      <c r="M94" s="636">
        <f>OneLineRR!O185</f>
        <v>0</v>
      </c>
      <c r="N94" s="636">
        <f t="shared" si="1"/>
        <v>0</v>
      </c>
      <c r="O94" s="636">
        <f>OneLineRR!N185</f>
        <v>0</v>
      </c>
      <c r="P94" s="636" t="e" cm="1">
        <f t="array" ref="P94">INDEX('Unit Mix'!$P$6:$P$62,MATCH(1,('Rent Roll'!G94='Unit Mix'!$E$6:$E$62)*(D94='Unit Mix'!$D$6:$D$62),0))</f>
        <v>#N/A</v>
      </c>
      <c r="Q94" s="150">
        <f>OneLineRR!T185</f>
        <v>0</v>
      </c>
      <c r="R94" s="150">
        <f>OneLineRR!U185</f>
        <v>0</v>
      </c>
      <c r="S94" s="150">
        <f>OneLineRR!V185</f>
        <v>0</v>
      </c>
      <c r="T94" s="150">
        <f>OneLineRR!W185</f>
        <v>0</v>
      </c>
      <c r="U94" s="157" t="str">
        <f>IF(OneLineRR!Q185="","",OneLineRR!Q185)</f>
        <v/>
      </c>
      <c r="V94" s="157" t="str">
        <f>IF(OneLineRR!R185="","",OneLineRR!R185)</f>
        <v/>
      </c>
      <c r="AB94" s="320" t="str">
        <f>IFERROR(U94+(COUNTIF($U$8:U94,U94)-1)/10000,"")</f>
        <v/>
      </c>
      <c r="AC94" s="158"/>
      <c r="AD94" s="119"/>
      <c r="AE94" s="460"/>
      <c r="AG94" s="119"/>
    </row>
    <row r="95" spans="4:33" x14ac:dyDescent="0.25">
      <c r="D95" s="154" t="str">
        <f>OneLineRR!A186</f>
        <v>Hudson View Park</v>
      </c>
      <c r="E95" s="104">
        <f>OneLineRR!J186</f>
        <v>0</v>
      </c>
      <c r="F95" s="104">
        <f>OneLineRR!K186</f>
        <v>0</v>
      </c>
      <c r="G95" s="155" t="e">
        <f>OneLineRR!D186</f>
        <v>#N/A</v>
      </c>
      <c r="H95" s="155" t="e">
        <f>IF(OneLineRR!G186="Yes","Affordable","Market")</f>
        <v>#N/A</v>
      </c>
      <c r="I95" s="104" t="e">
        <f>OneLineRR!I186</f>
        <v>#N/A</v>
      </c>
      <c r="J95" s="156">
        <f>OneLineRR!M186</f>
        <v>0</v>
      </c>
      <c r="K95" s="634">
        <f>OneLineRR!L186</f>
        <v>0</v>
      </c>
      <c r="L95" s="143" t="str">
        <f>OneLineRR!C186</f>
        <v>Occ</v>
      </c>
      <c r="M95" s="636">
        <f>OneLineRR!O186</f>
        <v>0</v>
      </c>
      <c r="N95" s="636">
        <f t="shared" si="1"/>
        <v>0</v>
      </c>
      <c r="O95" s="636">
        <f>OneLineRR!N186</f>
        <v>0</v>
      </c>
      <c r="P95" s="636" t="e" cm="1">
        <f t="array" ref="P95">INDEX('Unit Mix'!$P$6:$P$62,MATCH(1,('Rent Roll'!G95='Unit Mix'!$E$6:$E$62)*(D95='Unit Mix'!$D$6:$D$62),0))</f>
        <v>#N/A</v>
      </c>
      <c r="Q95" s="150">
        <f>OneLineRR!T186</f>
        <v>0</v>
      </c>
      <c r="R95" s="150">
        <f>OneLineRR!U186</f>
        <v>0</v>
      </c>
      <c r="S95" s="150">
        <f>OneLineRR!V186</f>
        <v>0</v>
      </c>
      <c r="T95" s="150">
        <f>OneLineRR!W186</f>
        <v>0</v>
      </c>
      <c r="U95" s="157" t="str">
        <f>IF(OneLineRR!Q186="","",OneLineRR!Q186)</f>
        <v/>
      </c>
      <c r="V95" s="157" t="str">
        <f>IF(OneLineRR!R186="","",OneLineRR!R186)</f>
        <v/>
      </c>
      <c r="AB95" s="320" t="str">
        <f>IFERROR(U95+(COUNTIF($U$8:U95,U95)-1)/10000,"")</f>
        <v/>
      </c>
      <c r="AC95" s="158"/>
      <c r="AD95" s="119"/>
      <c r="AE95" s="460"/>
      <c r="AG95" s="119"/>
    </row>
    <row r="96" spans="4:33" x14ac:dyDescent="0.25">
      <c r="D96" s="154" t="str">
        <f>OneLineRR!A187</f>
        <v>Hudson View Park</v>
      </c>
      <c r="E96" s="104">
        <f>OneLineRR!J187</f>
        <v>0</v>
      </c>
      <c r="F96" s="104">
        <f>OneLineRR!K187</f>
        <v>0</v>
      </c>
      <c r="G96" s="155" t="e">
        <f>OneLineRR!D187</f>
        <v>#N/A</v>
      </c>
      <c r="H96" s="155" t="e">
        <f>IF(OneLineRR!G187="Yes","Affordable","Market")</f>
        <v>#N/A</v>
      </c>
      <c r="I96" s="104" t="e">
        <f>OneLineRR!I187</f>
        <v>#N/A</v>
      </c>
      <c r="J96" s="156">
        <f>OneLineRR!M187</f>
        <v>0</v>
      </c>
      <c r="K96" s="634">
        <f>OneLineRR!L187</f>
        <v>0</v>
      </c>
      <c r="L96" s="143" t="str">
        <f>OneLineRR!C187</f>
        <v>Occ</v>
      </c>
      <c r="M96" s="636">
        <f>OneLineRR!O187</f>
        <v>0</v>
      </c>
      <c r="N96" s="636">
        <f t="shared" si="1"/>
        <v>0</v>
      </c>
      <c r="O96" s="636">
        <f>OneLineRR!N187</f>
        <v>0</v>
      </c>
      <c r="P96" s="636" t="e" cm="1">
        <f t="array" ref="P96">INDEX('Unit Mix'!$P$6:$P$62,MATCH(1,('Rent Roll'!G96='Unit Mix'!$E$6:$E$62)*(D96='Unit Mix'!$D$6:$D$62),0))</f>
        <v>#N/A</v>
      </c>
      <c r="Q96" s="150">
        <f>OneLineRR!T187</f>
        <v>0</v>
      </c>
      <c r="R96" s="150">
        <f>OneLineRR!U187</f>
        <v>0</v>
      </c>
      <c r="S96" s="150">
        <f>OneLineRR!V187</f>
        <v>0</v>
      </c>
      <c r="T96" s="150">
        <f>OneLineRR!W187</f>
        <v>0</v>
      </c>
      <c r="U96" s="157" t="str">
        <f>IF(OneLineRR!Q187="","",OneLineRR!Q187)</f>
        <v/>
      </c>
      <c r="V96" s="157" t="str">
        <f>IF(OneLineRR!R187="","",OneLineRR!R187)</f>
        <v/>
      </c>
      <c r="AB96" s="320" t="str">
        <f>IFERROR(U96+(COUNTIF($U$8:U96,U96)-1)/10000,"")</f>
        <v/>
      </c>
      <c r="AC96" s="158"/>
      <c r="AD96" s="119"/>
      <c r="AE96" s="460"/>
      <c r="AG96" s="119"/>
    </row>
    <row r="97" spans="4:33" x14ac:dyDescent="0.25">
      <c r="D97" s="154" t="str">
        <f>OneLineRR!A188</f>
        <v>Hudson View Park</v>
      </c>
      <c r="E97" s="104">
        <f>OneLineRR!J188</f>
        <v>0</v>
      </c>
      <c r="F97" s="104">
        <f>OneLineRR!K188</f>
        <v>0</v>
      </c>
      <c r="G97" s="155" t="e">
        <f>OneLineRR!D188</f>
        <v>#N/A</v>
      </c>
      <c r="H97" s="155" t="e">
        <f>IF(OneLineRR!G188="Yes","Affordable","Market")</f>
        <v>#N/A</v>
      </c>
      <c r="I97" s="104" t="e">
        <f>OneLineRR!I188</f>
        <v>#N/A</v>
      </c>
      <c r="J97" s="156">
        <f>OneLineRR!M188</f>
        <v>0</v>
      </c>
      <c r="K97" s="634">
        <f>OneLineRR!L188</f>
        <v>0</v>
      </c>
      <c r="L97" s="143" t="str">
        <f>OneLineRR!C188</f>
        <v>Occ</v>
      </c>
      <c r="M97" s="636">
        <f>OneLineRR!O188</f>
        <v>0</v>
      </c>
      <c r="N97" s="636">
        <f t="shared" si="1"/>
        <v>0</v>
      </c>
      <c r="O97" s="636">
        <f>OneLineRR!N188</f>
        <v>0</v>
      </c>
      <c r="P97" s="636" t="e" cm="1">
        <f t="array" ref="P97">INDEX('Unit Mix'!$P$6:$P$62,MATCH(1,('Rent Roll'!G97='Unit Mix'!$E$6:$E$62)*(D97='Unit Mix'!$D$6:$D$62),0))</f>
        <v>#N/A</v>
      </c>
      <c r="Q97" s="150">
        <f>OneLineRR!T188</f>
        <v>0</v>
      </c>
      <c r="R97" s="150">
        <f>OneLineRR!U188</f>
        <v>0</v>
      </c>
      <c r="S97" s="150">
        <f>OneLineRR!V188</f>
        <v>0</v>
      </c>
      <c r="T97" s="150">
        <f>OneLineRR!W188</f>
        <v>0</v>
      </c>
      <c r="U97" s="157" t="str">
        <f>IF(OneLineRR!Q188="","",OneLineRR!Q188)</f>
        <v/>
      </c>
      <c r="V97" s="157" t="str">
        <f>IF(OneLineRR!R188="","",OneLineRR!R188)</f>
        <v/>
      </c>
      <c r="AB97" s="320" t="str">
        <f>IFERROR(U97+(COUNTIF($U$8:U97,U97)-1)/10000,"")</f>
        <v/>
      </c>
      <c r="AC97" s="158"/>
      <c r="AD97" s="119"/>
      <c r="AE97" s="460"/>
      <c r="AG97" s="119"/>
    </row>
    <row r="98" spans="4:33" x14ac:dyDescent="0.25">
      <c r="D98" s="154" t="str">
        <f>OneLineRR!A189</f>
        <v>Hudson View Park</v>
      </c>
      <c r="E98" s="104">
        <f>OneLineRR!J189</f>
        <v>0</v>
      </c>
      <c r="F98" s="104">
        <f>OneLineRR!K189</f>
        <v>0</v>
      </c>
      <c r="G98" s="155" t="e">
        <f>OneLineRR!D189</f>
        <v>#N/A</v>
      </c>
      <c r="H98" s="155" t="e">
        <f>IF(OneLineRR!G189="Yes","Affordable","Market")</f>
        <v>#N/A</v>
      </c>
      <c r="I98" s="104" t="e">
        <f>OneLineRR!I189</f>
        <v>#N/A</v>
      </c>
      <c r="J98" s="156">
        <f>OneLineRR!M189</f>
        <v>0</v>
      </c>
      <c r="K98" s="634">
        <f>OneLineRR!L189</f>
        <v>0</v>
      </c>
      <c r="L98" s="143" t="str">
        <f>OneLineRR!C189</f>
        <v>Occ</v>
      </c>
      <c r="M98" s="636">
        <f>OneLineRR!O189</f>
        <v>0</v>
      </c>
      <c r="N98" s="636">
        <f t="shared" si="1"/>
        <v>0</v>
      </c>
      <c r="O98" s="636">
        <f>OneLineRR!N189</f>
        <v>0</v>
      </c>
      <c r="P98" s="636" t="e" cm="1">
        <f t="array" ref="P98">INDEX('Unit Mix'!$P$6:$P$62,MATCH(1,('Rent Roll'!G98='Unit Mix'!$E$6:$E$62)*(D98='Unit Mix'!$D$6:$D$62),0))</f>
        <v>#N/A</v>
      </c>
      <c r="Q98" s="150">
        <f>OneLineRR!T189</f>
        <v>0</v>
      </c>
      <c r="R98" s="150">
        <f>OneLineRR!U189</f>
        <v>0</v>
      </c>
      <c r="S98" s="150">
        <f>OneLineRR!V189</f>
        <v>0</v>
      </c>
      <c r="T98" s="150">
        <f>OneLineRR!W189</f>
        <v>0</v>
      </c>
      <c r="U98" s="157" t="str">
        <f>IF(OneLineRR!Q189="","",OneLineRR!Q189)</f>
        <v/>
      </c>
      <c r="V98" s="157" t="str">
        <f>IF(OneLineRR!R189="","",OneLineRR!R189)</f>
        <v/>
      </c>
      <c r="AB98" s="320" t="str">
        <f>IFERROR(U98+(COUNTIF($U$8:U98,U98)-1)/10000,"")</f>
        <v/>
      </c>
      <c r="AC98" s="158"/>
      <c r="AD98" s="119"/>
      <c r="AE98" s="460"/>
      <c r="AG98" s="119"/>
    </row>
    <row r="99" spans="4:33" x14ac:dyDescent="0.25">
      <c r="D99" s="154" t="str">
        <f>OneLineRR!A190</f>
        <v>Hudson View Park</v>
      </c>
      <c r="E99" s="104">
        <f>OneLineRR!J190</f>
        <v>0</v>
      </c>
      <c r="F99" s="104">
        <f>OneLineRR!K190</f>
        <v>0</v>
      </c>
      <c r="G99" s="155" t="e">
        <f>OneLineRR!D190</f>
        <v>#N/A</v>
      </c>
      <c r="H99" s="155" t="e">
        <f>IF(OneLineRR!G190="Yes","Affordable","Market")</f>
        <v>#N/A</v>
      </c>
      <c r="I99" s="104" t="e">
        <f>OneLineRR!I190</f>
        <v>#N/A</v>
      </c>
      <c r="J99" s="156">
        <f>OneLineRR!M190</f>
        <v>0</v>
      </c>
      <c r="K99" s="634">
        <f>OneLineRR!L190</f>
        <v>0</v>
      </c>
      <c r="L99" s="143" t="str">
        <f>OneLineRR!C190</f>
        <v>Occ</v>
      </c>
      <c r="M99" s="636">
        <f>OneLineRR!O190</f>
        <v>0</v>
      </c>
      <c r="N99" s="636">
        <f t="shared" si="1"/>
        <v>0</v>
      </c>
      <c r="O99" s="636">
        <f>OneLineRR!N190</f>
        <v>0</v>
      </c>
      <c r="P99" s="636" t="e" cm="1">
        <f t="array" ref="P99">INDEX('Unit Mix'!$P$6:$P$62,MATCH(1,('Rent Roll'!G99='Unit Mix'!$E$6:$E$62)*(D99='Unit Mix'!$D$6:$D$62),0))</f>
        <v>#N/A</v>
      </c>
      <c r="Q99" s="150">
        <f>OneLineRR!T190</f>
        <v>0</v>
      </c>
      <c r="R99" s="150">
        <f>OneLineRR!U190</f>
        <v>0</v>
      </c>
      <c r="S99" s="150">
        <f>OneLineRR!V190</f>
        <v>0</v>
      </c>
      <c r="T99" s="150">
        <f>OneLineRR!W190</f>
        <v>0</v>
      </c>
      <c r="U99" s="157" t="str">
        <f>IF(OneLineRR!Q190="","",OneLineRR!Q190)</f>
        <v/>
      </c>
      <c r="V99" s="157" t="str">
        <f>IF(OneLineRR!R190="","",OneLineRR!R190)</f>
        <v/>
      </c>
      <c r="AB99" s="320" t="str">
        <f>IFERROR(U99+(COUNTIF($U$8:U99,U99)-1)/10000,"")</f>
        <v/>
      </c>
      <c r="AC99" s="158"/>
      <c r="AD99" s="119"/>
      <c r="AE99" s="460"/>
      <c r="AG99" s="119"/>
    </row>
    <row r="100" spans="4:33" x14ac:dyDescent="0.25">
      <c r="D100" s="154" t="str">
        <f>OneLineRR!A191</f>
        <v>Hudson View Park</v>
      </c>
      <c r="E100" s="104">
        <f>OneLineRR!J191</f>
        <v>0</v>
      </c>
      <c r="F100" s="104">
        <f>OneLineRR!K191</f>
        <v>0</v>
      </c>
      <c r="G100" s="155" t="e">
        <f>OneLineRR!D191</f>
        <v>#N/A</v>
      </c>
      <c r="H100" s="155" t="e">
        <f>IF(OneLineRR!G191="Yes","Affordable","Market")</f>
        <v>#N/A</v>
      </c>
      <c r="I100" s="104" t="e">
        <f>OneLineRR!I191</f>
        <v>#N/A</v>
      </c>
      <c r="J100" s="156">
        <f>OneLineRR!M191</f>
        <v>0</v>
      </c>
      <c r="K100" s="634">
        <f>OneLineRR!L191</f>
        <v>0</v>
      </c>
      <c r="L100" s="143" t="str">
        <f>OneLineRR!C191</f>
        <v>Occ</v>
      </c>
      <c r="M100" s="636">
        <f>OneLineRR!O191</f>
        <v>0</v>
      </c>
      <c r="N100" s="636">
        <f t="shared" si="1"/>
        <v>0</v>
      </c>
      <c r="O100" s="636">
        <f>OneLineRR!N191</f>
        <v>0</v>
      </c>
      <c r="P100" s="636" t="e" cm="1">
        <f t="array" ref="P100">INDEX('Unit Mix'!$P$6:$P$62,MATCH(1,('Rent Roll'!G100='Unit Mix'!$E$6:$E$62)*(D100='Unit Mix'!$D$6:$D$62),0))</f>
        <v>#N/A</v>
      </c>
      <c r="Q100" s="150">
        <f>OneLineRR!T191</f>
        <v>0</v>
      </c>
      <c r="R100" s="150">
        <f>OneLineRR!U191</f>
        <v>0</v>
      </c>
      <c r="S100" s="150">
        <f>OneLineRR!V191</f>
        <v>0</v>
      </c>
      <c r="T100" s="150">
        <f>OneLineRR!W191</f>
        <v>0</v>
      </c>
      <c r="U100" s="157" t="str">
        <f>IF(OneLineRR!Q191="","",OneLineRR!Q191)</f>
        <v/>
      </c>
      <c r="V100" s="157" t="str">
        <f>IF(OneLineRR!R191="","",OneLineRR!R191)</f>
        <v/>
      </c>
      <c r="AB100" s="320" t="str">
        <f>IFERROR(U100+(COUNTIF($U$8:U100,U100)-1)/10000,"")</f>
        <v/>
      </c>
      <c r="AC100" s="158"/>
      <c r="AD100" s="119"/>
      <c r="AE100" s="460"/>
      <c r="AG100" s="119"/>
    </row>
    <row r="101" spans="4:33" x14ac:dyDescent="0.25">
      <c r="D101" s="154" t="str">
        <f>OneLineRR!A192</f>
        <v>Hudson View Park</v>
      </c>
      <c r="E101" s="104">
        <f>OneLineRR!J192</f>
        <v>0</v>
      </c>
      <c r="F101" s="104">
        <f>OneLineRR!K192</f>
        <v>0</v>
      </c>
      <c r="G101" s="155" t="e">
        <f>OneLineRR!D192</f>
        <v>#N/A</v>
      </c>
      <c r="H101" s="155" t="e">
        <f>IF(OneLineRR!G192="Yes","Affordable","Market")</f>
        <v>#N/A</v>
      </c>
      <c r="I101" s="104" t="e">
        <f>OneLineRR!I192</f>
        <v>#N/A</v>
      </c>
      <c r="J101" s="156">
        <f>OneLineRR!M192</f>
        <v>0</v>
      </c>
      <c r="K101" s="634">
        <f>OneLineRR!L192</f>
        <v>0</v>
      </c>
      <c r="L101" s="143" t="str">
        <f>OneLineRR!C192</f>
        <v>Occ</v>
      </c>
      <c r="M101" s="636">
        <f>OneLineRR!O192</f>
        <v>0</v>
      </c>
      <c r="N101" s="636">
        <f t="shared" si="1"/>
        <v>0</v>
      </c>
      <c r="O101" s="636">
        <f>OneLineRR!N192</f>
        <v>0</v>
      </c>
      <c r="P101" s="636" t="e" cm="1">
        <f t="array" ref="P101">INDEX('Unit Mix'!$P$6:$P$62,MATCH(1,('Rent Roll'!G101='Unit Mix'!$E$6:$E$62)*(D101='Unit Mix'!$D$6:$D$62),0))</f>
        <v>#N/A</v>
      </c>
      <c r="Q101" s="150">
        <f>OneLineRR!T192</f>
        <v>0</v>
      </c>
      <c r="R101" s="150">
        <f>OneLineRR!U192</f>
        <v>0</v>
      </c>
      <c r="S101" s="150">
        <f>OneLineRR!V192</f>
        <v>0</v>
      </c>
      <c r="T101" s="150">
        <f>OneLineRR!W192</f>
        <v>0</v>
      </c>
      <c r="U101" s="157" t="str">
        <f>IF(OneLineRR!Q192="","",OneLineRR!Q192)</f>
        <v/>
      </c>
      <c r="V101" s="157" t="str">
        <f>IF(OneLineRR!R192="","",OneLineRR!R192)</f>
        <v/>
      </c>
      <c r="AB101" s="320" t="str">
        <f>IFERROR(U101+(COUNTIF($U$8:U101,U101)-1)/10000,"")</f>
        <v/>
      </c>
      <c r="AC101" s="158"/>
      <c r="AD101" s="119"/>
      <c r="AE101" s="460"/>
      <c r="AG101" s="119"/>
    </row>
    <row r="102" spans="4:33" x14ac:dyDescent="0.25">
      <c r="D102" s="154" t="str">
        <f>OneLineRR!A193</f>
        <v>Hudson View Park</v>
      </c>
      <c r="E102" s="104">
        <f>OneLineRR!J193</f>
        <v>0</v>
      </c>
      <c r="F102" s="104">
        <f>OneLineRR!K193</f>
        <v>0</v>
      </c>
      <c r="G102" s="155" t="e">
        <f>OneLineRR!D193</f>
        <v>#N/A</v>
      </c>
      <c r="H102" s="155" t="e">
        <f>IF(OneLineRR!G193="Yes","Affordable","Market")</f>
        <v>#N/A</v>
      </c>
      <c r="I102" s="104" t="e">
        <f>OneLineRR!I193</f>
        <v>#N/A</v>
      </c>
      <c r="J102" s="156">
        <f>OneLineRR!M193</f>
        <v>0</v>
      </c>
      <c r="K102" s="634">
        <f>OneLineRR!L193</f>
        <v>0</v>
      </c>
      <c r="L102" s="143" t="str">
        <f>OneLineRR!C193</f>
        <v>Occ</v>
      </c>
      <c r="M102" s="636">
        <f>OneLineRR!O193</f>
        <v>0</v>
      </c>
      <c r="N102" s="636">
        <f t="shared" si="1"/>
        <v>0</v>
      </c>
      <c r="O102" s="636">
        <f>OneLineRR!N193</f>
        <v>0</v>
      </c>
      <c r="P102" s="636" t="e" cm="1">
        <f t="array" ref="P102">INDEX('Unit Mix'!$P$6:$P$62,MATCH(1,('Rent Roll'!G102='Unit Mix'!$E$6:$E$62)*(D102='Unit Mix'!$D$6:$D$62),0))</f>
        <v>#N/A</v>
      </c>
      <c r="Q102" s="150">
        <f>OneLineRR!T193</f>
        <v>0</v>
      </c>
      <c r="R102" s="150">
        <f>OneLineRR!U193</f>
        <v>0</v>
      </c>
      <c r="S102" s="150">
        <f>OneLineRR!V193</f>
        <v>0</v>
      </c>
      <c r="T102" s="150">
        <f>OneLineRR!W193</f>
        <v>0</v>
      </c>
      <c r="U102" s="157" t="str">
        <f>IF(OneLineRR!Q193="","",OneLineRR!Q193)</f>
        <v/>
      </c>
      <c r="V102" s="157" t="str">
        <f>IF(OneLineRR!R193="","",OneLineRR!R193)</f>
        <v/>
      </c>
      <c r="AB102" s="320" t="str">
        <f>IFERROR(U102+(COUNTIF($U$8:U102,U102)-1)/10000,"")</f>
        <v/>
      </c>
      <c r="AC102" s="158"/>
      <c r="AD102" s="119"/>
      <c r="AE102" s="460"/>
      <c r="AG102" s="119"/>
    </row>
    <row r="103" spans="4:33" x14ac:dyDescent="0.25">
      <c r="D103" s="154" t="str">
        <f>OneLineRR!A194</f>
        <v>Hudson View Park</v>
      </c>
      <c r="E103" s="104">
        <f>OneLineRR!J194</f>
        <v>0</v>
      </c>
      <c r="F103" s="104">
        <f>OneLineRR!K194</f>
        <v>0</v>
      </c>
      <c r="G103" s="155" t="e">
        <f>OneLineRR!D194</f>
        <v>#N/A</v>
      </c>
      <c r="H103" s="155" t="e">
        <f>IF(OneLineRR!G194="Yes","Affordable","Market")</f>
        <v>#N/A</v>
      </c>
      <c r="I103" s="104" t="e">
        <f>OneLineRR!I194</f>
        <v>#N/A</v>
      </c>
      <c r="J103" s="156">
        <f>OneLineRR!M194</f>
        <v>0</v>
      </c>
      <c r="K103" s="634">
        <f>OneLineRR!L194</f>
        <v>0</v>
      </c>
      <c r="L103" s="143" t="str">
        <f>OneLineRR!C194</f>
        <v>Occ</v>
      </c>
      <c r="M103" s="636">
        <f>OneLineRR!O194</f>
        <v>0</v>
      </c>
      <c r="N103" s="636">
        <f t="shared" si="1"/>
        <v>0</v>
      </c>
      <c r="O103" s="636">
        <f>OneLineRR!N194</f>
        <v>0</v>
      </c>
      <c r="P103" s="636" t="e" cm="1">
        <f t="array" ref="P103">INDEX('Unit Mix'!$P$6:$P$62,MATCH(1,('Rent Roll'!G103='Unit Mix'!$E$6:$E$62)*(D103='Unit Mix'!$D$6:$D$62),0))</f>
        <v>#N/A</v>
      </c>
      <c r="Q103" s="150">
        <f>OneLineRR!T194</f>
        <v>0</v>
      </c>
      <c r="R103" s="150">
        <f>OneLineRR!U194</f>
        <v>0</v>
      </c>
      <c r="S103" s="150">
        <f>OneLineRR!V194</f>
        <v>0</v>
      </c>
      <c r="T103" s="150">
        <f>OneLineRR!W194</f>
        <v>0</v>
      </c>
      <c r="U103" s="157" t="str">
        <f>IF(OneLineRR!Q194="","",OneLineRR!Q194)</f>
        <v/>
      </c>
      <c r="V103" s="157" t="str">
        <f>IF(OneLineRR!R194="","",OneLineRR!R194)</f>
        <v/>
      </c>
      <c r="AB103" s="320" t="str">
        <f>IFERROR(U103+(COUNTIF($U$8:U103,U103)-1)/10000,"")</f>
        <v/>
      </c>
      <c r="AC103" s="158"/>
      <c r="AD103" s="119"/>
      <c r="AE103" s="460"/>
      <c r="AG103" s="119"/>
    </row>
    <row r="104" spans="4:33" x14ac:dyDescent="0.25">
      <c r="D104" s="154" t="str">
        <f>OneLineRR!A195</f>
        <v>Hudson View Park</v>
      </c>
      <c r="E104" s="104">
        <f>OneLineRR!J195</f>
        <v>0</v>
      </c>
      <c r="F104" s="104">
        <f>OneLineRR!K195</f>
        <v>0</v>
      </c>
      <c r="G104" s="155" t="e">
        <f>OneLineRR!D195</f>
        <v>#N/A</v>
      </c>
      <c r="H104" s="155" t="e">
        <f>IF(OneLineRR!G195="Yes","Affordable","Market")</f>
        <v>#N/A</v>
      </c>
      <c r="I104" s="104" t="e">
        <f>OneLineRR!I195</f>
        <v>#N/A</v>
      </c>
      <c r="J104" s="156">
        <f>OneLineRR!M195</f>
        <v>0</v>
      </c>
      <c r="K104" s="634">
        <f>OneLineRR!L195</f>
        <v>0</v>
      </c>
      <c r="L104" s="143" t="str">
        <f>OneLineRR!C195</f>
        <v>Occ</v>
      </c>
      <c r="M104" s="636">
        <f>OneLineRR!O195</f>
        <v>0</v>
      </c>
      <c r="N104" s="636">
        <f t="shared" si="1"/>
        <v>0</v>
      </c>
      <c r="O104" s="636">
        <f>OneLineRR!N195</f>
        <v>0</v>
      </c>
      <c r="P104" s="636" t="e" cm="1">
        <f t="array" ref="P104">INDEX('Unit Mix'!$P$6:$P$62,MATCH(1,('Rent Roll'!G104='Unit Mix'!$E$6:$E$62)*(D104='Unit Mix'!$D$6:$D$62),0))</f>
        <v>#N/A</v>
      </c>
      <c r="Q104" s="150">
        <f>OneLineRR!T195</f>
        <v>0</v>
      </c>
      <c r="R104" s="150">
        <f>OneLineRR!U195</f>
        <v>0</v>
      </c>
      <c r="S104" s="150">
        <f>OneLineRR!V195</f>
        <v>0</v>
      </c>
      <c r="T104" s="150">
        <f>OneLineRR!W195</f>
        <v>0</v>
      </c>
      <c r="U104" s="157" t="str">
        <f>IF(OneLineRR!Q195="","",OneLineRR!Q195)</f>
        <v/>
      </c>
      <c r="V104" s="157" t="str">
        <f>IF(OneLineRR!R195="","",OneLineRR!R195)</f>
        <v/>
      </c>
      <c r="AB104" s="320" t="str">
        <f>IFERROR(U104+(COUNTIF($U$8:U104,U104)-1)/10000,"")</f>
        <v/>
      </c>
      <c r="AC104" s="158"/>
      <c r="AD104" s="119"/>
      <c r="AE104" s="460"/>
      <c r="AG104" s="119"/>
    </row>
    <row r="105" spans="4:33" x14ac:dyDescent="0.25">
      <c r="D105" s="154" t="str">
        <f>OneLineRR!A196</f>
        <v>Hudson View Park</v>
      </c>
      <c r="E105" s="104">
        <f>OneLineRR!J196</f>
        <v>0</v>
      </c>
      <c r="F105" s="104">
        <f>OneLineRR!K196</f>
        <v>0</v>
      </c>
      <c r="G105" s="155" t="e">
        <f>OneLineRR!D196</f>
        <v>#N/A</v>
      </c>
      <c r="H105" s="155" t="e">
        <f>IF(OneLineRR!G196="Yes","Affordable","Market")</f>
        <v>#N/A</v>
      </c>
      <c r="I105" s="104" t="e">
        <f>OneLineRR!I196</f>
        <v>#N/A</v>
      </c>
      <c r="J105" s="156">
        <f>OneLineRR!M196</f>
        <v>0</v>
      </c>
      <c r="K105" s="634">
        <f>OneLineRR!L196</f>
        <v>0</v>
      </c>
      <c r="L105" s="143" t="str">
        <f>OneLineRR!C196</f>
        <v>Occ</v>
      </c>
      <c r="M105" s="636">
        <f>OneLineRR!O196</f>
        <v>0</v>
      </c>
      <c r="N105" s="636">
        <f t="shared" si="1"/>
        <v>0</v>
      </c>
      <c r="O105" s="636">
        <f>OneLineRR!N196</f>
        <v>0</v>
      </c>
      <c r="P105" s="636" t="e" cm="1">
        <f t="array" ref="P105">INDEX('Unit Mix'!$P$6:$P$62,MATCH(1,('Rent Roll'!G105='Unit Mix'!$E$6:$E$62)*(D105='Unit Mix'!$D$6:$D$62),0))</f>
        <v>#N/A</v>
      </c>
      <c r="Q105" s="150">
        <f>OneLineRR!T196</f>
        <v>0</v>
      </c>
      <c r="R105" s="150">
        <f>OneLineRR!U196</f>
        <v>0</v>
      </c>
      <c r="S105" s="150">
        <f>OneLineRR!V196</f>
        <v>0</v>
      </c>
      <c r="T105" s="150">
        <f>OneLineRR!W196</f>
        <v>0</v>
      </c>
      <c r="U105" s="157" t="str">
        <f>IF(OneLineRR!Q196="","",OneLineRR!Q196)</f>
        <v/>
      </c>
      <c r="V105" s="157" t="str">
        <f>IF(OneLineRR!R196="","",OneLineRR!R196)</f>
        <v/>
      </c>
      <c r="AB105" s="320" t="str">
        <f>IFERROR(U105+(COUNTIF($U$8:U105,U105)-1)/10000,"")</f>
        <v/>
      </c>
      <c r="AC105" s="158"/>
      <c r="AD105" s="119"/>
      <c r="AE105" s="460"/>
      <c r="AG105" s="119"/>
    </row>
    <row r="106" spans="4:33" x14ac:dyDescent="0.25">
      <c r="D106" s="154" t="str">
        <f>OneLineRR!A197</f>
        <v>Hudson View Park</v>
      </c>
      <c r="E106" s="104">
        <f>OneLineRR!J197</f>
        <v>0</v>
      </c>
      <c r="F106" s="104">
        <f>OneLineRR!K197</f>
        <v>0</v>
      </c>
      <c r="G106" s="155" t="e">
        <f>OneLineRR!D197</f>
        <v>#N/A</v>
      </c>
      <c r="H106" s="155" t="e">
        <f>IF(OneLineRR!G197="Yes","Affordable","Market")</f>
        <v>#N/A</v>
      </c>
      <c r="I106" s="104" t="e">
        <f>OneLineRR!I197</f>
        <v>#N/A</v>
      </c>
      <c r="J106" s="156">
        <f>OneLineRR!M197</f>
        <v>0</v>
      </c>
      <c r="K106" s="634">
        <f>OneLineRR!L197</f>
        <v>0</v>
      </c>
      <c r="L106" s="143" t="str">
        <f>OneLineRR!C197</f>
        <v>Occ</v>
      </c>
      <c r="M106" s="636">
        <f>OneLineRR!O197</f>
        <v>0</v>
      </c>
      <c r="N106" s="636">
        <f t="shared" si="1"/>
        <v>0</v>
      </c>
      <c r="O106" s="636">
        <f>OneLineRR!N197</f>
        <v>0</v>
      </c>
      <c r="P106" s="636" t="e" cm="1">
        <f t="array" ref="P106">INDEX('Unit Mix'!$P$6:$P$62,MATCH(1,('Rent Roll'!G106='Unit Mix'!$E$6:$E$62)*(D106='Unit Mix'!$D$6:$D$62),0))</f>
        <v>#N/A</v>
      </c>
      <c r="Q106" s="150">
        <f>OneLineRR!T197</f>
        <v>0</v>
      </c>
      <c r="R106" s="150">
        <f>OneLineRR!U197</f>
        <v>0</v>
      </c>
      <c r="S106" s="150">
        <f>OneLineRR!V197</f>
        <v>0</v>
      </c>
      <c r="T106" s="150">
        <f>OneLineRR!W197</f>
        <v>0</v>
      </c>
      <c r="U106" s="157" t="str">
        <f>IF(OneLineRR!Q197="","",OneLineRR!Q197)</f>
        <v/>
      </c>
      <c r="V106" s="157" t="str">
        <f>IF(OneLineRR!R197="","",OneLineRR!R197)</f>
        <v/>
      </c>
      <c r="AB106" s="320" t="str">
        <f>IFERROR(U106+(COUNTIF($U$8:U106,U106)-1)/10000,"")</f>
        <v/>
      </c>
      <c r="AC106" s="158"/>
      <c r="AD106" s="119"/>
      <c r="AE106" s="460"/>
      <c r="AG106" s="119"/>
    </row>
    <row r="107" spans="4:33" x14ac:dyDescent="0.25">
      <c r="D107" s="154" t="str">
        <f>OneLineRR!A198</f>
        <v>Hudson View Park</v>
      </c>
      <c r="E107" s="104">
        <f>OneLineRR!J198</f>
        <v>0</v>
      </c>
      <c r="F107" s="104">
        <f>OneLineRR!K198</f>
        <v>0</v>
      </c>
      <c r="G107" s="155" t="e">
        <f>OneLineRR!D198</f>
        <v>#N/A</v>
      </c>
      <c r="H107" s="155" t="e">
        <f>IF(OneLineRR!G198="Yes","Affordable","Market")</f>
        <v>#N/A</v>
      </c>
      <c r="I107" s="104" t="e">
        <f>OneLineRR!I198</f>
        <v>#N/A</v>
      </c>
      <c r="J107" s="156">
        <f>OneLineRR!M198</f>
        <v>0</v>
      </c>
      <c r="K107" s="634">
        <f>OneLineRR!L198</f>
        <v>0</v>
      </c>
      <c r="L107" s="143" t="str">
        <f>OneLineRR!C198</f>
        <v>Occ</v>
      </c>
      <c r="M107" s="636">
        <f>OneLineRR!O198</f>
        <v>0</v>
      </c>
      <c r="N107" s="636">
        <f t="shared" si="1"/>
        <v>0</v>
      </c>
      <c r="O107" s="636">
        <f>OneLineRR!N198</f>
        <v>0</v>
      </c>
      <c r="P107" s="636" t="e" cm="1">
        <f t="array" ref="P107">INDEX('Unit Mix'!$P$6:$P$62,MATCH(1,('Rent Roll'!G107='Unit Mix'!$E$6:$E$62)*(D107='Unit Mix'!$D$6:$D$62),0))</f>
        <v>#N/A</v>
      </c>
      <c r="Q107" s="150">
        <f>OneLineRR!T198</f>
        <v>0</v>
      </c>
      <c r="R107" s="150">
        <f>OneLineRR!U198</f>
        <v>0</v>
      </c>
      <c r="S107" s="150">
        <f>OneLineRR!V198</f>
        <v>0</v>
      </c>
      <c r="T107" s="150">
        <f>OneLineRR!W198</f>
        <v>0</v>
      </c>
      <c r="U107" s="157" t="str">
        <f>IF(OneLineRR!Q198="","",OneLineRR!Q198)</f>
        <v/>
      </c>
      <c r="V107" s="157" t="str">
        <f>IF(OneLineRR!R198="","",OneLineRR!R198)</f>
        <v/>
      </c>
      <c r="AB107" s="320" t="str">
        <f>IFERROR(U107+(COUNTIF($U$8:U107,U107)-1)/10000,"")</f>
        <v/>
      </c>
      <c r="AC107" s="158"/>
      <c r="AD107" s="119"/>
      <c r="AE107" s="460"/>
      <c r="AG107" s="119"/>
    </row>
    <row r="108" spans="4:33" x14ac:dyDescent="0.25">
      <c r="D108" s="154" t="str">
        <f>OneLineRR!A199</f>
        <v>Hudson View Park</v>
      </c>
      <c r="E108" s="104">
        <f>OneLineRR!J199</f>
        <v>0</v>
      </c>
      <c r="F108" s="104">
        <f>OneLineRR!K199</f>
        <v>0</v>
      </c>
      <c r="G108" s="155" t="e">
        <f>OneLineRR!D199</f>
        <v>#N/A</v>
      </c>
      <c r="H108" s="155" t="e">
        <f>IF(OneLineRR!G199="Yes","Affordable","Market")</f>
        <v>#N/A</v>
      </c>
      <c r="I108" s="104" t="e">
        <f>OneLineRR!I199</f>
        <v>#N/A</v>
      </c>
      <c r="J108" s="156">
        <f>OneLineRR!M199</f>
        <v>0</v>
      </c>
      <c r="K108" s="634">
        <f>OneLineRR!L199</f>
        <v>0</v>
      </c>
      <c r="L108" s="143" t="str">
        <f>OneLineRR!C199</f>
        <v>Occ</v>
      </c>
      <c r="M108" s="636">
        <f>OneLineRR!O199</f>
        <v>0</v>
      </c>
      <c r="N108" s="636">
        <f t="shared" si="1"/>
        <v>0</v>
      </c>
      <c r="O108" s="636">
        <f>OneLineRR!N199</f>
        <v>0</v>
      </c>
      <c r="P108" s="636" t="e" cm="1">
        <f t="array" ref="P108">INDEX('Unit Mix'!$P$6:$P$62,MATCH(1,('Rent Roll'!G108='Unit Mix'!$E$6:$E$62)*(D108='Unit Mix'!$D$6:$D$62),0))</f>
        <v>#N/A</v>
      </c>
      <c r="Q108" s="150">
        <f>OneLineRR!T199</f>
        <v>0</v>
      </c>
      <c r="R108" s="150">
        <f>OneLineRR!U199</f>
        <v>0</v>
      </c>
      <c r="S108" s="150">
        <f>OneLineRR!V199</f>
        <v>0</v>
      </c>
      <c r="T108" s="150">
        <f>OneLineRR!W199</f>
        <v>0</v>
      </c>
      <c r="U108" s="157" t="str">
        <f>IF(OneLineRR!Q199="","",OneLineRR!Q199)</f>
        <v/>
      </c>
      <c r="V108" s="157" t="str">
        <f>IF(OneLineRR!R199="","",OneLineRR!R199)</f>
        <v/>
      </c>
      <c r="AB108" s="320" t="str">
        <f>IFERROR(U108+(COUNTIF($U$8:U108,U108)-1)/10000,"")</f>
        <v/>
      </c>
      <c r="AC108" s="158"/>
      <c r="AD108" s="119"/>
      <c r="AE108" s="460"/>
      <c r="AG108" s="119"/>
    </row>
    <row r="109" spans="4:33" x14ac:dyDescent="0.25">
      <c r="D109" s="154" t="str">
        <f>OneLineRR!A200</f>
        <v>Hudson View Park</v>
      </c>
      <c r="E109" s="104">
        <f>OneLineRR!J200</f>
        <v>0</v>
      </c>
      <c r="F109" s="104">
        <f>OneLineRR!K200</f>
        <v>0</v>
      </c>
      <c r="G109" s="155" t="e">
        <f>OneLineRR!D200</f>
        <v>#N/A</v>
      </c>
      <c r="H109" s="155" t="e">
        <f>IF(OneLineRR!G200="Yes","Affordable","Market")</f>
        <v>#N/A</v>
      </c>
      <c r="I109" s="104" t="e">
        <f>OneLineRR!I200</f>
        <v>#N/A</v>
      </c>
      <c r="J109" s="156">
        <f>OneLineRR!M200</f>
        <v>0</v>
      </c>
      <c r="K109" s="634">
        <f>OneLineRR!L200</f>
        <v>0</v>
      </c>
      <c r="L109" s="143" t="str">
        <f>OneLineRR!C200</f>
        <v>Occ</v>
      </c>
      <c r="M109" s="636">
        <f>OneLineRR!O200</f>
        <v>0</v>
      </c>
      <c r="N109" s="636">
        <f t="shared" si="1"/>
        <v>0</v>
      </c>
      <c r="O109" s="636">
        <f>OneLineRR!N200</f>
        <v>0</v>
      </c>
      <c r="P109" s="636" t="e" cm="1">
        <f t="array" ref="P109">INDEX('Unit Mix'!$P$6:$P$62,MATCH(1,('Rent Roll'!G109='Unit Mix'!$E$6:$E$62)*(D109='Unit Mix'!$D$6:$D$62),0))</f>
        <v>#N/A</v>
      </c>
      <c r="Q109" s="150">
        <f>OneLineRR!T200</f>
        <v>0</v>
      </c>
      <c r="R109" s="150">
        <f>OneLineRR!U200</f>
        <v>0</v>
      </c>
      <c r="S109" s="150">
        <f>OneLineRR!V200</f>
        <v>0</v>
      </c>
      <c r="T109" s="150">
        <f>OneLineRR!W200</f>
        <v>0</v>
      </c>
      <c r="U109" s="157" t="str">
        <f>IF(OneLineRR!Q200="","",OneLineRR!Q200)</f>
        <v/>
      </c>
      <c r="V109" s="157" t="str">
        <f>IF(OneLineRR!R200="","",OneLineRR!R200)</f>
        <v/>
      </c>
      <c r="AB109" s="320" t="str">
        <f>IFERROR(U109+(COUNTIF($U$8:U109,U109)-1)/10000,"")</f>
        <v/>
      </c>
      <c r="AC109" s="158"/>
      <c r="AD109" s="119"/>
      <c r="AE109" s="460"/>
      <c r="AG109" s="119"/>
    </row>
    <row r="110" spans="4:33" x14ac:dyDescent="0.25">
      <c r="D110" s="154" t="str">
        <f>OneLineRR!A201</f>
        <v>Hudson View Park</v>
      </c>
      <c r="E110" s="104">
        <f>OneLineRR!J201</f>
        <v>0</v>
      </c>
      <c r="F110" s="104">
        <f>OneLineRR!K201</f>
        <v>0</v>
      </c>
      <c r="G110" s="155" t="e">
        <f>OneLineRR!D201</f>
        <v>#N/A</v>
      </c>
      <c r="H110" s="155" t="e">
        <f>IF(OneLineRR!G201="Yes","Affordable","Market")</f>
        <v>#N/A</v>
      </c>
      <c r="I110" s="104" t="e">
        <f>OneLineRR!I201</f>
        <v>#N/A</v>
      </c>
      <c r="J110" s="156">
        <f>OneLineRR!M201</f>
        <v>0</v>
      </c>
      <c r="K110" s="634">
        <f>OneLineRR!L201</f>
        <v>0</v>
      </c>
      <c r="L110" s="143" t="str">
        <f>OneLineRR!C201</f>
        <v>Occ</v>
      </c>
      <c r="M110" s="636">
        <f>OneLineRR!O201</f>
        <v>0</v>
      </c>
      <c r="N110" s="636">
        <f t="shared" si="1"/>
        <v>0</v>
      </c>
      <c r="O110" s="636">
        <f>OneLineRR!N201</f>
        <v>0</v>
      </c>
      <c r="P110" s="636" t="e" cm="1">
        <f t="array" ref="P110">INDEX('Unit Mix'!$P$6:$P$62,MATCH(1,('Rent Roll'!G110='Unit Mix'!$E$6:$E$62)*(D110='Unit Mix'!$D$6:$D$62),0))</f>
        <v>#N/A</v>
      </c>
      <c r="Q110" s="150">
        <f>OneLineRR!T201</f>
        <v>0</v>
      </c>
      <c r="R110" s="150">
        <f>OneLineRR!U201</f>
        <v>0</v>
      </c>
      <c r="S110" s="150">
        <f>OneLineRR!V201</f>
        <v>0</v>
      </c>
      <c r="T110" s="150">
        <f>OneLineRR!W201</f>
        <v>0</v>
      </c>
      <c r="U110" s="157" t="str">
        <f>IF(OneLineRR!Q201="","",OneLineRR!Q201)</f>
        <v/>
      </c>
      <c r="V110" s="157" t="str">
        <f>IF(OneLineRR!R201="","",OneLineRR!R201)</f>
        <v/>
      </c>
      <c r="AB110" s="320" t="str">
        <f>IFERROR(U110+(COUNTIF($U$8:U110,U110)-1)/10000,"")</f>
        <v/>
      </c>
      <c r="AC110" s="158"/>
      <c r="AD110" s="119"/>
      <c r="AE110" s="460"/>
      <c r="AG110" s="119"/>
    </row>
    <row r="111" spans="4:33" x14ac:dyDescent="0.25">
      <c r="D111" s="154" t="str">
        <f>OneLineRR!A202</f>
        <v>Hudson View Park</v>
      </c>
      <c r="E111" s="104">
        <f>OneLineRR!J202</f>
        <v>0</v>
      </c>
      <c r="F111" s="104">
        <f>OneLineRR!K202</f>
        <v>0</v>
      </c>
      <c r="G111" s="155" t="e">
        <f>OneLineRR!D202</f>
        <v>#N/A</v>
      </c>
      <c r="H111" s="155" t="e">
        <f>IF(OneLineRR!G202="Yes","Affordable","Market")</f>
        <v>#N/A</v>
      </c>
      <c r="I111" s="104" t="e">
        <f>OneLineRR!I202</f>
        <v>#N/A</v>
      </c>
      <c r="J111" s="156">
        <f>OneLineRR!M202</f>
        <v>0</v>
      </c>
      <c r="K111" s="634">
        <f>OneLineRR!L202</f>
        <v>0</v>
      </c>
      <c r="L111" s="143" t="str">
        <f>OneLineRR!C202</f>
        <v>Occ</v>
      </c>
      <c r="M111" s="636">
        <f>OneLineRR!O202</f>
        <v>0</v>
      </c>
      <c r="N111" s="636">
        <f t="shared" si="1"/>
        <v>0</v>
      </c>
      <c r="O111" s="636">
        <f>OneLineRR!N202</f>
        <v>0</v>
      </c>
      <c r="P111" s="636" t="e" cm="1">
        <f t="array" ref="P111">INDEX('Unit Mix'!$P$6:$P$62,MATCH(1,('Rent Roll'!G111='Unit Mix'!$E$6:$E$62)*(D111='Unit Mix'!$D$6:$D$62),0))</f>
        <v>#N/A</v>
      </c>
      <c r="Q111" s="150">
        <f>OneLineRR!T202</f>
        <v>0</v>
      </c>
      <c r="R111" s="150">
        <f>OneLineRR!U202</f>
        <v>0</v>
      </c>
      <c r="S111" s="150">
        <f>OneLineRR!V202</f>
        <v>0</v>
      </c>
      <c r="T111" s="150">
        <f>OneLineRR!W202</f>
        <v>0</v>
      </c>
      <c r="U111" s="157" t="str">
        <f>IF(OneLineRR!Q202="","",OneLineRR!Q202)</f>
        <v/>
      </c>
      <c r="V111" s="157" t="str">
        <f>IF(OneLineRR!R202="","",OneLineRR!R202)</f>
        <v/>
      </c>
      <c r="AB111" s="320" t="str">
        <f>IFERROR(U111+(COUNTIF($U$8:U111,U111)-1)/10000,"")</f>
        <v/>
      </c>
      <c r="AC111" s="158"/>
      <c r="AD111" s="119"/>
      <c r="AE111" s="460"/>
      <c r="AG111" s="119"/>
    </row>
    <row r="112" spans="4:33" x14ac:dyDescent="0.25">
      <c r="D112" s="154" t="str">
        <f>OneLineRR!A203</f>
        <v>Hudson View Park</v>
      </c>
      <c r="E112" s="104">
        <f>OneLineRR!J203</f>
        <v>0</v>
      </c>
      <c r="F112" s="104">
        <f>OneLineRR!K203</f>
        <v>0</v>
      </c>
      <c r="G112" s="155" t="e">
        <f>OneLineRR!D203</f>
        <v>#N/A</v>
      </c>
      <c r="H112" s="155" t="e">
        <f>IF(OneLineRR!G203="Yes","Affordable","Market")</f>
        <v>#N/A</v>
      </c>
      <c r="I112" s="104" t="e">
        <f>OneLineRR!I203</f>
        <v>#N/A</v>
      </c>
      <c r="J112" s="156">
        <f>OneLineRR!M203</f>
        <v>0</v>
      </c>
      <c r="K112" s="634">
        <f>OneLineRR!L203</f>
        <v>0</v>
      </c>
      <c r="L112" s="143" t="str">
        <f>OneLineRR!C203</f>
        <v>Occ</v>
      </c>
      <c r="M112" s="636">
        <f>OneLineRR!O203</f>
        <v>0</v>
      </c>
      <c r="N112" s="636">
        <f t="shared" si="1"/>
        <v>0</v>
      </c>
      <c r="O112" s="636">
        <f>OneLineRR!N203</f>
        <v>0</v>
      </c>
      <c r="P112" s="636" t="e" cm="1">
        <f t="array" ref="P112">INDEX('Unit Mix'!$P$6:$P$62,MATCH(1,('Rent Roll'!G112='Unit Mix'!$E$6:$E$62)*(D112='Unit Mix'!$D$6:$D$62),0))</f>
        <v>#N/A</v>
      </c>
      <c r="Q112" s="150">
        <f>OneLineRR!T203</f>
        <v>0</v>
      </c>
      <c r="R112" s="150">
        <f>OneLineRR!U203</f>
        <v>0</v>
      </c>
      <c r="S112" s="150">
        <f>OneLineRR!V203</f>
        <v>0</v>
      </c>
      <c r="T112" s="150">
        <f>OneLineRR!W203</f>
        <v>0</v>
      </c>
      <c r="U112" s="157" t="str">
        <f>IF(OneLineRR!Q203="","",OneLineRR!Q203)</f>
        <v/>
      </c>
      <c r="V112" s="157" t="str">
        <f>IF(OneLineRR!R203="","",OneLineRR!R203)</f>
        <v/>
      </c>
      <c r="AB112" s="320" t="str">
        <f>IFERROR(U112+(COUNTIF($U$8:U112,U112)-1)/10000,"")</f>
        <v/>
      </c>
      <c r="AC112" s="158"/>
      <c r="AD112" s="119"/>
      <c r="AE112" s="460"/>
      <c r="AG112" s="119"/>
    </row>
    <row r="113" spans="4:33" x14ac:dyDescent="0.25">
      <c r="D113" s="154" t="str">
        <f>OneLineRR!A204</f>
        <v>Hudson View Park</v>
      </c>
      <c r="E113" s="104">
        <f>OneLineRR!J204</f>
        <v>0</v>
      </c>
      <c r="F113" s="104">
        <f>OneLineRR!K204</f>
        <v>0</v>
      </c>
      <c r="G113" s="155" t="e">
        <f>OneLineRR!D204</f>
        <v>#N/A</v>
      </c>
      <c r="H113" s="155" t="e">
        <f>IF(OneLineRR!G204="Yes","Affordable","Market")</f>
        <v>#N/A</v>
      </c>
      <c r="I113" s="104" t="e">
        <f>OneLineRR!I204</f>
        <v>#N/A</v>
      </c>
      <c r="J113" s="156">
        <f>OneLineRR!M204</f>
        <v>0</v>
      </c>
      <c r="K113" s="634">
        <f>OneLineRR!L204</f>
        <v>0</v>
      </c>
      <c r="L113" s="143" t="str">
        <f>OneLineRR!C204</f>
        <v>Occ</v>
      </c>
      <c r="M113" s="636">
        <f>OneLineRR!O204</f>
        <v>0</v>
      </c>
      <c r="N113" s="636">
        <f t="shared" si="1"/>
        <v>0</v>
      </c>
      <c r="O113" s="636">
        <f>OneLineRR!N204</f>
        <v>0</v>
      </c>
      <c r="P113" s="636" t="e" cm="1">
        <f t="array" ref="P113">INDEX('Unit Mix'!$P$6:$P$62,MATCH(1,('Rent Roll'!G113='Unit Mix'!$E$6:$E$62)*(D113='Unit Mix'!$D$6:$D$62),0))</f>
        <v>#N/A</v>
      </c>
      <c r="Q113" s="150">
        <f>OneLineRR!T204</f>
        <v>0</v>
      </c>
      <c r="R113" s="150">
        <f>OneLineRR!U204</f>
        <v>0</v>
      </c>
      <c r="S113" s="150">
        <f>OneLineRR!V204</f>
        <v>0</v>
      </c>
      <c r="T113" s="150">
        <f>OneLineRR!W204</f>
        <v>0</v>
      </c>
      <c r="U113" s="157" t="str">
        <f>IF(OneLineRR!Q204="","",OneLineRR!Q204)</f>
        <v/>
      </c>
      <c r="V113" s="157" t="str">
        <f>IF(OneLineRR!R204="","",OneLineRR!R204)</f>
        <v/>
      </c>
      <c r="AB113" s="320" t="str">
        <f>IFERROR(U113+(COUNTIF($U$8:U113,U113)-1)/10000,"")</f>
        <v/>
      </c>
      <c r="AC113" s="158"/>
      <c r="AD113" s="119"/>
      <c r="AE113" s="460"/>
      <c r="AG113" s="119"/>
    </row>
    <row r="114" spans="4:33" x14ac:dyDescent="0.25">
      <c r="D114" s="154" t="str">
        <f>OneLineRR!A205</f>
        <v>Hudson View Park</v>
      </c>
      <c r="E114" s="104">
        <f>OneLineRR!J205</f>
        <v>0</v>
      </c>
      <c r="F114" s="104">
        <f>OneLineRR!K205</f>
        <v>0</v>
      </c>
      <c r="G114" s="155" t="e">
        <f>OneLineRR!D205</f>
        <v>#N/A</v>
      </c>
      <c r="H114" s="155" t="e">
        <f>IF(OneLineRR!G205="Yes","Affordable","Market")</f>
        <v>#N/A</v>
      </c>
      <c r="I114" s="104" t="e">
        <f>OneLineRR!I205</f>
        <v>#N/A</v>
      </c>
      <c r="J114" s="156">
        <f>OneLineRR!M205</f>
        <v>0</v>
      </c>
      <c r="K114" s="634">
        <f>OneLineRR!L205</f>
        <v>0</v>
      </c>
      <c r="L114" s="143" t="str">
        <f>OneLineRR!C205</f>
        <v>Occ</v>
      </c>
      <c r="M114" s="636">
        <f>OneLineRR!O205</f>
        <v>0</v>
      </c>
      <c r="N114" s="636">
        <f t="shared" si="1"/>
        <v>0</v>
      </c>
      <c r="O114" s="636">
        <f>OneLineRR!N205</f>
        <v>0</v>
      </c>
      <c r="P114" s="636" t="e" cm="1">
        <f t="array" ref="P114">INDEX('Unit Mix'!$P$6:$P$62,MATCH(1,('Rent Roll'!G114='Unit Mix'!$E$6:$E$62)*(D114='Unit Mix'!$D$6:$D$62),0))</f>
        <v>#N/A</v>
      </c>
      <c r="Q114" s="150">
        <f>OneLineRR!T205</f>
        <v>0</v>
      </c>
      <c r="R114" s="150">
        <f>OneLineRR!U205</f>
        <v>0</v>
      </c>
      <c r="S114" s="150">
        <f>OneLineRR!V205</f>
        <v>0</v>
      </c>
      <c r="T114" s="150">
        <f>OneLineRR!W205</f>
        <v>0</v>
      </c>
      <c r="U114" s="157" t="str">
        <f>IF(OneLineRR!Q205="","",OneLineRR!Q205)</f>
        <v/>
      </c>
      <c r="V114" s="157" t="str">
        <f>IF(OneLineRR!R205="","",OneLineRR!R205)</f>
        <v/>
      </c>
      <c r="AB114" s="320" t="str">
        <f>IFERROR(U114+(COUNTIF($U$8:U114,U114)-1)/10000,"")</f>
        <v/>
      </c>
      <c r="AC114" s="158"/>
      <c r="AD114" s="119"/>
      <c r="AE114" s="460"/>
      <c r="AG114" s="119"/>
    </row>
    <row r="115" spans="4:33" x14ac:dyDescent="0.25">
      <c r="D115" s="154" t="str">
        <f>OneLineRR!A206</f>
        <v>Hudson View Park</v>
      </c>
      <c r="E115" s="104">
        <f>OneLineRR!J206</f>
        <v>0</v>
      </c>
      <c r="F115" s="104">
        <f>OneLineRR!K206</f>
        <v>0</v>
      </c>
      <c r="G115" s="155" t="e">
        <f>OneLineRR!D206</f>
        <v>#N/A</v>
      </c>
      <c r="H115" s="155" t="e">
        <f>IF(OneLineRR!G206="Yes","Affordable","Market")</f>
        <v>#N/A</v>
      </c>
      <c r="I115" s="104" t="e">
        <f>OneLineRR!I206</f>
        <v>#N/A</v>
      </c>
      <c r="J115" s="156">
        <f>OneLineRR!M206</f>
        <v>0</v>
      </c>
      <c r="K115" s="634">
        <f>OneLineRR!L206</f>
        <v>0</v>
      </c>
      <c r="L115" s="143" t="str">
        <f>OneLineRR!C206</f>
        <v>Occ</v>
      </c>
      <c r="M115" s="636">
        <f>OneLineRR!O206</f>
        <v>0</v>
      </c>
      <c r="N115" s="636">
        <f t="shared" si="1"/>
        <v>0</v>
      </c>
      <c r="O115" s="636">
        <f>OneLineRR!N206</f>
        <v>0</v>
      </c>
      <c r="P115" s="636" t="e" cm="1">
        <f t="array" ref="P115">INDEX('Unit Mix'!$P$6:$P$62,MATCH(1,('Rent Roll'!G115='Unit Mix'!$E$6:$E$62)*(D115='Unit Mix'!$D$6:$D$62),0))</f>
        <v>#N/A</v>
      </c>
      <c r="Q115" s="150">
        <f>OneLineRR!T206</f>
        <v>0</v>
      </c>
      <c r="R115" s="150">
        <f>OneLineRR!U206</f>
        <v>0</v>
      </c>
      <c r="S115" s="150">
        <f>OneLineRR!V206</f>
        <v>0</v>
      </c>
      <c r="T115" s="150">
        <f>OneLineRR!W206</f>
        <v>0</v>
      </c>
      <c r="U115" s="157" t="str">
        <f>IF(OneLineRR!Q206="","",OneLineRR!Q206)</f>
        <v/>
      </c>
      <c r="V115" s="157" t="str">
        <f>IF(OneLineRR!R206="","",OneLineRR!R206)</f>
        <v/>
      </c>
      <c r="AB115" s="320" t="str">
        <f>IFERROR(U115+(COUNTIF($U$8:U115,U115)-1)/10000,"")</f>
        <v/>
      </c>
      <c r="AC115" s="158"/>
      <c r="AD115" s="119"/>
      <c r="AE115" s="460"/>
      <c r="AG115" s="119"/>
    </row>
    <row r="116" spans="4:33" x14ac:dyDescent="0.25">
      <c r="D116" s="154" t="str">
        <f>OneLineRR!A207</f>
        <v>Hudson View Park</v>
      </c>
      <c r="E116" s="104">
        <f>OneLineRR!J207</f>
        <v>0</v>
      </c>
      <c r="F116" s="104">
        <f>OneLineRR!K207</f>
        <v>0</v>
      </c>
      <c r="G116" s="155" t="e">
        <f>OneLineRR!D207</f>
        <v>#N/A</v>
      </c>
      <c r="H116" s="155" t="e">
        <f>IF(OneLineRR!G207="Yes","Affordable","Market")</f>
        <v>#N/A</v>
      </c>
      <c r="I116" s="104" t="e">
        <f>OneLineRR!I207</f>
        <v>#N/A</v>
      </c>
      <c r="J116" s="156">
        <f>OneLineRR!M207</f>
        <v>0</v>
      </c>
      <c r="K116" s="634">
        <f>OneLineRR!L207</f>
        <v>0</v>
      </c>
      <c r="L116" s="143" t="str">
        <f>OneLineRR!C207</f>
        <v>Occ</v>
      </c>
      <c r="M116" s="636">
        <f>OneLineRR!O207</f>
        <v>0</v>
      </c>
      <c r="N116" s="636">
        <f t="shared" si="1"/>
        <v>0</v>
      </c>
      <c r="O116" s="636">
        <f>OneLineRR!N207</f>
        <v>0</v>
      </c>
      <c r="P116" s="636" t="e" cm="1">
        <f t="array" ref="P116">INDEX('Unit Mix'!$P$6:$P$62,MATCH(1,('Rent Roll'!G116='Unit Mix'!$E$6:$E$62)*(D116='Unit Mix'!$D$6:$D$62),0))</f>
        <v>#N/A</v>
      </c>
      <c r="Q116" s="150">
        <f>OneLineRR!T207</f>
        <v>0</v>
      </c>
      <c r="R116" s="150">
        <f>OneLineRR!U207</f>
        <v>0</v>
      </c>
      <c r="S116" s="150">
        <f>OneLineRR!V207</f>
        <v>0</v>
      </c>
      <c r="T116" s="150">
        <f>OneLineRR!W207</f>
        <v>0</v>
      </c>
      <c r="U116" s="157" t="str">
        <f>IF(OneLineRR!Q207="","",OneLineRR!Q207)</f>
        <v/>
      </c>
      <c r="V116" s="157" t="str">
        <f>IF(OneLineRR!R207="","",OneLineRR!R207)</f>
        <v/>
      </c>
      <c r="AB116" s="320" t="str">
        <f>IFERROR(U116+(COUNTIF($U$8:U116,U116)-1)/10000,"")</f>
        <v/>
      </c>
      <c r="AC116" s="158"/>
      <c r="AD116" s="119"/>
      <c r="AE116" s="460"/>
      <c r="AG116" s="119"/>
    </row>
    <row r="117" spans="4:33" x14ac:dyDescent="0.25">
      <c r="D117" s="154" t="str">
        <f>OneLineRR!A208</f>
        <v>Hudson View Park</v>
      </c>
      <c r="E117" s="104">
        <f>OneLineRR!J208</f>
        <v>0</v>
      </c>
      <c r="F117" s="104">
        <f>OneLineRR!K208</f>
        <v>0</v>
      </c>
      <c r="G117" s="155" t="e">
        <f>OneLineRR!D208</f>
        <v>#N/A</v>
      </c>
      <c r="H117" s="155" t="e">
        <f>IF(OneLineRR!G208="Yes","Affordable","Market")</f>
        <v>#N/A</v>
      </c>
      <c r="I117" s="104" t="e">
        <f>OneLineRR!I208</f>
        <v>#N/A</v>
      </c>
      <c r="J117" s="156">
        <f>OneLineRR!M208</f>
        <v>0</v>
      </c>
      <c r="K117" s="634">
        <f>OneLineRR!L208</f>
        <v>0</v>
      </c>
      <c r="L117" s="143" t="str">
        <f>OneLineRR!C208</f>
        <v>Occ</v>
      </c>
      <c r="M117" s="636">
        <f>OneLineRR!O208</f>
        <v>0</v>
      </c>
      <c r="N117" s="636">
        <f t="shared" si="1"/>
        <v>0</v>
      </c>
      <c r="O117" s="636">
        <f>OneLineRR!N208</f>
        <v>0</v>
      </c>
      <c r="P117" s="636" t="e" cm="1">
        <f t="array" ref="P117">INDEX('Unit Mix'!$P$6:$P$62,MATCH(1,('Rent Roll'!G117='Unit Mix'!$E$6:$E$62)*(D117='Unit Mix'!$D$6:$D$62),0))</f>
        <v>#N/A</v>
      </c>
      <c r="Q117" s="150">
        <f>OneLineRR!T208</f>
        <v>0</v>
      </c>
      <c r="R117" s="150">
        <f>OneLineRR!U208</f>
        <v>0</v>
      </c>
      <c r="S117" s="150">
        <f>OneLineRR!V208</f>
        <v>0</v>
      </c>
      <c r="T117" s="150">
        <f>OneLineRR!W208</f>
        <v>0</v>
      </c>
      <c r="U117" s="157" t="str">
        <f>IF(OneLineRR!Q208="","",OneLineRR!Q208)</f>
        <v/>
      </c>
      <c r="V117" s="157" t="str">
        <f>IF(OneLineRR!R208="","",OneLineRR!R208)</f>
        <v/>
      </c>
      <c r="AB117" s="320" t="str">
        <f>IFERROR(U117+(COUNTIF($U$8:U117,U117)-1)/10000,"")</f>
        <v/>
      </c>
      <c r="AC117" s="158"/>
      <c r="AD117" s="119"/>
      <c r="AE117" s="460"/>
      <c r="AG117" s="119"/>
    </row>
    <row r="118" spans="4:33" x14ac:dyDescent="0.25">
      <c r="D118" s="154" t="str">
        <f>OneLineRR!A209</f>
        <v>Hudson View Park</v>
      </c>
      <c r="E118" s="104">
        <f>OneLineRR!J209</f>
        <v>0</v>
      </c>
      <c r="F118" s="104">
        <f>OneLineRR!K209</f>
        <v>0</v>
      </c>
      <c r="G118" s="155" t="e">
        <f>OneLineRR!D209</f>
        <v>#N/A</v>
      </c>
      <c r="H118" s="155" t="e">
        <f>IF(OneLineRR!G209="Yes","Affordable","Market")</f>
        <v>#N/A</v>
      </c>
      <c r="I118" s="104" t="e">
        <f>OneLineRR!I209</f>
        <v>#N/A</v>
      </c>
      <c r="J118" s="156">
        <f>OneLineRR!M209</f>
        <v>0</v>
      </c>
      <c r="K118" s="634">
        <f>OneLineRR!L209</f>
        <v>0</v>
      </c>
      <c r="L118" s="143" t="str">
        <f>OneLineRR!C209</f>
        <v>Occ</v>
      </c>
      <c r="M118" s="636">
        <f>OneLineRR!O209</f>
        <v>0</v>
      </c>
      <c r="N118" s="636">
        <f t="shared" si="1"/>
        <v>0</v>
      </c>
      <c r="O118" s="636">
        <f>OneLineRR!N209</f>
        <v>0</v>
      </c>
      <c r="P118" s="636" t="e" cm="1">
        <f t="array" ref="P118">INDEX('Unit Mix'!$P$6:$P$62,MATCH(1,('Rent Roll'!G118='Unit Mix'!$E$6:$E$62)*(D118='Unit Mix'!$D$6:$D$62),0))</f>
        <v>#N/A</v>
      </c>
      <c r="Q118" s="150">
        <f>OneLineRR!T209</f>
        <v>0</v>
      </c>
      <c r="R118" s="150">
        <f>OneLineRR!U209</f>
        <v>0</v>
      </c>
      <c r="S118" s="150">
        <f>OneLineRR!V209</f>
        <v>0</v>
      </c>
      <c r="T118" s="150">
        <f>OneLineRR!W209</f>
        <v>0</v>
      </c>
      <c r="U118" s="157" t="str">
        <f>IF(OneLineRR!Q209="","",OneLineRR!Q209)</f>
        <v/>
      </c>
      <c r="V118" s="157" t="str">
        <f>IF(OneLineRR!R209="","",OneLineRR!R209)</f>
        <v/>
      </c>
      <c r="AB118" s="320" t="str">
        <f>IFERROR(U118+(COUNTIF($U$8:U118,U118)-1)/10000,"")</f>
        <v/>
      </c>
      <c r="AC118" s="158"/>
      <c r="AD118" s="119"/>
      <c r="AE118" s="460"/>
      <c r="AG118" s="119"/>
    </row>
    <row r="119" spans="4:33" x14ac:dyDescent="0.25">
      <c r="D119" s="154" t="str">
        <f>OneLineRR!A210</f>
        <v>Hudson View Park</v>
      </c>
      <c r="E119" s="104">
        <f>OneLineRR!J210</f>
        <v>0</v>
      </c>
      <c r="F119" s="104">
        <f>OneLineRR!K210</f>
        <v>0</v>
      </c>
      <c r="G119" s="155" t="e">
        <f>OneLineRR!D210</f>
        <v>#N/A</v>
      </c>
      <c r="H119" s="155" t="e">
        <f>IF(OneLineRR!G210="Yes","Affordable","Market")</f>
        <v>#N/A</v>
      </c>
      <c r="I119" s="104" t="e">
        <f>OneLineRR!I210</f>
        <v>#N/A</v>
      </c>
      <c r="J119" s="156">
        <f>OneLineRR!M210</f>
        <v>0</v>
      </c>
      <c r="K119" s="634">
        <f>OneLineRR!L210</f>
        <v>0</v>
      </c>
      <c r="L119" s="143" t="str">
        <f>OneLineRR!C210</f>
        <v>Occ</v>
      </c>
      <c r="M119" s="636">
        <f>OneLineRR!O210</f>
        <v>0</v>
      </c>
      <c r="N119" s="636">
        <f t="shared" si="1"/>
        <v>0</v>
      </c>
      <c r="O119" s="636">
        <f>OneLineRR!N210</f>
        <v>0</v>
      </c>
      <c r="P119" s="636" t="e" cm="1">
        <f t="array" ref="P119">INDEX('Unit Mix'!$P$6:$P$62,MATCH(1,('Rent Roll'!G119='Unit Mix'!$E$6:$E$62)*(D119='Unit Mix'!$D$6:$D$62),0))</f>
        <v>#N/A</v>
      </c>
      <c r="Q119" s="150">
        <f>OneLineRR!T210</f>
        <v>0</v>
      </c>
      <c r="R119" s="150">
        <f>OneLineRR!U210</f>
        <v>0</v>
      </c>
      <c r="S119" s="150">
        <f>OneLineRR!V210</f>
        <v>0</v>
      </c>
      <c r="T119" s="150">
        <f>OneLineRR!W210</f>
        <v>0</v>
      </c>
      <c r="U119" s="157" t="str">
        <f>IF(OneLineRR!Q210="","",OneLineRR!Q210)</f>
        <v/>
      </c>
      <c r="V119" s="157" t="str">
        <f>IF(OneLineRR!R210="","",OneLineRR!R210)</f>
        <v/>
      </c>
      <c r="AB119" s="320" t="str">
        <f>IFERROR(U119+(COUNTIF($U$8:U119,U119)-1)/10000,"")</f>
        <v/>
      </c>
      <c r="AC119" s="158"/>
      <c r="AD119" s="119"/>
      <c r="AE119" s="460"/>
      <c r="AG119" s="119"/>
    </row>
    <row r="120" spans="4:33" x14ac:dyDescent="0.25">
      <c r="D120" s="154" t="str">
        <f>OneLineRR!A211</f>
        <v>Hudson View Park</v>
      </c>
      <c r="E120" s="104">
        <f>OneLineRR!J211</f>
        <v>0</v>
      </c>
      <c r="F120" s="104">
        <f>OneLineRR!K211</f>
        <v>0</v>
      </c>
      <c r="G120" s="155" t="e">
        <f>OneLineRR!D211</f>
        <v>#N/A</v>
      </c>
      <c r="H120" s="155" t="e">
        <f>IF(OneLineRR!G211="Yes","Affordable","Market")</f>
        <v>#N/A</v>
      </c>
      <c r="I120" s="104" t="e">
        <f>OneLineRR!I211</f>
        <v>#N/A</v>
      </c>
      <c r="J120" s="156">
        <f>OneLineRR!M211</f>
        <v>0</v>
      </c>
      <c r="K120" s="634">
        <f>OneLineRR!L211</f>
        <v>0</v>
      </c>
      <c r="L120" s="143" t="str">
        <f>OneLineRR!C211</f>
        <v>Occ</v>
      </c>
      <c r="M120" s="636">
        <f>OneLineRR!O211</f>
        <v>0</v>
      </c>
      <c r="N120" s="636">
        <f t="shared" si="1"/>
        <v>0</v>
      </c>
      <c r="O120" s="636">
        <f>OneLineRR!N211</f>
        <v>0</v>
      </c>
      <c r="P120" s="636" t="e" cm="1">
        <f t="array" ref="P120">INDEX('Unit Mix'!$P$6:$P$62,MATCH(1,('Rent Roll'!G120='Unit Mix'!$E$6:$E$62)*(D120='Unit Mix'!$D$6:$D$62),0))</f>
        <v>#N/A</v>
      </c>
      <c r="Q120" s="150">
        <f>OneLineRR!T211</f>
        <v>0</v>
      </c>
      <c r="R120" s="150">
        <f>OneLineRR!U211</f>
        <v>0</v>
      </c>
      <c r="S120" s="150">
        <f>OneLineRR!V211</f>
        <v>0</v>
      </c>
      <c r="T120" s="150">
        <f>OneLineRR!W211</f>
        <v>0</v>
      </c>
      <c r="U120" s="157" t="str">
        <f>IF(OneLineRR!Q211="","",OneLineRR!Q211)</f>
        <v/>
      </c>
      <c r="V120" s="157" t="str">
        <f>IF(OneLineRR!R211="","",OneLineRR!R211)</f>
        <v/>
      </c>
      <c r="AB120" s="320" t="str">
        <f>IFERROR(U120+(COUNTIF($U$8:U120,U120)-1)/10000,"")</f>
        <v/>
      </c>
      <c r="AC120" s="158"/>
      <c r="AD120" s="119"/>
      <c r="AE120" s="460"/>
      <c r="AG120" s="119"/>
    </row>
    <row r="121" spans="4:33" x14ac:dyDescent="0.25">
      <c r="D121" s="154" t="str">
        <f>OneLineRR!A212</f>
        <v>Hudson View Park</v>
      </c>
      <c r="E121" s="104">
        <f>OneLineRR!J212</f>
        <v>0</v>
      </c>
      <c r="F121" s="104">
        <f>OneLineRR!K212</f>
        <v>0</v>
      </c>
      <c r="G121" s="155" t="e">
        <f>OneLineRR!D212</f>
        <v>#N/A</v>
      </c>
      <c r="H121" s="155" t="e">
        <f>IF(OneLineRR!G212="Yes","Affordable","Market")</f>
        <v>#N/A</v>
      </c>
      <c r="I121" s="104" t="e">
        <f>OneLineRR!I212</f>
        <v>#N/A</v>
      </c>
      <c r="J121" s="156">
        <f>OneLineRR!M212</f>
        <v>0</v>
      </c>
      <c r="K121" s="634">
        <f>OneLineRR!L212</f>
        <v>0</v>
      </c>
      <c r="L121" s="143" t="str">
        <f>OneLineRR!C212</f>
        <v>Occ</v>
      </c>
      <c r="M121" s="636">
        <f>OneLineRR!O212</f>
        <v>0</v>
      </c>
      <c r="N121" s="636">
        <f t="shared" si="1"/>
        <v>0</v>
      </c>
      <c r="O121" s="636">
        <f>OneLineRR!N212</f>
        <v>0</v>
      </c>
      <c r="P121" s="636" t="e" cm="1">
        <f t="array" ref="P121">INDEX('Unit Mix'!$P$6:$P$62,MATCH(1,('Rent Roll'!G121='Unit Mix'!$E$6:$E$62)*(D121='Unit Mix'!$D$6:$D$62),0))</f>
        <v>#N/A</v>
      </c>
      <c r="Q121" s="150">
        <f>OneLineRR!T212</f>
        <v>0</v>
      </c>
      <c r="R121" s="150">
        <f>OneLineRR!U212</f>
        <v>0</v>
      </c>
      <c r="S121" s="150">
        <f>OneLineRR!V212</f>
        <v>0</v>
      </c>
      <c r="T121" s="150">
        <f>OneLineRR!W212</f>
        <v>0</v>
      </c>
      <c r="U121" s="157" t="str">
        <f>IF(OneLineRR!Q212="","",OneLineRR!Q212)</f>
        <v/>
      </c>
      <c r="V121" s="157" t="str">
        <f>IF(OneLineRR!R212="","",OneLineRR!R212)</f>
        <v/>
      </c>
      <c r="AB121" s="320" t="str">
        <f>IFERROR(U121+(COUNTIF($U$8:U121,U121)-1)/10000,"")</f>
        <v/>
      </c>
      <c r="AC121" s="158"/>
      <c r="AD121" s="119"/>
      <c r="AE121" s="460"/>
      <c r="AG121" s="119"/>
    </row>
    <row r="122" spans="4:33" x14ac:dyDescent="0.25">
      <c r="D122" s="154" t="str">
        <f>OneLineRR!A213</f>
        <v>Hudson View Park</v>
      </c>
      <c r="E122" s="104">
        <f>OneLineRR!J213</f>
        <v>0</v>
      </c>
      <c r="F122" s="104">
        <f>OneLineRR!K213</f>
        <v>0</v>
      </c>
      <c r="G122" s="155" t="e">
        <f>OneLineRR!D213</f>
        <v>#N/A</v>
      </c>
      <c r="H122" s="155" t="e">
        <f>IF(OneLineRR!G213="Yes","Affordable","Market")</f>
        <v>#N/A</v>
      </c>
      <c r="I122" s="104" t="e">
        <f>OneLineRR!I213</f>
        <v>#N/A</v>
      </c>
      <c r="J122" s="156">
        <f>OneLineRR!M213</f>
        <v>0</v>
      </c>
      <c r="K122" s="634">
        <f>OneLineRR!L213</f>
        <v>0</v>
      </c>
      <c r="L122" s="143" t="str">
        <f>OneLineRR!C213</f>
        <v>Occ</v>
      </c>
      <c r="M122" s="636">
        <f>OneLineRR!O213</f>
        <v>0</v>
      </c>
      <c r="N122" s="636">
        <f t="shared" si="1"/>
        <v>0</v>
      </c>
      <c r="O122" s="636">
        <f>OneLineRR!N213</f>
        <v>0</v>
      </c>
      <c r="P122" s="636" t="e" cm="1">
        <f t="array" ref="P122">INDEX('Unit Mix'!$P$6:$P$62,MATCH(1,('Rent Roll'!G122='Unit Mix'!$E$6:$E$62)*(D122='Unit Mix'!$D$6:$D$62),0))</f>
        <v>#N/A</v>
      </c>
      <c r="Q122" s="150">
        <f>OneLineRR!T213</f>
        <v>0</v>
      </c>
      <c r="R122" s="150">
        <f>OneLineRR!U213</f>
        <v>0</v>
      </c>
      <c r="S122" s="150">
        <f>OneLineRR!V213</f>
        <v>0</v>
      </c>
      <c r="T122" s="150">
        <f>OneLineRR!W213</f>
        <v>0</v>
      </c>
      <c r="U122" s="157" t="str">
        <f>IF(OneLineRR!Q213="","",OneLineRR!Q213)</f>
        <v/>
      </c>
      <c r="V122" s="157" t="str">
        <f>IF(OneLineRR!R213="","",OneLineRR!R213)</f>
        <v/>
      </c>
      <c r="AB122" s="320" t="str">
        <f>IFERROR(U122+(COUNTIF($U$8:U122,U122)-1)/10000,"")</f>
        <v/>
      </c>
      <c r="AC122" s="158"/>
      <c r="AD122" s="119"/>
      <c r="AE122" s="460"/>
      <c r="AG122" s="119"/>
    </row>
    <row r="123" spans="4:33" x14ac:dyDescent="0.25">
      <c r="D123" s="154" t="str">
        <f>OneLineRR!A214</f>
        <v>Hudson View Park</v>
      </c>
      <c r="E123" s="104">
        <f>OneLineRR!J214</f>
        <v>0</v>
      </c>
      <c r="F123" s="104">
        <f>OneLineRR!K214</f>
        <v>0</v>
      </c>
      <c r="G123" s="155" t="e">
        <f>OneLineRR!D214</f>
        <v>#N/A</v>
      </c>
      <c r="H123" s="155" t="e">
        <f>IF(OneLineRR!G214="Yes","Affordable","Market")</f>
        <v>#N/A</v>
      </c>
      <c r="I123" s="104" t="e">
        <f>OneLineRR!I214</f>
        <v>#N/A</v>
      </c>
      <c r="J123" s="156">
        <f>OneLineRR!M214</f>
        <v>0</v>
      </c>
      <c r="K123" s="634">
        <f>OneLineRR!L214</f>
        <v>0</v>
      </c>
      <c r="L123" s="143" t="str">
        <f>OneLineRR!C214</f>
        <v>Occ</v>
      </c>
      <c r="M123" s="636">
        <f>OneLineRR!O214</f>
        <v>0</v>
      </c>
      <c r="N123" s="636">
        <f t="shared" si="1"/>
        <v>0</v>
      </c>
      <c r="O123" s="636">
        <f>OneLineRR!N214</f>
        <v>0</v>
      </c>
      <c r="P123" s="636" t="e" cm="1">
        <f t="array" ref="P123">INDEX('Unit Mix'!$P$6:$P$62,MATCH(1,('Rent Roll'!G123='Unit Mix'!$E$6:$E$62)*(D123='Unit Mix'!$D$6:$D$62),0))</f>
        <v>#N/A</v>
      </c>
      <c r="Q123" s="150">
        <f>OneLineRR!T214</f>
        <v>0</v>
      </c>
      <c r="R123" s="150">
        <f>OneLineRR!U214</f>
        <v>0</v>
      </c>
      <c r="S123" s="150">
        <f>OneLineRR!V214</f>
        <v>0</v>
      </c>
      <c r="T123" s="150">
        <f>OneLineRR!W214</f>
        <v>0</v>
      </c>
      <c r="U123" s="157" t="str">
        <f>IF(OneLineRR!Q214="","",OneLineRR!Q214)</f>
        <v/>
      </c>
      <c r="V123" s="157" t="str">
        <f>IF(OneLineRR!R214="","",OneLineRR!R214)</f>
        <v/>
      </c>
      <c r="AB123" s="320" t="str">
        <f>IFERROR(U123+(COUNTIF($U$8:U123,U123)-1)/10000,"")</f>
        <v/>
      </c>
      <c r="AC123" s="158"/>
      <c r="AD123" s="119"/>
      <c r="AE123" s="460"/>
      <c r="AG123" s="119"/>
    </row>
    <row r="124" spans="4:33" x14ac:dyDescent="0.25">
      <c r="D124" s="154" t="str">
        <f>OneLineRR!A215</f>
        <v>Hudson View Park</v>
      </c>
      <c r="E124" s="104">
        <f>OneLineRR!J215</f>
        <v>0</v>
      </c>
      <c r="F124" s="104">
        <f>OneLineRR!K215</f>
        <v>0</v>
      </c>
      <c r="G124" s="155" t="e">
        <f>OneLineRR!D215</f>
        <v>#N/A</v>
      </c>
      <c r="H124" s="155" t="e">
        <f>IF(OneLineRR!G215="Yes","Affordable","Market")</f>
        <v>#N/A</v>
      </c>
      <c r="I124" s="104" t="e">
        <f>OneLineRR!I215</f>
        <v>#N/A</v>
      </c>
      <c r="J124" s="156">
        <f>OneLineRR!M215</f>
        <v>0</v>
      </c>
      <c r="K124" s="634">
        <f>OneLineRR!L215</f>
        <v>0</v>
      </c>
      <c r="L124" s="143" t="str">
        <f>OneLineRR!C215</f>
        <v>Occ</v>
      </c>
      <c r="M124" s="636">
        <f>OneLineRR!O215</f>
        <v>0</v>
      </c>
      <c r="N124" s="636">
        <f t="shared" si="1"/>
        <v>0</v>
      </c>
      <c r="O124" s="636">
        <f>OneLineRR!N215</f>
        <v>0</v>
      </c>
      <c r="P124" s="636" t="e" cm="1">
        <f t="array" ref="P124">INDEX('Unit Mix'!$P$6:$P$62,MATCH(1,('Rent Roll'!G124='Unit Mix'!$E$6:$E$62)*(D124='Unit Mix'!$D$6:$D$62),0))</f>
        <v>#N/A</v>
      </c>
      <c r="Q124" s="150">
        <f>OneLineRR!T215</f>
        <v>0</v>
      </c>
      <c r="R124" s="150">
        <f>OneLineRR!U215</f>
        <v>0</v>
      </c>
      <c r="S124" s="150">
        <f>OneLineRR!V215</f>
        <v>0</v>
      </c>
      <c r="T124" s="150">
        <f>OneLineRR!W215</f>
        <v>0</v>
      </c>
      <c r="U124" s="157" t="str">
        <f>IF(OneLineRR!Q215="","",OneLineRR!Q215)</f>
        <v/>
      </c>
      <c r="V124" s="157" t="str">
        <f>IF(OneLineRR!R215="","",OneLineRR!R215)</f>
        <v/>
      </c>
      <c r="AB124" s="320" t="str">
        <f>IFERROR(U124+(COUNTIF($U$8:U124,U124)-1)/10000,"")</f>
        <v/>
      </c>
      <c r="AC124" s="158"/>
      <c r="AD124" s="119"/>
      <c r="AE124" s="460"/>
      <c r="AG124" s="119"/>
    </row>
    <row r="125" spans="4:33" x14ac:dyDescent="0.25">
      <c r="D125" s="154" t="str">
        <f>OneLineRR!A216</f>
        <v>Hudson View Park</v>
      </c>
      <c r="E125" s="104">
        <f>OneLineRR!J216</f>
        <v>0</v>
      </c>
      <c r="F125" s="104">
        <f>OneLineRR!K216</f>
        <v>0</v>
      </c>
      <c r="G125" s="155" t="e">
        <f>OneLineRR!D216</f>
        <v>#N/A</v>
      </c>
      <c r="H125" s="155" t="e">
        <f>IF(OneLineRR!G216="Yes","Affordable","Market")</f>
        <v>#N/A</v>
      </c>
      <c r="I125" s="104" t="e">
        <f>OneLineRR!I216</f>
        <v>#N/A</v>
      </c>
      <c r="J125" s="156">
        <f>OneLineRR!M216</f>
        <v>0</v>
      </c>
      <c r="K125" s="634">
        <f>OneLineRR!L216</f>
        <v>0</v>
      </c>
      <c r="L125" s="143" t="str">
        <f>OneLineRR!C216</f>
        <v>Occ</v>
      </c>
      <c r="M125" s="636">
        <f>OneLineRR!O216</f>
        <v>0</v>
      </c>
      <c r="N125" s="636">
        <f t="shared" si="1"/>
        <v>0</v>
      </c>
      <c r="O125" s="636">
        <f>OneLineRR!N216</f>
        <v>0</v>
      </c>
      <c r="P125" s="636" t="e" cm="1">
        <f t="array" ref="P125">INDEX('Unit Mix'!$P$6:$P$62,MATCH(1,('Rent Roll'!G125='Unit Mix'!$E$6:$E$62)*(D125='Unit Mix'!$D$6:$D$62),0))</f>
        <v>#N/A</v>
      </c>
      <c r="Q125" s="150">
        <f>OneLineRR!T216</f>
        <v>0</v>
      </c>
      <c r="R125" s="150">
        <f>OneLineRR!U216</f>
        <v>0</v>
      </c>
      <c r="S125" s="150">
        <f>OneLineRR!V216</f>
        <v>0</v>
      </c>
      <c r="T125" s="150">
        <f>OneLineRR!W216</f>
        <v>0</v>
      </c>
      <c r="U125" s="157" t="str">
        <f>IF(OneLineRR!Q216="","",OneLineRR!Q216)</f>
        <v/>
      </c>
      <c r="V125" s="157" t="str">
        <f>IF(OneLineRR!R216="","",OneLineRR!R216)</f>
        <v/>
      </c>
      <c r="AB125" s="320" t="str">
        <f>IFERROR(U125+(COUNTIF($U$8:U125,U125)-1)/10000,"")</f>
        <v/>
      </c>
      <c r="AC125" s="158"/>
      <c r="AD125" s="119"/>
      <c r="AE125" s="460"/>
      <c r="AG125" s="119"/>
    </row>
    <row r="126" spans="4:33" x14ac:dyDescent="0.25">
      <c r="D126" s="154" t="str">
        <f>OneLineRR!A217</f>
        <v>Hudson View Park</v>
      </c>
      <c r="E126" s="104">
        <f>OneLineRR!J217</f>
        <v>0</v>
      </c>
      <c r="F126" s="104">
        <f>OneLineRR!K217</f>
        <v>0</v>
      </c>
      <c r="G126" s="155" t="e">
        <f>OneLineRR!D217</f>
        <v>#N/A</v>
      </c>
      <c r="H126" s="155" t="e">
        <f>IF(OneLineRR!G217="Yes","Affordable","Market")</f>
        <v>#N/A</v>
      </c>
      <c r="I126" s="104" t="e">
        <f>OneLineRR!I217</f>
        <v>#N/A</v>
      </c>
      <c r="J126" s="156">
        <f>OneLineRR!M217</f>
        <v>0</v>
      </c>
      <c r="K126" s="634">
        <f>OneLineRR!L217</f>
        <v>0</v>
      </c>
      <c r="L126" s="143" t="str">
        <f>OneLineRR!C217</f>
        <v>Occ</v>
      </c>
      <c r="M126" s="636">
        <f>OneLineRR!O217</f>
        <v>0</v>
      </c>
      <c r="N126" s="636">
        <f t="shared" si="1"/>
        <v>0</v>
      </c>
      <c r="O126" s="636">
        <f>OneLineRR!N217</f>
        <v>0</v>
      </c>
      <c r="P126" s="636" t="e" cm="1">
        <f t="array" ref="P126">INDEX('Unit Mix'!$P$6:$P$62,MATCH(1,('Rent Roll'!G126='Unit Mix'!$E$6:$E$62)*(D126='Unit Mix'!$D$6:$D$62),0))</f>
        <v>#N/A</v>
      </c>
      <c r="Q126" s="150">
        <f>OneLineRR!T217</f>
        <v>0</v>
      </c>
      <c r="R126" s="150">
        <f>OneLineRR!U217</f>
        <v>0</v>
      </c>
      <c r="S126" s="150">
        <f>OneLineRR!V217</f>
        <v>0</v>
      </c>
      <c r="T126" s="150">
        <f>OneLineRR!W217</f>
        <v>0</v>
      </c>
      <c r="U126" s="157" t="str">
        <f>IF(OneLineRR!Q217="","",OneLineRR!Q217)</f>
        <v/>
      </c>
      <c r="V126" s="157" t="str">
        <f>IF(OneLineRR!R217="","",OneLineRR!R217)</f>
        <v/>
      </c>
      <c r="AB126" s="320" t="str">
        <f>IFERROR(U126+(COUNTIF($U$8:U126,U126)-1)/10000,"")</f>
        <v/>
      </c>
      <c r="AC126" s="158"/>
      <c r="AD126" s="119"/>
      <c r="AE126" s="460"/>
      <c r="AG126" s="119"/>
    </row>
    <row r="127" spans="4:33" x14ac:dyDescent="0.25">
      <c r="D127" s="154" t="str">
        <f>OneLineRR!A218</f>
        <v>Hudson View Park</v>
      </c>
      <c r="E127" s="104">
        <f>OneLineRR!J218</f>
        <v>0</v>
      </c>
      <c r="F127" s="104">
        <f>OneLineRR!K218</f>
        <v>0</v>
      </c>
      <c r="G127" s="155" t="e">
        <f>OneLineRR!D218</f>
        <v>#N/A</v>
      </c>
      <c r="H127" s="155" t="e">
        <f>IF(OneLineRR!G218="Yes","Affordable","Market")</f>
        <v>#N/A</v>
      </c>
      <c r="I127" s="104" t="e">
        <f>OneLineRR!I218</f>
        <v>#N/A</v>
      </c>
      <c r="J127" s="156">
        <f>OneLineRR!M218</f>
        <v>0</v>
      </c>
      <c r="K127" s="634">
        <f>OneLineRR!L218</f>
        <v>0</v>
      </c>
      <c r="L127" s="143" t="str">
        <f>OneLineRR!C218</f>
        <v>Occ</v>
      </c>
      <c r="M127" s="636">
        <f>OneLineRR!O218</f>
        <v>0</v>
      </c>
      <c r="N127" s="636">
        <f t="shared" si="1"/>
        <v>0</v>
      </c>
      <c r="O127" s="636">
        <f>OneLineRR!N218</f>
        <v>0</v>
      </c>
      <c r="P127" s="636" t="e" cm="1">
        <f t="array" ref="P127">INDEX('Unit Mix'!$P$6:$P$62,MATCH(1,('Rent Roll'!G127='Unit Mix'!$E$6:$E$62)*(D127='Unit Mix'!$D$6:$D$62),0))</f>
        <v>#N/A</v>
      </c>
      <c r="Q127" s="150">
        <f>OneLineRR!T218</f>
        <v>0</v>
      </c>
      <c r="R127" s="150">
        <f>OneLineRR!U218</f>
        <v>0</v>
      </c>
      <c r="S127" s="150">
        <f>OneLineRR!V218</f>
        <v>0</v>
      </c>
      <c r="T127" s="150">
        <f>OneLineRR!W218</f>
        <v>0</v>
      </c>
      <c r="U127" s="157" t="str">
        <f>IF(OneLineRR!Q218="","",OneLineRR!Q218)</f>
        <v/>
      </c>
      <c r="V127" s="157" t="str">
        <f>IF(OneLineRR!R218="","",OneLineRR!R218)</f>
        <v/>
      </c>
      <c r="AB127" s="320" t="str">
        <f>IFERROR(U127+(COUNTIF($U$8:U127,U127)-1)/10000,"")</f>
        <v/>
      </c>
      <c r="AC127" s="158"/>
      <c r="AD127" s="119"/>
      <c r="AE127" s="460"/>
      <c r="AG127" s="119"/>
    </row>
    <row r="128" spans="4:33" x14ac:dyDescent="0.25">
      <c r="D128" s="154" t="str">
        <f>OneLineRR!A219</f>
        <v>Hudson View Park</v>
      </c>
      <c r="E128" s="104">
        <f>OneLineRR!J219</f>
        <v>0</v>
      </c>
      <c r="F128" s="104">
        <f>OneLineRR!K219</f>
        <v>0</v>
      </c>
      <c r="G128" s="155" t="e">
        <f>OneLineRR!D219</f>
        <v>#N/A</v>
      </c>
      <c r="H128" s="155" t="e">
        <f>IF(OneLineRR!G219="Yes","Affordable","Market")</f>
        <v>#N/A</v>
      </c>
      <c r="I128" s="104" t="e">
        <f>OneLineRR!I219</f>
        <v>#N/A</v>
      </c>
      <c r="J128" s="156">
        <f>OneLineRR!M219</f>
        <v>0</v>
      </c>
      <c r="K128" s="634">
        <f>OneLineRR!L219</f>
        <v>0</v>
      </c>
      <c r="L128" s="143" t="str">
        <f>OneLineRR!C219</f>
        <v>Occ</v>
      </c>
      <c r="M128" s="636">
        <f>OneLineRR!O219</f>
        <v>0</v>
      </c>
      <c r="N128" s="636">
        <f t="shared" si="1"/>
        <v>0</v>
      </c>
      <c r="O128" s="636">
        <f>OneLineRR!N219</f>
        <v>0</v>
      </c>
      <c r="P128" s="636" t="e" cm="1">
        <f t="array" ref="P128">INDEX('Unit Mix'!$P$6:$P$62,MATCH(1,('Rent Roll'!G128='Unit Mix'!$E$6:$E$62)*(D128='Unit Mix'!$D$6:$D$62),0))</f>
        <v>#N/A</v>
      </c>
      <c r="Q128" s="150">
        <f>OneLineRR!T219</f>
        <v>0</v>
      </c>
      <c r="R128" s="150">
        <f>OneLineRR!U219</f>
        <v>0</v>
      </c>
      <c r="S128" s="150">
        <f>OneLineRR!V219</f>
        <v>0</v>
      </c>
      <c r="T128" s="150">
        <f>OneLineRR!W219</f>
        <v>0</v>
      </c>
      <c r="U128" s="157" t="str">
        <f>IF(OneLineRR!Q219="","",OneLineRR!Q219)</f>
        <v/>
      </c>
      <c r="V128" s="157" t="str">
        <f>IF(OneLineRR!R219="","",OneLineRR!R219)</f>
        <v/>
      </c>
      <c r="AB128" s="320" t="str">
        <f>IFERROR(U128+(COUNTIF($U$8:U128,U128)-1)/10000,"")</f>
        <v/>
      </c>
      <c r="AC128" s="158"/>
      <c r="AD128" s="119"/>
      <c r="AE128" s="460"/>
      <c r="AG128" s="119"/>
    </row>
    <row r="129" spans="4:33" x14ac:dyDescent="0.25">
      <c r="D129" s="154" t="str">
        <f>OneLineRR!A220</f>
        <v>Hudson View Park</v>
      </c>
      <c r="E129" s="104">
        <f>OneLineRR!J220</f>
        <v>0</v>
      </c>
      <c r="F129" s="104">
        <f>OneLineRR!K220</f>
        <v>0</v>
      </c>
      <c r="G129" s="155" t="e">
        <f>OneLineRR!D220</f>
        <v>#N/A</v>
      </c>
      <c r="H129" s="155" t="e">
        <f>IF(OneLineRR!G220="Yes","Affordable","Market")</f>
        <v>#N/A</v>
      </c>
      <c r="I129" s="104" t="e">
        <f>OneLineRR!I220</f>
        <v>#N/A</v>
      </c>
      <c r="J129" s="156">
        <f>OneLineRR!M220</f>
        <v>0</v>
      </c>
      <c r="K129" s="634">
        <f>OneLineRR!L220</f>
        <v>0</v>
      </c>
      <c r="L129" s="143" t="str">
        <f>OneLineRR!C220</f>
        <v>Occ</v>
      </c>
      <c r="M129" s="636">
        <f>OneLineRR!O220</f>
        <v>0</v>
      </c>
      <c r="N129" s="636">
        <f t="shared" si="1"/>
        <v>0</v>
      </c>
      <c r="O129" s="636">
        <f>OneLineRR!N220</f>
        <v>0</v>
      </c>
      <c r="P129" s="636" t="e" cm="1">
        <f t="array" ref="P129">INDEX('Unit Mix'!$P$6:$P$62,MATCH(1,('Rent Roll'!G129='Unit Mix'!$E$6:$E$62)*(D129='Unit Mix'!$D$6:$D$62),0))</f>
        <v>#N/A</v>
      </c>
      <c r="Q129" s="150">
        <f>OneLineRR!T220</f>
        <v>0</v>
      </c>
      <c r="R129" s="150">
        <f>OneLineRR!U220</f>
        <v>0</v>
      </c>
      <c r="S129" s="150">
        <f>OneLineRR!V220</f>
        <v>0</v>
      </c>
      <c r="T129" s="150">
        <f>OneLineRR!W220</f>
        <v>0</v>
      </c>
      <c r="U129" s="157" t="str">
        <f>IF(OneLineRR!Q220="","",OneLineRR!Q220)</f>
        <v/>
      </c>
      <c r="V129" s="157" t="str">
        <f>IF(OneLineRR!R220="","",OneLineRR!R220)</f>
        <v/>
      </c>
      <c r="AB129" s="320" t="str">
        <f>IFERROR(U129+(COUNTIF($U$8:U129,U129)-1)/10000,"")</f>
        <v/>
      </c>
      <c r="AC129" s="158"/>
      <c r="AD129" s="119"/>
      <c r="AE129" s="460"/>
      <c r="AG129" s="119"/>
    </row>
    <row r="130" spans="4:33" x14ac:dyDescent="0.25">
      <c r="D130" s="154" t="str">
        <f>OneLineRR!A221</f>
        <v>Hudson View Park</v>
      </c>
      <c r="E130" s="104">
        <f>OneLineRR!J221</f>
        <v>0</v>
      </c>
      <c r="F130" s="104">
        <f>OneLineRR!K221</f>
        <v>0</v>
      </c>
      <c r="G130" s="155" t="e">
        <f>OneLineRR!D221</f>
        <v>#N/A</v>
      </c>
      <c r="H130" s="155" t="e">
        <f>IF(OneLineRR!G221="Yes","Affordable","Market")</f>
        <v>#N/A</v>
      </c>
      <c r="I130" s="104" t="e">
        <f>OneLineRR!I221</f>
        <v>#N/A</v>
      </c>
      <c r="J130" s="156">
        <f>OneLineRR!M221</f>
        <v>0</v>
      </c>
      <c r="K130" s="634">
        <f>OneLineRR!L221</f>
        <v>0</v>
      </c>
      <c r="L130" s="143" t="str">
        <f>OneLineRR!C221</f>
        <v>Occ</v>
      </c>
      <c r="M130" s="636">
        <f>OneLineRR!O221</f>
        <v>0</v>
      </c>
      <c r="N130" s="636">
        <f t="shared" si="1"/>
        <v>0</v>
      </c>
      <c r="O130" s="636">
        <f>OneLineRR!N221</f>
        <v>0</v>
      </c>
      <c r="P130" s="636" t="e" cm="1">
        <f t="array" ref="P130">INDEX('Unit Mix'!$P$6:$P$62,MATCH(1,('Rent Roll'!G130='Unit Mix'!$E$6:$E$62)*(D130='Unit Mix'!$D$6:$D$62),0))</f>
        <v>#N/A</v>
      </c>
      <c r="Q130" s="150">
        <f>OneLineRR!T221</f>
        <v>0</v>
      </c>
      <c r="R130" s="150">
        <f>OneLineRR!U221</f>
        <v>0</v>
      </c>
      <c r="S130" s="150">
        <f>OneLineRR!V221</f>
        <v>0</v>
      </c>
      <c r="T130" s="150">
        <f>OneLineRR!W221</f>
        <v>0</v>
      </c>
      <c r="U130" s="157" t="str">
        <f>IF(OneLineRR!Q221="","",OneLineRR!Q221)</f>
        <v/>
      </c>
      <c r="V130" s="157" t="str">
        <f>IF(OneLineRR!R221="","",OneLineRR!R221)</f>
        <v/>
      </c>
      <c r="AB130" s="320" t="str">
        <f>IFERROR(U130+(COUNTIF($U$8:U130,U130)-1)/10000,"")</f>
        <v/>
      </c>
      <c r="AC130" s="158"/>
      <c r="AD130" s="119"/>
      <c r="AE130" s="460"/>
      <c r="AG130" s="119"/>
    </row>
    <row r="131" spans="4:33" x14ac:dyDescent="0.25">
      <c r="D131" s="154" t="str">
        <f>OneLineRR!A222</f>
        <v>Hudson View Park</v>
      </c>
      <c r="E131" s="104">
        <f>OneLineRR!J222</f>
        <v>0</v>
      </c>
      <c r="F131" s="104">
        <f>OneLineRR!K222</f>
        <v>0</v>
      </c>
      <c r="G131" s="155" t="e">
        <f>OneLineRR!D222</f>
        <v>#N/A</v>
      </c>
      <c r="H131" s="155" t="e">
        <f>IF(OneLineRR!G222="Yes","Affordable","Market")</f>
        <v>#N/A</v>
      </c>
      <c r="I131" s="104" t="e">
        <f>OneLineRR!I222</f>
        <v>#N/A</v>
      </c>
      <c r="J131" s="156">
        <f>OneLineRR!M222</f>
        <v>0</v>
      </c>
      <c r="K131" s="634">
        <f>OneLineRR!L222</f>
        <v>0</v>
      </c>
      <c r="L131" s="143" t="str">
        <f>OneLineRR!C222</f>
        <v>Occ</v>
      </c>
      <c r="M131" s="636">
        <f>OneLineRR!O222</f>
        <v>0</v>
      </c>
      <c r="N131" s="636">
        <f t="shared" si="1"/>
        <v>0</v>
      </c>
      <c r="O131" s="636">
        <f>OneLineRR!N222</f>
        <v>0</v>
      </c>
      <c r="P131" s="636" t="e" cm="1">
        <f t="array" ref="P131">INDEX('Unit Mix'!$P$6:$P$62,MATCH(1,('Rent Roll'!G131='Unit Mix'!$E$6:$E$62)*(D131='Unit Mix'!$D$6:$D$62),0))</f>
        <v>#N/A</v>
      </c>
      <c r="Q131" s="150">
        <f>OneLineRR!T222</f>
        <v>0</v>
      </c>
      <c r="R131" s="150">
        <f>OneLineRR!U222</f>
        <v>0</v>
      </c>
      <c r="S131" s="150">
        <f>OneLineRR!V222</f>
        <v>0</v>
      </c>
      <c r="T131" s="150">
        <f>OneLineRR!W222</f>
        <v>0</v>
      </c>
      <c r="U131" s="157" t="str">
        <f>IF(OneLineRR!Q222="","",OneLineRR!Q222)</f>
        <v/>
      </c>
      <c r="V131" s="157" t="str">
        <f>IF(OneLineRR!R222="","",OneLineRR!R222)</f>
        <v/>
      </c>
      <c r="AB131" s="320" t="str">
        <f>IFERROR(U131+(COUNTIF($U$8:U131,U131)-1)/10000,"")</f>
        <v/>
      </c>
      <c r="AC131" s="158"/>
      <c r="AD131" s="119"/>
      <c r="AE131" s="460"/>
      <c r="AG131" s="119"/>
    </row>
    <row r="132" spans="4:33" x14ac:dyDescent="0.25">
      <c r="D132" s="154" t="str">
        <f>OneLineRR!A223</f>
        <v>Hudson View Park</v>
      </c>
      <c r="E132" s="104">
        <f>OneLineRR!J223</f>
        <v>0</v>
      </c>
      <c r="F132" s="104">
        <f>OneLineRR!K223</f>
        <v>0</v>
      </c>
      <c r="G132" s="155" t="e">
        <f>OneLineRR!D223</f>
        <v>#N/A</v>
      </c>
      <c r="H132" s="155" t="e">
        <f>IF(OneLineRR!G223="Yes","Affordable","Market")</f>
        <v>#N/A</v>
      </c>
      <c r="I132" s="104" t="e">
        <f>OneLineRR!I223</f>
        <v>#N/A</v>
      </c>
      <c r="J132" s="156">
        <f>OneLineRR!M223</f>
        <v>0</v>
      </c>
      <c r="K132" s="634">
        <f>OneLineRR!L223</f>
        <v>0</v>
      </c>
      <c r="L132" s="143" t="str">
        <f>OneLineRR!C223</f>
        <v>Occ</v>
      </c>
      <c r="M132" s="636">
        <f>OneLineRR!O223</f>
        <v>0</v>
      </c>
      <c r="N132" s="636">
        <f t="shared" si="1"/>
        <v>0</v>
      </c>
      <c r="O132" s="636">
        <f>OneLineRR!N223</f>
        <v>0</v>
      </c>
      <c r="P132" s="636" t="e" cm="1">
        <f t="array" ref="P132">INDEX('Unit Mix'!$P$6:$P$62,MATCH(1,('Rent Roll'!G132='Unit Mix'!$E$6:$E$62)*(D132='Unit Mix'!$D$6:$D$62),0))</f>
        <v>#N/A</v>
      </c>
      <c r="Q132" s="150">
        <f>OneLineRR!T223</f>
        <v>0</v>
      </c>
      <c r="R132" s="150">
        <f>OneLineRR!U223</f>
        <v>0</v>
      </c>
      <c r="S132" s="150">
        <f>OneLineRR!V223</f>
        <v>0</v>
      </c>
      <c r="T132" s="150">
        <f>OneLineRR!W223</f>
        <v>0</v>
      </c>
      <c r="U132" s="157" t="str">
        <f>IF(OneLineRR!Q223="","",OneLineRR!Q223)</f>
        <v/>
      </c>
      <c r="V132" s="157" t="str">
        <f>IF(OneLineRR!R223="","",OneLineRR!R223)</f>
        <v/>
      </c>
      <c r="AB132" s="320" t="str">
        <f>IFERROR(U132+(COUNTIF($U$8:U132,U132)-1)/10000,"")</f>
        <v/>
      </c>
      <c r="AC132" s="158"/>
      <c r="AD132" s="119"/>
      <c r="AE132" s="460"/>
      <c r="AG132" s="119"/>
    </row>
    <row r="133" spans="4:33" x14ac:dyDescent="0.25">
      <c r="D133" s="154" t="str">
        <f>OneLineRR!A224</f>
        <v>Hudson View Park</v>
      </c>
      <c r="E133" s="104">
        <f>OneLineRR!J224</f>
        <v>0</v>
      </c>
      <c r="F133" s="104">
        <f>OneLineRR!K224</f>
        <v>0</v>
      </c>
      <c r="G133" s="155" t="e">
        <f>OneLineRR!D224</f>
        <v>#N/A</v>
      </c>
      <c r="H133" s="155" t="e">
        <f>IF(OneLineRR!G224="Yes","Affordable","Market")</f>
        <v>#N/A</v>
      </c>
      <c r="I133" s="104" t="e">
        <f>OneLineRR!I224</f>
        <v>#N/A</v>
      </c>
      <c r="J133" s="156">
        <f>OneLineRR!M224</f>
        <v>0</v>
      </c>
      <c r="K133" s="634">
        <f>OneLineRR!L224</f>
        <v>0</v>
      </c>
      <c r="L133" s="143" t="str">
        <f>OneLineRR!C224</f>
        <v>Occ</v>
      </c>
      <c r="M133" s="636">
        <f>OneLineRR!O224</f>
        <v>0</v>
      </c>
      <c r="N133" s="636">
        <f t="shared" si="1"/>
        <v>0</v>
      </c>
      <c r="O133" s="636">
        <f>OneLineRR!N224</f>
        <v>0</v>
      </c>
      <c r="P133" s="636" t="e" cm="1">
        <f t="array" ref="P133">INDEX('Unit Mix'!$P$6:$P$62,MATCH(1,('Rent Roll'!G133='Unit Mix'!$E$6:$E$62)*(D133='Unit Mix'!$D$6:$D$62),0))</f>
        <v>#N/A</v>
      </c>
      <c r="Q133" s="150">
        <f>OneLineRR!T224</f>
        <v>0</v>
      </c>
      <c r="R133" s="150">
        <f>OneLineRR!U224</f>
        <v>0</v>
      </c>
      <c r="S133" s="150">
        <f>OneLineRR!V224</f>
        <v>0</v>
      </c>
      <c r="T133" s="150">
        <f>OneLineRR!W224</f>
        <v>0</v>
      </c>
      <c r="U133" s="157" t="str">
        <f>IF(OneLineRR!Q224="","",OneLineRR!Q224)</f>
        <v/>
      </c>
      <c r="V133" s="157" t="str">
        <f>IF(OneLineRR!R224="","",OneLineRR!R224)</f>
        <v/>
      </c>
      <c r="AB133" s="320" t="str">
        <f>IFERROR(U133+(COUNTIF($U$8:U133,U133)-1)/10000,"")</f>
        <v/>
      </c>
      <c r="AC133" s="158"/>
      <c r="AD133" s="119"/>
      <c r="AE133" s="460"/>
      <c r="AG133" s="119"/>
    </row>
    <row r="134" spans="4:33" x14ac:dyDescent="0.25">
      <c r="D134" s="154" t="str">
        <f>OneLineRR!A225</f>
        <v>Hudson View Park</v>
      </c>
      <c r="E134" s="104">
        <f>OneLineRR!J225</f>
        <v>0</v>
      </c>
      <c r="F134" s="104">
        <f>OneLineRR!K225</f>
        <v>0</v>
      </c>
      <c r="G134" s="155" t="e">
        <f>OneLineRR!D225</f>
        <v>#N/A</v>
      </c>
      <c r="H134" s="155" t="e">
        <f>IF(OneLineRR!G225="Yes","Affordable","Market")</f>
        <v>#N/A</v>
      </c>
      <c r="I134" s="104" t="e">
        <f>OneLineRR!I225</f>
        <v>#N/A</v>
      </c>
      <c r="J134" s="156">
        <f>OneLineRR!M225</f>
        <v>0</v>
      </c>
      <c r="K134" s="634">
        <f>OneLineRR!L225</f>
        <v>0</v>
      </c>
      <c r="L134" s="143" t="str">
        <f>OneLineRR!C225</f>
        <v>Occ</v>
      </c>
      <c r="M134" s="636">
        <f>OneLineRR!O225</f>
        <v>0</v>
      </c>
      <c r="N134" s="636">
        <f t="shared" si="1"/>
        <v>0</v>
      </c>
      <c r="O134" s="636">
        <f>OneLineRR!N225</f>
        <v>0</v>
      </c>
      <c r="P134" s="636" t="e" cm="1">
        <f t="array" ref="P134">INDEX('Unit Mix'!$P$6:$P$62,MATCH(1,('Rent Roll'!G134='Unit Mix'!$E$6:$E$62)*(D134='Unit Mix'!$D$6:$D$62),0))</f>
        <v>#N/A</v>
      </c>
      <c r="Q134" s="150">
        <f>OneLineRR!T225</f>
        <v>0</v>
      </c>
      <c r="R134" s="150">
        <f>OneLineRR!U225</f>
        <v>0</v>
      </c>
      <c r="S134" s="150">
        <f>OneLineRR!V225</f>
        <v>0</v>
      </c>
      <c r="T134" s="150">
        <f>OneLineRR!W225</f>
        <v>0</v>
      </c>
      <c r="U134" s="157" t="str">
        <f>IF(OneLineRR!Q225="","",OneLineRR!Q225)</f>
        <v/>
      </c>
      <c r="V134" s="157" t="str">
        <f>IF(OneLineRR!R225="","",OneLineRR!R225)</f>
        <v/>
      </c>
      <c r="AB134" s="320" t="str">
        <f>IFERROR(U134+(COUNTIF($U$8:U134,U134)-1)/10000,"")</f>
        <v/>
      </c>
      <c r="AC134" s="158"/>
      <c r="AD134" s="119"/>
      <c r="AE134" s="460"/>
      <c r="AG134" s="119"/>
    </row>
    <row r="135" spans="4:33" x14ac:dyDescent="0.25">
      <c r="D135" s="154" t="str">
        <f>OneLineRR!A226</f>
        <v>Hudson View Park</v>
      </c>
      <c r="E135" s="104">
        <f>OneLineRR!J226</f>
        <v>0</v>
      </c>
      <c r="F135" s="104">
        <f>OneLineRR!K226</f>
        <v>0</v>
      </c>
      <c r="G135" s="155" t="e">
        <f>OneLineRR!D226</f>
        <v>#N/A</v>
      </c>
      <c r="H135" s="155" t="e">
        <f>IF(OneLineRR!G226="Yes","Affordable","Market")</f>
        <v>#N/A</v>
      </c>
      <c r="I135" s="104" t="e">
        <f>OneLineRR!I226</f>
        <v>#N/A</v>
      </c>
      <c r="J135" s="156">
        <f>OneLineRR!M226</f>
        <v>0</v>
      </c>
      <c r="K135" s="634">
        <f>OneLineRR!L226</f>
        <v>0</v>
      </c>
      <c r="L135" s="143" t="str">
        <f>OneLineRR!C226</f>
        <v>Occ</v>
      </c>
      <c r="M135" s="636">
        <f>OneLineRR!O226</f>
        <v>0</v>
      </c>
      <c r="N135" s="636">
        <f t="shared" si="1"/>
        <v>0</v>
      </c>
      <c r="O135" s="636">
        <f>OneLineRR!N226</f>
        <v>0</v>
      </c>
      <c r="P135" s="636" t="e" cm="1">
        <f t="array" ref="P135">INDEX('Unit Mix'!$P$6:$P$62,MATCH(1,('Rent Roll'!G135='Unit Mix'!$E$6:$E$62)*(D135='Unit Mix'!$D$6:$D$62),0))</f>
        <v>#N/A</v>
      </c>
      <c r="Q135" s="150">
        <f>OneLineRR!T226</f>
        <v>0</v>
      </c>
      <c r="R135" s="150">
        <f>OneLineRR!U226</f>
        <v>0</v>
      </c>
      <c r="S135" s="150">
        <f>OneLineRR!V226</f>
        <v>0</v>
      </c>
      <c r="T135" s="150">
        <f>OneLineRR!W226</f>
        <v>0</v>
      </c>
      <c r="U135" s="157" t="str">
        <f>IF(OneLineRR!Q226="","",OneLineRR!Q226)</f>
        <v/>
      </c>
      <c r="V135" s="157" t="str">
        <f>IF(OneLineRR!R226="","",OneLineRR!R226)</f>
        <v/>
      </c>
      <c r="AB135" s="320" t="str">
        <f>IFERROR(U135+(COUNTIF($U$8:U135,U135)-1)/10000,"")</f>
        <v/>
      </c>
      <c r="AC135" s="158"/>
      <c r="AD135" s="119"/>
      <c r="AE135" s="460"/>
      <c r="AG135" s="119"/>
    </row>
    <row r="136" spans="4:33" x14ac:dyDescent="0.25">
      <c r="D136" s="154" t="str">
        <f>OneLineRR!A227</f>
        <v>Hudson View Park</v>
      </c>
      <c r="E136" s="104">
        <f>OneLineRR!J227</f>
        <v>0</v>
      </c>
      <c r="F136" s="104">
        <f>OneLineRR!K227</f>
        <v>0</v>
      </c>
      <c r="G136" s="155" t="e">
        <f>OneLineRR!D227</f>
        <v>#N/A</v>
      </c>
      <c r="H136" s="155" t="e">
        <f>IF(OneLineRR!G227="Yes","Affordable","Market")</f>
        <v>#N/A</v>
      </c>
      <c r="I136" s="104" t="e">
        <f>OneLineRR!I227</f>
        <v>#N/A</v>
      </c>
      <c r="J136" s="156">
        <f>OneLineRR!M227</f>
        <v>0</v>
      </c>
      <c r="K136" s="634">
        <f>OneLineRR!L227</f>
        <v>0</v>
      </c>
      <c r="L136" s="143" t="str">
        <f>OneLineRR!C227</f>
        <v>Occ</v>
      </c>
      <c r="M136" s="636">
        <f>OneLineRR!O227</f>
        <v>0</v>
      </c>
      <c r="N136" s="636">
        <f t="shared" si="1"/>
        <v>0</v>
      </c>
      <c r="O136" s="636">
        <f>OneLineRR!N227</f>
        <v>0</v>
      </c>
      <c r="P136" s="636" t="e" cm="1">
        <f t="array" ref="P136">INDEX('Unit Mix'!$P$6:$P$62,MATCH(1,('Rent Roll'!G136='Unit Mix'!$E$6:$E$62)*(D136='Unit Mix'!$D$6:$D$62),0))</f>
        <v>#N/A</v>
      </c>
      <c r="Q136" s="150">
        <f>OneLineRR!T227</f>
        <v>0</v>
      </c>
      <c r="R136" s="150">
        <f>OneLineRR!U227</f>
        <v>0</v>
      </c>
      <c r="S136" s="150">
        <f>OneLineRR!V227</f>
        <v>0</v>
      </c>
      <c r="T136" s="150">
        <f>OneLineRR!W227</f>
        <v>0</v>
      </c>
      <c r="U136" s="157" t="str">
        <f>IF(OneLineRR!Q227="","",OneLineRR!Q227)</f>
        <v/>
      </c>
      <c r="V136" s="157" t="str">
        <f>IF(OneLineRR!R227="","",OneLineRR!R227)</f>
        <v/>
      </c>
      <c r="AB136" s="320" t="str">
        <f>IFERROR(U136+(COUNTIF($U$8:U136,U136)-1)/10000,"")</f>
        <v/>
      </c>
      <c r="AC136" s="158"/>
      <c r="AD136" s="119"/>
      <c r="AE136" s="460"/>
      <c r="AG136" s="119"/>
    </row>
    <row r="137" spans="4:33" x14ac:dyDescent="0.25">
      <c r="D137" s="154" t="str">
        <f>OneLineRR!A228</f>
        <v>Hudson View Park</v>
      </c>
      <c r="E137" s="104">
        <f>OneLineRR!J228</f>
        <v>0</v>
      </c>
      <c r="F137" s="104">
        <f>OneLineRR!K228</f>
        <v>0</v>
      </c>
      <c r="G137" s="155" t="e">
        <f>OneLineRR!D228</f>
        <v>#N/A</v>
      </c>
      <c r="H137" s="155" t="e">
        <f>IF(OneLineRR!G228="Yes","Affordable","Market")</f>
        <v>#N/A</v>
      </c>
      <c r="I137" s="104" t="e">
        <f>OneLineRR!I228</f>
        <v>#N/A</v>
      </c>
      <c r="J137" s="156">
        <f>OneLineRR!M228</f>
        <v>0</v>
      </c>
      <c r="K137" s="634">
        <f>OneLineRR!L228</f>
        <v>0</v>
      </c>
      <c r="L137" s="143" t="str">
        <f>OneLineRR!C228</f>
        <v>Occ</v>
      </c>
      <c r="M137" s="636">
        <f>OneLineRR!O228</f>
        <v>0</v>
      </c>
      <c r="N137" s="636">
        <f t="shared" ref="N137:N200" si="2">IF(L137="Vac",P137,0)</f>
        <v>0</v>
      </c>
      <c r="O137" s="636">
        <f>OneLineRR!N228</f>
        <v>0</v>
      </c>
      <c r="P137" s="636" t="e" cm="1">
        <f t="array" ref="P137">INDEX('Unit Mix'!$P$6:$P$62,MATCH(1,('Rent Roll'!G137='Unit Mix'!$E$6:$E$62)*(D137='Unit Mix'!$D$6:$D$62),0))</f>
        <v>#N/A</v>
      </c>
      <c r="Q137" s="150">
        <f>OneLineRR!T228</f>
        <v>0</v>
      </c>
      <c r="R137" s="150">
        <f>OneLineRR!U228</f>
        <v>0</v>
      </c>
      <c r="S137" s="150">
        <f>OneLineRR!V228</f>
        <v>0</v>
      </c>
      <c r="T137" s="150">
        <f>OneLineRR!W228</f>
        <v>0</v>
      </c>
      <c r="U137" s="157" t="str">
        <f>IF(OneLineRR!Q228="","",OneLineRR!Q228)</f>
        <v/>
      </c>
      <c r="V137" s="157" t="str">
        <f>IF(OneLineRR!R228="","",OneLineRR!R228)</f>
        <v/>
      </c>
      <c r="AB137" s="320" t="str">
        <f>IFERROR(U137+(COUNTIF($U$8:U137,U137)-1)/10000,"")</f>
        <v/>
      </c>
      <c r="AC137" s="158"/>
      <c r="AD137" s="119"/>
      <c r="AE137" s="460"/>
      <c r="AG137" s="119"/>
    </row>
    <row r="138" spans="4:33" x14ac:dyDescent="0.25">
      <c r="D138" s="154" t="str">
        <f>OneLineRR!A229</f>
        <v>Hudson View Park</v>
      </c>
      <c r="E138" s="104">
        <f>OneLineRR!J229</f>
        <v>0</v>
      </c>
      <c r="F138" s="104">
        <f>OneLineRR!K229</f>
        <v>0</v>
      </c>
      <c r="G138" s="155" t="e">
        <f>OneLineRR!D229</f>
        <v>#N/A</v>
      </c>
      <c r="H138" s="155" t="e">
        <f>IF(OneLineRR!G229="Yes","Affordable","Market")</f>
        <v>#N/A</v>
      </c>
      <c r="I138" s="104" t="e">
        <f>OneLineRR!I229</f>
        <v>#N/A</v>
      </c>
      <c r="J138" s="156">
        <f>OneLineRR!M229</f>
        <v>0</v>
      </c>
      <c r="K138" s="634">
        <f>OneLineRR!L229</f>
        <v>0</v>
      </c>
      <c r="L138" s="143" t="str">
        <f>OneLineRR!C229</f>
        <v>Occ</v>
      </c>
      <c r="M138" s="636">
        <f>OneLineRR!O229</f>
        <v>0</v>
      </c>
      <c r="N138" s="636">
        <f t="shared" si="2"/>
        <v>0</v>
      </c>
      <c r="O138" s="636">
        <f>OneLineRR!N229</f>
        <v>0</v>
      </c>
      <c r="P138" s="636" t="e" cm="1">
        <f t="array" ref="P138">INDEX('Unit Mix'!$P$6:$P$62,MATCH(1,('Rent Roll'!G138='Unit Mix'!$E$6:$E$62)*(D138='Unit Mix'!$D$6:$D$62),0))</f>
        <v>#N/A</v>
      </c>
      <c r="Q138" s="150">
        <f>OneLineRR!T229</f>
        <v>0</v>
      </c>
      <c r="R138" s="150">
        <f>OneLineRR!U229</f>
        <v>0</v>
      </c>
      <c r="S138" s="150">
        <f>OneLineRR!V229</f>
        <v>0</v>
      </c>
      <c r="T138" s="150">
        <f>OneLineRR!W229</f>
        <v>0</v>
      </c>
      <c r="U138" s="157" t="str">
        <f>IF(OneLineRR!Q229="","",OneLineRR!Q229)</f>
        <v/>
      </c>
      <c r="V138" s="157" t="str">
        <f>IF(OneLineRR!R229="","",OneLineRR!R229)</f>
        <v/>
      </c>
      <c r="AB138" s="320" t="str">
        <f>IFERROR(U138+(COUNTIF($U$8:U138,U138)-1)/10000,"")</f>
        <v/>
      </c>
      <c r="AC138" s="158"/>
      <c r="AD138" s="119"/>
      <c r="AE138" s="460"/>
      <c r="AG138" s="119"/>
    </row>
    <row r="139" spans="4:33" x14ac:dyDescent="0.25">
      <c r="D139" s="154" t="str">
        <f>OneLineRR!A230</f>
        <v>Hudson View Park</v>
      </c>
      <c r="E139" s="104">
        <f>OneLineRR!J230</f>
        <v>0</v>
      </c>
      <c r="F139" s="104">
        <f>OneLineRR!K230</f>
        <v>0</v>
      </c>
      <c r="G139" s="155" t="e">
        <f>OneLineRR!D230</f>
        <v>#N/A</v>
      </c>
      <c r="H139" s="155" t="e">
        <f>IF(OneLineRR!G230="Yes","Affordable","Market")</f>
        <v>#N/A</v>
      </c>
      <c r="I139" s="104" t="e">
        <f>OneLineRR!I230</f>
        <v>#N/A</v>
      </c>
      <c r="J139" s="156">
        <f>OneLineRR!M230</f>
        <v>0</v>
      </c>
      <c r="K139" s="634">
        <f>OneLineRR!L230</f>
        <v>0</v>
      </c>
      <c r="L139" s="143" t="str">
        <f>OneLineRR!C230</f>
        <v>Occ</v>
      </c>
      <c r="M139" s="636">
        <f>OneLineRR!O230</f>
        <v>0</v>
      </c>
      <c r="N139" s="636">
        <f t="shared" si="2"/>
        <v>0</v>
      </c>
      <c r="O139" s="636">
        <f>OneLineRR!N230</f>
        <v>0</v>
      </c>
      <c r="P139" s="636" t="e" cm="1">
        <f t="array" ref="P139">INDEX('Unit Mix'!$P$6:$P$62,MATCH(1,('Rent Roll'!G139='Unit Mix'!$E$6:$E$62)*(D139='Unit Mix'!$D$6:$D$62),0))</f>
        <v>#N/A</v>
      </c>
      <c r="Q139" s="150">
        <f>OneLineRR!T230</f>
        <v>0</v>
      </c>
      <c r="R139" s="150">
        <f>OneLineRR!U230</f>
        <v>0</v>
      </c>
      <c r="S139" s="150">
        <f>OneLineRR!V230</f>
        <v>0</v>
      </c>
      <c r="T139" s="150">
        <f>OneLineRR!W230</f>
        <v>0</v>
      </c>
      <c r="U139" s="157" t="str">
        <f>IF(OneLineRR!Q230="","",OneLineRR!Q230)</f>
        <v/>
      </c>
      <c r="V139" s="157" t="str">
        <f>IF(OneLineRR!R230="","",OneLineRR!R230)</f>
        <v/>
      </c>
      <c r="AB139" s="320" t="str">
        <f>IFERROR(U139+(COUNTIF($U$8:U139,U139)-1)/10000,"")</f>
        <v/>
      </c>
      <c r="AC139" s="158"/>
      <c r="AD139" s="119"/>
      <c r="AE139" s="460"/>
      <c r="AG139" s="119"/>
    </row>
    <row r="140" spans="4:33" x14ac:dyDescent="0.25">
      <c r="D140" s="154" t="str">
        <f>OneLineRR!A231</f>
        <v>Hudson View Park</v>
      </c>
      <c r="E140" s="104">
        <f>OneLineRR!J231</f>
        <v>0</v>
      </c>
      <c r="F140" s="104">
        <f>OneLineRR!K231</f>
        <v>0</v>
      </c>
      <c r="G140" s="155" t="e">
        <f>OneLineRR!D231</f>
        <v>#N/A</v>
      </c>
      <c r="H140" s="155" t="e">
        <f>IF(OneLineRR!G231="Yes","Affordable","Market")</f>
        <v>#N/A</v>
      </c>
      <c r="I140" s="104" t="e">
        <f>OneLineRR!I231</f>
        <v>#N/A</v>
      </c>
      <c r="J140" s="156">
        <f>OneLineRR!M231</f>
        <v>0</v>
      </c>
      <c r="K140" s="634">
        <f>OneLineRR!L231</f>
        <v>0</v>
      </c>
      <c r="L140" s="143" t="str">
        <f>OneLineRR!C231</f>
        <v>Occ</v>
      </c>
      <c r="M140" s="636">
        <f>OneLineRR!O231</f>
        <v>0</v>
      </c>
      <c r="N140" s="636">
        <f t="shared" si="2"/>
        <v>0</v>
      </c>
      <c r="O140" s="636">
        <f>OneLineRR!N231</f>
        <v>0</v>
      </c>
      <c r="P140" s="636" t="e" cm="1">
        <f t="array" ref="P140">INDEX('Unit Mix'!$P$6:$P$62,MATCH(1,('Rent Roll'!G140='Unit Mix'!$E$6:$E$62)*(D140='Unit Mix'!$D$6:$D$62),0))</f>
        <v>#N/A</v>
      </c>
      <c r="Q140" s="150">
        <f>OneLineRR!T231</f>
        <v>0</v>
      </c>
      <c r="R140" s="150">
        <f>OneLineRR!U231</f>
        <v>0</v>
      </c>
      <c r="S140" s="150">
        <f>OneLineRR!V231</f>
        <v>0</v>
      </c>
      <c r="T140" s="150">
        <f>OneLineRR!W231</f>
        <v>0</v>
      </c>
      <c r="U140" s="157" t="str">
        <f>IF(OneLineRR!Q231="","",OneLineRR!Q231)</f>
        <v/>
      </c>
      <c r="V140" s="157" t="str">
        <f>IF(OneLineRR!R231="","",OneLineRR!R231)</f>
        <v/>
      </c>
      <c r="AB140" s="320" t="str">
        <f>IFERROR(U140+(COUNTIF($U$8:U140,U140)-1)/10000,"")</f>
        <v/>
      </c>
      <c r="AC140" s="158"/>
      <c r="AD140" s="119"/>
      <c r="AE140" s="460"/>
      <c r="AG140" s="119"/>
    </row>
    <row r="141" spans="4:33" x14ac:dyDescent="0.25">
      <c r="D141" s="154" t="str">
        <f>OneLineRR!A232</f>
        <v>Hudson View Park</v>
      </c>
      <c r="E141" s="104">
        <f>OneLineRR!J232</f>
        <v>0</v>
      </c>
      <c r="F141" s="104">
        <f>OneLineRR!K232</f>
        <v>0</v>
      </c>
      <c r="G141" s="155" t="e">
        <f>OneLineRR!D232</f>
        <v>#N/A</v>
      </c>
      <c r="H141" s="155" t="e">
        <f>IF(OneLineRR!G232="Yes","Affordable","Market")</f>
        <v>#N/A</v>
      </c>
      <c r="I141" s="104" t="e">
        <f>OneLineRR!I232</f>
        <v>#N/A</v>
      </c>
      <c r="J141" s="156">
        <f>OneLineRR!M232</f>
        <v>0</v>
      </c>
      <c r="K141" s="634">
        <f>OneLineRR!L232</f>
        <v>0</v>
      </c>
      <c r="L141" s="143" t="str">
        <f>OneLineRR!C232</f>
        <v>Occ</v>
      </c>
      <c r="M141" s="636">
        <f>OneLineRR!O232</f>
        <v>0</v>
      </c>
      <c r="N141" s="636">
        <f t="shared" si="2"/>
        <v>0</v>
      </c>
      <c r="O141" s="636">
        <f>OneLineRR!N232</f>
        <v>0</v>
      </c>
      <c r="P141" s="636" t="e" cm="1">
        <f t="array" ref="P141">INDEX('Unit Mix'!$P$6:$P$62,MATCH(1,('Rent Roll'!G141='Unit Mix'!$E$6:$E$62)*(D141='Unit Mix'!$D$6:$D$62),0))</f>
        <v>#N/A</v>
      </c>
      <c r="Q141" s="150">
        <f>OneLineRR!T232</f>
        <v>0</v>
      </c>
      <c r="R141" s="150">
        <f>OneLineRR!U232</f>
        <v>0</v>
      </c>
      <c r="S141" s="150">
        <f>OneLineRR!V232</f>
        <v>0</v>
      </c>
      <c r="T141" s="150">
        <f>OneLineRR!W232</f>
        <v>0</v>
      </c>
      <c r="U141" s="157" t="str">
        <f>IF(OneLineRR!Q232="","",OneLineRR!Q232)</f>
        <v/>
      </c>
      <c r="V141" s="157" t="str">
        <f>IF(OneLineRR!R232="","",OneLineRR!R232)</f>
        <v/>
      </c>
      <c r="AB141" s="320" t="str">
        <f>IFERROR(U141+(COUNTIF($U$8:U141,U141)-1)/10000,"")</f>
        <v/>
      </c>
      <c r="AC141" s="158"/>
      <c r="AD141" s="119"/>
      <c r="AE141" s="460"/>
      <c r="AG141" s="119"/>
    </row>
    <row r="142" spans="4:33" x14ac:dyDescent="0.25">
      <c r="D142" s="154" t="str">
        <f>OneLineRR!A233</f>
        <v>Hudson View Park</v>
      </c>
      <c r="E142" s="104">
        <f>OneLineRR!J233</f>
        <v>0</v>
      </c>
      <c r="F142" s="104">
        <f>OneLineRR!K233</f>
        <v>0</v>
      </c>
      <c r="G142" s="155" t="e">
        <f>OneLineRR!D233</f>
        <v>#N/A</v>
      </c>
      <c r="H142" s="155" t="e">
        <f>IF(OneLineRR!G233="Yes","Affordable","Market")</f>
        <v>#N/A</v>
      </c>
      <c r="I142" s="104" t="e">
        <f>OneLineRR!I233</f>
        <v>#N/A</v>
      </c>
      <c r="J142" s="156">
        <f>OneLineRR!M233</f>
        <v>0</v>
      </c>
      <c r="K142" s="634">
        <f>OneLineRR!L233</f>
        <v>0</v>
      </c>
      <c r="L142" s="143" t="str">
        <f>OneLineRR!C233</f>
        <v>Occ</v>
      </c>
      <c r="M142" s="636">
        <f>OneLineRR!O233</f>
        <v>0</v>
      </c>
      <c r="N142" s="636">
        <f t="shared" si="2"/>
        <v>0</v>
      </c>
      <c r="O142" s="636">
        <f>OneLineRR!N233</f>
        <v>0</v>
      </c>
      <c r="P142" s="636" t="e" cm="1">
        <f t="array" ref="P142">INDEX('Unit Mix'!$P$6:$P$62,MATCH(1,('Rent Roll'!G142='Unit Mix'!$E$6:$E$62)*(D142='Unit Mix'!$D$6:$D$62),0))</f>
        <v>#N/A</v>
      </c>
      <c r="Q142" s="150">
        <f>OneLineRR!T233</f>
        <v>0</v>
      </c>
      <c r="R142" s="150">
        <f>OneLineRR!U233</f>
        <v>0</v>
      </c>
      <c r="S142" s="150">
        <f>OneLineRR!V233</f>
        <v>0</v>
      </c>
      <c r="T142" s="150">
        <f>OneLineRR!W233</f>
        <v>0</v>
      </c>
      <c r="U142" s="157" t="str">
        <f>IF(OneLineRR!Q233="","",OneLineRR!Q233)</f>
        <v/>
      </c>
      <c r="V142" s="157" t="str">
        <f>IF(OneLineRR!R233="","",OneLineRR!R233)</f>
        <v/>
      </c>
      <c r="AB142" s="320" t="str">
        <f>IFERROR(U142+(COUNTIF($U$8:U142,U142)-1)/10000,"")</f>
        <v/>
      </c>
      <c r="AC142" s="158"/>
      <c r="AD142" s="119"/>
      <c r="AE142" s="460"/>
      <c r="AG142" s="119"/>
    </row>
    <row r="143" spans="4:33" x14ac:dyDescent="0.25">
      <c r="D143" s="154" t="str">
        <f>OneLineRR!A234</f>
        <v>Hudson View Park</v>
      </c>
      <c r="E143" s="104">
        <f>OneLineRR!J234</f>
        <v>0</v>
      </c>
      <c r="F143" s="104">
        <f>OneLineRR!K234</f>
        <v>0</v>
      </c>
      <c r="G143" s="155" t="e">
        <f>OneLineRR!D234</f>
        <v>#N/A</v>
      </c>
      <c r="H143" s="155" t="e">
        <f>IF(OneLineRR!G234="Yes","Affordable","Market")</f>
        <v>#N/A</v>
      </c>
      <c r="I143" s="104" t="e">
        <f>OneLineRR!I234</f>
        <v>#N/A</v>
      </c>
      <c r="J143" s="156">
        <f>OneLineRR!M234</f>
        <v>0</v>
      </c>
      <c r="K143" s="634">
        <f>OneLineRR!L234</f>
        <v>0</v>
      </c>
      <c r="L143" s="143" t="str">
        <f>OneLineRR!C234</f>
        <v>Occ</v>
      </c>
      <c r="M143" s="636">
        <f>OneLineRR!O234</f>
        <v>0</v>
      </c>
      <c r="N143" s="636">
        <f t="shared" si="2"/>
        <v>0</v>
      </c>
      <c r="O143" s="636">
        <f>OneLineRR!N234</f>
        <v>0</v>
      </c>
      <c r="P143" s="636" t="e" cm="1">
        <f t="array" ref="P143">INDEX('Unit Mix'!$P$6:$P$62,MATCH(1,('Rent Roll'!G143='Unit Mix'!$E$6:$E$62)*(D143='Unit Mix'!$D$6:$D$62),0))</f>
        <v>#N/A</v>
      </c>
      <c r="Q143" s="150">
        <f>OneLineRR!T234</f>
        <v>0</v>
      </c>
      <c r="R143" s="150">
        <f>OneLineRR!U234</f>
        <v>0</v>
      </c>
      <c r="S143" s="150">
        <f>OneLineRR!V234</f>
        <v>0</v>
      </c>
      <c r="T143" s="150">
        <f>OneLineRR!W234</f>
        <v>0</v>
      </c>
      <c r="U143" s="157" t="str">
        <f>IF(OneLineRR!Q234="","",OneLineRR!Q234)</f>
        <v/>
      </c>
      <c r="V143" s="157" t="str">
        <f>IF(OneLineRR!R234="","",OneLineRR!R234)</f>
        <v/>
      </c>
      <c r="AB143" s="320" t="str">
        <f>IFERROR(U143+(COUNTIF($U$8:U143,U143)-1)/10000,"")</f>
        <v/>
      </c>
      <c r="AC143" s="158"/>
      <c r="AD143" s="119"/>
      <c r="AE143" s="460"/>
      <c r="AG143" s="119"/>
    </row>
    <row r="144" spans="4:33" x14ac:dyDescent="0.25">
      <c r="D144" s="154" t="str">
        <f>OneLineRR!A235</f>
        <v>Hudson View Park</v>
      </c>
      <c r="E144" s="104">
        <f>OneLineRR!J235</f>
        <v>0</v>
      </c>
      <c r="F144" s="104">
        <f>OneLineRR!K235</f>
        <v>0</v>
      </c>
      <c r="G144" s="155" t="e">
        <f>OneLineRR!D235</f>
        <v>#N/A</v>
      </c>
      <c r="H144" s="155" t="e">
        <f>IF(OneLineRR!G235="Yes","Affordable","Market")</f>
        <v>#N/A</v>
      </c>
      <c r="I144" s="104" t="e">
        <f>OneLineRR!I235</f>
        <v>#N/A</v>
      </c>
      <c r="J144" s="156">
        <f>OneLineRR!M235</f>
        <v>0</v>
      </c>
      <c r="K144" s="634">
        <f>OneLineRR!L235</f>
        <v>0</v>
      </c>
      <c r="L144" s="143" t="str">
        <f>OneLineRR!C235</f>
        <v>Occ</v>
      </c>
      <c r="M144" s="636">
        <f>OneLineRR!O235</f>
        <v>0</v>
      </c>
      <c r="N144" s="636">
        <f t="shared" si="2"/>
        <v>0</v>
      </c>
      <c r="O144" s="636">
        <f>OneLineRR!N235</f>
        <v>0</v>
      </c>
      <c r="P144" s="636" t="e" cm="1">
        <f t="array" ref="P144">INDEX('Unit Mix'!$P$6:$P$62,MATCH(1,('Rent Roll'!G144='Unit Mix'!$E$6:$E$62)*(D144='Unit Mix'!$D$6:$D$62),0))</f>
        <v>#N/A</v>
      </c>
      <c r="Q144" s="150">
        <f>OneLineRR!T235</f>
        <v>0</v>
      </c>
      <c r="R144" s="150">
        <f>OneLineRR!U235</f>
        <v>0</v>
      </c>
      <c r="S144" s="150">
        <f>OneLineRR!V235</f>
        <v>0</v>
      </c>
      <c r="T144" s="150">
        <f>OneLineRR!W235</f>
        <v>0</v>
      </c>
      <c r="U144" s="157" t="str">
        <f>IF(OneLineRR!Q235="","",OneLineRR!Q235)</f>
        <v/>
      </c>
      <c r="V144" s="157" t="str">
        <f>IF(OneLineRR!R235="","",OneLineRR!R235)</f>
        <v/>
      </c>
      <c r="AB144" s="320" t="str">
        <f>IFERROR(U144+(COUNTIF($U$8:U144,U144)-1)/10000,"")</f>
        <v/>
      </c>
      <c r="AC144" s="158"/>
      <c r="AD144" s="119"/>
      <c r="AE144" s="460"/>
      <c r="AG144" s="119"/>
    </row>
    <row r="145" spans="4:33" x14ac:dyDescent="0.25">
      <c r="D145" s="154" t="str">
        <f>OneLineRR!A236</f>
        <v>Hudson View Park</v>
      </c>
      <c r="E145" s="104">
        <f>OneLineRR!J236</f>
        <v>0</v>
      </c>
      <c r="F145" s="104">
        <f>OneLineRR!K236</f>
        <v>0</v>
      </c>
      <c r="G145" s="155" t="e">
        <f>OneLineRR!D236</f>
        <v>#N/A</v>
      </c>
      <c r="H145" s="155" t="e">
        <f>IF(OneLineRR!G236="Yes","Affordable","Market")</f>
        <v>#N/A</v>
      </c>
      <c r="I145" s="104" t="e">
        <f>OneLineRR!I236</f>
        <v>#N/A</v>
      </c>
      <c r="J145" s="156">
        <f>OneLineRR!M236</f>
        <v>0</v>
      </c>
      <c r="K145" s="634">
        <f>OneLineRR!L236</f>
        <v>0</v>
      </c>
      <c r="L145" s="143" t="str">
        <f>OneLineRR!C236</f>
        <v>Occ</v>
      </c>
      <c r="M145" s="636">
        <f>OneLineRR!O236</f>
        <v>0</v>
      </c>
      <c r="N145" s="636">
        <f t="shared" si="2"/>
        <v>0</v>
      </c>
      <c r="O145" s="636">
        <f>OneLineRR!N236</f>
        <v>0</v>
      </c>
      <c r="P145" s="636" t="e" cm="1">
        <f t="array" ref="P145">INDEX('Unit Mix'!$P$6:$P$62,MATCH(1,('Rent Roll'!G145='Unit Mix'!$E$6:$E$62)*(D145='Unit Mix'!$D$6:$D$62),0))</f>
        <v>#N/A</v>
      </c>
      <c r="Q145" s="150">
        <f>OneLineRR!T236</f>
        <v>0</v>
      </c>
      <c r="R145" s="150">
        <f>OneLineRR!U236</f>
        <v>0</v>
      </c>
      <c r="S145" s="150">
        <f>OneLineRR!V236</f>
        <v>0</v>
      </c>
      <c r="T145" s="150">
        <f>OneLineRR!W236</f>
        <v>0</v>
      </c>
      <c r="U145" s="157" t="str">
        <f>IF(OneLineRR!Q236="","",OneLineRR!Q236)</f>
        <v/>
      </c>
      <c r="V145" s="157" t="str">
        <f>IF(OneLineRR!R236="","",OneLineRR!R236)</f>
        <v/>
      </c>
      <c r="AB145" s="320" t="str">
        <f>IFERROR(U145+(COUNTIF($U$8:U145,U145)-1)/10000,"")</f>
        <v/>
      </c>
      <c r="AC145" s="158"/>
      <c r="AD145" s="119"/>
      <c r="AE145" s="460"/>
      <c r="AG145" s="119"/>
    </row>
    <row r="146" spans="4:33" x14ac:dyDescent="0.25">
      <c r="D146" s="154" t="str">
        <f>OneLineRR!A237</f>
        <v>Hudson View Park</v>
      </c>
      <c r="E146" s="104">
        <f>OneLineRR!J237</f>
        <v>0</v>
      </c>
      <c r="F146" s="104">
        <f>OneLineRR!K237</f>
        <v>0</v>
      </c>
      <c r="G146" s="155" t="e">
        <f>OneLineRR!D237</f>
        <v>#N/A</v>
      </c>
      <c r="H146" s="155" t="e">
        <f>IF(OneLineRR!G237="Yes","Affordable","Market")</f>
        <v>#N/A</v>
      </c>
      <c r="I146" s="104" t="e">
        <f>OneLineRR!I237</f>
        <v>#N/A</v>
      </c>
      <c r="J146" s="156">
        <f>OneLineRR!M237</f>
        <v>0</v>
      </c>
      <c r="K146" s="634">
        <f>OneLineRR!L237</f>
        <v>0</v>
      </c>
      <c r="L146" s="143" t="str">
        <f>OneLineRR!C237</f>
        <v>Occ</v>
      </c>
      <c r="M146" s="636">
        <f>OneLineRR!O237</f>
        <v>0</v>
      </c>
      <c r="N146" s="636">
        <f t="shared" si="2"/>
        <v>0</v>
      </c>
      <c r="O146" s="636">
        <f>OneLineRR!N237</f>
        <v>0</v>
      </c>
      <c r="P146" s="636" t="e" cm="1">
        <f t="array" ref="P146">INDEX('Unit Mix'!$P$6:$P$62,MATCH(1,('Rent Roll'!G146='Unit Mix'!$E$6:$E$62)*(D146='Unit Mix'!$D$6:$D$62),0))</f>
        <v>#N/A</v>
      </c>
      <c r="Q146" s="150">
        <f>OneLineRR!T237</f>
        <v>0</v>
      </c>
      <c r="R146" s="150">
        <f>OneLineRR!U237</f>
        <v>0</v>
      </c>
      <c r="S146" s="150">
        <f>OneLineRR!V237</f>
        <v>0</v>
      </c>
      <c r="T146" s="150">
        <f>OneLineRR!W237</f>
        <v>0</v>
      </c>
      <c r="U146" s="157" t="str">
        <f>IF(OneLineRR!Q237="","",OneLineRR!Q237)</f>
        <v/>
      </c>
      <c r="V146" s="157" t="str">
        <f>IF(OneLineRR!R237="","",OneLineRR!R237)</f>
        <v/>
      </c>
      <c r="AB146" s="320" t="str">
        <f>IFERROR(U146+(COUNTIF($U$8:U146,U146)-1)/10000,"")</f>
        <v/>
      </c>
      <c r="AC146" s="158"/>
      <c r="AD146" s="119"/>
      <c r="AE146" s="460"/>
      <c r="AG146" s="119"/>
    </row>
    <row r="147" spans="4:33" x14ac:dyDescent="0.25">
      <c r="D147" s="154" t="str">
        <f>OneLineRR!A238</f>
        <v>Hudson View Park</v>
      </c>
      <c r="E147" s="104">
        <f>OneLineRR!J238</f>
        <v>0</v>
      </c>
      <c r="F147" s="104">
        <f>OneLineRR!K238</f>
        <v>0</v>
      </c>
      <c r="G147" s="155" t="e">
        <f>OneLineRR!D238</f>
        <v>#N/A</v>
      </c>
      <c r="H147" s="155" t="e">
        <f>IF(OneLineRR!G238="Yes","Affordable","Market")</f>
        <v>#N/A</v>
      </c>
      <c r="I147" s="104" t="e">
        <f>OneLineRR!I238</f>
        <v>#N/A</v>
      </c>
      <c r="J147" s="156">
        <f>OneLineRR!M238</f>
        <v>0</v>
      </c>
      <c r="K147" s="634">
        <f>OneLineRR!L238</f>
        <v>0</v>
      </c>
      <c r="L147" s="143" t="str">
        <f>OneLineRR!C238</f>
        <v>Occ</v>
      </c>
      <c r="M147" s="636">
        <f>OneLineRR!O238</f>
        <v>0</v>
      </c>
      <c r="N147" s="636">
        <f t="shared" si="2"/>
        <v>0</v>
      </c>
      <c r="O147" s="636">
        <f>OneLineRR!N238</f>
        <v>0</v>
      </c>
      <c r="P147" s="636" t="e" cm="1">
        <f t="array" ref="P147">INDEX('Unit Mix'!$P$6:$P$62,MATCH(1,('Rent Roll'!G147='Unit Mix'!$E$6:$E$62)*(D147='Unit Mix'!$D$6:$D$62),0))</f>
        <v>#N/A</v>
      </c>
      <c r="Q147" s="150">
        <f>OneLineRR!T238</f>
        <v>0</v>
      </c>
      <c r="R147" s="150">
        <f>OneLineRR!U238</f>
        <v>0</v>
      </c>
      <c r="S147" s="150">
        <f>OneLineRR!V238</f>
        <v>0</v>
      </c>
      <c r="T147" s="150">
        <f>OneLineRR!W238</f>
        <v>0</v>
      </c>
      <c r="U147" s="157" t="str">
        <f>IF(OneLineRR!Q238="","",OneLineRR!Q238)</f>
        <v/>
      </c>
      <c r="V147" s="157" t="str">
        <f>IF(OneLineRR!R238="","",OneLineRR!R238)</f>
        <v/>
      </c>
      <c r="AB147" s="320" t="str">
        <f>IFERROR(U147+(COUNTIF($U$8:U147,U147)-1)/10000,"")</f>
        <v/>
      </c>
      <c r="AC147" s="158"/>
      <c r="AD147" s="119"/>
      <c r="AE147" s="460"/>
      <c r="AG147" s="119"/>
    </row>
    <row r="148" spans="4:33" x14ac:dyDescent="0.25">
      <c r="D148" s="154" t="str">
        <f>OneLineRR!A239</f>
        <v>Hudson View Park</v>
      </c>
      <c r="E148" s="104">
        <f>OneLineRR!J239</f>
        <v>0</v>
      </c>
      <c r="F148" s="104">
        <f>OneLineRR!K239</f>
        <v>0</v>
      </c>
      <c r="G148" s="155" t="e">
        <f>OneLineRR!D239</f>
        <v>#N/A</v>
      </c>
      <c r="H148" s="155" t="e">
        <f>IF(OneLineRR!G239="Yes","Affordable","Market")</f>
        <v>#N/A</v>
      </c>
      <c r="I148" s="104" t="e">
        <f>OneLineRR!I239</f>
        <v>#N/A</v>
      </c>
      <c r="J148" s="156">
        <f>OneLineRR!M239</f>
        <v>0</v>
      </c>
      <c r="K148" s="634">
        <f>OneLineRR!L239</f>
        <v>0</v>
      </c>
      <c r="L148" s="143" t="str">
        <f>OneLineRR!C239</f>
        <v>Occ</v>
      </c>
      <c r="M148" s="636">
        <f>OneLineRR!O239</f>
        <v>0</v>
      </c>
      <c r="N148" s="636">
        <f t="shared" si="2"/>
        <v>0</v>
      </c>
      <c r="O148" s="636">
        <f>OneLineRR!N239</f>
        <v>0</v>
      </c>
      <c r="P148" s="636" t="e" cm="1">
        <f t="array" ref="P148">INDEX('Unit Mix'!$P$6:$P$62,MATCH(1,('Rent Roll'!G148='Unit Mix'!$E$6:$E$62)*(D148='Unit Mix'!$D$6:$D$62),0))</f>
        <v>#N/A</v>
      </c>
      <c r="Q148" s="150">
        <f>OneLineRR!T239</f>
        <v>0</v>
      </c>
      <c r="R148" s="150">
        <f>OneLineRR!U239</f>
        <v>0</v>
      </c>
      <c r="S148" s="150">
        <f>OneLineRR!V239</f>
        <v>0</v>
      </c>
      <c r="T148" s="150">
        <f>OneLineRR!W239</f>
        <v>0</v>
      </c>
      <c r="U148" s="157" t="str">
        <f>IF(OneLineRR!Q239="","",OneLineRR!Q239)</f>
        <v/>
      </c>
      <c r="V148" s="157" t="str">
        <f>IF(OneLineRR!R239="","",OneLineRR!R239)</f>
        <v/>
      </c>
      <c r="AB148" s="320" t="str">
        <f>IFERROR(U148+(COUNTIF($U$8:U148,U148)-1)/10000,"")</f>
        <v/>
      </c>
      <c r="AC148" s="158"/>
      <c r="AD148" s="119"/>
      <c r="AE148" s="460"/>
      <c r="AG148" s="119"/>
    </row>
    <row r="149" spans="4:33" x14ac:dyDescent="0.25">
      <c r="D149" s="154" t="str">
        <f>OneLineRR!A240</f>
        <v>Hudson View Park</v>
      </c>
      <c r="E149" s="104">
        <f>OneLineRR!J240</f>
        <v>0</v>
      </c>
      <c r="F149" s="104">
        <f>OneLineRR!K240</f>
        <v>0</v>
      </c>
      <c r="G149" s="155" t="e">
        <f>OneLineRR!D240</f>
        <v>#N/A</v>
      </c>
      <c r="H149" s="155" t="e">
        <f>IF(OneLineRR!G240="Yes","Affordable","Market")</f>
        <v>#N/A</v>
      </c>
      <c r="I149" s="104" t="e">
        <f>OneLineRR!I240</f>
        <v>#N/A</v>
      </c>
      <c r="J149" s="156">
        <f>OneLineRR!M240</f>
        <v>0</v>
      </c>
      <c r="K149" s="634">
        <f>OneLineRR!L240</f>
        <v>0</v>
      </c>
      <c r="L149" s="143" t="str">
        <f>OneLineRR!C240</f>
        <v>Occ</v>
      </c>
      <c r="M149" s="636">
        <f>OneLineRR!O240</f>
        <v>0</v>
      </c>
      <c r="N149" s="636">
        <f t="shared" si="2"/>
        <v>0</v>
      </c>
      <c r="O149" s="636">
        <f>OneLineRR!N240</f>
        <v>0</v>
      </c>
      <c r="P149" s="636" t="e" cm="1">
        <f t="array" ref="P149">INDEX('Unit Mix'!$P$6:$P$62,MATCH(1,('Rent Roll'!G149='Unit Mix'!$E$6:$E$62)*(D149='Unit Mix'!$D$6:$D$62),0))</f>
        <v>#N/A</v>
      </c>
      <c r="Q149" s="150">
        <f>OneLineRR!T240</f>
        <v>0</v>
      </c>
      <c r="R149" s="150">
        <f>OneLineRR!U240</f>
        <v>0</v>
      </c>
      <c r="S149" s="150">
        <f>OneLineRR!V240</f>
        <v>0</v>
      </c>
      <c r="T149" s="150">
        <f>OneLineRR!W240</f>
        <v>0</v>
      </c>
      <c r="U149" s="157" t="str">
        <f>IF(OneLineRR!Q240="","",OneLineRR!Q240)</f>
        <v/>
      </c>
      <c r="V149" s="157" t="str">
        <f>IF(OneLineRR!R240="","",OneLineRR!R240)</f>
        <v/>
      </c>
      <c r="AB149" s="320" t="str">
        <f>IFERROR(U149+(COUNTIF($U$8:U149,U149)-1)/10000,"")</f>
        <v/>
      </c>
      <c r="AC149" s="158"/>
      <c r="AD149" s="119"/>
      <c r="AE149" s="460"/>
      <c r="AG149" s="119"/>
    </row>
    <row r="150" spans="4:33" x14ac:dyDescent="0.25">
      <c r="D150" s="154" t="str">
        <f>OneLineRR!A241</f>
        <v>Hudson View Park</v>
      </c>
      <c r="E150" s="104">
        <f>OneLineRR!J241</f>
        <v>0</v>
      </c>
      <c r="F150" s="104">
        <f>OneLineRR!K241</f>
        <v>0</v>
      </c>
      <c r="G150" s="155" t="e">
        <f>OneLineRR!D241</f>
        <v>#N/A</v>
      </c>
      <c r="H150" s="155" t="e">
        <f>IF(OneLineRR!G241="Yes","Affordable","Market")</f>
        <v>#N/A</v>
      </c>
      <c r="I150" s="104" t="e">
        <f>OneLineRR!I241</f>
        <v>#N/A</v>
      </c>
      <c r="J150" s="156">
        <f>OneLineRR!M241</f>
        <v>0</v>
      </c>
      <c r="K150" s="634">
        <f>OneLineRR!L241</f>
        <v>0</v>
      </c>
      <c r="L150" s="143" t="str">
        <f>OneLineRR!C241</f>
        <v>Occ</v>
      </c>
      <c r="M150" s="636">
        <f>OneLineRR!O241</f>
        <v>0</v>
      </c>
      <c r="N150" s="636">
        <f t="shared" si="2"/>
        <v>0</v>
      </c>
      <c r="O150" s="636">
        <f>OneLineRR!N241</f>
        <v>0</v>
      </c>
      <c r="P150" s="636" t="e" cm="1">
        <f t="array" ref="P150">INDEX('Unit Mix'!$P$6:$P$62,MATCH(1,('Rent Roll'!G150='Unit Mix'!$E$6:$E$62)*(D150='Unit Mix'!$D$6:$D$62),0))</f>
        <v>#N/A</v>
      </c>
      <c r="Q150" s="150">
        <f>OneLineRR!T241</f>
        <v>0</v>
      </c>
      <c r="R150" s="150">
        <f>OneLineRR!U241</f>
        <v>0</v>
      </c>
      <c r="S150" s="150">
        <f>OneLineRR!V241</f>
        <v>0</v>
      </c>
      <c r="T150" s="150">
        <f>OneLineRR!W241</f>
        <v>0</v>
      </c>
      <c r="U150" s="157" t="str">
        <f>IF(OneLineRR!Q241="","",OneLineRR!Q241)</f>
        <v/>
      </c>
      <c r="V150" s="157" t="str">
        <f>IF(OneLineRR!R241="","",OneLineRR!R241)</f>
        <v/>
      </c>
      <c r="AB150" s="320" t="str">
        <f>IFERROR(U150+(COUNTIF($U$8:U150,U150)-1)/10000,"")</f>
        <v/>
      </c>
      <c r="AC150" s="158"/>
      <c r="AD150" s="119"/>
      <c r="AE150" s="460"/>
      <c r="AG150" s="119"/>
    </row>
    <row r="151" spans="4:33" x14ac:dyDescent="0.25">
      <c r="D151" s="154" t="str">
        <f>OneLineRR!A242</f>
        <v>Hudson View Park</v>
      </c>
      <c r="E151" s="104">
        <f>OneLineRR!J242</f>
        <v>0</v>
      </c>
      <c r="F151" s="104">
        <f>OneLineRR!K242</f>
        <v>0</v>
      </c>
      <c r="G151" s="155" t="e">
        <f>OneLineRR!D242</f>
        <v>#N/A</v>
      </c>
      <c r="H151" s="155" t="e">
        <f>IF(OneLineRR!G242="Yes","Affordable","Market")</f>
        <v>#N/A</v>
      </c>
      <c r="I151" s="104" t="e">
        <f>OneLineRR!I242</f>
        <v>#N/A</v>
      </c>
      <c r="J151" s="156">
        <f>OneLineRR!M242</f>
        <v>0</v>
      </c>
      <c r="K151" s="634">
        <f>OneLineRR!L242</f>
        <v>0</v>
      </c>
      <c r="L151" s="143" t="str">
        <f>OneLineRR!C242</f>
        <v>Occ</v>
      </c>
      <c r="M151" s="636">
        <f>OneLineRR!O242</f>
        <v>0</v>
      </c>
      <c r="N151" s="636">
        <f t="shared" si="2"/>
        <v>0</v>
      </c>
      <c r="O151" s="636">
        <f>OneLineRR!N242</f>
        <v>0</v>
      </c>
      <c r="P151" s="636" t="e" cm="1">
        <f t="array" ref="P151">INDEX('Unit Mix'!$P$6:$P$62,MATCH(1,('Rent Roll'!G151='Unit Mix'!$E$6:$E$62)*(D151='Unit Mix'!$D$6:$D$62),0))</f>
        <v>#N/A</v>
      </c>
      <c r="Q151" s="150">
        <f>OneLineRR!T242</f>
        <v>0</v>
      </c>
      <c r="R151" s="150">
        <f>OneLineRR!U242</f>
        <v>0</v>
      </c>
      <c r="S151" s="150">
        <f>OneLineRR!V242</f>
        <v>0</v>
      </c>
      <c r="T151" s="150">
        <f>OneLineRR!W242</f>
        <v>0</v>
      </c>
      <c r="U151" s="157" t="str">
        <f>IF(OneLineRR!Q242="","",OneLineRR!Q242)</f>
        <v/>
      </c>
      <c r="V151" s="157" t="str">
        <f>IF(OneLineRR!R242="","",OneLineRR!R242)</f>
        <v/>
      </c>
      <c r="AB151" s="320" t="str">
        <f>IFERROR(U151+(COUNTIF($U$8:U151,U151)-1)/10000,"")</f>
        <v/>
      </c>
      <c r="AC151" s="158"/>
      <c r="AD151" s="119"/>
      <c r="AE151" s="460"/>
      <c r="AG151" s="119"/>
    </row>
    <row r="152" spans="4:33" x14ac:dyDescent="0.25">
      <c r="D152" s="154" t="str">
        <f>OneLineRR!A243</f>
        <v>Hudson View Park</v>
      </c>
      <c r="E152" s="104">
        <f>OneLineRR!J243</f>
        <v>0</v>
      </c>
      <c r="F152" s="104">
        <f>OneLineRR!K243</f>
        <v>0</v>
      </c>
      <c r="G152" s="155" t="e">
        <f>OneLineRR!D243</f>
        <v>#N/A</v>
      </c>
      <c r="H152" s="155" t="e">
        <f>IF(OneLineRR!G243="Yes","Affordable","Market")</f>
        <v>#N/A</v>
      </c>
      <c r="I152" s="104" t="e">
        <f>OneLineRR!I243</f>
        <v>#N/A</v>
      </c>
      <c r="J152" s="156">
        <f>OneLineRR!M243</f>
        <v>0</v>
      </c>
      <c r="K152" s="634">
        <f>OneLineRR!L243</f>
        <v>0</v>
      </c>
      <c r="L152" s="143" t="str">
        <f>OneLineRR!C243</f>
        <v>Occ</v>
      </c>
      <c r="M152" s="636">
        <f>OneLineRR!O243</f>
        <v>0</v>
      </c>
      <c r="N152" s="636">
        <f t="shared" si="2"/>
        <v>0</v>
      </c>
      <c r="O152" s="636">
        <f>OneLineRR!N243</f>
        <v>0</v>
      </c>
      <c r="P152" s="636" t="e" cm="1">
        <f t="array" ref="P152">INDEX('Unit Mix'!$P$6:$P$62,MATCH(1,('Rent Roll'!G152='Unit Mix'!$E$6:$E$62)*(D152='Unit Mix'!$D$6:$D$62),0))</f>
        <v>#N/A</v>
      </c>
      <c r="Q152" s="150">
        <f>OneLineRR!T243</f>
        <v>0</v>
      </c>
      <c r="R152" s="150">
        <f>OneLineRR!U243</f>
        <v>0</v>
      </c>
      <c r="S152" s="150">
        <f>OneLineRR!V243</f>
        <v>0</v>
      </c>
      <c r="T152" s="150">
        <f>OneLineRR!W243</f>
        <v>0</v>
      </c>
      <c r="U152" s="157" t="str">
        <f>IF(OneLineRR!Q243="","",OneLineRR!Q243)</f>
        <v/>
      </c>
      <c r="V152" s="157" t="str">
        <f>IF(OneLineRR!R243="","",OneLineRR!R243)</f>
        <v/>
      </c>
      <c r="AB152" s="320" t="str">
        <f>IFERROR(U152+(COUNTIF($U$8:U152,U152)-1)/10000,"")</f>
        <v/>
      </c>
      <c r="AC152" s="158"/>
      <c r="AD152" s="119"/>
      <c r="AE152" s="460"/>
      <c r="AG152" s="119"/>
    </row>
    <row r="153" spans="4:33" x14ac:dyDescent="0.25">
      <c r="D153" s="154" t="str">
        <f>OneLineRR!A244</f>
        <v>Hudson View Park</v>
      </c>
      <c r="E153" s="104">
        <f>OneLineRR!J244</f>
        <v>0</v>
      </c>
      <c r="F153" s="104">
        <f>OneLineRR!K244</f>
        <v>0</v>
      </c>
      <c r="G153" s="155" t="e">
        <f>OneLineRR!D244</f>
        <v>#N/A</v>
      </c>
      <c r="H153" s="155" t="e">
        <f>IF(OneLineRR!G244="Yes","Affordable","Market")</f>
        <v>#N/A</v>
      </c>
      <c r="I153" s="104" t="e">
        <f>OneLineRR!I244</f>
        <v>#N/A</v>
      </c>
      <c r="J153" s="156">
        <f>OneLineRR!M244</f>
        <v>0</v>
      </c>
      <c r="K153" s="634">
        <f>OneLineRR!L244</f>
        <v>0</v>
      </c>
      <c r="L153" s="143" t="str">
        <f>OneLineRR!C244</f>
        <v>Occ</v>
      </c>
      <c r="M153" s="636">
        <f>OneLineRR!O244</f>
        <v>0</v>
      </c>
      <c r="N153" s="636">
        <f t="shared" si="2"/>
        <v>0</v>
      </c>
      <c r="O153" s="636">
        <f>OneLineRR!N244</f>
        <v>0</v>
      </c>
      <c r="P153" s="636" t="e" cm="1">
        <f t="array" ref="P153">INDEX('Unit Mix'!$P$6:$P$62,MATCH(1,('Rent Roll'!G153='Unit Mix'!$E$6:$E$62)*(D153='Unit Mix'!$D$6:$D$62),0))</f>
        <v>#N/A</v>
      </c>
      <c r="Q153" s="150">
        <f>OneLineRR!T244</f>
        <v>0</v>
      </c>
      <c r="R153" s="150">
        <f>OneLineRR!U244</f>
        <v>0</v>
      </c>
      <c r="S153" s="150">
        <f>OneLineRR!V244</f>
        <v>0</v>
      </c>
      <c r="T153" s="150">
        <f>OneLineRR!W244</f>
        <v>0</v>
      </c>
      <c r="U153" s="157" t="str">
        <f>IF(OneLineRR!Q244="","",OneLineRR!Q244)</f>
        <v/>
      </c>
      <c r="V153" s="157" t="str">
        <f>IF(OneLineRR!R244="","",OneLineRR!R244)</f>
        <v/>
      </c>
      <c r="AB153" s="320" t="str">
        <f>IFERROR(U153+(COUNTIF($U$8:U153,U153)-1)/10000,"")</f>
        <v/>
      </c>
      <c r="AC153" s="158"/>
      <c r="AD153" s="119"/>
      <c r="AE153" s="460"/>
      <c r="AG153" s="119"/>
    </row>
    <row r="154" spans="4:33" x14ac:dyDescent="0.25">
      <c r="D154" s="154" t="str">
        <f>OneLineRR!A245</f>
        <v>Hudson View Park</v>
      </c>
      <c r="E154" s="104">
        <f>OneLineRR!J245</f>
        <v>0</v>
      </c>
      <c r="F154" s="104">
        <f>OneLineRR!K245</f>
        <v>0</v>
      </c>
      <c r="G154" s="155" t="e">
        <f>OneLineRR!D245</f>
        <v>#N/A</v>
      </c>
      <c r="H154" s="155" t="e">
        <f>IF(OneLineRR!G245="Yes","Affordable","Market")</f>
        <v>#N/A</v>
      </c>
      <c r="I154" s="104" t="e">
        <f>OneLineRR!I245</f>
        <v>#N/A</v>
      </c>
      <c r="J154" s="156">
        <f>OneLineRR!M245</f>
        <v>0</v>
      </c>
      <c r="K154" s="634">
        <f>OneLineRR!L245</f>
        <v>0</v>
      </c>
      <c r="L154" s="143" t="str">
        <f>OneLineRR!C245</f>
        <v>Occ</v>
      </c>
      <c r="M154" s="636">
        <f>OneLineRR!O245</f>
        <v>0</v>
      </c>
      <c r="N154" s="636">
        <f t="shared" si="2"/>
        <v>0</v>
      </c>
      <c r="O154" s="636">
        <f>OneLineRR!N245</f>
        <v>0</v>
      </c>
      <c r="P154" s="636" t="e" cm="1">
        <f t="array" ref="P154">INDEX('Unit Mix'!$P$6:$P$62,MATCH(1,('Rent Roll'!G154='Unit Mix'!$E$6:$E$62)*(D154='Unit Mix'!$D$6:$D$62),0))</f>
        <v>#N/A</v>
      </c>
      <c r="Q154" s="150">
        <f>OneLineRR!T245</f>
        <v>0</v>
      </c>
      <c r="R154" s="150">
        <f>OneLineRR!U245</f>
        <v>0</v>
      </c>
      <c r="S154" s="150">
        <f>OneLineRR!V245</f>
        <v>0</v>
      </c>
      <c r="T154" s="150">
        <f>OneLineRR!W245</f>
        <v>0</v>
      </c>
      <c r="U154" s="157" t="str">
        <f>IF(OneLineRR!Q245="","",OneLineRR!Q245)</f>
        <v/>
      </c>
      <c r="V154" s="157" t="str">
        <f>IF(OneLineRR!R245="","",OneLineRR!R245)</f>
        <v/>
      </c>
      <c r="AB154" s="320" t="str">
        <f>IFERROR(U154+(COUNTIF($U$8:U154,U154)-1)/10000,"")</f>
        <v/>
      </c>
      <c r="AC154" s="158"/>
      <c r="AD154" s="119"/>
      <c r="AE154" s="460"/>
      <c r="AG154" s="119"/>
    </row>
    <row r="155" spans="4:33" x14ac:dyDescent="0.25">
      <c r="D155" s="154" t="str">
        <f>OneLineRR!A246</f>
        <v>Hudson View Park</v>
      </c>
      <c r="E155" s="104">
        <f>OneLineRR!J246</f>
        <v>0</v>
      </c>
      <c r="F155" s="104">
        <f>OneLineRR!K246</f>
        <v>0</v>
      </c>
      <c r="G155" s="155" t="e">
        <f>OneLineRR!D246</f>
        <v>#N/A</v>
      </c>
      <c r="H155" s="155" t="e">
        <f>IF(OneLineRR!G246="Yes","Affordable","Market")</f>
        <v>#N/A</v>
      </c>
      <c r="I155" s="104" t="e">
        <f>OneLineRR!I246</f>
        <v>#N/A</v>
      </c>
      <c r="J155" s="156">
        <f>OneLineRR!M246</f>
        <v>0</v>
      </c>
      <c r="K155" s="634">
        <f>OneLineRR!L246</f>
        <v>0</v>
      </c>
      <c r="L155" s="143" t="str">
        <f>OneLineRR!C246</f>
        <v>Occ</v>
      </c>
      <c r="M155" s="636">
        <f>OneLineRR!O246</f>
        <v>0</v>
      </c>
      <c r="N155" s="636">
        <f t="shared" si="2"/>
        <v>0</v>
      </c>
      <c r="O155" s="636">
        <f>OneLineRR!N246</f>
        <v>0</v>
      </c>
      <c r="P155" s="636" t="e" cm="1">
        <f t="array" ref="P155">INDEX('Unit Mix'!$P$6:$P$62,MATCH(1,('Rent Roll'!G155='Unit Mix'!$E$6:$E$62)*(D155='Unit Mix'!$D$6:$D$62),0))</f>
        <v>#N/A</v>
      </c>
      <c r="Q155" s="150">
        <f>OneLineRR!T246</f>
        <v>0</v>
      </c>
      <c r="R155" s="150">
        <f>OneLineRR!U246</f>
        <v>0</v>
      </c>
      <c r="S155" s="150">
        <f>OneLineRR!V246</f>
        <v>0</v>
      </c>
      <c r="T155" s="150">
        <f>OneLineRR!W246</f>
        <v>0</v>
      </c>
      <c r="U155" s="157" t="str">
        <f>IF(OneLineRR!Q246="","",OneLineRR!Q246)</f>
        <v/>
      </c>
      <c r="V155" s="157" t="str">
        <f>IF(OneLineRR!R246="","",OneLineRR!R246)</f>
        <v/>
      </c>
      <c r="AB155" s="320" t="str">
        <f>IFERROR(U155+(COUNTIF($U$8:U155,U155)-1)/10000,"")</f>
        <v/>
      </c>
      <c r="AC155" s="158"/>
      <c r="AD155" s="119"/>
      <c r="AE155" s="460"/>
      <c r="AG155" s="119"/>
    </row>
    <row r="156" spans="4:33" x14ac:dyDescent="0.25">
      <c r="D156" s="154" t="str">
        <f>OneLineRR!A247</f>
        <v>Hudson View Park</v>
      </c>
      <c r="E156" s="104">
        <f>OneLineRR!J247</f>
        <v>0</v>
      </c>
      <c r="F156" s="104">
        <f>OneLineRR!K247</f>
        <v>0</v>
      </c>
      <c r="G156" s="155" t="e">
        <f>OneLineRR!D247</f>
        <v>#N/A</v>
      </c>
      <c r="H156" s="155" t="e">
        <f>IF(OneLineRR!G247="Yes","Affordable","Market")</f>
        <v>#N/A</v>
      </c>
      <c r="I156" s="104" t="e">
        <f>OneLineRR!I247</f>
        <v>#N/A</v>
      </c>
      <c r="J156" s="156">
        <f>OneLineRR!M247</f>
        <v>0</v>
      </c>
      <c r="K156" s="634">
        <f>OneLineRR!L247</f>
        <v>0</v>
      </c>
      <c r="L156" s="143" t="str">
        <f>OneLineRR!C247</f>
        <v>Occ</v>
      </c>
      <c r="M156" s="636">
        <f>OneLineRR!O247</f>
        <v>0</v>
      </c>
      <c r="N156" s="636">
        <f t="shared" si="2"/>
        <v>0</v>
      </c>
      <c r="O156" s="636">
        <f>OneLineRR!N247</f>
        <v>0</v>
      </c>
      <c r="P156" s="636" t="e" cm="1">
        <f t="array" ref="P156">INDEX('Unit Mix'!$P$6:$P$62,MATCH(1,('Rent Roll'!G156='Unit Mix'!$E$6:$E$62)*(D156='Unit Mix'!$D$6:$D$62),0))</f>
        <v>#N/A</v>
      </c>
      <c r="Q156" s="150">
        <f>OneLineRR!T247</f>
        <v>0</v>
      </c>
      <c r="R156" s="150">
        <f>OneLineRR!U247</f>
        <v>0</v>
      </c>
      <c r="S156" s="150">
        <f>OneLineRR!V247</f>
        <v>0</v>
      </c>
      <c r="T156" s="150">
        <f>OneLineRR!W247</f>
        <v>0</v>
      </c>
      <c r="U156" s="157" t="str">
        <f>IF(OneLineRR!Q247="","",OneLineRR!Q247)</f>
        <v/>
      </c>
      <c r="V156" s="157" t="str">
        <f>IF(OneLineRR!R247="","",OneLineRR!R247)</f>
        <v/>
      </c>
      <c r="AB156" s="320" t="str">
        <f>IFERROR(U156+(COUNTIF($U$8:U156,U156)-1)/10000,"")</f>
        <v/>
      </c>
      <c r="AC156" s="158"/>
      <c r="AD156" s="119"/>
      <c r="AE156" s="460"/>
      <c r="AG156" s="119"/>
    </row>
    <row r="157" spans="4:33" x14ac:dyDescent="0.25">
      <c r="D157" s="154" t="str">
        <f>OneLineRR!A248</f>
        <v>Hudson View Park</v>
      </c>
      <c r="E157" s="104">
        <f>OneLineRR!J248</f>
        <v>0</v>
      </c>
      <c r="F157" s="104">
        <f>OneLineRR!K248</f>
        <v>0</v>
      </c>
      <c r="G157" s="155" t="e">
        <f>OneLineRR!D248</f>
        <v>#N/A</v>
      </c>
      <c r="H157" s="155" t="e">
        <f>IF(OneLineRR!G248="Yes","Affordable","Market")</f>
        <v>#N/A</v>
      </c>
      <c r="I157" s="104" t="e">
        <f>OneLineRR!I248</f>
        <v>#N/A</v>
      </c>
      <c r="J157" s="156">
        <f>OneLineRR!M248</f>
        <v>0</v>
      </c>
      <c r="K157" s="634">
        <f>OneLineRR!L248</f>
        <v>0</v>
      </c>
      <c r="L157" s="143" t="str">
        <f>OneLineRR!C248</f>
        <v>Occ</v>
      </c>
      <c r="M157" s="636">
        <f>OneLineRR!O248</f>
        <v>0</v>
      </c>
      <c r="N157" s="636">
        <f t="shared" si="2"/>
        <v>0</v>
      </c>
      <c r="O157" s="636">
        <f>OneLineRR!N248</f>
        <v>0</v>
      </c>
      <c r="P157" s="636" t="e" cm="1">
        <f t="array" ref="P157">INDEX('Unit Mix'!$P$6:$P$62,MATCH(1,('Rent Roll'!G157='Unit Mix'!$E$6:$E$62)*(D157='Unit Mix'!$D$6:$D$62),0))</f>
        <v>#N/A</v>
      </c>
      <c r="Q157" s="150">
        <f>OneLineRR!T248</f>
        <v>0</v>
      </c>
      <c r="R157" s="150">
        <f>OneLineRR!U248</f>
        <v>0</v>
      </c>
      <c r="S157" s="150">
        <f>OneLineRR!V248</f>
        <v>0</v>
      </c>
      <c r="T157" s="150">
        <f>OneLineRR!W248</f>
        <v>0</v>
      </c>
      <c r="U157" s="157" t="str">
        <f>IF(OneLineRR!Q248="","",OneLineRR!Q248)</f>
        <v/>
      </c>
      <c r="V157" s="157" t="str">
        <f>IF(OneLineRR!R248="","",OneLineRR!R248)</f>
        <v/>
      </c>
      <c r="AB157" s="320" t="str">
        <f>IFERROR(U157+(COUNTIF($U$8:U157,U157)-1)/10000,"")</f>
        <v/>
      </c>
      <c r="AC157" s="158"/>
      <c r="AD157" s="119"/>
      <c r="AE157" s="460"/>
      <c r="AG157" s="119"/>
    </row>
    <row r="158" spans="4:33" x14ac:dyDescent="0.25">
      <c r="D158" s="154" t="str">
        <f>OneLineRR!A249</f>
        <v>Hudson View Park</v>
      </c>
      <c r="E158" s="104">
        <f>OneLineRR!J249</f>
        <v>0</v>
      </c>
      <c r="F158" s="104">
        <f>OneLineRR!K249</f>
        <v>0</v>
      </c>
      <c r="G158" s="155" t="e">
        <f>OneLineRR!D249</f>
        <v>#N/A</v>
      </c>
      <c r="H158" s="155" t="e">
        <f>IF(OneLineRR!G249="Yes","Affordable","Market")</f>
        <v>#N/A</v>
      </c>
      <c r="I158" s="104" t="e">
        <f>OneLineRR!I249</f>
        <v>#N/A</v>
      </c>
      <c r="J158" s="156">
        <f>OneLineRR!M249</f>
        <v>0</v>
      </c>
      <c r="K158" s="634">
        <f>OneLineRR!L249</f>
        <v>0</v>
      </c>
      <c r="L158" s="143" t="str">
        <f>OneLineRR!C249</f>
        <v>Occ</v>
      </c>
      <c r="M158" s="636">
        <f>OneLineRR!O249</f>
        <v>0</v>
      </c>
      <c r="N158" s="636">
        <f t="shared" si="2"/>
        <v>0</v>
      </c>
      <c r="O158" s="636">
        <f>OneLineRR!N249</f>
        <v>0</v>
      </c>
      <c r="P158" s="636" t="e" cm="1">
        <f t="array" ref="P158">INDEX('Unit Mix'!$P$6:$P$62,MATCH(1,('Rent Roll'!G158='Unit Mix'!$E$6:$E$62)*(D158='Unit Mix'!$D$6:$D$62),0))</f>
        <v>#N/A</v>
      </c>
      <c r="Q158" s="150">
        <f>OneLineRR!T249</f>
        <v>0</v>
      </c>
      <c r="R158" s="150">
        <f>OneLineRR!U249</f>
        <v>0</v>
      </c>
      <c r="S158" s="150">
        <f>OneLineRR!V249</f>
        <v>0</v>
      </c>
      <c r="T158" s="150">
        <f>OneLineRR!W249</f>
        <v>0</v>
      </c>
      <c r="U158" s="157" t="str">
        <f>IF(OneLineRR!Q249="","",OneLineRR!Q249)</f>
        <v/>
      </c>
      <c r="V158" s="157" t="str">
        <f>IF(OneLineRR!R249="","",OneLineRR!R249)</f>
        <v/>
      </c>
      <c r="AB158" s="320" t="str">
        <f>IFERROR(U158+(COUNTIF($U$8:U158,U158)-1)/10000,"")</f>
        <v/>
      </c>
      <c r="AC158" s="158"/>
      <c r="AD158" s="119"/>
      <c r="AE158" s="460"/>
      <c r="AG158" s="119"/>
    </row>
    <row r="159" spans="4:33" x14ac:dyDescent="0.25">
      <c r="D159" s="154" t="str">
        <f>OneLineRR!A250</f>
        <v>Hudson View Park</v>
      </c>
      <c r="E159" s="104">
        <f>OneLineRR!J250</f>
        <v>0</v>
      </c>
      <c r="F159" s="104">
        <f>OneLineRR!K250</f>
        <v>0</v>
      </c>
      <c r="G159" s="155" t="e">
        <f>OneLineRR!D250</f>
        <v>#N/A</v>
      </c>
      <c r="H159" s="155" t="e">
        <f>IF(OneLineRR!G250="Yes","Affordable","Market")</f>
        <v>#N/A</v>
      </c>
      <c r="I159" s="104" t="e">
        <f>OneLineRR!I250</f>
        <v>#N/A</v>
      </c>
      <c r="J159" s="156">
        <f>OneLineRR!M250</f>
        <v>0</v>
      </c>
      <c r="K159" s="634">
        <f>OneLineRR!L250</f>
        <v>0</v>
      </c>
      <c r="L159" s="143" t="str">
        <f>OneLineRR!C250</f>
        <v>Occ</v>
      </c>
      <c r="M159" s="636">
        <f>OneLineRR!O250</f>
        <v>0</v>
      </c>
      <c r="N159" s="636">
        <f t="shared" si="2"/>
        <v>0</v>
      </c>
      <c r="O159" s="636">
        <f>OneLineRR!N250</f>
        <v>0</v>
      </c>
      <c r="P159" s="636" t="e" cm="1">
        <f t="array" ref="P159">INDEX('Unit Mix'!$P$6:$P$62,MATCH(1,('Rent Roll'!G159='Unit Mix'!$E$6:$E$62)*(D159='Unit Mix'!$D$6:$D$62),0))</f>
        <v>#N/A</v>
      </c>
      <c r="Q159" s="150">
        <f>OneLineRR!T250</f>
        <v>0</v>
      </c>
      <c r="R159" s="150">
        <f>OneLineRR!U250</f>
        <v>0</v>
      </c>
      <c r="S159" s="150">
        <f>OneLineRR!V250</f>
        <v>0</v>
      </c>
      <c r="T159" s="150">
        <f>OneLineRR!W250</f>
        <v>0</v>
      </c>
      <c r="U159" s="157" t="str">
        <f>IF(OneLineRR!Q250="","",OneLineRR!Q250)</f>
        <v/>
      </c>
      <c r="V159" s="157" t="str">
        <f>IF(OneLineRR!R250="","",OneLineRR!R250)</f>
        <v/>
      </c>
      <c r="AB159" s="320" t="str">
        <f>IFERROR(U159+(COUNTIF($U$8:U159,U159)-1)/10000,"")</f>
        <v/>
      </c>
      <c r="AC159" s="158"/>
      <c r="AD159" s="119"/>
      <c r="AE159" s="460"/>
      <c r="AG159" s="119"/>
    </row>
    <row r="160" spans="4:33" x14ac:dyDescent="0.25">
      <c r="D160" s="154" t="str">
        <f>OneLineRR!A251</f>
        <v>Hudson View Park</v>
      </c>
      <c r="E160" s="104">
        <f>OneLineRR!J251</f>
        <v>0</v>
      </c>
      <c r="F160" s="104">
        <f>OneLineRR!K251</f>
        <v>0</v>
      </c>
      <c r="G160" s="155" t="e">
        <f>OneLineRR!D251</f>
        <v>#N/A</v>
      </c>
      <c r="H160" s="155" t="e">
        <f>IF(OneLineRR!G251="Yes","Affordable","Market")</f>
        <v>#N/A</v>
      </c>
      <c r="I160" s="104" t="e">
        <f>OneLineRR!I251</f>
        <v>#N/A</v>
      </c>
      <c r="J160" s="156">
        <f>OneLineRR!M251</f>
        <v>0</v>
      </c>
      <c r="K160" s="634">
        <f>OneLineRR!L251</f>
        <v>0</v>
      </c>
      <c r="L160" s="143" t="str">
        <f>OneLineRR!C251</f>
        <v>Occ</v>
      </c>
      <c r="M160" s="636">
        <f>OneLineRR!O251</f>
        <v>0</v>
      </c>
      <c r="N160" s="636">
        <f t="shared" si="2"/>
        <v>0</v>
      </c>
      <c r="O160" s="636">
        <f>OneLineRR!N251</f>
        <v>0</v>
      </c>
      <c r="P160" s="636" t="e" cm="1">
        <f t="array" ref="P160">INDEX('Unit Mix'!$P$6:$P$62,MATCH(1,('Rent Roll'!G160='Unit Mix'!$E$6:$E$62)*(D160='Unit Mix'!$D$6:$D$62),0))</f>
        <v>#N/A</v>
      </c>
      <c r="Q160" s="150">
        <f>OneLineRR!T251</f>
        <v>0</v>
      </c>
      <c r="R160" s="150">
        <f>OneLineRR!U251</f>
        <v>0</v>
      </c>
      <c r="S160" s="150">
        <f>OneLineRR!V251</f>
        <v>0</v>
      </c>
      <c r="T160" s="150">
        <f>OneLineRR!W251</f>
        <v>0</v>
      </c>
      <c r="U160" s="157" t="str">
        <f>IF(OneLineRR!Q251="","",OneLineRR!Q251)</f>
        <v/>
      </c>
      <c r="V160" s="157" t="str">
        <f>IF(OneLineRR!R251="","",OneLineRR!R251)</f>
        <v/>
      </c>
      <c r="AB160" s="320" t="str">
        <f>IFERROR(U160+(COUNTIF($U$8:U160,U160)-1)/10000,"")</f>
        <v/>
      </c>
      <c r="AC160" s="158"/>
      <c r="AD160" s="119"/>
      <c r="AE160" s="460"/>
      <c r="AG160" s="119"/>
    </row>
    <row r="161" spans="4:33" x14ac:dyDescent="0.25">
      <c r="D161" s="154" t="str">
        <f>OneLineRR!A252</f>
        <v>Hudson View Park</v>
      </c>
      <c r="E161" s="104">
        <f>OneLineRR!J252</f>
        <v>0</v>
      </c>
      <c r="F161" s="104">
        <f>OneLineRR!K252</f>
        <v>0</v>
      </c>
      <c r="G161" s="155" t="e">
        <f>OneLineRR!D252</f>
        <v>#N/A</v>
      </c>
      <c r="H161" s="155" t="e">
        <f>IF(OneLineRR!G252="Yes","Affordable","Market")</f>
        <v>#N/A</v>
      </c>
      <c r="I161" s="104" t="e">
        <f>OneLineRR!I252</f>
        <v>#N/A</v>
      </c>
      <c r="J161" s="156">
        <f>OneLineRR!M252</f>
        <v>0</v>
      </c>
      <c r="K161" s="634">
        <f>OneLineRR!L252</f>
        <v>0</v>
      </c>
      <c r="L161" s="143" t="str">
        <f>OneLineRR!C252</f>
        <v>Occ</v>
      </c>
      <c r="M161" s="636">
        <f>OneLineRR!O252</f>
        <v>0</v>
      </c>
      <c r="N161" s="636">
        <f t="shared" si="2"/>
        <v>0</v>
      </c>
      <c r="O161" s="636">
        <f>OneLineRR!N252</f>
        <v>0</v>
      </c>
      <c r="P161" s="636" t="e" cm="1">
        <f t="array" ref="P161">INDEX('Unit Mix'!$P$6:$P$62,MATCH(1,('Rent Roll'!G161='Unit Mix'!$E$6:$E$62)*(D161='Unit Mix'!$D$6:$D$62),0))</f>
        <v>#N/A</v>
      </c>
      <c r="Q161" s="150">
        <f>OneLineRR!T252</f>
        <v>0</v>
      </c>
      <c r="R161" s="150">
        <f>OneLineRR!U252</f>
        <v>0</v>
      </c>
      <c r="S161" s="150">
        <f>OneLineRR!V252</f>
        <v>0</v>
      </c>
      <c r="T161" s="150">
        <f>OneLineRR!W252</f>
        <v>0</v>
      </c>
      <c r="U161" s="157" t="str">
        <f>IF(OneLineRR!Q252="","",OneLineRR!Q252)</f>
        <v/>
      </c>
      <c r="V161" s="157" t="str">
        <f>IF(OneLineRR!R252="","",OneLineRR!R252)</f>
        <v/>
      </c>
      <c r="AB161" s="320" t="str">
        <f>IFERROR(U161+(COUNTIF($U$8:U161,U161)-1)/10000,"")</f>
        <v/>
      </c>
      <c r="AC161" s="158"/>
      <c r="AD161" s="119"/>
      <c r="AE161" s="460"/>
      <c r="AG161" s="119"/>
    </row>
    <row r="162" spans="4:33" x14ac:dyDescent="0.25">
      <c r="D162" s="154" t="str">
        <f>OneLineRR!A253</f>
        <v>Hudson View Park</v>
      </c>
      <c r="E162" s="104">
        <f>OneLineRR!J253</f>
        <v>0</v>
      </c>
      <c r="F162" s="104">
        <f>OneLineRR!K253</f>
        <v>0</v>
      </c>
      <c r="G162" s="155" t="e">
        <f>OneLineRR!D253</f>
        <v>#N/A</v>
      </c>
      <c r="H162" s="155" t="e">
        <f>IF(OneLineRR!G253="Yes","Affordable","Market")</f>
        <v>#N/A</v>
      </c>
      <c r="I162" s="104" t="e">
        <f>OneLineRR!I253</f>
        <v>#N/A</v>
      </c>
      <c r="J162" s="156">
        <f>OneLineRR!M253</f>
        <v>0</v>
      </c>
      <c r="K162" s="634">
        <f>OneLineRR!L253</f>
        <v>0</v>
      </c>
      <c r="L162" s="143" t="str">
        <f>OneLineRR!C253</f>
        <v>Occ</v>
      </c>
      <c r="M162" s="636">
        <f>OneLineRR!O253</f>
        <v>0</v>
      </c>
      <c r="N162" s="636">
        <f t="shared" si="2"/>
        <v>0</v>
      </c>
      <c r="O162" s="636">
        <f>OneLineRR!N253</f>
        <v>0</v>
      </c>
      <c r="P162" s="636" t="e" cm="1">
        <f t="array" ref="P162">INDEX('Unit Mix'!$P$6:$P$62,MATCH(1,('Rent Roll'!G162='Unit Mix'!$E$6:$E$62)*(D162='Unit Mix'!$D$6:$D$62),0))</f>
        <v>#N/A</v>
      </c>
      <c r="Q162" s="150">
        <f>OneLineRR!T253</f>
        <v>0</v>
      </c>
      <c r="R162" s="150">
        <f>OneLineRR!U253</f>
        <v>0</v>
      </c>
      <c r="S162" s="150">
        <f>OneLineRR!V253</f>
        <v>0</v>
      </c>
      <c r="T162" s="150">
        <f>OneLineRR!W253</f>
        <v>0</v>
      </c>
      <c r="U162" s="157" t="str">
        <f>IF(OneLineRR!Q253="","",OneLineRR!Q253)</f>
        <v/>
      </c>
      <c r="V162" s="157" t="str">
        <f>IF(OneLineRR!R253="","",OneLineRR!R253)</f>
        <v/>
      </c>
      <c r="AB162" s="320" t="str">
        <f>IFERROR(U162+(COUNTIF($U$8:U162,U162)-1)/10000,"")</f>
        <v/>
      </c>
      <c r="AC162" s="158"/>
      <c r="AD162" s="119"/>
      <c r="AE162" s="460"/>
      <c r="AG162" s="119"/>
    </row>
    <row r="163" spans="4:33" x14ac:dyDescent="0.25">
      <c r="D163" s="154" t="str">
        <f>OneLineRR!A254</f>
        <v>Hudson View Park</v>
      </c>
      <c r="E163" s="104">
        <f>OneLineRR!J254</f>
        <v>0</v>
      </c>
      <c r="F163" s="104">
        <f>OneLineRR!K254</f>
        <v>0</v>
      </c>
      <c r="G163" s="155" t="e">
        <f>OneLineRR!D254</f>
        <v>#N/A</v>
      </c>
      <c r="H163" s="155" t="e">
        <f>IF(OneLineRR!G254="Yes","Affordable","Market")</f>
        <v>#N/A</v>
      </c>
      <c r="I163" s="104" t="e">
        <f>OneLineRR!I254</f>
        <v>#N/A</v>
      </c>
      <c r="J163" s="156">
        <f>OneLineRR!M254</f>
        <v>0</v>
      </c>
      <c r="K163" s="634">
        <f>OneLineRR!L254</f>
        <v>0</v>
      </c>
      <c r="L163" s="143" t="str">
        <f>OneLineRR!C254</f>
        <v>Occ</v>
      </c>
      <c r="M163" s="636">
        <f>OneLineRR!O254</f>
        <v>0</v>
      </c>
      <c r="N163" s="636">
        <f t="shared" si="2"/>
        <v>0</v>
      </c>
      <c r="O163" s="636">
        <f>OneLineRR!N254</f>
        <v>0</v>
      </c>
      <c r="P163" s="636" t="e" cm="1">
        <f t="array" ref="P163">INDEX('Unit Mix'!$P$6:$P$62,MATCH(1,('Rent Roll'!G163='Unit Mix'!$E$6:$E$62)*(D163='Unit Mix'!$D$6:$D$62),0))</f>
        <v>#N/A</v>
      </c>
      <c r="Q163" s="150">
        <f>OneLineRR!T254</f>
        <v>0</v>
      </c>
      <c r="R163" s="150">
        <f>OneLineRR!U254</f>
        <v>0</v>
      </c>
      <c r="S163" s="150">
        <f>OneLineRR!V254</f>
        <v>0</v>
      </c>
      <c r="T163" s="150">
        <f>OneLineRR!W254</f>
        <v>0</v>
      </c>
      <c r="U163" s="157" t="str">
        <f>IF(OneLineRR!Q254="","",OneLineRR!Q254)</f>
        <v/>
      </c>
      <c r="V163" s="157" t="str">
        <f>IF(OneLineRR!R254="","",OneLineRR!R254)</f>
        <v/>
      </c>
      <c r="AB163" s="320" t="str">
        <f>IFERROR(U163+(COUNTIF($U$8:U163,U163)-1)/10000,"")</f>
        <v/>
      </c>
      <c r="AC163" s="158"/>
      <c r="AD163" s="119"/>
      <c r="AE163" s="460"/>
      <c r="AG163" s="119"/>
    </row>
    <row r="164" spans="4:33" x14ac:dyDescent="0.25">
      <c r="D164" s="154" t="str">
        <f>OneLineRR!A255</f>
        <v>Hudson View Park</v>
      </c>
      <c r="E164" s="104">
        <f>OneLineRR!J255</f>
        <v>0</v>
      </c>
      <c r="F164" s="104">
        <f>OneLineRR!K255</f>
        <v>0</v>
      </c>
      <c r="G164" s="155" t="e">
        <f>OneLineRR!D255</f>
        <v>#N/A</v>
      </c>
      <c r="H164" s="155" t="e">
        <f>IF(OneLineRR!G255="Yes","Affordable","Market")</f>
        <v>#N/A</v>
      </c>
      <c r="I164" s="104" t="e">
        <f>OneLineRR!I255</f>
        <v>#N/A</v>
      </c>
      <c r="J164" s="156">
        <f>OneLineRR!M255</f>
        <v>0</v>
      </c>
      <c r="K164" s="634">
        <f>OneLineRR!L255</f>
        <v>0</v>
      </c>
      <c r="L164" s="143" t="str">
        <f>OneLineRR!C255</f>
        <v>Occ</v>
      </c>
      <c r="M164" s="636">
        <f>OneLineRR!O255</f>
        <v>0</v>
      </c>
      <c r="N164" s="636">
        <f t="shared" si="2"/>
        <v>0</v>
      </c>
      <c r="O164" s="636">
        <f>OneLineRR!N255</f>
        <v>0</v>
      </c>
      <c r="P164" s="636" t="e" cm="1">
        <f t="array" ref="P164">INDEX('Unit Mix'!$P$6:$P$62,MATCH(1,('Rent Roll'!G164='Unit Mix'!$E$6:$E$62)*(D164='Unit Mix'!$D$6:$D$62),0))</f>
        <v>#N/A</v>
      </c>
      <c r="Q164" s="150">
        <f>OneLineRR!T255</f>
        <v>0</v>
      </c>
      <c r="R164" s="150">
        <f>OneLineRR!U255</f>
        <v>0</v>
      </c>
      <c r="S164" s="150">
        <f>OneLineRR!V255</f>
        <v>0</v>
      </c>
      <c r="T164" s="150">
        <f>OneLineRR!W255</f>
        <v>0</v>
      </c>
      <c r="U164" s="157" t="str">
        <f>IF(OneLineRR!Q255="","",OneLineRR!Q255)</f>
        <v/>
      </c>
      <c r="V164" s="157" t="str">
        <f>IF(OneLineRR!R255="","",OneLineRR!R255)</f>
        <v/>
      </c>
      <c r="AB164" s="320" t="str">
        <f>IFERROR(U164+(COUNTIF($U$8:U164,U164)-1)/10000,"")</f>
        <v/>
      </c>
      <c r="AC164" s="158"/>
      <c r="AD164" s="119"/>
      <c r="AE164" s="460"/>
      <c r="AG164" s="119"/>
    </row>
    <row r="165" spans="4:33" x14ac:dyDescent="0.25">
      <c r="D165" s="154" t="str">
        <f>OneLineRR!A256</f>
        <v>Hudson View Park</v>
      </c>
      <c r="E165" s="104">
        <f>OneLineRR!J256</f>
        <v>0</v>
      </c>
      <c r="F165" s="104">
        <f>OneLineRR!K256</f>
        <v>0</v>
      </c>
      <c r="G165" s="155" t="e">
        <f>OneLineRR!D256</f>
        <v>#N/A</v>
      </c>
      <c r="H165" s="155" t="e">
        <f>IF(OneLineRR!G256="Yes","Affordable","Market")</f>
        <v>#N/A</v>
      </c>
      <c r="I165" s="104" t="e">
        <f>OneLineRR!I256</f>
        <v>#N/A</v>
      </c>
      <c r="J165" s="156">
        <f>OneLineRR!M256</f>
        <v>0</v>
      </c>
      <c r="K165" s="634">
        <f>OneLineRR!L256</f>
        <v>0</v>
      </c>
      <c r="L165" s="143" t="str">
        <f>OneLineRR!C256</f>
        <v>Occ</v>
      </c>
      <c r="M165" s="636">
        <f>OneLineRR!O256</f>
        <v>0</v>
      </c>
      <c r="N165" s="636">
        <f t="shared" si="2"/>
        <v>0</v>
      </c>
      <c r="O165" s="636">
        <f>OneLineRR!N256</f>
        <v>0</v>
      </c>
      <c r="P165" s="636" t="e" cm="1">
        <f t="array" ref="P165">INDEX('Unit Mix'!$P$6:$P$62,MATCH(1,('Rent Roll'!G165='Unit Mix'!$E$6:$E$62)*(D165='Unit Mix'!$D$6:$D$62),0))</f>
        <v>#N/A</v>
      </c>
      <c r="Q165" s="150">
        <f>OneLineRR!T256</f>
        <v>0</v>
      </c>
      <c r="R165" s="150">
        <f>OneLineRR!U256</f>
        <v>0</v>
      </c>
      <c r="S165" s="150">
        <f>OneLineRR!V256</f>
        <v>0</v>
      </c>
      <c r="T165" s="150">
        <f>OneLineRR!W256</f>
        <v>0</v>
      </c>
      <c r="U165" s="157" t="str">
        <f>IF(OneLineRR!Q256="","",OneLineRR!Q256)</f>
        <v/>
      </c>
      <c r="V165" s="157" t="str">
        <f>IF(OneLineRR!R256="","",OneLineRR!R256)</f>
        <v/>
      </c>
      <c r="AB165" s="320" t="str">
        <f>IFERROR(U165+(COUNTIF($U$8:U165,U165)-1)/10000,"")</f>
        <v/>
      </c>
      <c r="AC165" s="158"/>
      <c r="AD165" s="119"/>
      <c r="AE165" s="460"/>
      <c r="AG165" s="119"/>
    </row>
    <row r="166" spans="4:33" x14ac:dyDescent="0.25">
      <c r="D166" s="154" t="str">
        <f>OneLineRR!A257</f>
        <v>Hudson View Park</v>
      </c>
      <c r="E166" s="104">
        <f>OneLineRR!J257</f>
        <v>0</v>
      </c>
      <c r="F166" s="104">
        <f>OneLineRR!K257</f>
        <v>0</v>
      </c>
      <c r="G166" s="155" t="e">
        <f>OneLineRR!D257</f>
        <v>#N/A</v>
      </c>
      <c r="H166" s="155" t="e">
        <f>IF(OneLineRR!G257="Yes","Affordable","Market")</f>
        <v>#N/A</v>
      </c>
      <c r="I166" s="104" t="e">
        <f>OneLineRR!I257</f>
        <v>#N/A</v>
      </c>
      <c r="J166" s="156">
        <f>OneLineRR!M257</f>
        <v>0</v>
      </c>
      <c r="K166" s="634">
        <f>OneLineRR!L257</f>
        <v>0</v>
      </c>
      <c r="L166" s="143" t="str">
        <f>OneLineRR!C257</f>
        <v>Occ</v>
      </c>
      <c r="M166" s="636">
        <f>OneLineRR!O257</f>
        <v>0</v>
      </c>
      <c r="N166" s="636">
        <f t="shared" si="2"/>
        <v>0</v>
      </c>
      <c r="O166" s="636">
        <f>OneLineRR!N257</f>
        <v>0</v>
      </c>
      <c r="P166" s="636" t="e" cm="1">
        <f t="array" ref="P166">INDEX('Unit Mix'!$P$6:$P$62,MATCH(1,('Rent Roll'!G166='Unit Mix'!$E$6:$E$62)*(D166='Unit Mix'!$D$6:$D$62),0))</f>
        <v>#N/A</v>
      </c>
      <c r="Q166" s="150">
        <f>OneLineRR!T257</f>
        <v>0</v>
      </c>
      <c r="R166" s="150">
        <f>OneLineRR!U257</f>
        <v>0</v>
      </c>
      <c r="S166" s="150">
        <f>OneLineRR!V257</f>
        <v>0</v>
      </c>
      <c r="T166" s="150">
        <f>OneLineRR!W257</f>
        <v>0</v>
      </c>
      <c r="U166" s="157" t="str">
        <f>IF(OneLineRR!Q257="","",OneLineRR!Q257)</f>
        <v/>
      </c>
      <c r="V166" s="157" t="str">
        <f>IF(OneLineRR!R257="","",OneLineRR!R257)</f>
        <v/>
      </c>
      <c r="AB166" s="320" t="str">
        <f>IFERROR(U166+(COUNTIF($U$8:U166,U166)-1)/10000,"")</f>
        <v/>
      </c>
      <c r="AC166" s="158"/>
      <c r="AD166" s="119"/>
      <c r="AE166" s="460"/>
      <c r="AG166" s="119"/>
    </row>
    <row r="167" spans="4:33" x14ac:dyDescent="0.25">
      <c r="D167" s="154" t="str">
        <f>OneLineRR!A258</f>
        <v>Hudson View Park</v>
      </c>
      <c r="E167" s="104">
        <f>OneLineRR!J258</f>
        <v>0</v>
      </c>
      <c r="F167" s="104">
        <f>OneLineRR!K258</f>
        <v>0</v>
      </c>
      <c r="G167" s="155" t="e">
        <f>OneLineRR!D258</f>
        <v>#N/A</v>
      </c>
      <c r="H167" s="155" t="e">
        <f>IF(OneLineRR!G258="Yes","Affordable","Market")</f>
        <v>#N/A</v>
      </c>
      <c r="I167" s="104" t="e">
        <f>OneLineRR!I258</f>
        <v>#N/A</v>
      </c>
      <c r="J167" s="156">
        <f>OneLineRR!M258</f>
        <v>0</v>
      </c>
      <c r="K167" s="634">
        <f>OneLineRR!L258</f>
        <v>0</v>
      </c>
      <c r="L167" s="143" t="str">
        <f>OneLineRR!C258</f>
        <v>Occ</v>
      </c>
      <c r="M167" s="636">
        <f>OneLineRR!O258</f>
        <v>0</v>
      </c>
      <c r="N167" s="636">
        <f t="shared" si="2"/>
        <v>0</v>
      </c>
      <c r="O167" s="636">
        <f>OneLineRR!N258</f>
        <v>0</v>
      </c>
      <c r="P167" s="636" t="e" cm="1">
        <f t="array" ref="P167">INDEX('Unit Mix'!$P$6:$P$62,MATCH(1,('Rent Roll'!G167='Unit Mix'!$E$6:$E$62)*(D167='Unit Mix'!$D$6:$D$62),0))</f>
        <v>#N/A</v>
      </c>
      <c r="Q167" s="150">
        <f>OneLineRR!T258</f>
        <v>0</v>
      </c>
      <c r="R167" s="150">
        <f>OneLineRR!U258</f>
        <v>0</v>
      </c>
      <c r="S167" s="150">
        <f>OneLineRR!V258</f>
        <v>0</v>
      </c>
      <c r="T167" s="150">
        <f>OneLineRR!W258</f>
        <v>0</v>
      </c>
      <c r="U167" s="157" t="str">
        <f>IF(OneLineRR!Q258="","",OneLineRR!Q258)</f>
        <v/>
      </c>
      <c r="V167" s="157" t="str">
        <f>IF(OneLineRR!R258="","",OneLineRR!R258)</f>
        <v/>
      </c>
      <c r="AB167" s="320" t="str">
        <f>IFERROR(U167+(COUNTIF($U$8:U167,U167)-1)/10000,"")</f>
        <v/>
      </c>
      <c r="AC167" s="158"/>
      <c r="AD167" s="119"/>
      <c r="AE167" s="460"/>
      <c r="AG167" s="119"/>
    </row>
    <row r="168" spans="4:33" x14ac:dyDescent="0.25">
      <c r="D168" s="154" t="str">
        <f>OneLineRR!A259</f>
        <v>Hudson View Park</v>
      </c>
      <c r="E168" s="104">
        <f>OneLineRR!J259</f>
        <v>0</v>
      </c>
      <c r="F168" s="104">
        <f>OneLineRR!K259</f>
        <v>0</v>
      </c>
      <c r="G168" s="155" t="e">
        <f>OneLineRR!D259</f>
        <v>#N/A</v>
      </c>
      <c r="H168" s="155" t="e">
        <f>IF(OneLineRR!G259="Yes","Affordable","Market")</f>
        <v>#N/A</v>
      </c>
      <c r="I168" s="104" t="e">
        <f>OneLineRR!I259</f>
        <v>#N/A</v>
      </c>
      <c r="J168" s="156">
        <f>OneLineRR!M259</f>
        <v>0</v>
      </c>
      <c r="K168" s="634">
        <f>OneLineRR!L259</f>
        <v>0</v>
      </c>
      <c r="L168" s="143" t="str">
        <f>OneLineRR!C259</f>
        <v>Occ</v>
      </c>
      <c r="M168" s="636">
        <f>OneLineRR!O259</f>
        <v>0</v>
      </c>
      <c r="N168" s="636">
        <f t="shared" si="2"/>
        <v>0</v>
      </c>
      <c r="O168" s="636">
        <f>OneLineRR!N259</f>
        <v>0</v>
      </c>
      <c r="P168" s="636" t="e" cm="1">
        <f t="array" ref="P168">INDEX('Unit Mix'!$P$6:$P$62,MATCH(1,('Rent Roll'!G168='Unit Mix'!$E$6:$E$62)*(D168='Unit Mix'!$D$6:$D$62),0))</f>
        <v>#N/A</v>
      </c>
      <c r="Q168" s="150">
        <f>OneLineRR!T259</f>
        <v>0</v>
      </c>
      <c r="R168" s="150">
        <f>OneLineRR!U259</f>
        <v>0</v>
      </c>
      <c r="S168" s="150">
        <f>OneLineRR!V259</f>
        <v>0</v>
      </c>
      <c r="T168" s="150">
        <f>OneLineRR!W259</f>
        <v>0</v>
      </c>
      <c r="U168" s="157" t="str">
        <f>IF(OneLineRR!Q259="","",OneLineRR!Q259)</f>
        <v/>
      </c>
      <c r="V168" s="157" t="str">
        <f>IF(OneLineRR!R259="","",OneLineRR!R259)</f>
        <v/>
      </c>
      <c r="AB168" s="320" t="str">
        <f>IFERROR(U168+(COUNTIF($U$8:U168,U168)-1)/10000,"")</f>
        <v/>
      </c>
      <c r="AC168" s="158"/>
      <c r="AD168" s="119"/>
      <c r="AE168" s="460"/>
      <c r="AG168" s="119"/>
    </row>
    <row r="169" spans="4:33" x14ac:dyDescent="0.25">
      <c r="D169" s="154" t="str">
        <f>OneLineRR!A260</f>
        <v>Hudson View Park</v>
      </c>
      <c r="E169" s="104">
        <f>OneLineRR!J260</f>
        <v>0</v>
      </c>
      <c r="F169" s="104">
        <f>OneLineRR!K260</f>
        <v>0</v>
      </c>
      <c r="G169" s="155" t="e">
        <f>OneLineRR!D260</f>
        <v>#N/A</v>
      </c>
      <c r="H169" s="155" t="e">
        <f>IF(OneLineRR!G260="Yes","Affordable","Market")</f>
        <v>#N/A</v>
      </c>
      <c r="I169" s="104" t="e">
        <f>OneLineRR!I260</f>
        <v>#N/A</v>
      </c>
      <c r="J169" s="156">
        <f>OneLineRR!M260</f>
        <v>0</v>
      </c>
      <c r="K169" s="634">
        <f>OneLineRR!L260</f>
        <v>0</v>
      </c>
      <c r="L169" s="143" t="str">
        <f>OneLineRR!C260</f>
        <v>Occ</v>
      </c>
      <c r="M169" s="636">
        <f>OneLineRR!O260</f>
        <v>0</v>
      </c>
      <c r="N169" s="636">
        <f t="shared" si="2"/>
        <v>0</v>
      </c>
      <c r="O169" s="636">
        <f>OneLineRR!N260</f>
        <v>0</v>
      </c>
      <c r="P169" s="636" t="e" cm="1">
        <f t="array" ref="P169">INDEX('Unit Mix'!$P$6:$P$62,MATCH(1,('Rent Roll'!G169='Unit Mix'!$E$6:$E$62)*(D169='Unit Mix'!$D$6:$D$62),0))</f>
        <v>#N/A</v>
      </c>
      <c r="Q169" s="150">
        <f>OneLineRR!T260</f>
        <v>0</v>
      </c>
      <c r="R169" s="150">
        <f>OneLineRR!U260</f>
        <v>0</v>
      </c>
      <c r="S169" s="150">
        <f>OneLineRR!V260</f>
        <v>0</v>
      </c>
      <c r="T169" s="150">
        <f>OneLineRR!W260</f>
        <v>0</v>
      </c>
      <c r="U169" s="157" t="str">
        <f>IF(OneLineRR!Q260="","",OneLineRR!Q260)</f>
        <v/>
      </c>
      <c r="V169" s="157" t="str">
        <f>IF(OneLineRR!R260="","",OneLineRR!R260)</f>
        <v/>
      </c>
      <c r="AB169" s="320" t="str">
        <f>IFERROR(U169+(COUNTIF($U$8:U169,U169)-1)/10000,"")</f>
        <v/>
      </c>
      <c r="AC169" s="158"/>
      <c r="AD169" s="119"/>
      <c r="AE169" s="460"/>
      <c r="AG169" s="119"/>
    </row>
    <row r="170" spans="4:33" x14ac:dyDescent="0.25">
      <c r="D170" s="154" t="str">
        <f>OneLineRR!A261</f>
        <v>Hudson View Park</v>
      </c>
      <c r="E170" s="104">
        <f>OneLineRR!J261</f>
        <v>0</v>
      </c>
      <c r="F170" s="104">
        <f>OneLineRR!K261</f>
        <v>0</v>
      </c>
      <c r="G170" s="155" t="e">
        <f>OneLineRR!D261</f>
        <v>#N/A</v>
      </c>
      <c r="H170" s="155" t="e">
        <f>IF(OneLineRR!G261="Yes","Affordable","Market")</f>
        <v>#N/A</v>
      </c>
      <c r="I170" s="104" t="e">
        <f>OneLineRR!I261</f>
        <v>#N/A</v>
      </c>
      <c r="J170" s="156">
        <f>OneLineRR!M261</f>
        <v>0</v>
      </c>
      <c r="K170" s="634">
        <f>OneLineRR!L261</f>
        <v>0</v>
      </c>
      <c r="L170" s="143" t="str">
        <f>OneLineRR!C261</f>
        <v>Occ</v>
      </c>
      <c r="M170" s="636">
        <f>OneLineRR!O261</f>
        <v>0</v>
      </c>
      <c r="N170" s="636">
        <f t="shared" si="2"/>
        <v>0</v>
      </c>
      <c r="O170" s="636">
        <f>OneLineRR!N261</f>
        <v>0</v>
      </c>
      <c r="P170" s="636" t="e" cm="1">
        <f t="array" ref="P170">INDEX('Unit Mix'!$P$6:$P$62,MATCH(1,('Rent Roll'!G170='Unit Mix'!$E$6:$E$62)*(D170='Unit Mix'!$D$6:$D$62),0))</f>
        <v>#N/A</v>
      </c>
      <c r="Q170" s="150">
        <f>OneLineRR!T261</f>
        <v>0</v>
      </c>
      <c r="R170" s="150">
        <f>OneLineRR!U261</f>
        <v>0</v>
      </c>
      <c r="S170" s="150">
        <f>OneLineRR!V261</f>
        <v>0</v>
      </c>
      <c r="T170" s="150">
        <f>OneLineRR!W261</f>
        <v>0</v>
      </c>
      <c r="U170" s="157" t="str">
        <f>IF(OneLineRR!Q261="","",OneLineRR!Q261)</f>
        <v/>
      </c>
      <c r="V170" s="157" t="str">
        <f>IF(OneLineRR!R261="","",OneLineRR!R261)</f>
        <v/>
      </c>
      <c r="AB170" s="320" t="str">
        <f>IFERROR(U170+(COUNTIF($U$8:U170,U170)-1)/10000,"")</f>
        <v/>
      </c>
      <c r="AC170" s="158"/>
      <c r="AD170" s="119"/>
      <c r="AE170" s="460"/>
      <c r="AG170" s="119"/>
    </row>
    <row r="171" spans="4:33" x14ac:dyDescent="0.25">
      <c r="D171" s="154" t="str">
        <f>OneLineRR!A262</f>
        <v>Hudson View Park</v>
      </c>
      <c r="E171" s="104">
        <f>OneLineRR!J262</f>
        <v>0</v>
      </c>
      <c r="F171" s="104">
        <f>OneLineRR!K262</f>
        <v>0</v>
      </c>
      <c r="G171" s="155" t="e">
        <f>OneLineRR!D262</f>
        <v>#N/A</v>
      </c>
      <c r="H171" s="155" t="e">
        <f>IF(OneLineRR!G262="Yes","Affordable","Market")</f>
        <v>#N/A</v>
      </c>
      <c r="I171" s="104" t="e">
        <f>OneLineRR!I262</f>
        <v>#N/A</v>
      </c>
      <c r="J171" s="156">
        <f>OneLineRR!M262</f>
        <v>0</v>
      </c>
      <c r="K171" s="634">
        <f>OneLineRR!L262</f>
        <v>0</v>
      </c>
      <c r="L171" s="143" t="str">
        <f>OneLineRR!C262</f>
        <v>Occ</v>
      </c>
      <c r="M171" s="636">
        <f>OneLineRR!O262</f>
        <v>0</v>
      </c>
      <c r="N171" s="636">
        <f t="shared" si="2"/>
        <v>0</v>
      </c>
      <c r="O171" s="636">
        <f>OneLineRR!N262</f>
        <v>0</v>
      </c>
      <c r="P171" s="636" t="e" cm="1">
        <f t="array" ref="P171">INDEX('Unit Mix'!$P$6:$P$62,MATCH(1,('Rent Roll'!G171='Unit Mix'!$E$6:$E$62)*(D171='Unit Mix'!$D$6:$D$62),0))</f>
        <v>#N/A</v>
      </c>
      <c r="Q171" s="150">
        <f>OneLineRR!T262</f>
        <v>0</v>
      </c>
      <c r="R171" s="150">
        <f>OneLineRR!U262</f>
        <v>0</v>
      </c>
      <c r="S171" s="150">
        <f>OneLineRR!V262</f>
        <v>0</v>
      </c>
      <c r="T171" s="150">
        <f>OneLineRR!W262</f>
        <v>0</v>
      </c>
      <c r="U171" s="157" t="str">
        <f>IF(OneLineRR!Q262="","",OneLineRR!Q262)</f>
        <v/>
      </c>
      <c r="V171" s="157" t="str">
        <f>IF(OneLineRR!R262="","",OneLineRR!R262)</f>
        <v/>
      </c>
      <c r="AB171" s="320" t="str">
        <f>IFERROR(U171+(COUNTIF($U$8:U171,U171)-1)/10000,"")</f>
        <v/>
      </c>
      <c r="AC171" s="158"/>
      <c r="AD171" s="119"/>
      <c r="AE171" s="460"/>
      <c r="AG171" s="119"/>
    </row>
    <row r="172" spans="4:33" x14ac:dyDescent="0.25">
      <c r="D172" s="154" t="str">
        <f>OneLineRR!A263</f>
        <v>Hudson View Park</v>
      </c>
      <c r="E172" s="104">
        <f>OneLineRR!J263</f>
        <v>0</v>
      </c>
      <c r="F172" s="104">
        <f>OneLineRR!K263</f>
        <v>0</v>
      </c>
      <c r="G172" s="155" t="e">
        <f>OneLineRR!D263</f>
        <v>#N/A</v>
      </c>
      <c r="H172" s="155" t="e">
        <f>IF(OneLineRR!G263="Yes","Affordable","Market")</f>
        <v>#N/A</v>
      </c>
      <c r="I172" s="104" t="e">
        <f>OneLineRR!I263</f>
        <v>#N/A</v>
      </c>
      <c r="J172" s="156">
        <f>OneLineRR!M263</f>
        <v>0</v>
      </c>
      <c r="K172" s="634">
        <f>OneLineRR!L263</f>
        <v>0</v>
      </c>
      <c r="L172" s="143" t="str">
        <f>OneLineRR!C263</f>
        <v>Occ</v>
      </c>
      <c r="M172" s="636">
        <f>OneLineRR!O263</f>
        <v>0</v>
      </c>
      <c r="N172" s="636">
        <f t="shared" si="2"/>
        <v>0</v>
      </c>
      <c r="O172" s="636">
        <f>OneLineRR!N263</f>
        <v>0</v>
      </c>
      <c r="P172" s="636" t="e" cm="1">
        <f t="array" ref="P172">INDEX('Unit Mix'!$P$6:$P$62,MATCH(1,('Rent Roll'!G172='Unit Mix'!$E$6:$E$62)*(D172='Unit Mix'!$D$6:$D$62),0))</f>
        <v>#N/A</v>
      </c>
      <c r="Q172" s="150">
        <f>OneLineRR!T263</f>
        <v>0</v>
      </c>
      <c r="R172" s="150">
        <f>OneLineRR!U263</f>
        <v>0</v>
      </c>
      <c r="S172" s="150">
        <f>OneLineRR!V263</f>
        <v>0</v>
      </c>
      <c r="T172" s="150">
        <f>OneLineRR!W263</f>
        <v>0</v>
      </c>
      <c r="U172" s="157" t="str">
        <f>IF(OneLineRR!Q263="","",OneLineRR!Q263)</f>
        <v/>
      </c>
      <c r="V172" s="157" t="str">
        <f>IF(OneLineRR!R263="","",OneLineRR!R263)</f>
        <v/>
      </c>
      <c r="AB172" s="320" t="str">
        <f>IFERROR(U172+(COUNTIF($U$8:U172,U172)-1)/10000,"")</f>
        <v/>
      </c>
      <c r="AC172" s="158"/>
      <c r="AD172" s="119"/>
      <c r="AE172" s="460"/>
      <c r="AG172" s="119"/>
    </row>
    <row r="173" spans="4:33" x14ac:dyDescent="0.25">
      <c r="D173" s="154" t="str">
        <f>OneLineRR!A264</f>
        <v>Hudson View Park</v>
      </c>
      <c r="E173" s="104">
        <f>OneLineRR!J264</f>
        <v>0</v>
      </c>
      <c r="F173" s="104">
        <f>OneLineRR!K264</f>
        <v>0</v>
      </c>
      <c r="G173" s="155" t="e">
        <f>OneLineRR!D264</f>
        <v>#N/A</v>
      </c>
      <c r="H173" s="155" t="e">
        <f>IF(OneLineRR!G264="Yes","Affordable","Market")</f>
        <v>#N/A</v>
      </c>
      <c r="I173" s="104" t="e">
        <f>OneLineRR!I264</f>
        <v>#N/A</v>
      </c>
      <c r="J173" s="156">
        <f>OneLineRR!M264</f>
        <v>0</v>
      </c>
      <c r="K173" s="634">
        <f>OneLineRR!L264</f>
        <v>0</v>
      </c>
      <c r="L173" s="143" t="str">
        <f>OneLineRR!C264</f>
        <v>Occ</v>
      </c>
      <c r="M173" s="636">
        <f>OneLineRR!O264</f>
        <v>0</v>
      </c>
      <c r="N173" s="636">
        <f t="shared" si="2"/>
        <v>0</v>
      </c>
      <c r="O173" s="636">
        <f>OneLineRR!N264</f>
        <v>0</v>
      </c>
      <c r="P173" s="636" t="e" cm="1">
        <f t="array" ref="P173">INDEX('Unit Mix'!$P$6:$P$62,MATCH(1,('Rent Roll'!G173='Unit Mix'!$E$6:$E$62)*(D173='Unit Mix'!$D$6:$D$62),0))</f>
        <v>#N/A</v>
      </c>
      <c r="Q173" s="150">
        <f>OneLineRR!T264</f>
        <v>0</v>
      </c>
      <c r="R173" s="150">
        <f>OneLineRR!U264</f>
        <v>0</v>
      </c>
      <c r="S173" s="150">
        <f>OneLineRR!V264</f>
        <v>0</v>
      </c>
      <c r="T173" s="150">
        <f>OneLineRR!W264</f>
        <v>0</v>
      </c>
      <c r="U173" s="157" t="str">
        <f>IF(OneLineRR!Q264="","",OneLineRR!Q264)</f>
        <v/>
      </c>
      <c r="V173" s="157" t="str">
        <f>IF(OneLineRR!R264="","",OneLineRR!R264)</f>
        <v/>
      </c>
      <c r="AB173" s="320" t="str">
        <f>IFERROR(U173+(COUNTIF($U$8:U173,U173)-1)/10000,"")</f>
        <v/>
      </c>
      <c r="AC173" s="158"/>
      <c r="AD173" s="119"/>
      <c r="AE173" s="460"/>
      <c r="AG173" s="119"/>
    </row>
    <row r="174" spans="4:33" x14ac:dyDescent="0.25">
      <c r="D174" s="154" t="str">
        <f>OneLineRR!A265</f>
        <v>Hudson View Park</v>
      </c>
      <c r="E174" s="104">
        <f>OneLineRR!J265</f>
        <v>0</v>
      </c>
      <c r="F174" s="104">
        <f>OneLineRR!K265</f>
        <v>0</v>
      </c>
      <c r="G174" s="155" t="e">
        <f>OneLineRR!D265</f>
        <v>#N/A</v>
      </c>
      <c r="H174" s="155" t="e">
        <f>IF(OneLineRR!G265="Yes","Affordable","Market")</f>
        <v>#N/A</v>
      </c>
      <c r="I174" s="104" t="e">
        <f>OneLineRR!I265</f>
        <v>#N/A</v>
      </c>
      <c r="J174" s="156">
        <f>OneLineRR!M265</f>
        <v>0</v>
      </c>
      <c r="K174" s="634">
        <f>OneLineRR!L265</f>
        <v>0</v>
      </c>
      <c r="L174" s="143" t="str">
        <f>OneLineRR!C265</f>
        <v>Occ</v>
      </c>
      <c r="M174" s="636">
        <f>OneLineRR!O265</f>
        <v>0</v>
      </c>
      <c r="N174" s="636">
        <f t="shared" si="2"/>
        <v>0</v>
      </c>
      <c r="O174" s="636">
        <f>OneLineRR!N265</f>
        <v>0</v>
      </c>
      <c r="P174" s="636" t="e" cm="1">
        <f t="array" ref="P174">INDEX('Unit Mix'!$P$6:$P$62,MATCH(1,('Rent Roll'!G174='Unit Mix'!$E$6:$E$62)*(D174='Unit Mix'!$D$6:$D$62),0))</f>
        <v>#N/A</v>
      </c>
      <c r="Q174" s="150">
        <f>OneLineRR!T265</f>
        <v>0</v>
      </c>
      <c r="R174" s="150">
        <f>OneLineRR!U265</f>
        <v>0</v>
      </c>
      <c r="S174" s="150">
        <f>OneLineRR!V265</f>
        <v>0</v>
      </c>
      <c r="T174" s="150">
        <f>OneLineRR!W265</f>
        <v>0</v>
      </c>
      <c r="U174" s="157" t="str">
        <f>IF(OneLineRR!Q265="","",OneLineRR!Q265)</f>
        <v/>
      </c>
      <c r="V174" s="157" t="str">
        <f>IF(OneLineRR!R265="","",OneLineRR!R265)</f>
        <v/>
      </c>
      <c r="AB174" s="320" t="str">
        <f>IFERROR(U174+(COUNTIF($U$8:U174,U174)-1)/10000,"")</f>
        <v/>
      </c>
      <c r="AC174" s="158"/>
      <c r="AD174" s="119"/>
      <c r="AE174" s="460"/>
      <c r="AG174" s="119"/>
    </row>
    <row r="175" spans="4:33" x14ac:dyDescent="0.25">
      <c r="D175" s="154" t="str">
        <f>OneLineRR!A266</f>
        <v>Hudson View Park</v>
      </c>
      <c r="E175" s="104">
        <f>OneLineRR!J266</f>
        <v>0</v>
      </c>
      <c r="F175" s="104">
        <f>OneLineRR!K266</f>
        <v>0</v>
      </c>
      <c r="G175" s="155" t="e">
        <f>OneLineRR!D266</f>
        <v>#N/A</v>
      </c>
      <c r="H175" s="155" t="e">
        <f>IF(OneLineRR!G266="Yes","Affordable","Market")</f>
        <v>#N/A</v>
      </c>
      <c r="I175" s="104" t="e">
        <f>OneLineRR!I266</f>
        <v>#N/A</v>
      </c>
      <c r="J175" s="156">
        <f>OneLineRR!M266</f>
        <v>0</v>
      </c>
      <c r="K175" s="634">
        <f>OneLineRR!L266</f>
        <v>0</v>
      </c>
      <c r="L175" s="143" t="str">
        <f>OneLineRR!C266</f>
        <v>Occ</v>
      </c>
      <c r="M175" s="636">
        <f>OneLineRR!O266</f>
        <v>0</v>
      </c>
      <c r="N175" s="636">
        <f t="shared" si="2"/>
        <v>0</v>
      </c>
      <c r="O175" s="636">
        <f>OneLineRR!N266</f>
        <v>0</v>
      </c>
      <c r="P175" s="636" t="e" cm="1">
        <f t="array" ref="P175">INDEX('Unit Mix'!$P$6:$P$62,MATCH(1,('Rent Roll'!G175='Unit Mix'!$E$6:$E$62)*(D175='Unit Mix'!$D$6:$D$62),0))</f>
        <v>#N/A</v>
      </c>
      <c r="Q175" s="150">
        <f>OneLineRR!T266</f>
        <v>0</v>
      </c>
      <c r="R175" s="150">
        <f>OneLineRR!U266</f>
        <v>0</v>
      </c>
      <c r="S175" s="150">
        <f>OneLineRR!V266</f>
        <v>0</v>
      </c>
      <c r="T175" s="150">
        <f>OneLineRR!W266</f>
        <v>0</v>
      </c>
      <c r="U175" s="157" t="str">
        <f>IF(OneLineRR!Q266="","",OneLineRR!Q266)</f>
        <v/>
      </c>
      <c r="V175" s="157" t="str">
        <f>IF(OneLineRR!R266="","",OneLineRR!R266)</f>
        <v/>
      </c>
      <c r="AB175" s="320" t="str">
        <f>IFERROR(U175+(COUNTIF($U$8:U175,U175)-1)/10000,"")</f>
        <v/>
      </c>
      <c r="AC175" s="158"/>
      <c r="AD175" s="119"/>
      <c r="AE175" s="460"/>
      <c r="AG175" s="119"/>
    </row>
    <row r="176" spans="4:33" x14ac:dyDescent="0.25">
      <c r="D176" s="154" t="str">
        <f>OneLineRR!A267</f>
        <v>Hudson View Park</v>
      </c>
      <c r="E176" s="104">
        <f>OneLineRR!J267</f>
        <v>0</v>
      </c>
      <c r="F176" s="104">
        <f>OneLineRR!K267</f>
        <v>0</v>
      </c>
      <c r="G176" s="155" t="e">
        <f>OneLineRR!D267</f>
        <v>#N/A</v>
      </c>
      <c r="H176" s="155" t="e">
        <f>IF(OneLineRR!G267="Yes","Affordable","Market")</f>
        <v>#N/A</v>
      </c>
      <c r="I176" s="104" t="e">
        <f>OneLineRR!I267</f>
        <v>#N/A</v>
      </c>
      <c r="J176" s="156">
        <f>OneLineRR!M267</f>
        <v>0</v>
      </c>
      <c r="K176" s="634">
        <f>OneLineRR!L267</f>
        <v>0</v>
      </c>
      <c r="L176" s="143" t="str">
        <f>OneLineRR!C267</f>
        <v>Occ</v>
      </c>
      <c r="M176" s="636">
        <f>OneLineRR!O267</f>
        <v>0</v>
      </c>
      <c r="N176" s="636">
        <f t="shared" si="2"/>
        <v>0</v>
      </c>
      <c r="O176" s="636">
        <f>OneLineRR!N267</f>
        <v>0</v>
      </c>
      <c r="P176" s="636" t="e" cm="1">
        <f t="array" ref="P176">INDEX('Unit Mix'!$P$6:$P$62,MATCH(1,('Rent Roll'!G176='Unit Mix'!$E$6:$E$62)*(D176='Unit Mix'!$D$6:$D$62),0))</f>
        <v>#N/A</v>
      </c>
      <c r="Q176" s="150">
        <f>OneLineRR!T267</f>
        <v>0</v>
      </c>
      <c r="R176" s="150">
        <f>OneLineRR!U267</f>
        <v>0</v>
      </c>
      <c r="S176" s="150">
        <f>OneLineRR!V267</f>
        <v>0</v>
      </c>
      <c r="T176" s="150">
        <f>OneLineRR!W267</f>
        <v>0</v>
      </c>
      <c r="U176" s="157" t="str">
        <f>IF(OneLineRR!Q267="","",OneLineRR!Q267)</f>
        <v/>
      </c>
      <c r="V176" s="157" t="str">
        <f>IF(OneLineRR!R267="","",OneLineRR!R267)</f>
        <v/>
      </c>
      <c r="AB176" s="320" t="str">
        <f>IFERROR(U176+(COUNTIF($U$8:U176,U176)-1)/10000,"")</f>
        <v/>
      </c>
      <c r="AC176" s="158"/>
      <c r="AD176" s="119"/>
      <c r="AE176" s="460"/>
      <c r="AG176" s="119"/>
    </row>
    <row r="177" spans="4:33" x14ac:dyDescent="0.25">
      <c r="D177" s="154" t="str">
        <f>OneLineRR!A268</f>
        <v>Hudson View Park</v>
      </c>
      <c r="E177" s="104">
        <f>OneLineRR!J268</f>
        <v>0</v>
      </c>
      <c r="F177" s="104">
        <f>OneLineRR!K268</f>
        <v>0</v>
      </c>
      <c r="G177" s="155" t="e">
        <f>OneLineRR!D268</f>
        <v>#N/A</v>
      </c>
      <c r="H177" s="155" t="e">
        <f>IF(OneLineRR!G268="Yes","Affordable","Market")</f>
        <v>#N/A</v>
      </c>
      <c r="I177" s="104" t="e">
        <f>OneLineRR!I268</f>
        <v>#N/A</v>
      </c>
      <c r="J177" s="156">
        <f>OneLineRR!M268</f>
        <v>0</v>
      </c>
      <c r="K177" s="634">
        <f>OneLineRR!L268</f>
        <v>0</v>
      </c>
      <c r="L177" s="143" t="str">
        <f>OneLineRR!C268</f>
        <v>Occ</v>
      </c>
      <c r="M177" s="636">
        <f>OneLineRR!O268</f>
        <v>0</v>
      </c>
      <c r="N177" s="636">
        <f t="shared" si="2"/>
        <v>0</v>
      </c>
      <c r="O177" s="636">
        <f>OneLineRR!N268</f>
        <v>0</v>
      </c>
      <c r="P177" s="636" t="e" cm="1">
        <f t="array" ref="P177">INDEX('Unit Mix'!$P$6:$P$62,MATCH(1,('Rent Roll'!G177='Unit Mix'!$E$6:$E$62)*(D177='Unit Mix'!$D$6:$D$62),0))</f>
        <v>#N/A</v>
      </c>
      <c r="Q177" s="150">
        <f>OneLineRR!T268</f>
        <v>0</v>
      </c>
      <c r="R177" s="150">
        <f>OneLineRR!U268</f>
        <v>0</v>
      </c>
      <c r="S177" s="150">
        <f>OneLineRR!V268</f>
        <v>0</v>
      </c>
      <c r="T177" s="150">
        <f>OneLineRR!W268</f>
        <v>0</v>
      </c>
      <c r="U177" s="157" t="str">
        <f>IF(OneLineRR!Q268="","",OneLineRR!Q268)</f>
        <v/>
      </c>
      <c r="V177" s="157" t="str">
        <f>IF(OneLineRR!R268="","",OneLineRR!R268)</f>
        <v/>
      </c>
      <c r="AB177" s="320" t="str">
        <f>IFERROR(U177+(COUNTIF($U$8:U177,U177)-1)/10000,"")</f>
        <v/>
      </c>
      <c r="AC177" s="158"/>
      <c r="AD177" s="119"/>
      <c r="AE177" s="460"/>
      <c r="AG177" s="119"/>
    </row>
    <row r="178" spans="4:33" x14ac:dyDescent="0.25">
      <c r="D178" s="154" t="str">
        <f>OneLineRR!A269</f>
        <v>Hudson View Park</v>
      </c>
      <c r="E178" s="104">
        <f>OneLineRR!J269</f>
        <v>0</v>
      </c>
      <c r="F178" s="104">
        <f>OneLineRR!K269</f>
        <v>0</v>
      </c>
      <c r="G178" s="155" t="e">
        <f>OneLineRR!D269</f>
        <v>#N/A</v>
      </c>
      <c r="H178" s="155" t="e">
        <f>IF(OneLineRR!G269="Yes","Affordable","Market")</f>
        <v>#N/A</v>
      </c>
      <c r="I178" s="104" t="e">
        <f>OneLineRR!I269</f>
        <v>#N/A</v>
      </c>
      <c r="J178" s="156">
        <f>OneLineRR!M269</f>
        <v>0</v>
      </c>
      <c r="K178" s="634">
        <f>OneLineRR!L269</f>
        <v>0</v>
      </c>
      <c r="L178" s="143" t="str">
        <f>OneLineRR!C269</f>
        <v>Occ</v>
      </c>
      <c r="M178" s="636">
        <f>OneLineRR!O269</f>
        <v>0</v>
      </c>
      <c r="N178" s="636">
        <f t="shared" si="2"/>
        <v>0</v>
      </c>
      <c r="O178" s="636">
        <f>OneLineRR!N269</f>
        <v>0</v>
      </c>
      <c r="P178" s="636" t="e" cm="1">
        <f t="array" ref="P178">INDEX('Unit Mix'!$P$6:$P$62,MATCH(1,('Rent Roll'!G178='Unit Mix'!$E$6:$E$62)*(D178='Unit Mix'!$D$6:$D$62),0))</f>
        <v>#N/A</v>
      </c>
      <c r="Q178" s="150">
        <f>OneLineRR!T269</f>
        <v>0</v>
      </c>
      <c r="R178" s="150">
        <f>OneLineRR!U269</f>
        <v>0</v>
      </c>
      <c r="S178" s="150">
        <f>OneLineRR!V269</f>
        <v>0</v>
      </c>
      <c r="T178" s="150">
        <f>OneLineRR!W269</f>
        <v>0</v>
      </c>
      <c r="U178" s="157" t="str">
        <f>IF(OneLineRR!Q269="","",OneLineRR!Q269)</f>
        <v/>
      </c>
      <c r="V178" s="157" t="str">
        <f>IF(OneLineRR!R269="","",OneLineRR!R269)</f>
        <v/>
      </c>
      <c r="AB178" s="320" t="str">
        <f>IFERROR(U178+(COUNTIF($U$8:U178,U178)-1)/10000,"")</f>
        <v/>
      </c>
      <c r="AC178" s="158"/>
      <c r="AD178" s="119"/>
      <c r="AE178" s="460"/>
      <c r="AG178" s="119"/>
    </row>
    <row r="179" spans="4:33" x14ac:dyDescent="0.25">
      <c r="D179" s="154" t="str">
        <f>OneLineRR!A270</f>
        <v>Hudson View Park</v>
      </c>
      <c r="E179" s="104">
        <f>OneLineRR!J270</f>
        <v>0</v>
      </c>
      <c r="F179" s="104">
        <f>OneLineRR!K270</f>
        <v>0</v>
      </c>
      <c r="G179" s="155" t="e">
        <f>OneLineRR!D270</f>
        <v>#N/A</v>
      </c>
      <c r="H179" s="155" t="e">
        <f>IF(OneLineRR!G270="Yes","Affordable","Market")</f>
        <v>#N/A</v>
      </c>
      <c r="I179" s="104" t="e">
        <f>OneLineRR!I270</f>
        <v>#N/A</v>
      </c>
      <c r="J179" s="156">
        <f>OneLineRR!M270</f>
        <v>0</v>
      </c>
      <c r="K179" s="634">
        <f>OneLineRR!L270</f>
        <v>0</v>
      </c>
      <c r="L179" s="143" t="str">
        <f>OneLineRR!C270</f>
        <v>Occ</v>
      </c>
      <c r="M179" s="636">
        <f>OneLineRR!O270</f>
        <v>0</v>
      </c>
      <c r="N179" s="636">
        <f t="shared" si="2"/>
        <v>0</v>
      </c>
      <c r="O179" s="636">
        <f>OneLineRR!N270</f>
        <v>0</v>
      </c>
      <c r="P179" s="636" t="e" cm="1">
        <f t="array" ref="P179">INDEX('Unit Mix'!$P$6:$P$62,MATCH(1,('Rent Roll'!G179='Unit Mix'!$E$6:$E$62)*(D179='Unit Mix'!$D$6:$D$62),0))</f>
        <v>#N/A</v>
      </c>
      <c r="Q179" s="150">
        <f>OneLineRR!T270</f>
        <v>0</v>
      </c>
      <c r="R179" s="150">
        <f>OneLineRR!U270</f>
        <v>0</v>
      </c>
      <c r="S179" s="150">
        <f>OneLineRR!V270</f>
        <v>0</v>
      </c>
      <c r="T179" s="150">
        <f>OneLineRR!W270</f>
        <v>0</v>
      </c>
      <c r="U179" s="157" t="str">
        <f>IF(OneLineRR!Q270="","",OneLineRR!Q270)</f>
        <v/>
      </c>
      <c r="V179" s="157" t="str">
        <f>IF(OneLineRR!R270="","",OneLineRR!R270)</f>
        <v/>
      </c>
      <c r="AB179" s="320" t="str">
        <f>IFERROR(U179+(COUNTIF($U$8:U179,U179)-1)/10000,"")</f>
        <v/>
      </c>
      <c r="AC179" s="158"/>
      <c r="AD179" s="119"/>
      <c r="AE179" s="460"/>
      <c r="AG179" s="119"/>
    </row>
    <row r="180" spans="4:33" x14ac:dyDescent="0.25">
      <c r="D180" s="154" t="str">
        <f>OneLineRR!A271</f>
        <v>Hudson View Park</v>
      </c>
      <c r="E180" s="104">
        <f>OneLineRR!J271</f>
        <v>0</v>
      </c>
      <c r="F180" s="104">
        <f>OneLineRR!K271</f>
        <v>0</v>
      </c>
      <c r="G180" s="155" t="e">
        <f>OneLineRR!D271</f>
        <v>#N/A</v>
      </c>
      <c r="H180" s="155" t="e">
        <f>IF(OneLineRR!G271="Yes","Affordable","Market")</f>
        <v>#N/A</v>
      </c>
      <c r="I180" s="104" t="e">
        <f>OneLineRR!I271</f>
        <v>#N/A</v>
      </c>
      <c r="J180" s="156">
        <f>OneLineRR!M271</f>
        <v>0</v>
      </c>
      <c r="K180" s="634">
        <f>OneLineRR!L271</f>
        <v>0</v>
      </c>
      <c r="L180" s="143" t="str">
        <f>OneLineRR!C271</f>
        <v>Occ</v>
      </c>
      <c r="M180" s="636">
        <f>OneLineRR!O271</f>
        <v>0</v>
      </c>
      <c r="N180" s="636">
        <f t="shared" si="2"/>
        <v>0</v>
      </c>
      <c r="O180" s="636">
        <f>OneLineRR!N271</f>
        <v>0</v>
      </c>
      <c r="P180" s="636" t="e" cm="1">
        <f t="array" ref="P180">INDEX('Unit Mix'!$P$6:$P$62,MATCH(1,('Rent Roll'!G180='Unit Mix'!$E$6:$E$62)*(D180='Unit Mix'!$D$6:$D$62),0))</f>
        <v>#N/A</v>
      </c>
      <c r="Q180" s="150">
        <f>OneLineRR!T271</f>
        <v>0</v>
      </c>
      <c r="R180" s="150">
        <f>OneLineRR!U271</f>
        <v>0</v>
      </c>
      <c r="S180" s="150">
        <f>OneLineRR!V271</f>
        <v>0</v>
      </c>
      <c r="T180" s="150">
        <f>OneLineRR!W271</f>
        <v>0</v>
      </c>
      <c r="U180" s="157" t="str">
        <f>IF(OneLineRR!Q271="","",OneLineRR!Q271)</f>
        <v/>
      </c>
      <c r="V180" s="157" t="str">
        <f>IF(OneLineRR!R271="","",OneLineRR!R271)</f>
        <v/>
      </c>
      <c r="AB180" s="320" t="str">
        <f>IFERROR(U180+(COUNTIF($U$8:U180,U180)-1)/10000,"")</f>
        <v/>
      </c>
      <c r="AC180" s="158"/>
      <c r="AD180" s="119"/>
      <c r="AE180" s="460"/>
      <c r="AG180" s="119"/>
    </row>
    <row r="181" spans="4:33" x14ac:dyDescent="0.25">
      <c r="D181" s="154" t="str">
        <f>OneLineRR!A272</f>
        <v>Hudson View Park</v>
      </c>
      <c r="E181" s="104">
        <f>OneLineRR!J272</f>
        <v>0</v>
      </c>
      <c r="F181" s="104">
        <f>OneLineRR!K272</f>
        <v>0</v>
      </c>
      <c r="G181" s="155" t="e">
        <f>OneLineRR!D272</f>
        <v>#N/A</v>
      </c>
      <c r="H181" s="155" t="e">
        <f>IF(OneLineRR!G272="Yes","Affordable","Market")</f>
        <v>#N/A</v>
      </c>
      <c r="I181" s="104" t="e">
        <f>OneLineRR!I272</f>
        <v>#N/A</v>
      </c>
      <c r="J181" s="156">
        <f>OneLineRR!M272</f>
        <v>0</v>
      </c>
      <c r="K181" s="634">
        <f>OneLineRR!L272</f>
        <v>0</v>
      </c>
      <c r="L181" s="143" t="str">
        <f>OneLineRR!C272</f>
        <v>Occ</v>
      </c>
      <c r="M181" s="636">
        <f>OneLineRR!O272</f>
        <v>0</v>
      </c>
      <c r="N181" s="636">
        <f t="shared" si="2"/>
        <v>0</v>
      </c>
      <c r="O181" s="636">
        <f>OneLineRR!N272</f>
        <v>0</v>
      </c>
      <c r="P181" s="636" t="e" cm="1">
        <f t="array" ref="P181">INDEX('Unit Mix'!$P$6:$P$62,MATCH(1,('Rent Roll'!G181='Unit Mix'!$E$6:$E$62)*(D181='Unit Mix'!$D$6:$D$62),0))</f>
        <v>#N/A</v>
      </c>
      <c r="Q181" s="150">
        <f>OneLineRR!T272</f>
        <v>0</v>
      </c>
      <c r="R181" s="150">
        <f>OneLineRR!U272</f>
        <v>0</v>
      </c>
      <c r="S181" s="150">
        <f>OneLineRR!V272</f>
        <v>0</v>
      </c>
      <c r="T181" s="150">
        <f>OneLineRR!W272</f>
        <v>0</v>
      </c>
      <c r="U181" s="157" t="str">
        <f>IF(OneLineRR!Q272="","",OneLineRR!Q272)</f>
        <v/>
      </c>
      <c r="V181" s="157" t="str">
        <f>IF(OneLineRR!R272="","",OneLineRR!R272)</f>
        <v/>
      </c>
      <c r="AB181" s="320" t="str">
        <f>IFERROR(U181+(COUNTIF($U$8:U181,U181)-1)/10000,"")</f>
        <v/>
      </c>
      <c r="AC181" s="158"/>
      <c r="AD181" s="119"/>
      <c r="AE181" s="460"/>
      <c r="AG181" s="119"/>
    </row>
    <row r="182" spans="4:33" x14ac:dyDescent="0.25">
      <c r="D182" s="154" t="str">
        <f>OneLineRR!A273</f>
        <v>Hudson View Park</v>
      </c>
      <c r="E182" s="104">
        <f>OneLineRR!J273</f>
        <v>0</v>
      </c>
      <c r="F182" s="104">
        <f>OneLineRR!K273</f>
        <v>0</v>
      </c>
      <c r="G182" s="155" t="e">
        <f>OneLineRR!D273</f>
        <v>#N/A</v>
      </c>
      <c r="H182" s="155" t="e">
        <f>IF(OneLineRR!G273="Yes","Affordable","Market")</f>
        <v>#N/A</v>
      </c>
      <c r="I182" s="104" t="e">
        <f>OneLineRR!I273</f>
        <v>#N/A</v>
      </c>
      <c r="J182" s="156">
        <f>OneLineRR!M273</f>
        <v>0</v>
      </c>
      <c r="K182" s="634">
        <f>OneLineRR!L273</f>
        <v>0</v>
      </c>
      <c r="L182" s="143" t="str">
        <f>OneLineRR!C273</f>
        <v>Occ</v>
      </c>
      <c r="M182" s="636">
        <f>OneLineRR!O273</f>
        <v>0</v>
      </c>
      <c r="N182" s="636">
        <f t="shared" si="2"/>
        <v>0</v>
      </c>
      <c r="O182" s="636">
        <f>OneLineRR!N273</f>
        <v>0</v>
      </c>
      <c r="P182" s="636" t="e" cm="1">
        <f t="array" ref="P182">INDEX('Unit Mix'!$P$6:$P$62,MATCH(1,('Rent Roll'!G182='Unit Mix'!$E$6:$E$62)*(D182='Unit Mix'!$D$6:$D$62),0))</f>
        <v>#N/A</v>
      </c>
      <c r="Q182" s="150">
        <f>OneLineRR!T273</f>
        <v>0</v>
      </c>
      <c r="R182" s="150">
        <f>OneLineRR!U273</f>
        <v>0</v>
      </c>
      <c r="S182" s="150">
        <f>OneLineRR!V273</f>
        <v>0</v>
      </c>
      <c r="T182" s="150">
        <f>OneLineRR!W273</f>
        <v>0</v>
      </c>
      <c r="U182" s="157" t="str">
        <f>IF(OneLineRR!Q273="","",OneLineRR!Q273)</f>
        <v/>
      </c>
      <c r="V182" s="157" t="str">
        <f>IF(OneLineRR!R273="","",OneLineRR!R273)</f>
        <v/>
      </c>
      <c r="AB182" s="320" t="str">
        <f>IFERROR(U182+(COUNTIF($U$8:U182,U182)-1)/10000,"")</f>
        <v/>
      </c>
      <c r="AC182" s="158"/>
      <c r="AD182" s="119"/>
      <c r="AE182" s="460"/>
      <c r="AG182" s="119"/>
    </row>
    <row r="183" spans="4:33" x14ac:dyDescent="0.25">
      <c r="D183" s="154" t="str">
        <f>OneLineRR!A274</f>
        <v>Hudson View Park</v>
      </c>
      <c r="E183" s="104">
        <f>OneLineRR!J274</f>
        <v>0</v>
      </c>
      <c r="F183" s="104">
        <f>OneLineRR!K274</f>
        <v>0</v>
      </c>
      <c r="G183" s="155" t="e">
        <f>OneLineRR!D274</f>
        <v>#N/A</v>
      </c>
      <c r="H183" s="155" t="e">
        <f>IF(OneLineRR!G274="Yes","Affordable","Market")</f>
        <v>#N/A</v>
      </c>
      <c r="I183" s="104" t="e">
        <f>OneLineRR!I274</f>
        <v>#N/A</v>
      </c>
      <c r="J183" s="156">
        <f>OneLineRR!M274</f>
        <v>0</v>
      </c>
      <c r="K183" s="634">
        <f>OneLineRR!L274</f>
        <v>0</v>
      </c>
      <c r="L183" s="143" t="str">
        <f>OneLineRR!C274</f>
        <v>Occ</v>
      </c>
      <c r="M183" s="636">
        <f>OneLineRR!O274</f>
        <v>0</v>
      </c>
      <c r="N183" s="636">
        <f t="shared" si="2"/>
        <v>0</v>
      </c>
      <c r="O183" s="636">
        <f>OneLineRR!N274</f>
        <v>0</v>
      </c>
      <c r="P183" s="636" t="e" cm="1">
        <f t="array" ref="P183">INDEX('Unit Mix'!$P$6:$P$62,MATCH(1,('Rent Roll'!G183='Unit Mix'!$E$6:$E$62)*(D183='Unit Mix'!$D$6:$D$62),0))</f>
        <v>#N/A</v>
      </c>
      <c r="Q183" s="150">
        <f>OneLineRR!T274</f>
        <v>0</v>
      </c>
      <c r="R183" s="150">
        <f>OneLineRR!U274</f>
        <v>0</v>
      </c>
      <c r="S183" s="150">
        <f>OneLineRR!V274</f>
        <v>0</v>
      </c>
      <c r="T183" s="150">
        <f>OneLineRR!W274</f>
        <v>0</v>
      </c>
      <c r="U183" s="157" t="str">
        <f>IF(OneLineRR!Q274="","",OneLineRR!Q274)</f>
        <v/>
      </c>
      <c r="V183" s="157" t="str">
        <f>IF(OneLineRR!R274="","",OneLineRR!R274)</f>
        <v/>
      </c>
      <c r="AB183" s="320" t="str">
        <f>IFERROR(U183+(COUNTIF($U$8:U183,U183)-1)/10000,"")</f>
        <v/>
      </c>
      <c r="AC183" s="158"/>
      <c r="AD183" s="119"/>
      <c r="AE183" s="460"/>
      <c r="AG183" s="119"/>
    </row>
    <row r="184" spans="4:33" x14ac:dyDescent="0.25">
      <c r="D184" s="154" t="str">
        <f>OneLineRR!A275</f>
        <v>Hudson View Park</v>
      </c>
      <c r="E184" s="104">
        <f>OneLineRR!J275</f>
        <v>0</v>
      </c>
      <c r="F184" s="104">
        <f>OneLineRR!K275</f>
        <v>0</v>
      </c>
      <c r="G184" s="155" t="e">
        <f>OneLineRR!D275</f>
        <v>#N/A</v>
      </c>
      <c r="H184" s="155" t="e">
        <f>IF(OneLineRR!G275="Yes","Affordable","Market")</f>
        <v>#N/A</v>
      </c>
      <c r="I184" s="104" t="e">
        <f>OneLineRR!I275</f>
        <v>#N/A</v>
      </c>
      <c r="J184" s="156">
        <f>OneLineRR!M275</f>
        <v>0</v>
      </c>
      <c r="K184" s="634">
        <f>OneLineRR!L275</f>
        <v>0</v>
      </c>
      <c r="L184" s="143" t="str">
        <f>OneLineRR!C275</f>
        <v>Occ</v>
      </c>
      <c r="M184" s="636">
        <f>OneLineRR!O275</f>
        <v>0</v>
      </c>
      <c r="N184" s="636">
        <f t="shared" si="2"/>
        <v>0</v>
      </c>
      <c r="O184" s="636">
        <f>OneLineRR!N275</f>
        <v>0</v>
      </c>
      <c r="P184" s="636" t="e" cm="1">
        <f t="array" ref="P184">INDEX('Unit Mix'!$P$6:$P$62,MATCH(1,('Rent Roll'!G184='Unit Mix'!$E$6:$E$62)*(D184='Unit Mix'!$D$6:$D$62),0))</f>
        <v>#N/A</v>
      </c>
      <c r="Q184" s="150">
        <f>OneLineRR!T275</f>
        <v>0</v>
      </c>
      <c r="R184" s="150">
        <f>OneLineRR!U275</f>
        <v>0</v>
      </c>
      <c r="S184" s="150">
        <f>OneLineRR!V275</f>
        <v>0</v>
      </c>
      <c r="T184" s="150">
        <f>OneLineRR!W275</f>
        <v>0</v>
      </c>
      <c r="U184" s="157" t="str">
        <f>IF(OneLineRR!Q275="","",OneLineRR!Q275)</f>
        <v/>
      </c>
      <c r="V184" s="157" t="str">
        <f>IF(OneLineRR!R275="","",OneLineRR!R275)</f>
        <v/>
      </c>
      <c r="AB184" s="320" t="str">
        <f>IFERROR(U184+(COUNTIF($U$8:U184,U184)-1)/10000,"")</f>
        <v/>
      </c>
      <c r="AC184" s="158"/>
      <c r="AD184" s="119"/>
      <c r="AE184" s="460"/>
      <c r="AG184" s="119"/>
    </row>
    <row r="185" spans="4:33" x14ac:dyDescent="0.25">
      <c r="D185" s="154" t="str">
        <f>OneLineRR!A276</f>
        <v>Hudson View Park</v>
      </c>
      <c r="E185" s="104">
        <f>OneLineRR!J276</f>
        <v>0</v>
      </c>
      <c r="F185" s="104">
        <f>OneLineRR!K276</f>
        <v>0</v>
      </c>
      <c r="G185" s="155" t="e">
        <f>OneLineRR!D276</f>
        <v>#N/A</v>
      </c>
      <c r="H185" s="155" t="e">
        <f>IF(OneLineRR!G276="Yes","Affordable","Market")</f>
        <v>#N/A</v>
      </c>
      <c r="I185" s="104" t="e">
        <f>OneLineRR!I276</f>
        <v>#N/A</v>
      </c>
      <c r="J185" s="156">
        <f>OneLineRR!M276</f>
        <v>0</v>
      </c>
      <c r="K185" s="634">
        <f>OneLineRR!L276</f>
        <v>0</v>
      </c>
      <c r="L185" s="143" t="str">
        <f>OneLineRR!C276</f>
        <v>Occ</v>
      </c>
      <c r="M185" s="636">
        <f>OneLineRR!O276</f>
        <v>0</v>
      </c>
      <c r="N185" s="636">
        <f t="shared" si="2"/>
        <v>0</v>
      </c>
      <c r="O185" s="636">
        <f>OneLineRR!N276</f>
        <v>0</v>
      </c>
      <c r="P185" s="636" t="e" cm="1">
        <f t="array" ref="P185">INDEX('Unit Mix'!$P$6:$P$62,MATCH(1,('Rent Roll'!G185='Unit Mix'!$E$6:$E$62)*(D185='Unit Mix'!$D$6:$D$62),0))</f>
        <v>#N/A</v>
      </c>
      <c r="Q185" s="150">
        <f>OneLineRR!T276</f>
        <v>0</v>
      </c>
      <c r="R185" s="150">
        <f>OneLineRR!U276</f>
        <v>0</v>
      </c>
      <c r="S185" s="150">
        <f>OneLineRR!V276</f>
        <v>0</v>
      </c>
      <c r="T185" s="150">
        <f>OneLineRR!W276</f>
        <v>0</v>
      </c>
      <c r="U185" s="157" t="str">
        <f>IF(OneLineRR!Q276="","",OneLineRR!Q276)</f>
        <v/>
      </c>
      <c r="V185" s="157" t="str">
        <f>IF(OneLineRR!R276="","",OneLineRR!R276)</f>
        <v/>
      </c>
      <c r="AB185" s="320" t="str">
        <f>IFERROR(U185+(COUNTIF($U$8:U185,U185)-1)/10000,"")</f>
        <v/>
      </c>
      <c r="AC185" s="158"/>
      <c r="AD185" s="119"/>
      <c r="AE185" s="460"/>
      <c r="AG185" s="119"/>
    </row>
    <row r="186" spans="4:33" x14ac:dyDescent="0.25">
      <c r="D186" s="154" t="str">
        <f>OneLineRR!A277</f>
        <v>Hudson View Park</v>
      </c>
      <c r="E186" s="104">
        <f>OneLineRR!J277</f>
        <v>0</v>
      </c>
      <c r="F186" s="104">
        <f>OneLineRR!K277</f>
        <v>0</v>
      </c>
      <c r="G186" s="155" t="e">
        <f>OneLineRR!D277</f>
        <v>#N/A</v>
      </c>
      <c r="H186" s="155" t="e">
        <f>IF(OneLineRR!G277="Yes","Affordable","Market")</f>
        <v>#N/A</v>
      </c>
      <c r="I186" s="104" t="e">
        <f>OneLineRR!I277</f>
        <v>#N/A</v>
      </c>
      <c r="J186" s="156">
        <f>OneLineRR!M277</f>
        <v>0</v>
      </c>
      <c r="K186" s="634">
        <f>OneLineRR!L277</f>
        <v>0</v>
      </c>
      <c r="L186" s="143" t="str">
        <f>OneLineRR!C277</f>
        <v>Occ</v>
      </c>
      <c r="M186" s="636">
        <f>OneLineRR!O277</f>
        <v>0</v>
      </c>
      <c r="N186" s="636">
        <f t="shared" si="2"/>
        <v>0</v>
      </c>
      <c r="O186" s="636">
        <f>OneLineRR!N277</f>
        <v>0</v>
      </c>
      <c r="P186" s="636" t="e" cm="1">
        <f t="array" ref="P186">INDEX('Unit Mix'!$P$6:$P$62,MATCH(1,('Rent Roll'!G186='Unit Mix'!$E$6:$E$62)*(D186='Unit Mix'!$D$6:$D$62),0))</f>
        <v>#N/A</v>
      </c>
      <c r="Q186" s="150">
        <f>OneLineRR!T277</f>
        <v>0</v>
      </c>
      <c r="R186" s="150">
        <f>OneLineRR!U277</f>
        <v>0</v>
      </c>
      <c r="S186" s="150">
        <f>OneLineRR!V277</f>
        <v>0</v>
      </c>
      <c r="T186" s="150">
        <f>OneLineRR!W277</f>
        <v>0</v>
      </c>
      <c r="U186" s="157" t="str">
        <f>IF(OneLineRR!Q277="","",OneLineRR!Q277)</f>
        <v/>
      </c>
      <c r="V186" s="157" t="str">
        <f>IF(OneLineRR!R277="","",OneLineRR!R277)</f>
        <v/>
      </c>
      <c r="AB186" s="320" t="str">
        <f>IFERROR(U186+(COUNTIF($U$8:U186,U186)-1)/10000,"")</f>
        <v/>
      </c>
      <c r="AC186" s="158"/>
      <c r="AD186" s="119"/>
      <c r="AE186" s="460"/>
      <c r="AG186" s="119"/>
    </row>
    <row r="187" spans="4:33" x14ac:dyDescent="0.25">
      <c r="D187" s="154" t="str">
        <f>OneLineRR!A278</f>
        <v>Hudson View Park</v>
      </c>
      <c r="E187" s="104">
        <f>OneLineRR!J278</f>
        <v>0</v>
      </c>
      <c r="F187" s="104">
        <f>OneLineRR!K278</f>
        <v>0</v>
      </c>
      <c r="G187" s="155" t="e">
        <f>OneLineRR!D278</f>
        <v>#N/A</v>
      </c>
      <c r="H187" s="155" t="e">
        <f>IF(OneLineRR!G278="Yes","Affordable","Market")</f>
        <v>#N/A</v>
      </c>
      <c r="I187" s="104" t="e">
        <f>OneLineRR!I278</f>
        <v>#N/A</v>
      </c>
      <c r="J187" s="156">
        <f>OneLineRR!M278</f>
        <v>0</v>
      </c>
      <c r="K187" s="634">
        <f>OneLineRR!L278</f>
        <v>0</v>
      </c>
      <c r="L187" s="143" t="str">
        <f>OneLineRR!C278</f>
        <v>Occ</v>
      </c>
      <c r="M187" s="636">
        <f>OneLineRR!O278</f>
        <v>0</v>
      </c>
      <c r="N187" s="636">
        <f t="shared" si="2"/>
        <v>0</v>
      </c>
      <c r="O187" s="636">
        <f>OneLineRR!N278</f>
        <v>0</v>
      </c>
      <c r="P187" s="636" t="e" cm="1">
        <f t="array" ref="P187">INDEX('Unit Mix'!$P$6:$P$62,MATCH(1,('Rent Roll'!G187='Unit Mix'!$E$6:$E$62)*(D187='Unit Mix'!$D$6:$D$62),0))</f>
        <v>#N/A</v>
      </c>
      <c r="Q187" s="150">
        <f>OneLineRR!T278</f>
        <v>0</v>
      </c>
      <c r="R187" s="150">
        <f>OneLineRR!U278</f>
        <v>0</v>
      </c>
      <c r="S187" s="150">
        <f>OneLineRR!V278</f>
        <v>0</v>
      </c>
      <c r="T187" s="150">
        <f>OneLineRR!W278</f>
        <v>0</v>
      </c>
      <c r="U187" s="157" t="str">
        <f>IF(OneLineRR!Q278="","",OneLineRR!Q278)</f>
        <v/>
      </c>
      <c r="V187" s="157" t="str">
        <f>IF(OneLineRR!R278="","",OneLineRR!R278)</f>
        <v/>
      </c>
      <c r="AB187" s="320" t="str">
        <f>IFERROR(U187+(COUNTIF($U$8:U187,U187)-1)/10000,"")</f>
        <v/>
      </c>
      <c r="AC187" s="158"/>
      <c r="AD187" s="119"/>
      <c r="AE187" s="460"/>
      <c r="AG187" s="119"/>
    </row>
    <row r="188" spans="4:33" x14ac:dyDescent="0.25">
      <c r="D188" s="154" t="str">
        <f>OneLineRR!A279</f>
        <v>Hudson View Park</v>
      </c>
      <c r="E188" s="104">
        <f>OneLineRR!J279</f>
        <v>0</v>
      </c>
      <c r="F188" s="104">
        <f>OneLineRR!K279</f>
        <v>0</v>
      </c>
      <c r="G188" s="155" t="e">
        <f>OneLineRR!D279</f>
        <v>#N/A</v>
      </c>
      <c r="H188" s="155" t="e">
        <f>IF(OneLineRR!G279="Yes","Affordable","Market")</f>
        <v>#N/A</v>
      </c>
      <c r="I188" s="104" t="e">
        <f>OneLineRR!I279</f>
        <v>#N/A</v>
      </c>
      <c r="J188" s="156">
        <f>OneLineRR!M279</f>
        <v>0</v>
      </c>
      <c r="K188" s="634">
        <f>OneLineRR!L279</f>
        <v>0</v>
      </c>
      <c r="L188" s="143" t="str">
        <f>OneLineRR!C279</f>
        <v>Occ</v>
      </c>
      <c r="M188" s="636">
        <f>OneLineRR!O279</f>
        <v>0</v>
      </c>
      <c r="N188" s="636">
        <f t="shared" si="2"/>
        <v>0</v>
      </c>
      <c r="O188" s="636">
        <f>OneLineRR!N279</f>
        <v>0</v>
      </c>
      <c r="P188" s="636" t="e" cm="1">
        <f t="array" ref="P188">INDEX('Unit Mix'!$P$6:$P$62,MATCH(1,('Rent Roll'!G188='Unit Mix'!$E$6:$E$62)*(D188='Unit Mix'!$D$6:$D$62),0))</f>
        <v>#N/A</v>
      </c>
      <c r="Q188" s="150">
        <f>OneLineRR!T279</f>
        <v>0</v>
      </c>
      <c r="R188" s="150">
        <f>OneLineRR!U279</f>
        <v>0</v>
      </c>
      <c r="S188" s="150">
        <f>OneLineRR!V279</f>
        <v>0</v>
      </c>
      <c r="T188" s="150">
        <f>OneLineRR!W279</f>
        <v>0</v>
      </c>
      <c r="U188" s="157" t="str">
        <f>IF(OneLineRR!Q279="","",OneLineRR!Q279)</f>
        <v/>
      </c>
      <c r="V188" s="157" t="str">
        <f>IF(OneLineRR!R279="","",OneLineRR!R279)</f>
        <v/>
      </c>
      <c r="AB188" s="320" t="str">
        <f>IFERROR(U188+(COUNTIF($U$8:U188,U188)-1)/10000,"")</f>
        <v/>
      </c>
      <c r="AC188" s="158"/>
      <c r="AD188" s="119"/>
      <c r="AE188" s="460"/>
      <c r="AG188" s="119"/>
    </row>
    <row r="189" spans="4:33" x14ac:dyDescent="0.25">
      <c r="D189" s="154" t="str">
        <f>OneLineRR!A280</f>
        <v>Hudson View Park</v>
      </c>
      <c r="E189" s="104">
        <f>OneLineRR!J280</f>
        <v>0</v>
      </c>
      <c r="F189" s="104">
        <f>OneLineRR!K280</f>
        <v>0</v>
      </c>
      <c r="G189" s="155" t="e">
        <f>OneLineRR!D280</f>
        <v>#N/A</v>
      </c>
      <c r="H189" s="155" t="e">
        <f>IF(OneLineRR!G280="Yes","Affordable","Market")</f>
        <v>#N/A</v>
      </c>
      <c r="I189" s="104" t="e">
        <f>OneLineRR!I280</f>
        <v>#N/A</v>
      </c>
      <c r="J189" s="156">
        <f>OneLineRR!M280</f>
        <v>0</v>
      </c>
      <c r="K189" s="634">
        <f>OneLineRR!L280</f>
        <v>0</v>
      </c>
      <c r="L189" s="143" t="str">
        <f>OneLineRR!C280</f>
        <v>Occ</v>
      </c>
      <c r="M189" s="636">
        <f>OneLineRR!O280</f>
        <v>0</v>
      </c>
      <c r="N189" s="636">
        <f t="shared" si="2"/>
        <v>0</v>
      </c>
      <c r="O189" s="636">
        <f>OneLineRR!N280</f>
        <v>0</v>
      </c>
      <c r="P189" s="636" t="e" cm="1">
        <f t="array" ref="P189">INDEX('Unit Mix'!$P$6:$P$62,MATCH(1,('Rent Roll'!G189='Unit Mix'!$E$6:$E$62)*(D189='Unit Mix'!$D$6:$D$62),0))</f>
        <v>#N/A</v>
      </c>
      <c r="Q189" s="150">
        <f>OneLineRR!T280</f>
        <v>0</v>
      </c>
      <c r="R189" s="150">
        <f>OneLineRR!U280</f>
        <v>0</v>
      </c>
      <c r="S189" s="150">
        <f>OneLineRR!V280</f>
        <v>0</v>
      </c>
      <c r="T189" s="150">
        <f>OneLineRR!W280</f>
        <v>0</v>
      </c>
      <c r="U189" s="157" t="str">
        <f>IF(OneLineRR!Q280="","",OneLineRR!Q280)</f>
        <v/>
      </c>
      <c r="V189" s="157" t="str">
        <f>IF(OneLineRR!R280="","",OneLineRR!R280)</f>
        <v/>
      </c>
      <c r="AB189" s="320" t="str">
        <f>IFERROR(U189+(COUNTIF($U$8:U189,U189)-1)/10000,"")</f>
        <v/>
      </c>
      <c r="AC189" s="158"/>
      <c r="AD189" s="119"/>
      <c r="AE189" s="460"/>
      <c r="AG189" s="119"/>
    </row>
    <row r="190" spans="4:33" x14ac:dyDescent="0.25">
      <c r="D190" s="154" t="str">
        <f>OneLineRR!A281</f>
        <v>Hudson View Park</v>
      </c>
      <c r="E190" s="104">
        <f>OneLineRR!J281</f>
        <v>0</v>
      </c>
      <c r="F190" s="104">
        <f>OneLineRR!K281</f>
        <v>0</v>
      </c>
      <c r="G190" s="155" t="e">
        <f>OneLineRR!D281</f>
        <v>#N/A</v>
      </c>
      <c r="H190" s="155" t="e">
        <f>IF(OneLineRR!G281="Yes","Affordable","Market")</f>
        <v>#N/A</v>
      </c>
      <c r="I190" s="104" t="e">
        <f>OneLineRR!I281</f>
        <v>#N/A</v>
      </c>
      <c r="J190" s="156">
        <f>OneLineRR!M281</f>
        <v>0</v>
      </c>
      <c r="K190" s="634">
        <f>OneLineRR!L281</f>
        <v>0</v>
      </c>
      <c r="L190" s="143" t="str">
        <f>OneLineRR!C281</f>
        <v>Occ</v>
      </c>
      <c r="M190" s="636">
        <f>OneLineRR!O281</f>
        <v>0</v>
      </c>
      <c r="N190" s="636">
        <f t="shared" si="2"/>
        <v>0</v>
      </c>
      <c r="O190" s="636">
        <f>OneLineRR!N281</f>
        <v>0</v>
      </c>
      <c r="P190" s="636" t="e" cm="1">
        <f t="array" ref="P190">INDEX('Unit Mix'!$P$6:$P$62,MATCH(1,('Rent Roll'!G190='Unit Mix'!$E$6:$E$62)*(D190='Unit Mix'!$D$6:$D$62),0))</f>
        <v>#N/A</v>
      </c>
      <c r="Q190" s="150">
        <f>OneLineRR!T281</f>
        <v>0</v>
      </c>
      <c r="R190" s="150">
        <f>OneLineRR!U281</f>
        <v>0</v>
      </c>
      <c r="S190" s="150">
        <f>OneLineRR!V281</f>
        <v>0</v>
      </c>
      <c r="T190" s="150">
        <f>OneLineRR!W281</f>
        <v>0</v>
      </c>
      <c r="U190" s="157" t="str">
        <f>IF(OneLineRR!Q281="","",OneLineRR!Q281)</f>
        <v/>
      </c>
      <c r="V190" s="157" t="str">
        <f>IF(OneLineRR!R281="","",OneLineRR!R281)</f>
        <v/>
      </c>
      <c r="AB190" s="320" t="str">
        <f>IFERROR(U190+(COUNTIF($U$8:U190,U190)-1)/10000,"")</f>
        <v/>
      </c>
      <c r="AC190" s="158"/>
      <c r="AD190" s="119"/>
      <c r="AE190" s="460"/>
      <c r="AG190" s="119"/>
    </row>
    <row r="191" spans="4:33" x14ac:dyDescent="0.25">
      <c r="D191" s="154" t="str">
        <f>OneLineRR!A282</f>
        <v>Hudson View Park</v>
      </c>
      <c r="E191" s="104">
        <f>OneLineRR!J282</f>
        <v>0</v>
      </c>
      <c r="F191" s="104">
        <f>OneLineRR!K282</f>
        <v>0</v>
      </c>
      <c r="G191" s="155" t="e">
        <f>OneLineRR!D282</f>
        <v>#N/A</v>
      </c>
      <c r="H191" s="155" t="e">
        <f>IF(OneLineRR!G282="Yes","Affordable","Market")</f>
        <v>#N/A</v>
      </c>
      <c r="I191" s="104" t="e">
        <f>OneLineRR!I282</f>
        <v>#N/A</v>
      </c>
      <c r="J191" s="156">
        <f>OneLineRR!M282</f>
        <v>0</v>
      </c>
      <c r="K191" s="634">
        <f>OneLineRR!L282</f>
        <v>0</v>
      </c>
      <c r="L191" s="143" t="str">
        <f>OneLineRR!C282</f>
        <v>Occ</v>
      </c>
      <c r="M191" s="636">
        <f>OneLineRR!O282</f>
        <v>0</v>
      </c>
      <c r="N191" s="636">
        <f t="shared" si="2"/>
        <v>0</v>
      </c>
      <c r="O191" s="636">
        <f>OneLineRR!N282</f>
        <v>0</v>
      </c>
      <c r="P191" s="636" t="e" cm="1">
        <f t="array" ref="P191">INDEX('Unit Mix'!$P$6:$P$62,MATCH(1,('Rent Roll'!G191='Unit Mix'!$E$6:$E$62)*(D191='Unit Mix'!$D$6:$D$62),0))</f>
        <v>#N/A</v>
      </c>
      <c r="Q191" s="150">
        <f>OneLineRR!T282</f>
        <v>0</v>
      </c>
      <c r="R191" s="150">
        <f>OneLineRR!U282</f>
        <v>0</v>
      </c>
      <c r="S191" s="150">
        <f>OneLineRR!V282</f>
        <v>0</v>
      </c>
      <c r="T191" s="150">
        <f>OneLineRR!W282</f>
        <v>0</v>
      </c>
      <c r="U191" s="157" t="str">
        <f>IF(OneLineRR!Q282="","",OneLineRR!Q282)</f>
        <v/>
      </c>
      <c r="V191" s="157" t="str">
        <f>IF(OneLineRR!R282="","",OneLineRR!R282)</f>
        <v/>
      </c>
      <c r="AB191" s="320" t="str">
        <f>IFERROR(U191+(COUNTIF($U$8:U191,U191)-1)/10000,"")</f>
        <v/>
      </c>
      <c r="AC191" s="158"/>
      <c r="AD191" s="119"/>
      <c r="AE191" s="460"/>
      <c r="AG191" s="119"/>
    </row>
    <row r="192" spans="4:33" x14ac:dyDescent="0.25">
      <c r="D192" s="154" t="str">
        <f>OneLineRR!A283</f>
        <v>Hudson View Park</v>
      </c>
      <c r="E192" s="104">
        <f>OneLineRR!J283</f>
        <v>0</v>
      </c>
      <c r="F192" s="104">
        <f>OneLineRR!K283</f>
        <v>0</v>
      </c>
      <c r="G192" s="155" t="e">
        <f>OneLineRR!D283</f>
        <v>#N/A</v>
      </c>
      <c r="H192" s="155" t="e">
        <f>IF(OneLineRR!G283="Yes","Affordable","Market")</f>
        <v>#N/A</v>
      </c>
      <c r="I192" s="104" t="e">
        <f>OneLineRR!I283</f>
        <v>#N/A</v>
      </c>
      <c r="J192" s="156">
        <f>OneLineRR!M283</f>
        <v>0</v>
      </c>
      <c r="K192" s="634">
        <f>OneLineRR!L283</f>
        <v>0</v>
      </c>
      <c r="L192" s="143" t="str">
        <f>OneLineRR!C283</f>
        <v>Occ</v>
      </c>
      <c r="M192" s="636">
        <f>OneLineRR!O283</f>
        <v>0</v>
      </c>
      <c r="N192" s="636">
        <f t="shared" si="2"/>
        <v>0</v>
      </c>
      <c r="O192" s="636">
        <f>OneLineRR!N283</f>
        <v>0</v>
      </c>
      <c r="P192" s="636" t="e" cm="1">
        <f t="array" ref="P192">INDEX('Unit Mix'!$P$6:$P$62,MATCH(1,('Rent Roll'!G192='Unit Mix'!$E$6:$E$62)*(D192='Unit Mix'!$D$6:$D$62),0))</f>
        <v>#N/A</v>
      </c>
      <c r="Q192" s="150">
        <f>OneLineRR!T283</f>
        <v>0</v>
      </c>
      <c r="R192" s="150">
        <f>OneLineRR!U283</f>
        <v>0</v>
      </c>
      <c r="S192" s="150">
        <f>OneLineRR!V283</f>
        <v>0</v>
      </c>
      <c r="T192" s="150">
        <f>OneLineRR!W283</f>
        <v>0</v>
      </c>
      <c r="U192" s="157" t="str">
        <f>IF(OneLineRR!Q283="","",OneLineRR!Q283)</f>
        <v/>
      </c>
      <c r="V192" s="157" t="str">
        <f>IF(OneLineRR!R283="","",OneLineRR!R283)</f>
        <v/>
      </c>
      <c r="AB192" s="320" t="str">
        <f>IFERROR(U192+(COUNTIF($U$8:U192,U192)-1)/10000,"")</f>
        <v/>
      </c>
      <c r="AC192" s="158"/>
      <c r="AD192" s="119"/>
      <c r="AE192" s="460"/>
      <c r="AG192" s="119"/>
    </row>
    <row r="193" spans="4:33" x14ac:dyDescent="0.25">
      <c r="D193" s="154" t="str">
        <f>OneLineRR!A284</f>
        <v>Hudson View Park</v>
      </c>
      <c r="E193" s="104">
        <f>OneLineRR!J284</f>
        <v>0</v>
      </c>
      <c r="F193" s="104">
        <f>OneLineRR!K284</f>
        <v>0</v>
      </c>
      <c r="G193" s="155" t="e">
        <f>OneLineRR!D284</f>
        <v>#N/A</v>
      </c>
      <c r="H193" s="155" t="e">
        <f>IF(OneLineRR!G284="Yes","Affordable","Market")</f>
        <v>#N/A</v>
      </c>
      <c r="I193" s="104" t="e">
        <f>OneLineRR!I284</f>
        <v>#N/A</v>
      </c>
      <c r="J193" s="156">
        <f>OneLineRR!M284</f>
        <v>0</v>
      </c>
      <c r="K193" s="634">
        <f>OneLineRR!L284</f>
        <v>0</v>
      </c>
      <c r="L193" s="143" t="str">
        <f>OneLineRR!C284</f>
        <v>Occ</v>
      </c>
      <c r="M193" s="636">
        <f>OneLineRR!O284</f>
        <v>0</v>
      </c>
      <c r="N193" s="636">
        <f t="shared" si="2"/>
        <v>0</v>
      </c>
      <c r="O193" s="636">
        <f>OneLineRR!N284</f>
        <v>0</v>
      </c>
      <c r="P193" s="636" t="e" cm="1">
        <f t="array" ref="P193">INDEX('Unit Mix'!$P$6:$P$62,MATCH(1,('Rent Roll'!G193='Unit Mix'!$E$6:$E$62)*(D193='Unit Mix'!$D$6:$D$62),0))</f>
        <v>#N/A</v>
      </c>
      <c r="Q193" s="150">
        <f>OneLineRR!T284</f>
        <v>0</v>
      </c>
      <c r="R193" s="150">
        <f>OneLineRR!U284</f>
        <v>0</v>
      </c>
      <c r="S193" s="150">
        <f>OneLineRR!V284</f>
        <v>0</v>
      </c>
      <c r="T193" s="150">
        <f>OneLineRR!W284</f>
        <v>0</v>
      </c>
      <c r="U193" s="157" t="str">
        <f>IF(OneLineRR!Q284="","",OneLineRR!Q284)</f>
        <v/>
      </c>
      <c r="V193" s="157" t="str">
        <f>IF(OneLineRR!R284="","",OneLineRR!R284)</f>
        <v/>
      </c>
      <c r="AB193" s="320" t="str">
        <f>IFERROR(U193+(COUNTIF($U$8:U193,U193)-1)/10000,"")</f>
        <v/>
      </c>
      <c r="AC193" s="158"/>
      <c r="AD193" s="119"/>
      <c r="AE193" s="460"/>
      <c r="AG193" s="119"/>
    </row>
    <row r="194" spans="4:33" x14ac:dyDescent="0.25">
      <c r="D194" s="154" t="str">
        <f>OneLineRR!A285</f>
        <v>Hudson View Park</v>
      </c>
      <c r="E194" s="104">
        <f>OneLineRR!J285</f>
        <v>0</v>
      </c>
      <c r="F194" s="104">
        <f>OneLineRR!K285</f>
        <v>0</v>
      </c>
      <c r="G194" s="155" t="e">
        <f>OneLineRR!D285</f>
        <v>#N/A</v>
      </c>
      <c r="H194" s="155" t="e">
        <f>IF(OneLineRR!G285="Yes","Affordable","Market")</f>
        <v>#N/A</v>
      </c>
      <c r="I194" s="104" t="e">
        <f>OneLineRR!I285</f>
        <v>#N/A</v>
      </c>
      <c r="J194" s="156">
        <f>OneLineRR!M285</f>
        <v>0</v>
      </c>
      <c r="K194" s="634">
        <f>OneLineRR!L285</f>
        <v>0</v>
      </c>
      <c r="L194" s="143" t="str">
        <f>OneLineRR!C285</f>
        <v>Occ</v>
      </c>
      <c r="M194" s="636">
        <f>OneLineRR!O285</f>
        <v>0</v>
      </c>
      <c r="N194" s="636">
        <f t="shared" si="2"/>
        <v>0</v>
      </c>
      <c r="O194" s="636">
        <f>OneLineRR!N285</f>
        <v>0</v>
      </c>
      <c r="P194" s="636" t="e" cm="1">
        <f t="array" ref="P194">INDEX('Unit Mix'!$P$6:$P$62,MATCH(1,('Rent Roll'!G194='Unit Mix'!$E$6:$E$62)*(D194='Unit Mix'!$D$6:$D$62),0))</f>
        <v>#N/A</v>
      </c>
      <c r="Q194" s="150">
        <f>OneLineRR!T285</f>
        <v>0</v>
      </c>
      <c r="R194" s="150">
        <f>OneLineRR!U285</f>
        <v>0</v>
      </c>
      <c r="S194" s="150">
        <f>OneLineRR!V285</f>
        <v>0</v>
      </c>
      <c r="T194" s="150">
        <f>OneLineRR!W285</f>
        <v>0</v>
      </c>
      <c r="U194" s="157" t="str">
        <f>IF(OneLineRR!Q285="","",OneLineRR!Q285)</f>
        <v/>
      </c>
      <c r="V194" s="157" t="str">
        <f>IF(OneLineRR!R285="","",OneLineRR!R285)</f>
        <v/>
      </c>
      <c r="AB194" s="320" t="str">
        <f>IFERROR(U194+(COUNTIF($U$8:U194,U194)-1)/10000,"")</f>
        <v/>
      </c>
      <c r="AC194" s="158"/>
      <c r="AD194" s="119"/>
      <c r="AE194" s="460"/>
      <c r="AG194" s="119"/>
    </row>
    <row r="195" spans="4:33" x14ac:dyDescent="0.25">
      <c r="D195" s="154" t="str">
        <f>OneLineRR!A286</f>
        <v>Hudson View Park</v>
      </c>
      <c r="E195" s="104">
        <f>OneLineRR!J286</f>
        <v>0</v>
      </c>
      <c r="F195" s="104">
        <f>OneLineRR!K286</f>
        <v>0</v>
      </c>
      <c r="G195" s="155" t="e">
        <f>OneLineRR!D286</f>
        <v>#N/A</v>
      </c>
      <c r="H195" s="155" t="e">
        <f>IF(OneLineRR!G286="Yes","Affordable","Market")</f>
        <v>#N/A</v>
      </c>
      <c r="I195" s="104" t="e">
        <f>OneLineRR!I286</f>
        <v>#N/A</v>
      </c>
      <c r="J195" s="156">
        <f>OneLineRR!M286</f>
        <v>0</v>
      </c>
      <c r="K195" s="634">
        <f>OneLineRR!L286</f>
        <v>0</v>
      </c>
      <c r="L195" s="143" t="str">
        <f>OneLineRR!C286</f>
        <v>Occ</v>
      </c>
      <c r="M195" s="636">
        <f>OneLineRR!O286</f>
        <v>0</v>
      </c>
      <c r="N195" s="636">
        <f t="shared" si="2"/>
        <v>0</v>
      </c>
      <c r="O195" s="636">
        <f>OneLineRR!N286</f>
        <v>0</v>
      </c>
      <c r="P195" s="636" t="e" cm="1">
        <f t="array" ref="P195">INDEX('Unit Mix'!$P$6:$P$62,MATCH(1,('Rent Roll'!G195='Unit Mix'!$E$6:$E$62)*(D195='Unit Mix'!$D$6:$D$62),0))</f>
        <v>#N/A</v>
      </c>
      <c r="Q195" s="150">
        <f>OneLineRR!T286</f>
        <v>0</v>
      </c>
      <c r="R195" s="150">
        <f>OneLineRR!U286</f>
        <v>0</v>
      </c>
      <c r="S195" s="150">
        <f>OneLineRR!V286</f>
        <v>0</v>
      </c>
      <c r="T195" s="150">
        <f>OneLineRR!W286</f>
        <v>0</v>
      </c>
      <c r="U195" s="157" t="str">
        <f>IF(OneLineRR!Q286="","",OneLineRR!Q286)</f>
        <v/>
      </c>
      <c r="V195" s="157" t="str">
        <f>IF(OneLineRR!R286="","",OneLineRR!R286)</f>
        <v/>
      </c>
      <c r="AB195" s="320" t="str">
        <f>IFERROR(U195+(COUNTIF($U$8:U195,U195)-1)/10000,"")</f>
        <v/>
      </c>
      <c r="AC195" s="158"/>
      <c r="AD195" s="119"/>
      <c r="AE195" s="460"/>
      <c r="AG195" s="119"/>
    </row>
    <row r="196" spans="4:33" x14ac:dyDescent="0.25">
      <c r="D196" s="154" t="str">
        <f>OneLineRR!A287</f>
        <v>Hudson View Park</v>
      </c>
      <c r="E196" s="104">
        <f>OneLineRR!J287</f>
        <v>0</v>
      </c>
      <c r="F196" s="104">
        <f>OneLineRR!K287</f>
        <v>0</v>
      </c>
      <c r="G196" s="155" t="e">
        <f>OneLineRR!D287</f>
        <v>#N/A</v>
      </c>
      <c r="H196" s="155" t="e">
        <f>IF(OneLineRR!G287="Yes","Affordable","Market")</f>
        <v>#N/A</v>
      </c>
      <c r="I196" s="104" t="e">
        <f>OneLineRR!I287</f>
        <v>#N/A</v>
      </c>
      <c r="J196" s="156">
        <f>OneLineRR!M287</f>
        <v>0</v>
      </c>
      <c r="K196" s="634">
        <f>OneLineRR!L287</f>
        <v>0</v>
      </c>
      <c r="L196" s="143" t="str">
        <f>OneLineRR!C287</f>
        <v>Occ</v>
      </c>
      <c r="M196" s="636">
        <f>OneLineRR!O287</f>
        <v>0</v>
      </c>
      <c r="N196" s="636">
        <f t="shared" si="2"/>
        <v>0</v>
      </c>
      <c r="O196" s="636">
        <f>OneLineRR!N287</f>
        <v>0</v>
      </c>
      <c r="P196" s="636" t="e" cm="1">
        <f t="array" ref="P196">INDEX('Unit Mix'!$P$6:$P$62,MATCH(1,('Rent Roll'!G196='Unit Mix'!$E$6:$E$62)*(D196='Unit Mix'!$D$6:$D$62),0))</f>
        <v>#N/A</v>
      </c>
      <c r="Q196" s="150">
        <f>OneLineRR!T287</f>
        <v>0</v>
      </c>
      <c r="R196" s="150">
        <f>OneLineRR!U287</f>
        <v>0</v>
      </c>
      <c r="S196" s="150">
        <f>OneLineRR!V287</f>
        <v>0</v>
      </c>
      <c r="T196" s="150">
        <f>OneLineRR!W287</f>
        <v>0</v>
      </c>
      <c r="U196" s="157" t="str">
        <f>IF(OneLineRR!Q287="","",OneLineRR!Q287)</f>
        <v/>
      </c>
      <c r="V196" s="157" t="str">
        <f>IF(OneLineRR!R287="","",OneLineRR!R287)</f>
        <v/>
      </c>
      <c r="AB196" s="320" t="str">
        <f>IFERROR(U196+(COUNTIF($U$8:U196,U196)-1)/10000,"")</f>
        <v/>
      </c>
      <c r="AC196" s="158"/>
      <c r="AD196" s="119"/>
      <c r="AE196" s="460"/>
      <c r="AG196" s="119"/>
    </row>
    <row r="197" spans="4:33" x14ac:dyDescent="0.25">
      <c r="D197" s="154" t="str">
        <f>OneLineRR!A288</f>
        <v>Hudson View Park</v>
      </c>
      <c r="E197" s="104">
        <f>OneLineRR!J288</f>
        <v>0</v>
      </c>
      <c r="F197" s="104">
        <f>OneLineRR!K288</f>
        <v>0</v>
      </c>
      <c r="G197" s="155" t="e">
        <f>OneLineRR!D288</f>
        <v>#N/A</v>
      </c>
      <c r="H197" s="155" t="e">
        <f>IF(OneLineRR!G288="Yes","Affordable","Market")</f>
        <v>#N/A</v>
      </c>
      <c r="I197" s="104" t="e">
        <f>OneLineRR!I288</f>
        <v>#N/A</v>
      </c>
      <c r="J197" s="156">
        <f>OneLineRR!M288</f>
        <v>0</v>
      </c>
      <c r="K197" s="634">
        <f>OneLineRR!L288</f>
        <v>0</v>
      </c>
      <c r="L197" s="143" t="str">
        <f>OneLineRR!C288</f>
        <v>Occ</v>
      </c>
      <c r="M197" s="636">
        <f>OneLineRR!O288</f>
        <v>0</v>
      </c>
      <c r="N197" s="636">
        <f t="shared" si="2"/>
        <v>0</v>
      </c>
      <c r="O197" s="636">
        <f>OneLineRR!N288</f>
        <v>0</v>
      </c>
      <c r="P197" s="636" t="e" cm="1">
        <f t="array" ref="P197">INDEX('Unit Mix'!$P$6:$P$62,MATCH(1,('Rent Roll'!G197='Unit Mix'!$E$6:$E$62)*(D197='Unit Mix'!$D$6:$D$62),0))</f>
        <v>#N/A</v>
      </c>
      <c r="Q197" s="150">
        <f>OneLineRR!T288</f>
        <v>0</v>
      </c>
      <c r="R197" s="150">
        <f>OneLineRR!U288</f>
        <v>0</v>
      </c>
      <c r="S197" s="150">
        <f>OneLineRR!V288</f>
        <v>0</v>
      </c>
      <c r="T197" s="150">
        <f>OneLineRR!W288</f>
        <v>0</v>
      </c>
      <c r="U197" s="157" t="str">
        <f>IF(OneLineRR!Q288="","",OneLineRR!Q288)</f>
        <v/>
      </c>
      <c r="V197" s="157" t="str">
        <f>IF(OneLineRR!R288="","",OneLineRR!R288)</f>
        <v/>
      </c>
      <c r="AB197" s="320" t="str">
        <f>IFERROR(U197+(COUNTIF($U$8:U197,U197)-1)/10000,"")</f>
        <v/>
      </c>
      <c r="AC197" s="158"/>
      <c r="AD197" s="119"/>
      <c r="AE197" s="460"/>
      <c r="AG197" s="119"/>
    </row>
    <row r="198" spans="4:33" x14ac:dyDescent="0.25">
      <c r="D198" s="154" t="str">
        <f>OneLineRR!A289</f>
        <v>Hudson View Park</v>
      </c>
      <c r="E198" s="104">
        <f>OneLineRR!J289</f>
        <v>0</v>
      </c>
      <c r="F198" s="104">
        <f>OneLineRR!K289</f>
        <v>0</v>
      </c>
      <c r="G198" s="155" t="e">
        <f>OneLineRR!D289</f>
        <v>#N/A</v>
      </c>
      <c r="H198" s="155" t="e">
        <f>IF(OneLineRR!G289="Yes","Affordable","Market")</f>
        <v>#N/A</v>
      </c>
      <c r="I198" s="104" t="e">
        <f>OneLineRR!I289</f>
        <v>#N/A</v>
      </c>
      <c r="J198" s="156">
        <f>OneLineRR!M289</f>
        <v>0</v>
      </c>
      <c r="K198" s="634">
        <f>OneLineRR!L289</f>
        <v>0</v>
      </c>
      <c r="L198" s="143" t="str">
        <f>OneLineRR!C289</f>
        <v>Occ</v>
      </c>
      <c r="M198" s="636">
        <f>OneLineRR!O289</f>
        <v>0</v>
      </c>
      <c r="N198" s="636">
        <f t="shared" si="2"/>
        <v>0</v>
      </c>
      <c r="O198" s="636">
        <f>OneLineRR!N289</f>
        <v>0</v>
      </c>
      <c r="P198" s="636" t="e" cm="1">
        <f t="array" ref="P198">INDEX('Unit Mix'!$P$6:$P$62,MATCH(1,('Rent Roll'!G198='Unit Mix'!$E$6:$E$62)*(D198='Unit Mix'!$D$6:$D$62),0))</f>
        <v>#N/A</v>
      </c>
      <c r="Q198" s="150">
        <f>OneLineRR!T289</f>
        <v>0</v>
      </c>
      <c r="R198" s="150">
        <f>OneLineRR!U289</f>
        <v>0</v>
      </c>
      <c r="S198" s="150">
        <f>OneLineRR!V289</f>
        <v>0</v>
      </c>
      <c r="T198" s="150">
        <f>OneLineRR!W289</f>
        <v>0</v>
      </c>
      <c r="U198" s="157" t="str">
        <f>IF(OneLineRR!Q289="","",OneLineRR!Q289)</f>
        <v/>
      </c>
      <c r="V198" s="157" t="str">
        <f>IF(OneLineRR!R289="","",OneLineRR!R289)</f>
        <v/>
      </c>
      <c r="AB198" s="320" t="str">
        <f>IFERROR(U198+(COUNTIF($U$8:U198,U198)-1)/10000,"")</f>
        <v/>
      </c>
      <c r="AC198" s="158"/>
      <c r="AD198" s="119"/>
      <c r="AE198" s="460"/>
      <c r="AG198" s="119"/>
    </row>
    <row r="199" spans="4:33" x14ac:dyDescent="0.25">
      <c r="D199" s="154" t="str">
        <f>OneLineRR!A290</f>
        <v>Hudson View Park</v>
      </c>
      <c r="E199" s="104">
        <f>OneLineRR!J290</f>
        <v>0</v>
      </c>
      <c r="F199" s="104">
        <f>OneLineRR!K290</f>
        <v>0</v>
      </c>
      <c r="G199" s="155" t="e">
        <f>OneLineRR!D290</f>
        <v>#N/A</v>
      </c>
      <c r="H199" s="155" t="e">
        <f>IF(OneLineRR!G290="Yes","Affordable","Market")</f>
        <v>#N/A</v>
      </c>
      <c r="I199" s="104" t="e">
        <f>OneLineRR!I290</f>
        <v>#N/A</v>
      </c>
      <c r="J199" s="156">
        <f>OneLineRR!M290</f>
        <v>0</v>
      </c>
      <c r="K199" s="634">
        <f>OneLineRR!L290</f>
        <v>0</v>
      </c>
      <c r="L199" s="143" t="str">
        <f>OneLineRR!C290</f>
        <v>Occ</v>
      </c>
      <c r="M199" s="636">
        <f>OneLineRR!O290</f>
        <v>0</v>
      </c>
      <c r="N199" s="636">
        <f t="shared" si="2"/>
        <v>0</v>
      </c>
      <c r="O199" s="636">
        <f>OneLineRR!N290</f>
        <v>0</v>
      </c>
      <c r="P199" s="636" t="e" cm="1">
        <f t="array" ref="P199">INDEX('Unit Mix'!$P$6:$P$62,MATCH(1,('Rent Roll'!G199='Unit Mix'!$E$6:$E$62)*(D199='Unit Mix'!$D$6:$D$62),0))</f>
        <v>#N/A</v>
      </c>
      <c r="Q199" s="150">
        <f>OneLineRR!T290</f>
        <v>0</v>
      </c>
      <c r="R199" s="150">
        <f>OneLineRR!U290</f>
        <v>0</v>
      </c>
      <c r="S199" s="150">
        <f>OneLineRR!V290</f>
        <v>0</v>
      </c>
      <c r="T199" s="150">
        <f>OneLineRR!W290</f>
        <v>0</v>
      </c>
      <c r="U199" s="157" t="str">
        <f>IF(OneLineRR!Q290="","",OneLineRR!Q290)</f>
        <v/>
      </c>
      <c r="V199" s="157" t="str">
        <f>IF(OneLineRR!R290="","",OneLineRR!R290)</f>
        <v/>
      </c>
      <c r="AB199" s="320" t="str">
        <f>IFERROR(U199+(COUNTIF($U$8:U199,U199)-1)/10000,"")</f>
        <v/>
      </c>
      <c r="AC199" s="158"/>
      <c r="AD199" s="119"/>
      <c r="AE199" s="460"/>
      <c r="AG199" s="119"/>
    </row>
    <row r="200" spans="4:33" x14ac:dyDescent="0.25">
      <c r="D200" s="154" t="str">
        <f>OneLineRR!A291</f>
        <v>Hudson View Park</v>
      </c>
      <c r="E200" s="104">
        <f>OneLineRR!J291</f>
        <v>0</v>
      </c>
      <c r="F200" s="104">
        <f>OneLineRR!K291</f>
        <v>0</v>
      </c>
      <c r="G200" s="155" t="e">
        <f>OneLineRR!D291</f>
        <v>#N/A</v>
      </c>
      <c r="H200" s="155" t="e">
        <f>IF(OneLineRR!G291="Yes","Affordable","Market")</f>
        <v>#N/A</v>
      </c>
      <c r="I200" s="104" t="e">
        <f>OneLineRR!I291</f>
        <v>#N/A</v>
      </c>
      <c r="J200" s="156">
        <f>OneLineRR!M291</f>
        <v>0</v>
      </c>
      <c r="K200" s="634">
        <f>OneLineRR!L291</f>
        <v>0</v>
      </c>
      <c r="L200" s="143" t="str">
        <f>OneLineRR!C291</f>
        <v>Occ</v>
      </c>
      <c r="M200" s="636">
        <f>OneLineRR!O291</f>
        <v>0</v>
      </c>
      <c r="N200" s="636">
        <f t="shared" si="2"/>
        <v>0</v>
      </c>
      <c r="O200" s="636">
        <f>OneLineRR!N291</f>
        <v>0</v>
      </c>
      <c r="P200" s="636" t="e" cm="1">
        <f t="array" ref="P200">INDEX('Unit Mix'!$P$6:$P$62,MATCH(1,('Rent Roll'!G200='Unit Mix'!$E$6:$E$62)*(D200='Unit Mix'!$D$6:$D$62),0))</f>
        <v>#N/A</v>
      </c>
      <c r="Q200" s="150">
        <f>OneLineRR!T291</f>
        <v>0</v>
      </c>
      <c r="R200" s="150">
        <f>OneLineRR!U291</f>
        <v>0</v>
      </c>
      <c r="S200" s="150">
        <f>OneLineRR!V291</f>
        <v>0</v>
      </c>
      <c r="T200" s="150">
        <f>OneLineRR!W291</f>
        <v>0</v>
      </c>
      <c r="U200" s="157" t="str">
        <f>IF(OneLineRR!Q291="","",OneLineRR!Q291)</f>
        <v/>
      </c>
      <c r="V200" s="157" t="str">
        <f>IF(OneLineRR!R291="","",OneLineRR!R291)</f>
        <v/>
      </c>
      <c r="AB200" s="320" t="str">
        <f>IFERROR(U200+(COUNTIF($U$8:U200,U200)-1)/10000,"")</f>
        <v/>
      </c>
      <c r="AC200" s="158"/>
      <c r="AD200" s="119"/>
      <c r="AE200" s="460"/>
      <c r="AG200" s="119"/>
    </row>
    <row r="201" spans="4:33" x14ac:dyDescent="0.25">
      <c r="D201" s="154" t="str">
        <f>OneLineRR!A292</f>
        <v>Hudson View Park</v>
      </c>
      <c r="E201" s="104">
        <f>OneLineRR!J292</f>
        <v>0</v>
      </c>
      <c r="F201" s="104">
        <f>OneLineRR!K292</f>
        <v>0</v>
      </c>
      <c r="G201" s="155" t="e">
        <f>OneLineRR!D292</f>
        <v>#N/A</v>
      </c>
      <c r="H201" s="155" t="e">
        <f>IF(OneLineRR!G292="Yes","Affordable","Market")</f>
        <v>#N/A</v>
      </c>
      <c r="I201" s="104" t="e">
        <f>OneLineRR!I292</f>
        <v>#N/A</v>
      </c>
      <c r="J201" s="156">
        <f>OneLineRR!M292</f>
        <v>0</v>
      </c>
      <c r="K201" s="634">
        <f>OneLineRR!L292</f>
        <v>0</v>
      </c>
      <c r="L201" s="143" t="str">
        <f>OneLineRR!C292</f>
        <v>Occ</v>
      </c>
      <c r="M201" s="636">
        <f>OneLineRR!O292</f>
        <v>0</v>
      </c>
      <c r="N201" s="636">
        <f t="shared" ref="N201:N264" si="3">IF(L201="Vac",P201,0)</f>
        <v>0</v>
      </c>
      <c r="O201" s="636">
        <f>OneLineRR!N292</f>
        <v>0</v>
      </c>
      <c r="P201" s="636" t="e" cm="1">
        <f t="array" ref="P201">INDEX('Unit Mix'!$P$6:$P$62,MATCH(1,('Rent Roll'!G201='Unit Mix'!$E$6:$E$62)*(D201='Unit Mix'!$D$6:$D$62),0))</f>
        <v>#N/A</v>
      </c>
      <c r="Q201" s="150">
        <f>OneLineRR!T292</f>
        <v>0</v>
      </c>
      <c r="R201" s="150">
        <f>OneLineRR!U292</f>
        <v>0</v>
      </c>
      <c r="S201" s="150">
        <f>OneLineRR!V292</f>
        <v>0</v>
      </c>
      <c r="T201" s="150">
        <f>OneLineRR!W292</f>
        <v>0</v>
      </c>
      <c r="U201" s="157" t="str">
        <f>IF(OneLineRR!Q292="","",OneLineRR!Q292)</f>
        <v/>
      </c>
      <c r="V201" s="157" t="str">
        <f>IF(OneLineRR!R292="","",OneLineRR!R292)</f>
        <v/>
      </c>
      <c r="AB201" s="320" t="str">
        <f>IFERROR(U201+(COUNTIF($U$8:U201,U201)-1)/10000,"")</f>
        <v/>
      </c>
      <c r="AC201" s="158"/>
      <c r="AD201" s="119"/>
      <c r="AE201" s="460"/>
      <c r="AG201" s="119"/>
    </row>
    <row r="202" spans="4:33" x14ac:dyDescent="0.25">
      <c r="D202" s="154" t="str">
        <f>OneLineRR!A293</f>
        <v>Hudson View Park</v>
      </c>
      <c r="E202" s="104">
        <f>OneLineRR!J293</f>
        <v>0</v>
      </c>
      <c r="F202" s="104">
        <f>OneLineRR!K293</f>
        <v>0</v>
      </c>
      <c r="G202" s="155" t="e">
        <f>OneLineRR!D293</f>
        <v>#N/A</v>
      </c>
      <c r="H202" s="155" t="e">
        <f>IF(OneLineRR!G293="Yes","Affordable","Market")</f>
        <v>#N/A</v>
      </c>
      <c r="I202" s="104" t="e">
        <f>OneLineRR!I293</f>
        <v>#N/A</v>
      </c>
      <c r="J202" s="156">
        <f>OneLineRR!M293</f>
        <v>0</v>
      </c>
      <c r="K202" s="634">
        <f>OneLineRR!L293</f>
        <v>0</v>
      </c>
      <c r="L202" s="143" t="str">
        <f>OneLineRR!C293</f>
        <v>Occ</v>
      </c>
      <c r="M202" s="636">
        <f>OneLineRR!O293</f>
        <v>0</v>
      </c>
      <c r="N202" s="636">
        <f t="shared" si="3"/>
        <v>0</v>
      </c>
      <c r="O202" s="636">
        <f>OneLineRR!N293</f>
        <v>0</v>
      </c>
      <c r="P202" s="636" t="e" cm="1">
        <f t="array" ref="P202">INDEX('Unit Mix'!$P$6:$P$62,MATCH(1,('Rent Roll'!G202='Unit Mix'!$E$6:$E$62)*(D202='Unit Mix'!$D$6:$D$62),0))</f>
        <v>#N/A</v>
      </c>
      <c r="Q202" s="150">
        <f>OneLineRR!T293</f>
        <v>0</v>
      </c>
      <c r="R202" s="150">
        <f>OneLineRR!U293</f>
        <v>0</v>
      </c>
      <c r="S202" s="150">
        <f>OneLineRR!V293</f>
        <v>0</v>
      </c>
      <c r="T202" s="150">
        <f>OneLineRR!W293</f>
        <v>0</v>
      </c>
      <c r="U202" s="157" t="str">
        <f>IF(OneLineRR!Q293="","",OneLineRR!Q293)</f>
        <v/>
      </c>
      <c r="V202" s="157" t="str">
        <f>IF(OneLineRR!R293="","",OneLineRR!R293)</f>
        <v/>
      </c>
      <c r="AB202" s="320" t="str">
        <f>IFERROR(U202+(COUNTIF($U$8:U202,U202)-1)/10000,"")</f>
        <v/>
      </c>
      <c r="AC202" s="158"/>
      <c r="AD202" s="119"/>
      <c r="AE202" s="460"/>
      <c r="AG202" s="119"/>
    </row>
    <row r="203" spans="4:33" x14ac:dyDescent="0.25">
      <c r="D203" s="154" t="str">
        <f>OneLineRR!A294</f>
        <v>Hudson View Park</v>
      </c>
      <c r="E203" s="104">
        <f>OneLineRR!J294</f>
        <v>0</v>
      </c>
      <c r="F203" s="104">
        <f>OneLineRR!K294</f>
        <v>0</v>
      </c>
      <c r="G203" s="155" t="e">
        <f>OneLineRR!D294</f>
        <v>#N/A</v>
      </c>
      <c r="H203" s="155" t="e">
        <f>IF(OneLineRR!G294="Yes","Affordable","Market")</f>
        <v>#N/A</v>
      </c>
      <c r="I203" s="104" t="e">
        <f>OneLineRR!I294</f>
        <v>#N/A</v>
      </c>
      <c r="J203" s="156">
        <f>OneLineRR!M294</f>
        <v>0</v>
      </c>
      <c r="K203" s="634">
        <f>OneLineRR!L294</f>
        <v>0</v>
      </c>
      <c r="L203" s="143" t="str">
        <f>OneLineRR!C294</f>
        <v>Occ</v>
      </c>
      <c r="M203" s="636">
        <f>OneLineRR!O294</f>
        <v>0</v>
      </c>
      <c r="N203" s="636">
        <f t="shared" si="3"/>
        <v>0</v>
      </c>
      <c r="O203" s="636">
        <f>OneLineRR!N294</f>
        <v>0</v>
      </c>
      <c r="P203" s="636" t="e" cm="1">
        <f t="array" ref="P203">INDEX('Unit Mix'!$P$6:$P$62,MATCH(1,('Rent Roll'!G203='Unit Mix'!$E$6:$E$62)*(D203='Unit Mix'!$D$6:$D$62),0))</f>
        <v>#N/A</v>
      </c>
      <c r="Q203" s="150">
        <f>OneLineRR!T294</f>
        <v>0</v>
      </c>
      <c r="R203" s="150">
        <f>OneLineRR!U294</f>
        <v>0</v>
      </c>
      <c r="S203" s="150">
        <f>OneLineRR!V294</f>
        <v>0</v>
      </c>
      <c r="T203" s="150">
        <f>OneLineRR!W294</f>
        <v>0</v>
      </c>
      <c r="U203" s="157" t="str">
        <f>IF(OneLineRR!Q294="","",OneLineRR!Q294)</f>
        <v/>
      </c>
      <c r="V203" s="157" t="str">
        <f>IF(OneLineRR!R294="","",OneLineRR!R294)</f>
        <v/>
      </c>
      <c r="AB203" s="320" t="str">
        <f>IFERROR(U203+(COUNTIF($U$8:U203,U203)-1)/10000,"")</f>
        <v/>
      </c>
      <c r="AC203" s="158"/>
      <c r="AD203" s="119"/>
      <c r="AE203" s="460"/>
      <c r="AG203" s="119"/>
    </row>
    <row r="204" spans="4:33" x14ac:dyDescent="0.25">
      <c r="D204" s="154" t="str">
        <f>OneLineRR!A295</f>
        <v>Hudson View Park</v>
      </c>
      <c r="E204" s="104">
        <f>OneLineRR!J295</f>
        <v>0</v>
      </c>
      <c r="F204" s="104">
        <f>OneLineRR!K295</f>
        <v>0</v>
      </c>
      <c r="G204" s="155" t="e">
        <f>OneLineRR!D295</f>
        <v>#N/A</v>
      </c>
      <c r="H204" s="155" t="e">
        <f>IF(OneLineRR!G295="Yes","Affordable","Market")</f>
        <v>#N/A</v>
      </c>
      <c r="I204" s="104" t="e">
        <f>OneLineRR!I295</f>
        <v>#N/A</v>
      </c>
      <c r="J204" s="156">
        <f>OneLineRR!M295</f>
        <v>0</v>
      </c>
      <c r="K204" s="634">
        <f>OneLineRR!L295</f>
        <v>0</v>
      </c>
      <c r="L204" s="143" t="str">
        <f>OneLineRR!C295</f>
        <v>Occ</v>
      </c>
      <c r="M204" s="636">
        <f>OneLineRR!O295</f>
        <v>0</v>
      </c>
      <c r="N204" s="636">
        <f t="shared" si="3"/>
        <v>0</v>
      </c>
      <c r="O204" s="636">
        <f>OneLineRR!N295</f>
        <v>0</v>
      </c>
      <c r="P204" s="636" t="e" cm="1">
        <f t="array" ref="P204">INDEX('Unit Mix'!$P$6:$P$62,MATCH(1,('Rent Roll'!G204='Unit Mix'!$E$6:$E$62)*(D204='Unit Mix'!$D$6:$D$62),0))</f>
        <v>#N/A</v>
      </c>
      <c r="Q204" s="150">
        <f>OneLineRR!T295</f>
        <v>0</v>
      </c>
      <c r="R204" s="150">
        <f>OneLineRR!U295</f>
        <v>0</v>
      </c>
      <c r="S204" s="150">
        <f>OneLineRR!V295</f>
        <v>0</v>
      </c>
      <c r="T204" s="150">
        <f>OneLineRR!W295</f>
        <v>0</v>
      </c>
      <c r="U204" s="157" t="str">
        <f>IF(OneLineRR!Q295="","",OneLineRR!Q295)</f>
        <v/>
      </c>
      <c r="V204" s="157" t="str">
        <f>IF(OneLineRR!R295="","",OneLineRR!R295)</f>
        <v/>
      </c>
      <c r="AB204" s="320" t="str">
        <f>IFERROR(U204+(COUNTIF($U$8:U204,U204)-1)/10000,"")</f>
        <v/>
      </c>
      <c r="AC204" s="158"/>
      <c r="AD204" s="119"/>
      <c r="AE204" s="460"/>
      <c r="AG204" s="119"/>
    </row>
    <row r="205" spans="4:33" x14ac:dyDescent="0.25">
      <c r="D205" s="154" t="str">
        <f>OneLineRR!A296</f>
        <v>Hudson View Park</v>
      </c>
      <c r="E205" s="104">
        <f>OneLineRR!J296</f>
        <v>0</v>
      </c>
      <c r="F205" s="104">
        <f>OneLineRR!K296</f>
        <v>0</v>
      </c>
      <c r="G205" s="155" t="e">
        <f>OneLineRR!D296</f>
        <v>#N/A</v>
      </c>
      <c r="H205" s="155" t="e">
        <f>IF(OneLineRR!G296="Yes","Affordable","Market")</f>
        <v>#N/A</v>
      </c>
      <c r="I205" s="104" t="e">
        <f>OneLineRR!I296</f>
        <v>#N/A</v>
      </c>
      <c r="J205" s="156">
        <f>OneLineRR!M296</f>
        <v>0</v>
      </c>
      <c r="K205" s="634">
        <f>OneLineRR!L296</f>
        <v>0</v>
      </c>
      <c r="L205" s="143" t="str">
        <f>OneLineRR!C296</f>
        <v>Occ</v>
      </c>
      <c r="M205" s="636">
        <f>OneLineRR!O296</f>
        <v>0</v>
      </c>
      <c r="N205" s="636">
        <f t="shared" si="3"/>
        <v>0</v>
      </c>
      <c r="O205" s="636">
        <f>OneLineRR!N296</f>
        <v>0</v>
      </c>
      <c r="P205" s="636" t="e" cm="1">
        <f t="array" ref="P205">INDEX('Unit Mix'!$P$6:$P$62,MATCH(1,('Rent Roll'!G205='Unit Mix'!$E$6:$E$62)*(D205='Unit Mix'!$D$6:$D$62),0))</f>
        <v>#N/A</v>
      </c>
      <c r="Q205" s="150">
        <f>OneLineRR!T296</f>
        <v>0</v>
      </c>
      <c r="R205" s="150">
        <f>OneLineRR!U296</f>
        <v>0</v>
      </c>
      <c r="S205" s="150">
        <f>OneLineRR!V296</f>
        <v>0</v>
      </c>
      <c r="T205" s="150">
        <f>OneLineRR!W296</f>
        <v>0</v>
      </c>
      <c r="U205" s="157" t="str">
        <f>IF(OneLineRR!Q296="","",OneLineRR!Q296)</f>
        <v/>
      </c>
      <c r="V205" s="157" t="str">
        <f>IF(OneLineRR!R296="","",OneLineRR!R296)</f>
        <v/>
      </c>
      <c r="AB205" s="320" t="str">
        <f>IFERROR(U205+(COUNTIF($U$8:U205,U205)-1)/10000,"")</f>
        <v/>
      </c>
      <c r="AC205" s="158"/>
      <c r="AD205" s="119"/>
      <c r="AE205" s="460"/>
      <c r="AG205" s="119"/>
    </row>
    <row r="206" spans="4:33" x14ac:dyDescent="0.25">
      <c r="D206" s="154" t="str">
        <f>OneLineRR!A297</f>
        <v>Hudson View Park</v>
      </c>
      <c r="E206" s="104">
        <f>OneLineRR!J297</f>
        <v>0</v>
      </c>
      <c r="F206" s="104">
        <f>OneLineRR!K297</f>
        <v>0</v>
      </c>
      <c r="G206" s="155" t="e">
        <f>OneLineRR!D297</f>
        <v>#N/A</v>
      </c>
      <c r="H206" s="155" t="e">
        <f>IF(OneLineRR!G297="Yes","Affordable","Market")</f>
        <v>#N/A</v>
      </c>
      <c r="I206" s="104" t="e">
        <f>OneLineRR!I297</f>
        <v>#N/A</v>
      </c>
      <c r="J206" s="156">
        <f>OneLineRR!M297</f>
        <v>0</v>
      </c>
      <c r="K206" s="634">
        <f>OneLineRR!L297</f>
        <v>0</v>
      </c>
      <c r="L206" s="143" t="str">
        <f>OneLineRR!C297</f>
        <v>Occ</v>
      </c>
      <c r="M206" s="636">
        <f>OneLineRR!O297</f>
        <v>0</v>
      </c>
      <c r="N206" s="636">
        <f t="shared" si="3"/>
        <v>0</v>
      </c>
      <c r="O206" s="636">
        <f>OneLineRR!N297</f>
        <v>0</v>
      </c>
      <c r="P206" s="636" t="e" cm="1">
        <f t="array" ref="P206">INDEX('Unit Mix'!$P$6:$P$62,MATCH(1,('Rent Roll'!G206='Unit Mix'!$E$6:$E$62)*(D206='Unit Mix'!$D$6:$D$62),0))</f>
        <v>#N/A</v>
      </c>
      <c r="Q206" s="150">
        <f>OneLineRR!T297</f>
        <v>0</v>
      </c>
      <c r="R206" s="150">
        <f>OneLineRR!U297</f>
        <v>0</v>
      </c>
      <c r="S206" s="150">
        <f>OneLineRR!V297</f>
        <v>0</v>
      </c>
      <c r="T206" s="150">
        <f>OneLineRR!W297</f>
        <v>0</v>
      </c>
      <c r="U206" s="157" t="str">
        <f>IF(OneLineRR!Q297="","",OneLineRR!Q297)</f>
        <v/>
      </c>
      <c r="V206" s="157" t="str">
        <f>IF(OneLineRR!R297="","",OneLineRR!R297)</f>
        <v/>
      </c>
      <c r="AB206" s="320" t="str">
        <f>IFERROR(U206+(COUNTIF($U$8:U206,U206)-1)/10000,"")</f>
        <v/>
      </c>
      <c r="AC206" s="158"/>
      <c r="AD206" s="119"/>
      <c r="AE206" s="460"/>
      <c r="AG206" s="119"/>
    </row>
    <row r="207" spans="4:33" x14ac:dyDescent="0.25">
      <c r="D207" s="154" t="str">
        <f>OneLineRR!A298</f>
        <v>Hudson View Park</v>
      </c>
      <c r="E207" s="104">
        <f>OneLineRR!J298</f>
        <v>0</v>
      </c>
      <c r="F207" s="104">
        <f>OneLineRR!K298</f>
        <v>0</v>
      </c>
      <c r="G207" s="155" t="e">
        <f>OneLineRR!D298</f>
        <v>#N/A</v>
      </c>
      <c r="H207" s="155" t="e">
        <f>IF(OneLineRR!G298="Yes","Affordable","Market")</f>
        <v>#N/A</v>
      </c>
      <c r="I207" s="104" t="e">
        <f>OneLineRR!I298</f>
        <v>#N/A</v>
      </c>
      <c r="J207" s="156">
        <f>OneLineRR!M298</f>
        <v>0</v>
      </c>
      <c r="K207" s="634">
        <f>OneLineRR!L298</f>
        <v>0</v>
      </c>
      <c r="L207" s="143" t="str">
        <f>OneLineRR!C298</f>
        <v>Occ</v>
      </c>
      <c r="M207" s="636">
        <f>OneLineRR!O298</f>
        <v>0</v>
      </c>
      <c r="N207" s="636">
        <f t="shared" si="3"/>
        <v>0</v>
      </c>
      <c r="O207" s="636">
        <f>OneLineRR!N298</f>
        <v>0</v>
      </c>
      <c r="P207" s="636" t="e" cm="1">
        <f t="array" ref="P207">INDEX('Unit Mix'!$P$6:$P$62,MATCH(1,('Rent Roll'!G207='Unit Mix'!$E$6:$E$62)*(D207='Unit Mix'!$D$6:$D$62),0))</f>
        <v>#N/A</v>
      </c>
      <c r="Q207" s="150">
        <f>OneLineRR!T298</f>
        <v>0</v>
      </c>
      <c r="R207" s="150">
        <f>OneLineRR!U298</f>
        <v>0</v>
      </c>
      <c r="S207" s="150">
        <f>OneLineRR!V298</f>
        <v>0</v>
      </c>
      <c r="T207" s="150">
        <f>OneLineRR!W298</f>
        <v>0</v>
      </c>
      <c r="U207" s="157" t="str">
        <f>IF(OneLineRR!Q298="","",OneLineRR!Q298)</f>
        <v/>
      </c>
      <c r="V207" s="157" t="str">
        <f>IF(OneLineRR!R298="","",OneLineRR!R298)</f>
        <v/>
      </c>
      <c r="AB207" s="320" t="str">
        <f>IFERROR(U207+(COUNTIF($U$8:U207,U207)-1)/10000,"")</f>
        <v/>
      </c>
      <c r="AC207" s="158"/>
      <c r="AD207" s="119"/>
      <c r="AE207" s="460"/>
      <c r="AG207" s="119"/>
    </row>
    <row r="208" spans="4:33" x14ac:dyDescent="0.25">
      <c r="D208" s="154" t="str">
        <f>OneLineRR!A299</f>
        <v>Hudson View Park</v>
      </c>
      <c r="E208" s="104">
        <f>OneLineRR!J299</f>
        <v>0</v>
      </c>
      <c r="F208" s="104">
        <f>OneLineRR!K299</f>
        <v>0</v>
      </c>
      <c r="G208" s="155" t="e">
        <f>OneLineRR!D299</f>
        <v>#N/A</v>
      </c>
      <c r="H208" s="155" t="e">
        <f>IF(OneLineRR!G299="Yes","Affordable","Market")</f>
        <v>#N/A</v>
      </c>
      <c r="I208" s="104" t="e">
        <f>OneLineRR!I299</f>
        <v>#N/A</v>
      </c>
      <c r="J208" s="156">
        <f>OneLineRR!M299</f>
        <v>0</v>
      </c>
      <c r="K208" s="634">
        <f>OneLineRR!L299</f>
        <v>0</v>
      </c>
      <c r="L208" s="143" t="str">
        <f>OneLineRR!C299</f>
        <v>Occ</v>
      </c>
      <c r="M208" s="636">
        <f>OneLineRR!O299</f>
        <v>0</v>
      </c>
      <c r="N208" s="636">
        <f t="shared" si="3"/>
        <v>0</v>
      </c>
      <c r="O208" s="636">
        <f>OneLineRR!N299</f>
        <v>0</v>
      </c>
      <c r="P208" s="636" t="e" cm="1">
        <f t="array" ref="P208">INDEX('Unit Mix'!$P$6:$P$62,MATCH(1,('Rent Roll'!G208='Unit Mix'!$E$6:$E$62)*(D208='Unit Mix'!$D$6:$D$62),0))</f>
        <v>#N/A</v>
      </c>
      <c r="Q208" s="150">
        <f>OneLineRR!T299</f>
        <v>0</v>
      </c>
      <c r="R208" s="150">
        <f>OneLineRR!U299</f>
        <v>0</v>
      </c>
      <c r="S208" s="150">
        <f>OneLineRR!V299</f>
        <v>0</v>
      </c>
      <c r="T208" s="150">
        <f>OneLineRR!W299</f>
        <v>0</v>
      </c>
      <c r="U208" s="157" t="str">
        <f>IF(OneLineRR!Q299="","",OneLineRR!Q299)</f>
        <v/>
      </c>
      <c r="V208" s="157" t="str">
        <f>IF(OneLineRR!R299="","",OneLineRR!R299)</f>
        <v/>
      </c>
      <c r="AB208" s="320" t="str">
        <f>IFERROR(U208+(COUNTIF($U$8:U208,U208)-1)/10000,"")</f>
        <v/>
      </c>
      <c r="AC208" s="158"/>
      <c r="AD208" s="119"/>
      <c r="AE208" s="460"/>
      <c r="AG208" s="119"/>
    </row>
    <row r="209" spans="4:33" x14ac:dyDescent="0.25">
      <c r="D209" s="154" t="str">
        <f>OneLineRR!A300</f>
        <v>Hudson View Park</v>
      </c>
      <c r="E209" s="104">
        <f>OneLineRR!J300</f>
        <v>0</v>
      </c>
      <c r="F209" s="104">
        <f>OneLineRR!K300</f>
        <v>0</v>
      </c>
      <c r="G209" s="155" t="e">
        <f>OneLineRR!D300</f>
        <v>#N/A</v>
      </c>
      <c r="H209" s="155" t="e">
        <f>IF(OneLineRR!G300="Yes","Affordable","Market")</f>
        <v>#N/A</v>
      </c>
      <c r="I209" s="104" t="e">
        <f>OneLineRR!I300</f>
        <v>#N/A</v>
      </c>
      <c r="J209" s="156">
        <f>OneLineRR!M300</f>
        <v>0</v>
      </c>
      <c r="K209" s="634">
        <f>OneLineRR!L300</f>
        <v>0</v>
      </c>
      <c r="L209" s="143" t="str">
        <f>OneLineRR!C300</f>
        <v>Occ</v>
      </c>
      <c r="M209" s="636">
        <f>OneLineRR!O300</f>
        <v>0</v>
      </c>
      <c r="N209" s="636">
        <f t="shared" si="3"/>
        <v>0</v>
      </c>
      <c r="O209" s="636">
        <f>OneLineRR!N300</f>
        <v>0</v>
      </c>
      <c r="P209" s="636" t="e" cm="1">
        <f t="array" ref="P209">INDEX('Unit Mix'!$P$6:$P$62,MATCH(1,('Rent Roll'!G209='Unit Mix'!$E$6:$E$62)*(D209='Unit Mix'!$D$6:$D$62),0))</f>
        <v>#N/A</v>
      </c>
      <c r="Q209" s="150">
        <f>OneLineRR!T300</f>
        <v>0</v>
      </c>
      <c r="R209" s="150">
        <f>OneLineRR!U300</f>
        <v>0</v>
      </c>
      <c r="S209" s="150">
        <f>OneLineRR!V300</f>
        <v>0</v>
      </c>
      <c r="T209" s="150">
        <f>OneLineRR!W300</f>
        <v>0</v>
      </c>
      <c r="U209" s="157" t="str">
        <f>IF(OneLineRR!Q300="","",OneLineRR!Q300)</f>
        <v/>
      </c>
      <c r="V209" s="157" t="str">
        <f>IF(OneLineRR!R300="","",OneLineRR!R300)</f>
        <v/>
      </c>
      <c r="AB209" s="320" t="str">
        <f>IFERROR(U209+(COUNTIF($U$8:U209,U209)-1)/10000,"")</f>
        <v/>
      </c>
      <c r="AC209" s="158"/>
      <c r="AD209" s="119"/>
      <c r="AE209" s="460"/>
      <c r="AG209" s="119"/>
    </row>
    <row r="210" spans="4:33" x14ac:dyDescent="0.25">
      <c r="D210" s="154" t="str">
        <f>OneLineRR!A301</f>
        <v>Hudson View Park</v>
      </c>
      <c r="E210" s="104">
        <f>OneLineRR!J301</f>
        <v>0</v>
      </c>
      <c r="F210" s="104">
        <f>OneLineRR!K301</f>
        <v>0</v>
      </c>
      <c r="G210" s="155" t="e">
        <f>OneLineRR!D301</f>
        <v>#N/A</v>
      </c>
      <c r="H210" s="155" t="e">
        <f>IF(OneLineRR!G301="Yes","Affordable","Market")</f>
        <v>#N/A</v>
      </c>
      <c r="I210" s="104" t="e">
        <f>OneLineRR!I301</f>
        <v>#N/A</v>
      </c>
      <c r="J210" s="156">
        <f>OneLineRR!M301</f>
        <v>0</v>
      </c>
      <c r="K210" s="634">
        <f>OneLineRR!L301</f>
        <v>0</v>
      </c>
      <c r="L210" s="143" t="str">
        <f>OneLineRR!C301</f>
        <v>Occ</v>
      </c>
      <c r="M210" s="636">
        <f>OneLineRR!O301</f>
        <v>0</v>
      </c>
      <c r="N210" s="636">
        <f t="shared" si="3"/>
        <v>0</v>
      </c>
      <c r="O210" s="636">
        <f>OneLineRR!N301</f>
        <v>0</v>
      </c>
      <c r="P210" s="636" t="e" cm="1">
        <f t="array" ref="P210">INDEX('Unit Mix'!$P$6:$P$62,MATCH(1,('Rent Roll'!G210='Unit Mix'!$E$6:$E$62)*(D210='Unit Mix'!$D$6:$D$62),0))</f>
        <v>#N/A</v>
      </c>
      <c r="Q210" s="150">
        <f>OneLineRR!T301</f>
        <v>0</v>
      </c>
      <c r="R210" s="150">
        <f>OneLineRR!U301</f>
        <v>0</v>
      </c>
      <c r="S210" s="150">
        <f>OneLineRR!V301</f>
        <v>0</v>
      </c>
      <c r="T210" s="150">
        <f>OneLineRR!W301</f>
        <v>0</v>
      </c>
      <c r="U210" s="157" t="str">
        <f>IF(OneLineRR!Q301="","",OneLineRR!Q301)</f>
        <v/>
      </c>
      <c r="V210" s="157" t="str">
        <f>IF(OneLineRR!R301="","",OneLineRR!R301)</f>
        <v/>
      </c>
      <c r="AB210" s="320" t="str">
        <f>IFERROR(U210+(COUNTIF($U$8:U210,U210)-1)/10000,"")</f>
        <v/>
      </c>
      <c r="AC210" s="158"/>
      <c r="AD210" s="119"/>
      <c r="AE210" s="460"/>
      <c r="AG210" s="119"/>
    </row>
    <row r="211" spans="4:33" x14ac:dyDescent="0.25">
      <c r="D211" s="154" t="str">
        <f>OneLineRR!A302</f>
        <v>Hudson View Park</v>
      </c>
      <c r="E211" s="104">
        <f>OneLineRR!J302</f>
        <v>0</v>
      </c>
      <c r="F211" s="104">
        <f>OneLineRR!K302</f>
        <v>0</v>
      </c>
      <c r="G211" s="155" t="e">
        <f>OneLineRR!D302</f>
        <v>#N/A</v>
      </c>
      <c r="H211" s="155" t="e">
        <f>IF(OneLineRR!G302="Yes","Affordable","Market")</f>
        <v>#N/A</v>
      </c>
      <c r="I211" s="104" t="e">
        <f>OneLineRR!I302</f>
        <v>#N/A</v>
      </c>
      <c r="J211" s="156">
        <f>OneLineRR!M302</f>
        <v>0</v>
      </c>
      <c r="K211" s="634">
        <f>OneLineRR!L302</f>
        <v>0</v>
      </c>
      <c r="L211" s="143" t="str">
        <f>OneLineRR!C302</f>
        <v>Occ</v>
      </c>
      <c r="M211" s="636">
        <f>OneLineRR!O302</f>
        <v>0</v>
      </c>
      <c r="N211" s="636">
        <f t="shared" si="3"/>
        <v>0</v>
      </c>
      <c r="O211" s="636">
        <f>OneLineRR!N302</f>
        <v>0</v>
      </c>
      <c r="P211" s="636" t="e" cm="1">
        <f t="array" ref="P211">INDEX('Unit Mix'!$P$6:$P$62,MATCH(1,('Rent Roll'!G211='Unit Mix'!$E$6:$E$62)*(D211='Unit Mix'!$D$6:$D$62),0))</f>
        <v>#N/A</v>
      </c>
      <c r="Q211" s="150">
        <f>OneLineRR!T302</f>
        <v>0</v>
      </c>
      <c r="R211" s="150">
        <f>OneLineRR!U302</f>
        <v>0</v>
      </c>
      <c r="S211" s="150">
        <f>OneLineRR!V302</f>
        <v>0</v>
      </c>
      <c r="T211" s="150">
        <f>OneLineRR!W302</f>
        <v>0</v>
      </c>
      <c r="U211" s="157" t="str">
        <f>IF(OneLineRR!Q302="","",OneLineRR!Q302)</f>
        <v/>
      </c>
      <c r="V211" s="157" t="str">
        <f>IF(OneLineRR!R302="","",OneLineRR!R302)</f>
        <v/>
      </c>
      <c r="AB211" s="320" t="str">
        <f>IFERROR(U211+(COUNTIF($U$8:U211,U211)-1)/10000,"")</f>
        <v/>
      </c>
      <c r="AC211" s="158"/>
      <c r="AD211" s="119"/>
      <c r="AE211" s="460"/>
      <c r="AG211" s="119"/>
    </row>
    <row r="212" spans="4:33" x14ac:dyDescent="0.25">
      <c r="D212" s="154" t="str">
        <f>OneLineRR!A303</f>
        <v>Hudson View Park</v>
      </c>
      <c r="E212" s="104">
        <f>OneLineRR!J303</f>
        <v>0</v>
      </c>
      <c r="F212" s="104">
        <f>OneLineRR!K303</f>
        <v>0</v>
      </c>
      <c r="G212" s="155" t="e">
        <f>OneLineRR!D303</f>
        <v>#N/A</v>
      </c>
      <c r="H212" s="155" t="e">
        <f>IF(OneLineRR!G303="Yes","Affordable","Market")</f>
        <v>#N/A</v>
      </c>
      <c r="I212" s="104" t="e">
        <f>OneLineRR!I303</f>
        <v>#N/A</v>
      </c>
      <c r="J212" s="156">
        <f>OneLineRR!M303</f>
        <v>0</v>
      </c>
      <c r="K212" s="634">
        <f>OneLineRR!L303</f>
        <v>0</v>
      </c>
      <c r="L212" s="143" t="str">
        <f>OneLineRR!C303</f>
        <v>Occ</v>
      </c>
      <c r="M212" s="636">
        <f>OneLineRR!O303</f>
        <v>0</v>
      </c>
      <c r="N212" s="636">
        <f t="shared" si="3"/>
        <v>0</v>
      </c>
      <c r="O212" s="636">
        <f>OneLineRR!N303</f>
        <v>0</v>
      </c>
      <c r="P212" s="636" t="e" cm="1">
        <f t="array" ref="P212">INDEX('Unit Mix'!$P$6:$P$62,MATCH(1,('Rent Roll'!G212='Unit Mix'!$E$6:$E$62)*(D212='Unit Mix'!$D$6:$D$62),0))</f>
        <v>#N/A</v>
      </c>
      <c r="Q212" s="150">
        <f>OneLineRR!T303</f>
        <v>0</v>
      </c>
      <c r="R212" s="150">
        <f>OneLineRR!U303</f>
        <v>0</v>
      </c>
      <c r="S212" s="150">
        <f>OneLineRR!V303</f>
        <v>0</v>
      </c>
      <c r="T212" s="150">
        <f>OneLineRR!W303</f>
        <v>0</v>
      </c>
      <c r="U212" s="157" t="str">
        <f>IF(OneLineRR!Q303="","",OneLineRR!Q303)</f>
        <v/>
      </c>
      <c r="V212" s="157" t="str">
        <f>IF(OneLineRR!R303="","",OneLineRR!R303)</f>
        <v/>
      </c>
      <c r="AB212" s="320" t="str">
        <f>IFERROR(U212+(COUNTIF($U$8:U212,U212)-1)/10000,"")</f>
        <v/>
      </c>
      <c r="AC212" s="158"/>
      <c r="AD212" s="119"/>
      <c r="AE212" s="460"/>
      <c r="AG212" s="119"/>
    </row>
    <row r="213" spans="4:33" x14ac:dyDescent="0.25">
      <c r="D213" s="154" t="str">
        <f>OneLineRR!A304</f>
        <v>Hudson View Park</v>
      </c>
      <c r="E213" s="104">
        <f>OneLineRR!J304</f>
        <v>0</v>
      </c>
      <c r="F213" s="104">
        <f>OneLineRR!K304</f>
        <v>0</v>
      </c>
      <c r="G213" s="155" t="e">
        <f>OneLineRR!D304</f>
        <v>#N/A</v>
      </c>
      <c r="H213" s="155" t="e">
        <f>IF(OneLineRR!G304="Yes","Affordable","Market")</f>
        <v>#N/A</v>
      </c>
      <c r="I213" s="104" t="e">
        <f>OneLineRR!I304</f>
        <v>#N/A</v>
      </c>
      <c r="J213" s="156">
        <f>OneLineRR!M304</f>
        <v>0</v>
      </c>
      <c r="K213" s="634">
        <f>OneLineRR!L304</f>
        <v>0</v>
      </c>
      <c r="L213" s="143" t="str">
        <f>OneLineRR!C304</f>
        <v>Occ</v>
      </c>
      <c r="M213" s="636">
        <f>OneLineRR!O304</f>
        <v>0</v>
      </c>
      <c r="N213" s="636">
        <f t="shared" si="3"/>
        <v>0</v>
      </c>
      <c r="O213" s="636">
        <f>OneLineRR!N304</f>
        <v>0</v>
      </c>
      <c r="P213" s="636" t="e" cm="1">
        <f t="array" ref="P213">INDEX('Unit Mix'!$P$6:$P$62,MATCH(1,('Rent Roll'!G213='Unit Mix'!$E$6:$E$62)*(D213='Unit Mix'!$D$6:$D$62),0))</f>
        <v>#N/A</v>
      </c>
      <c r="Q213" s="150">
        <f>OneLineRR!T304</f>
        <v>0</v>
      </c>
      <c r="R213" s="150">
        <f>OneLineRR!U304</f>
        <v>0</v>
      </c>
      <c r="S213" s="150">
        <f>OneLineRR!V304</f>
        <v>0</v>
      </c>
      <c r="T213" s="150">
        <f>OneLineRR!W304</f>
        <v>0</v>
      </c>
      <c r="U213" s="157" t="str">
        <f>IF(OneLineRR!Q304="","",OneLineRR!Q304)</f>
        <v/>
      </c>
      <c r="V213" s="157" t="str">
        <f>IF(OneLineRR!R304="","",OneLineRR!R304)</f>
        <v/>
      </c>
      <c r="AB213" s="320" t="str">
        <f>IFERROR(U213+(COUNTIF($U$8:U213,U213)-1)/10000,"")</f>
        <v/>
      </c>
      <c r="AC213" s="158"/>
      <c r="AD213" s="119"/>
      <c r="AE213" s="460"/>
      <c r="AG213" s="119"/>
    </row>
    <row r="214" spans="4:33" x14ac:dyDescent="0.25">
      <c r="D214" s="154" t="str">
        <f>OneLineRR!A305</f>
        <v>Hudson View Park</v>
      </c>
      <c r="E214" s="104">
        <f>OneLineRR!J305</f>
        <v>0</v>
      </c>
      <c r="F214" s="104">
        <f>OneLineRR!K305</f>
        <v>0</v>
      </c>
      <c r="G214" s="155" t="e">
        <f>OneLineRR!D305</f>
        <v>#N/A</v>
      </c>
      <c r="H214" s="155" t="e">
        <f>IF(OneLineRR!G305="Yes","Affordable","Market")</f>
        <v>#N/A</v>
      </c>
      <c r="I214" s="104" t="e">
        <f>OneLineRR!I305</f>
        <v>#N/A</v>
      </c>
      <c r="J214" s="156">
        <f>OneLineRR!M305</f>
        <v>0</v>
      </c>
      <c r="K214" s="634">
        <f>OneLineRR!L305</f>
        <v>0</v>
      </c>
      <c r="L214" s="143" t="str">
        <f>OneLineRR!C305</f>
        <v>Occ</v>
      </c>
      <c r="M214" s="636">
        <f>OneLineRR!O305</f>
        <v>0</v>
      </c>
      <c r="N214" s="636">
        <f t="shared" si="3"/>
        <v>0</v>
      </c>
      <c r="O214" s="636">
        <f>OneLineRR!N305</f>
        <v>0</v>
      </c>
      <c r="P214" s="636" t="e" cm="1">
        <f t="array" ref="P214">INDEX('Unit Mix'!$P$6:$P$62,MATCH(1,('Rent Roll'!G214='Unit Mix'!$E$6:$E$62)*(D214='Unit Mix'!$D$6:$D$62),0))</f>
        <v>#N/A</v>
      </c>
      <c r="Q214" s="150">
        <f>OneLineRR!T305</f>
        <v>0</v>
      </c>
      <c r="R214" s="150">
        <f>OneLineRR!U305</f>
        <v>0</v>
      </c>
      <c r="S214" s="150">
        <f>OneLineRR!V305</f>
        <v>0</v>
      </c>
      <c r="T214" s="150">
        <f>OneLineRR!W305</f>
        <v>0</v>
      </c>
      <c r="U214" s="157" t="str">
        <f>IF(OneLineRR!Q305="","",OneLineRR!Q305)</f>
        <v/>
      </c>
      <c r="V214" s="157" t="str">
        <f>IF(OneLineRR!R305="","",OneLineRR!R305)</f>
        <v/>
      </c>
      <c r="AB214" s="320" t="str">
        <f>IFERROR(U214+(COUNTIF($U$8:U214,U214)-1)/10000,"")</f>
        <v/>
      </c>
      <c r="AC214" s="158"/>
      <c r="AD214" s="119"/>
      <c r="AE214" s="460"/>
      <c r="AG214" s="119"/>
    </row>
    <row r="215" spans="4:33" x14ac:dyDescent="0.25">
      <c r="D215" s="154" t="str">
        <f>OneLineRR!A306</f>
        <v>Hudson View Park</v>
      </c>
      <c r="E215" s="104">
        <f>OneLineRR!J306</f>
        <v>0</v>
      </c>
      <c r="F215" s="104">
        <f>OneLineRR!K306</f>
        <v>0</v>
      </c>
      <c r="G215" s="155" t="e">
        <f>OneLineRR!D306</f>
        <v>#N/A</v>
      </c>
      <c r="H215" s="155" t="e">
        <f>IF(OneLineRR!G306="Yes","Affordable","Market")</f>
        <v>#N/A</v>
      </c>
      <c r="I215" s="104" t="e">
        <f>OneLineRR!I306</f>
        <v>#N/A</v>
      </c>
      <c r="J215" s="156">
        <f>OneLineRR!M306</f>
        <v>0</v>
      </c>
      <c r="K215" s="634">
        <f>OneLineRR!L306</f>
        <v>0</v>
      </c>
      <c r="L215" s="143" t="str">
        <f>OneLineRR!C306</f>
        <v>Occ</v>
      </c>
      <c r="M215" s="636">
        <f>OneLineRR!O306</f>
        <v>0</v>
      </c>
      <c r="N215" s="636">
        <f t="shared" si="3"/>
        <v>0</v>
      </c>
      <c r="O215" s="636">
        <f>OneLineRR!N306</f>
        <v>0</v>
      </c>
      <c r="P215" s="636" t="e" cm="1">
        <f t="array" ref="P215">INDEX('Unit Mix'!$P$6:$P$62,MATCH(1,('Rent Roll'!G215='Unit Mix'!$E$6:$E$62)*(D215='Unit Mix'!$D$6:$D$62),0))</f>
        <v>#N/A</v>
      </c>
      <c r="Q215" s="150">
        <f>OneLineRR!T306</f>
        <v>0</v>
      </c>
      <c r="R215" s="150">
        <f>OneLineRR!U306</f>
        <v>0</v>
      </c>
      <c r="S215" s="150">
        <f>OneLineRR!V306</f>
        <v>0</v>
      </c>
      <c r="T215" s="150">
        <f>OneLineRR!W306</f>
        <v>0</v>
      </c>
      <c r="U215" s="157" t="str">
        <f>IF(OneLineRR!Q306="","",OneLineRR!Q306)</f>
        <v/>
      </c>
      <c r="V215" s="157" t="str">
        <f>IF(OneLineRR!R306="","",OneLineRR!R306)</f>
        <v/>
      </c>
      <c r="AB215" s="320" t="str">
        <f>IFERROR(U215+(COUNTIF($U$8:U215,U215)-1)/10000,"")</f>
        <v/>
      </c>
      <c r="AC215" s="158"/>
      <c r="AD215" s="119"/>
      <c r="AE215" s="460"/>
      <c r="AG215" s="119"/>
    </row>
    <row r="216" spans="4:33" x14ac:dyDescent="0.25">
      <c r="D216" s="154" t="str">
        <f>OneLineRR!A307</f>
        <v>Hudson View Park</v>
      </c>
      <c r="E216" s="104">
        <f>OneLineRR!J307</f>
        <v>0</v>
      </c>
      <c r="F216" s="104">
        <f>OneLineRR!K307</f>
        <v>0</v>
      </c>
      <c r="G216" s="155" t="e">
        <f>OneLineRR!D307</f>
        <v>#N/A</v>
      </c>
      <c r="H216" s="155" t="e">
        <f>IF(OneLineRR!G307="Yes","Affordable","Market")</f>
        <v>#N/A</v>
      </c>
      <c r="I216" s="104" t="e">
        <f>OneLineRR!I307</f>
        <v>#N/A</v>
      </c>
      <c r="J216" s="156">
        <f>OneLineRR!M307</f>
        <v>0</v>
      </c>
      <c r="K216" s="634">
        <f>OneLineRR!L307</f>
        <v>0</v>
      </c>
      <c r="L216" s="143" t="str">
        <f>OneLineRR!C307</f>
        <v>Occ</v>
      </c>
      <c r="M216" s="636">
        <f>OneLineRR!O307</f>
        <v>0</v>
      </c>
      <c r="N216" s="636">
        <f t="shared" si="3"/>
        <v>0</v>
      </c>
      <c r="O216" s="636">
        <f>OneLineRR!N307</f>
        <v>0</v>
      </c>
      <c r="P216" s="636" t="e" cm="1">
        <f t="array" ref="P216">INDEX('Unit Mix'!$P$6:$P$62,MATCH(1,('Rent Roll'!G216='Unit Mix'!$E$6:$E$62)*(D216='Unit Mix'!$D$6:$D$62),0))</f>
        <v>#N/A</v>
      </c>
      <c r="Q216" s="150">
        <f>OneLineRR!T307</f>
        <v>0</v>
      </c>
      <c r="R216" s="150">
        <f>OneLineRR!U307</f>
        <v>0</v>
      </c>
      <c r="S216" s="150">
        <f>OneLineRR!V307</f>
        <v>0</v>
      </c>
      <c r="T216" s="150">
        <f>OneLineRR!W307</f>
        <v>0</v>
      </c>
      <c r="U216" s="157" t="str">
        <f>IF(OneLineRR!Q307="","",OneLineRR!Q307)</f>
        <v/>
      </c>
      <c r="V216" s="157" t="str">
        <f>IF(OneLineRR!R307="","",OneLineRR!R307)</f>
        <v/>
      </c>
      <c r="AB216" s="320" t="str">
        <f>IFERROR(U216+(COUNTIF($U$8:U216,U216)-1)/10000,"")</f>
        <v/>
      </c>
      <c r="AC216" s="158"/>
      <c r="AD216" s="119"/>
      <c r="AE216" s="460"/>
      <c r="AG216" s="119"/>
    </row>
    <row r="217" spans="4:33" x14ac:dyDescent="0.25">
      <c r="D217" s="154" t="str">
        <f>OneLineRR!A308</f>
        <v>Hudson View Park</v>
      </c>
      <c r="E217" s="104">
        <f>OneLineRR!J308</f>
        <v>0</v>
      </c>
      <c r="F217" s="104">
        <f>OneLineRR!K308</f>
        <v>0</v>
      </c>
      <c r="G217" s="155" t="e">
        <f>OneLineRR!D308</f>
        <v>#N/A</v>
      </c>
      <c r="H217" s="155" t="e">
        <f>IF(OneLineRR!G308="Yes","Affordable","Market")</f>
        <v>#N/A</v>
      </c>
      <c r="I217" s="104" t="e">
        <f>OneLineRR!I308</f>
        <v>#N/A</v>
      </c>
      <c r="J217" s="156">
        <f>OneLineRR!M308</f>
        <v>0</v>
      </c>
      <c r="K217" s="634">
        <f>OneLineRR!L308</f>
        <v>0</v>
      </c>
      <c r="L217" s="143" t="str">
        <f>OneLineRR!C308</f>
        <v>Occ</v>
      </c>
      <c r="M217" s="636">
        <f>OneLineRR!O308</f>
        <v>0</v>
      </c>
      <c r="N217" s="636">
        <f t="shared" si="3"/>
        <v>0</v>
      </c>
      <c r="O217" s="636">
        <f>OneLineRR!N308</f>
        <v>0</v>
      </c>
      <c r="P217" s="636" t="e" cm="1">
        <f t="array" ref="P217">INDEX('Unit Mix'!$P$6:$P$62,MATCH(1,('Rent Roll'!G217='Unit Mix'!$E$6:$E$62)*(D217='Unit Mix'!$D$6:$D$62),0))</f>
        <v>#N/A</v>
      </c>
      <c r="Q217" s="150">
        <f>OneLineRR!T308</f>
        <v>0</v>
      </c>
      <c r="R217" s="150">
        <f>OneLineRR!U308</f>
        <v>0</v>
      </c>
      <c r="S217" s="150">
        <f>OneLineRR!V308</f>
        <v>0</v>
      </c>
      <c r="T217" s="150">
        <f>OneLineRR!W308</f>
        <v>0</v>
      </c>
      <c r="U217" s="157" t="str">
        <f>IF(OneLineRR!Q308="","",OneLineRR!Q308)</f>
        <v/>
      </c>
      <c r="V217" s="157" t="str">
        <f>IF(OneLineRR!R308="","",OneLineRR!R308)</f>
        <v/>
      </c>
      <c r="AB217" s="320" t="str">
        <f>IFERROR(U217+(COUNTIF($U$8:U217,U217)-1)/10000,"")</f>
        <v/>
      </c>
      <c r="AC217" s="158"/>
      <c r="AD217" s="119"/>
      <c r="AE217" s="460"/>
      <c r="AG217" s="119"/>
    </row>
    <row r="218" spans="4:33" x14ac:dyDescent="0.25">
      <c r="D218" s="154" t="str">
        <f>OneLineRR!A309</f>
        <v>Hudson View Park</v>
      </c>
      <c r="E218" s="104">
        <f>OneLineRR!J309</f>
        <v>0</v>
      </c>
      <c r="F218" s="104">
        <f>OneLineRR!K309</f>
        <v>0</v>
      </c>
      <c r="G218" s="155" t="e">
        <f>OneLineRR!D309</f>
        <v>#N/A</v>
      </c>
      <c r="H218" s="155" t="e">
        <f>IF(OneLineRR!G309="Yes","Affordable","Market")</f>
        <v>#N/A</v>
      </c>
      <c r="I218" s="104" t="e">
        <f>OneLineRR!I309</f>
        <v>#N/A</v>
      </c>
      <c r="J218" s="156">
        <f>OneLineRR!M309</f>
        <v>0</v>
      </c>
      <c r="K218" s="634">
        <f>OneLineRR!L309</f>
        <v>0</v>
      </c>
      <c r="L218" s="143" t="str">
        <f>OneLineRR!C309</f>
        <v>Occ</v>
      </c>
      <c r="M218" s="636">
        <f>OneLineRR!O309</f>
        <v>0</v>
      </c>
      <c r="N218" s="636">
        <f t="shared" si="3"/>
        <v>0</v>
      </c>
      <c r="O218" s="636">
        <f>OneLineRR!N309</f>
        <v>0</v>
      </c>
      <c r="P218" s="636" t="e" cm="1">
        <f t="array" ref="P218">INDEX('Unit Mix'!$P$6:$P$62,MATCH(1,('Rent Roll'!G218='Unit Mix'!$E$6:$E$62)*(D218='Unit Mix'!$D$6:$D$62),0))</f>
        <v>#N/A</v>
      </c>
      <c r="Q218" s="150">
        <f>OneLineRR!T309</f>
        <v>0</v>
      </c>
      <c r="R218" s="150">
        <f>OneLineRR!U309</f>
        <v>0</v>
      </c>
      <c r="S218" s="150">
        <f>OneLineRR!V309</f>
        <v>0</v>
      </c>
      <c r="T218" s="150">
        <f>OneLineRR!W309</f>
        <v>0</v>
      </c>
      <c r="U218" s="157" t="str">
        <f>IF(OneLineRR!Q309="","",OneLineRR!Q309)</f>
        <v/>
      </c>
      <c r="V218" s="157" t="str">
        <f>IF(OneLineRR!R309="","",OneLineRR!R309)</f>
        <v/>
      </c>
      <c r="AB218" s="320" t="str">
        <f>IFERROR(U218+(COUNTIF($U$8:U218,U218)-1)/10000,"")</f>
        <v/>
      </c>
      <c r="AC218" s="158"/>
      <c r="AD218" s="119"/>
      <c r="AE218" s="460"/>
      <c r="AG218" s="119"/>
    </row>
    <row r="219" spans="4:33" x14ac:dyDescent="0.25">
      <c r="D219" s="154" t="str">
        <f>OneLineRR!A310</f>
        <v>Hudson View Park</v>
      </c>
      <c r="E219" s="104">
        <f>OneLineRR!J310</f>
        <v>0</v>
      </c>
      <c r="F219" s="104">
        <f>OneLineRR!K310</f>
        <v>0</v>
      </c>
      <c r="G219" s="155" t="e">
        <f>OneLineRR!D310</f>
        <v>#N/A</v>
      </c>
      <c r="H219" s="155" t="e">
        <f>IF(OneLineRR!G310="Yes","Affordable","Market")</f>
        <v>#N/A</v>
      </c>
      <c r="I219" s="104" t="e">
        <f>OneLineRR!I310</f>
        <v>#N/A</v>
      </c>
      <c r="J219" s="156">
        <f>OneLineRR!M310</f>
        <v>0</v>
      </c>
      <c r="K219" s="634">
        <f>OneLineRR!L310</f>
        <v>0</v>
      </c>
      <c r="L219" s="143" t="str">
        <f>OneLineRR!C310</f>
        <v>Occ</v>
      </c>
      <c r="M219" s="636">
        <f>OneLineRR!O310</f>
        <v>0</v>
      </c>
      <c r="N219" s="636">
        <f t="shared" si="3"/>
        <v>0</v>
      </c>
      <c r="O219" s="636">
        <f>OneLineRR!N310</f>
        <v>0</v>
      </c>
      <c r="P219" s="636" t="e" cm="1">
        <f t="array" ref="P219">INDEX('Unit Mix'!$P$6:$P$62,MATCH(1,('Rent Roll'!G219='Unit Mix'!$E$6:$E$62)*(D219='Unit Mix'!$D$6:$D$62),0))</f>
        <v>#N/A</v>
      </c>
      <c r="Q219" s="150">
        <f>OneLineRR!T310</f>
        <v>0</v>
      </c>
      <c r="R219" s="150">
        <f>OneLineRR!U310</f>
        <v>0</v>
      </c>
      <c r="S219" s="150">
        <f>OneLineRR!V310</f>
        <v>0</v>
      </c>
      <c r="T219" s="150">
        <f>OneLineRR!W310</f>
        <v>0</v>
      </c>
      <c r="U219" s="157" t="str">
        <f>IF(OneLineRR!Q310="","",OneLineRR!Q310)</f>
        <v/>
      </c>
      <c r="V219" s="157" t="str">
        <f>IF(OneLineRR!R310="","",OneLineRR!R310)</f>
        <v/>
      </c>
      <c r="AB219" s="320" t="str">
        <f>IFERROR(U219+(COUNTIF($U$8:U219,U219)-1)/10000,"")</f>
        <v/>
      </c>
      <c r="AC219" s="158"/>
      <c r="AD219" s="119"/>
      <c r="AE219" s="460"/>
      <c r="AG219" s="119"/>
    </row>
    <row r="220" spans="4:33" x14ac:dyDescent="0.25">
      <c r="D220" s="154" t="str">
        <f>OneLineRR!A311</f>
        <v>Hudson View Park</v>
      </c>
      <c r="E220" s="104">
        <f>OneLineRR!J311</f>
        <v>0</v>
      </c>
      <c r="F220" s="104">
        <f>OneLineRR!K311</f>
        <v>0</v>
      </c>
      <c r="G220" s="155" t="e">
        <f>OneLineRR!D311</f>
        <v>#N/A</v>
      </c>
      <c r="H220" s="155" t="e">
        <f>IF(OneLineRR!G311="Yes","Affordable","Market")</f>
        <v>#N/A</v>
      </c>
      <c r="I220" s="104" t="e">
        <f>OneLineRR!I311</f>
        <v>#N/A</v>
      </c>
      <c r="J220" s="156">
        <f>OneLineRR!M311</f>
        <v>0</v>
      </c>
      <c r="K220" s="634">
        <f>OneLineRR!L311</f>
        <v>0</v>
      </c>
      <c r="L220" s="143" t="str">
        <f>OneLineRR!C311</f>
        <v>Occ</v>
      </c>
      <c r="M220" s="636">
        <f>OneLineRR!O311</f>
        <v>0</v>
      </c>
      <c r="N220" s="636">
        <f t="shared" si="3"/>
        <v>0</v>
      </c>
      <c r="O220" s="636">
        <f>OneLineRR!N311</f>
        <v>0</v>
      </c>
      <c r="P220" s="636" t="e" cm="1">
        <f t="array" ref="P220">INDEX('Unit Mix'!$P$6:$P$62,MATCH(1,('Rent Roll'!G220='Unit Mix'!$E$6:$E$62)*(D220='Unit Mix'!$D$6:$D$62),0))</f>
        <v>#N/A</v>
      </c>
      <c r="Q220" s="150">
        <f>OneLineRR!T311</f>
        <v>0</v>
      </c>
      <c r="R220" s="150">
        <f>OneLineRR!U311</f>
        <v>0</v>
      </c>
      <c r="S220" s="150">
        <f>OneLineRR!V311</f>
        <v>0</v>
      </c>
      <c r="T220" s="150">
        <f>OneLineRR!W311</f>
        <v>0</v>
      </c>
      <c r="U220" s="157" t="str">
        <f>IF(OneLineRR!Q311="","",OneLineRR!Q311)</f>
        <v/>
      </c>
      <c r="V220" s="157" t="str">
        <f>IF(OneLineRR!R311="","",OneLineRR!R311)</f>
        <v/>
      </c>
      <c r="AB220" s="320" t="str">
        <f>IFERROR(U220+(COUNTIF($U$8:U220,U220)-1)/10000,"")</f>
        <v/>
      </c>
      <c r="AC220" s="158"/>
      <c r="AD220" s="119"/>
      <c r="AE220" s="460"/>
      <c r="AG220" s="119"/>
    </row>
    <row r="221" spans="4:33" x14ac:dyDescent="0.25">
      <c r="D221" s="154" t="str">
        <f>OneLineRR!A312</f>
        <v>Hudson View Park</v>
      </c>
      <c r="E221" s="104">
        <f>OneLineRR!J312</f>
        <v>0</v>
      </c>
      <c r="F221" s="104">
        <f>OneLineRR!K312</f>
        <v>0</v>
      </c>
      <c r="G221" s="155" t="e">
        <f>OneLineRR!D312</f>
        <v>#N/A</v>
      </c>
      <c r="H221" s="155" t="e">
        <f>IF(OneLineRR!G312="Yes","Affordable","Market")</f>
        <v>#N/A</v>
      </c>
      <c r="I221" s="104" t="e">
        <f>OneLineRR!I312</f>
        <v>#N/A</v>
      </c>
      <c r="J221" s="156">
        <f>OneLineRR!M312</f>
        <v>0</v>
      </c>
      <c r="K221" s="634">
        <f>OneLineRR!L312</f>
        <v>0</v>
      </c>
      <c r="L221" s="143" t="str">
        <f>OneLineRR!C312</f>
        <v>Occ</v>
      </c>
      <c r="M221" s="636">
        <f>OneLineRR!O312</f>
        <v>0</v>
      </c>
      <c r="N221" s="636">
        <f t="shared" si="3"/>
        <v>0</v>
      </c>
      <c r="O221" s="636">
        <f>OneLineRR!N312</f>
        <v>0</v>
      </c>
      <c r="P221" s="636" t="e" cm="1">
        <f t="array" ref="P221">INDEX('Unit Mix'!$P$6:$P$62,MATCH(1,('Rent Roll'!G221='Unit Mix'!$E$6:$E$62)*(D221='Unit Mix'!$D$6:$D$62),0))</f>
        <v>#N/A</v>
      </c>
      <c r="Q221" s="150">
        <f>OneLineRR!T312</f>
        <v>0</v>
      </c>
      <c r="R221" s="150">
        <f>OneLineRR!U312</f>
        <v>0</v>
      </c>
      <c r="S221" s="150">
        <f>OneLineRR!V312</f>
        <v>0</v>
      </c>
      <c r="T221" s="150">
        <f>OneLineRR!W312</f>
        <v>0</v>
      </c>
      <c r="U221" s="157" t="str">
        <f>IF(OneLineRR!Q312="","",OneLineRR!Q312)</f>
        <v/>
      </c>
      <c r="V221" s="157" t="str">
        <f>IF(OneLineRR!R312="","",OneLineRR!R312)</f>
        <v/>
      </c>
      <c r="AB221" s="320" t="str">
        <f>IFERROR(U221+(COUNTIF($U$8:U221,U221)-1)/10000,"")</f>
        <v/>
      </c>
      <c r="AC221" s="158"/>
      <c r="AD221" s="119"/>
      <c r="AE221" s="460"/>
      <c r="AG221" s="119"/>
    </row>
    <row r="222" spans="4:33" x14ac:dyDescent="0.25">
      <c r="D222" s="154" t="str">
        <f>OneLineRR!A313</f>
        <v>Hudson View Park</v>
      </c>
      <c r="E222" s="104">
        <f>OneLineRR!J313</f>
        <v>0</v>
      </c>
      <c r="F222" s="104">
        <f>OneLineRR!K313</f>
        <v>0</v>
      </c>
      <c r="G222" s="155" t="e">
        <f>OneLineRR!D313</f>
        <v>#N/A</v>
      </c>
      <c r="H222" s="155" t="e">
        <f>IF(OneLineRR!G313="Yes","Affordable","Market")</f>
        <v>#N/A</v>
      </c>
      <c r="I222" s="104" t="e">
        <f>OneLineRR!I313</f>
        <v>#N/A</v>
      </c>
      <c r="J222" s="156">
        <f>OneLineRR!M313</f>
        <v>0</v>
      </c>
      <c r="K222" s="634">
        <f>OneLineRR!L313</f>
        <v>0</v>
      </c>
      <c r="L222" s="143" t="str">
        <f>OneLineRR!C313</f>
        <v>Occ</v>
      </c>
      <c r="M222" s="636">
        <f>OneLineRR!O313</f>
        <v>0</v>
      </c>
      <c r="N222" s="636">
        <f t="shared" si="3"/>
        <v>0</v>
      </c>
      <c r="O222" s="636">
        <f>OneLineRR!N313</f>
        <v>0</v>
      </c>
      <c r="P222" s="636" t="e" cm="1">
        <f t="array" ref="P222">INDEX('Unit Mix'!$P$6:$P$62,MATCH(1,('Rent Roll'!G222='Unit Mix'!$E$6:$E$62)*(D222='Unit Mix'!$D$6:$D$62),0))</f>
        <v>#N/A</v>
      </c>
      <c r="Q222" s="150">
        <f>OneLineRR!T313</f>
        <v>0</v>
      </c>
      <c r="R222" s="150">
        <f>OneLineRR!U313</f>
        <v>0</v>
      </c>
      <c r="S222" s="150">
        <f>OneLineRR!V313</f>
        <v>0</v>
      </c>
      <c r="T222" s="150">
        <f>OneLineRR!W313</f>
        <v>0</v>
      </c>
      <c r="U222" s="157" t="str">
        <f>IF(OneLineRR!Q313="","",OneLineRR!Q313)</f>
        <v/>
      </c>
      <c r="V222" s="157" t="str">
        <f>IF(OneLineRR!R313="","",OneLineRR!R313)</f>
        <v/>
      </c>
      <c r="AB222" s="320" t="str">
        <f>IFERROR(U222+(COUNTIF($U$8:U222,U222)-1)/10000,"")</f>
        <v/>
      </c>
      <c r="AC222" s="158"/>
      <c r="AD222" s="119"/>
      <c r="AE222" s="460"/>
      <c r="AG222" s="119"/>
    </row>
    <row r="223" spans="4:33" x14ac:dyDescent="0.25">
      <c r="D223" s="154" t="str">
        <f>OneLineRR!A314</f>
        <v>Hudson View Park</v>
      </c>
      <c r="E223" s="104">
        <f>OneLineRR!J314</f>
        <v>0</v>
      </c>
      <c r="F223" s="104">
        <f>OneLineRR!K314</f>
        <v>0</v>
      </c>
      <c r="G223" s="155" t="e">
        <f>OneLineRR!D314</f>
        <v>#N/A</v>
      </c>
      <c r="H223" s="155" t="e">
        <f>IF(OneLineRR!G314="Yes","Affordable","Market")</f>
        <v>#N/A</v>
      </c>
      <c r="I223" s="104" t="e">
        <f>OneLineRR!I314</f>
        <v>#N/A</v>
      </c>
      <c r="J223" s="156">
        <f>OneLineRR!M314</f>
        <v>0</v>
      </c>
      <c r="K223" s="634">
        <f>OneLineRR!L314</f>
        <v>0</v>
      </c>
      <c r="L223" s="143" t="str">
        <f>OneLineRR!C314</f>
        <v>Occ</v>
      </c>
      <c r="M223" s="636">
        <f>OneLineRR!O314</f>
        <v>0</v>
      </c>
      <c r="N223" s="636">
        <f t="shared" si="3"/>
        <v>0</v>
      </c>
      <c r="O223" s="636">
        <f>OneLineRR!N314</f>
        <v>0</v>
      </c>
      <c r="P223" s="636" t="e" cm="1">
        <f t="array" ref="P223">INDEX('Unit Mix'!$P$6:$P$62,MATCH(1,('Rent Roll'!G223='Unit Mix'!$E$6:$E$62)*(D223='Unit Mix'!$D$6:$D$62),0))</f>
        <v>#N/A</v>
      </c>
      <c r="Q223" s="150">
        <f>OneLineRR!T314</f>
        <v>0</v>
      </c>
      <c r="R223" s="150">
        <f>OneLineRR!U314</f>
        <v>0</v>
      </c>
      <c r="S223" s="150">
        <f>OneLineRR!V314</f>
        <v>0</v>
      </c>
      <c r="T223" s="150">
        <f>OneLineRR!W314</f>
        <v>0</v>
      </c>
      <c r="U223" s="157" t="str">
        <f>IF(OneLineRR!Q314="","",OneLineRR!Q314)</f>
        <v/>
      </c>
      <c r="V223" s="157" t="str">
        <f>IF(OneLineRR!R314="","",OneLineRR!R314)</f>
        <v/>
      </c>
      <c r="AB223" s="320" t="str">
        <f>IFERROR(U223+(COUNTIF($U$8:U223,U223)-1)/10000,"")</f>
        <v/>
      </c>
      <c r="AC223" s="158"/>
      <c r="AD223" s="119"/>
      <c r="AE223" s="460"/>
      <c r="AG223" s="119"/>
    </row>
    <row r="224" spans="4:33" x14ac:dyDescent="0.25">
      <c r="D224" s="154" t="str">
        <f>OneLineRR!A315</f>
        <v>Hudson View Park</v>
      </c>
      <c r="E224" s="104">
        <f>OneLineRR!J315</f>
        <v>0</v>
      </c>
      <c r="F224" s="104">
        <f>OneLineRR!K315</f>
        <v>0</v>
      </c>
      <c r="G224" s="155" t="e">
        <f>OneLineRR!D315</f>
        <v>#N/A</v>
      </c>
      <c r="H224" s="155" t="e">
        <f>IF(OneLineRR!G315="Yes","Affordable","Market")</f>
        <v>#N/A</v>
      </c>
      <c r="I224" s="104" t="e">
        <f>OneLineRR!I315</f>
        <v>#N/A</v>
      </c>
      <c r="J224" s="156">
        <f>OneLineRR!M315</f>
        <v>0</v>
      </c>
      <c r="K224" s="634">
        <f>OneLineRR!L315</f>
        <v>0</v>
      </c>
      <c r="L224" s="143" t="str">
        <f>OneLineRR!C315</f>
        <v>Occ</v>
      </c>
      <c r="M224" s="636">
        <f>OneLineRR!O315</f>
        <v>0</v>
      </c>
      <c r="N224" s="636">
        <f t="shared" si="3"/>
        <v>0</v>
      </c>
      <c r="O224" s="636">
        <f>OneLineRR!N315</f>
        <v>0</v>
      </c>
      <c r="P224" s="636" t="e" cm="1">
        <f t="array" ref="P224">INDEX('Unit Mix'!$P$6:$P$62,MATCH(1,('Rent Roll'!G224='Unit Mix'!$E$6:$E$62)*(D224='Unit Mix'!$D$6:$D$62),0))</f>
        <v>#N/A</v>
      </c>
      <c r="Q224" s="150">
        <f>OneLineRR!T315</f>
        <v>0</v>
      </c>
      <c r="R224" s="150">
        <f>OneLineRR!U315</f>
        <v>0</v>
      </c>
      <c r="S224" s="150">
        <f>OneLineRR!V315</f>
        <v>0</v>
      </c>
      <c r="T224" s="150">
        <f>OneLineRR!W315</f>
        <v>0</v>
      </c>
      <c r="U224" s="157" t="str">
        <f>IF(OneLineRR!Q315="","",OneLineRR!Q315)</f>
        <v/>
      </c>
      <c r="V224" s="157" t="str">
        <f>IF(OneLineRR!R315="","",OneLineRR!R315)</f>
        <v/>
      </c>
      <c r="AB224" s="320" t="str">
        <f>IFERROR(U224+(COUNTIF($U$8:U224,U224)-1)/10000,"")</f>
        <v/>
      </c>
      <c r="AC224" s="158"/>
      <c r="AD224" s="119"/>
      <c r="AE224" s="460"/>
      <c r="AG224" s="119"/>
    </row>
    <row r="225" spans="4:33" x14ac:dyDescent="0.25">
      <c r="D225" s="154" t="str">
        <f>OneLineRR!A316</f>
        <v>Hudson View Park</v>
      </c>
      <c r="E225" s="104">
        <f>OneLineRR!J316</f>
        <v>0</v>
      </c>
      <c r="F225" s="104">
        <f>OneLineRR!K316</f>
        <v>0</v>
      </c>
      <c r="G225" s="155" t="e">
        <f>OneLineRR!D316</f>
        <v>#N/A</v>
      </c>
      <c r="H225" s="155" t="e">
        <f>IF(OneLineRR!G316="Yes","Affordable","Market")</f>
        <v>#N/A</v>
      </c>
      <c r="I225" s="104" t="e">
        <f>OneLineRR!I316</f>
        <v>#N/A</v>
      </c>
      <c r="J225" s="156">
        <f>OneLineRR!M316</f>
        <v>0</v>
      </c>
      <c r="K225" s="634">
        <f>OneLineRR!L316</f>
        <v>0</v>
      </c>
      <c r="L225" s="143" t="str">
        <f>OneLineRR!C316</f>
        <v>Occ</v>
      </c>
      <c r="M225" s="636">
        <f>OneLineRR!O316</f>
        <v>0</v>
      </c>
      <c r="N225" s="636">
        <f t="shared" si="3"/>
        <v>0</v>
      </c>
      <c r="O225" s="636">
        <f>OneLineRR!N316</f>
        <v>0</v>
      </c>
      <c r="P225" s="636" t="e" cm="1">
        <f t="array" ref="P225">INDEX('Unit Mix'!$P$6:$P$62,MATCH(1,('Rent Roll'!G225='Unit Mix'!$E$6:$E$62)*(D225='Unit Mix'!$D$6:$D$62),0))</f>
        <v>#N/A</v>
      </c>
      <c r="Q225" s="150">
        <f>OneLineRR!T316</f>
        <v>0</v>
      </c>
      <c r="R225" s="150">
        <f>OneLineRR!U316</f>
        <v>0</v>
      </c>
      <c r="S225" s="150">
        <f>OneLineRR!V316</f>
        <v>0</v>
      </c>
      <c r="T225" s="150">
        <f>OneLineRR!W316</f>
        <v>0</v>
      </c>
      <c r="U225" s="157" t="str">
        <f>IF(OneLineRR!Q316="","",OneLineRR!Q316)</f>
        <v/>
      </c>
      <c r="V225" s="157" t="str">
        <f>IF(OneLineRR!R316="","",OneLineRR!R316)</f>
        <v/>
      </c>
      <c r="AB225" s="320" t="str">
        <f>IFERROR(U225+(COUNTIF($U$8:U225,U225)-1)/10000,"")</f>
        <v/>
      </c>
      <c r="AC225" s="158"/>
      <c r="AD225" s="119"/>
      <c r="AE225" s="460"/>
      <c r="AG225" s="119"/>
    </row>
    <row r="226" spans="4:33" x14ac:dyDescent="0.25">
      <c r="D226" s="154" t="str">
        <f>OneLineRR!A317</f>
        <v>Hudson View Park</v>
      </c>
      <c r="E226" s="104">
        <f>OneLineRR!J317</f>
        <v>0</v>
      </c>
      <c r="F226" s="104">
        <f>OneLineRR!K317</f>
        <v>0</v>
      </c>
      <c r="G226" s="155" t="e">
        <f>OneLineRR!D317</f>
        <v>#N/A</v>
      </c>
      <c r="H226" s="155" t="e">
        <f>IF(OneLineRR!G317="Yes","Affordable","Market")</f>
        <v>#N/A</v>
      </c>
      <c r="I226" s="104" t="e">
        <f>OneLineRR!I317</f>
        <v>#N/A</v>
      </c>
      <c r="J226" s="156">
        <f>OneLineRR!M317</f>
        <v>0</v>
      </c>
      <c r="K226" s="634">
        <f>OneLineRR!L317</f>
        <v>0</v>
      </c>
      <c r="L226" s="143" t="str">
        <f>OneLineRR!C317</f>
        <v>Occ</v>
      </c>
      <c r="M226" s="636">
        <f>OneLineRR!O317</f>
        <v>0</v>
      </c>
      <c r="N226" s="636">
        <f t="shared" si="3"/>
        <v>0</v>
      </c>
      <c r="O226" s="636">
        <f>OneLineRR!N317</f>
        <v>0</v>
      </c>
      <c r="P226" s="636" t="e" cm="1">
        <f t="array" ref="P226">INDEX('Unit Mix'!$P$6:$P$62,MATCH(1,('Rent Roll'!G226='Unit Mix'!$E$6:$E$62)*(D226='Unit Mix'!$D$6:$D$62),0))</f>
        <v>#N/A</v>
      </c>
      <c r="Q226" s="150">
        <f>OneLineRR!T317</f>
        <v>0</v>
      </c>
      <c r="R226" s="150">
        <f>OneLineRR!U317</f>
        <v>0</v>
      </c>
      <c r="S226" s="150">
        <f>OneLineRR!V317</f>
        <v>0</v>
      </c>
      <c r="T226" s="150">
        <f>OneLineRR!W317</f>
        <v>0</v>
      </c>
      <c r="U226" s="157" t="str">
        <f>IF(OneLineRR!Q317="","",OneLineRR!Q317)</f>
        <v/>
      </c>
      <c r="V226" s="157" t="str">
        <f>IF(OneLineRR!R317="","",OneLineRR!R317)</f>
        <v/>
      </c>
      <c r="AB226" s="320" t="str">
        <f>IFERROR(U226+(COUNTIF($U$8:U226,U226)-1)/10000,"")</f>
        <v/>
      </c>
      <c r="AC226" s="158"/>
      <c r="AD226" s="119"/>
      <c r="AE226" s="460"/>
      <c r="AG226" s="119"/>
    </row>
    <row r="227" spans="4:33" x14ac:dyDescent="0.25">
      <c r="D227" s="154" t="str">
        <f>OneLineRR!A318</f>
        <v>Hudson View Park</v>
      </c>
      <c r="E227" s="104">
        <f>OneLineRR!J318</f>
        <v>0</v>
      </c>
      <c r="F227" s="104">
        <f>OneLineRR!K318</f>
        <v>0</v>
      </c>
      <c r="G227" s="155" t="e">
        <f>OneLineRR!D318</f>
        <v>#N/A</v>
      </c>
      <c r="H227" s="155" t="e">
        <f>IF(OneLineRR!G318="Yes","Affordable","Market")</f>
        <v>#N/A</v>
      </c>
      <c r="I227" s="104" t="e">
        <f>OneLineRR!I318</f>
        <v>#N/A</v>
      </c>
      <c r="J227" s="156">
        <f>OneLineRR!M318</f>
        <v>0</v>
      </c>
      <c r="K227" s="634">
        <f>OneLineRR!L318</f>
        <v>0</v>
      </c>
      <c r="L227" s="143" t="str">
        <f>OneLineRR!C318</f>
        <v>Occ</v>
      </c>
      <c r="M227" s="636">
        <f>OneLineRR!O318</f>
        <v>0</v>
      </c>
      <c r="N227" s="636">
        <f t="shared" si="3"/>
        <v>0</v>
      </c>
      <c r="O227" s="636">
        <f>OneLineRR!N318</f>
        <v>0</v>
      </c>
      <c r="P227" s="636" t="e" cm="1">
        <f t="array" ref="P227">INDEX('Unit Mix'!$P$6:$P$62,MATCH(1,('Rent Roll'!G227='Unit Mix'!$E$6:$E$62)*(D227='Unit Mix'!$D$6:$D$62),0))</f>
        <v>#N/A</v>
      </c>
      <c r="Q227" s="150">
        <f>OneLineRR!T318</f>
        <v>0</v>
      </c>
      <c r="R227" s="150">
        <f>OneLineRR!U318</f>
        <v>0</v>
      </c>
      <c r="S227" s="150">
        <f>OneLineRR!V318</f>
        <v>0</v>
      </c>
      <c r="T227" s="150">
        <f>OneLineRR!W318</f>
        <v>0</v>
      </c>
      <c r="U227" s="157" t="str">
        <f>IF(OneLineRR!Q318="","",OneLineRR!Q318)</f>
        <v/>
      </c>
      <c r="V227" s="157" t="str">
        <f>IF(OneLineRR!R318="","",OneLineRR!R318)</f>
        <v/>
      </c>
      <c r="AB227" s="320" t="str">
        <f>IFERROR(U227+(COUNTIF($U$8:U227,U227)-1)/10000,"")</f>
        <v/>
      </c>
      <c r="AC227" s="158"/>
      <c r="AD227" s="119"/>
      <c r="AE227" s="460"/>
      <c r="AG227" s="119"/>
    </row>
    <row r="228" spans="4:33" x14ac:dyDescent="0.25">
      <c r="D228" s="154" t="str">
        <f>OneLineRR!A319</f>
        <v>Hudson View Park</v>
      </c>
      <c r="E228" s="104">
        <f>OneLineRR!J319</f>
        <v>0</v>
      </c>
      <c r="F228" s="104">
        <f>OneLineRR!K319</f>
        <v>0</v>
      </c>
      <c r="G228" s="155" t="e">
        <f>OneLineRR!D319</f>
        <v>#N/A</v>
      </c>
      <c r="H228" s="155" t="e">
        <f>IF(OneLineRR!G319="Yes","Affordable","Market")</f>
        <v>#N/A</v>
      </c>
      <c r="I228" s="104" t="e">
        <f>OneLineRR!I319</f>
        <v>#N/A</v>
      </c>
      <c r="J228" s="156">
        <f>OneLineRR!M319</f>
        <v>0</v>
      </c>
      <c r="K228" s="634">
        <f>OneLineRR!L319</f>
        <v>0</v>
      </c>
      <c r="L228" s="143" t="str">
        <f>OneLineRR!C319</f>
        <v>Occ</v>
      </c>
      <c r="M228" s="636">
        <f>OneLineRR!O319</f>
        <v>0</v>
      </c>
      <c r="N228" s="636">
        <f t="shared" si="3"/>
        <v>0</v>
      </c>
      <c r="O228" s="636">
        <f>OneLineRR!N319</f>
        <v>0</v>
      </c>
      <c r="P228" s="636" t="e" cm="1">
        <f t="array" ref="P228">INDEX('Unit Mix'!$P$6:$P$62,MATCH(1,('Rent Roll'!G228='Unit Mix'!$E$6:$E$62)*(D228='Unit Mix'!$D$6:$D$62),0))</f>
        <v>#N/A</v>
      </c>
      <c r="Q228" s="150">
        <f>OneLineRR!T319</f>
        <v>0</v>
      </c>
      <c r="R228" s="150">
        <f>OneLineRR!U319</f>
        <v>0</v>
      </c>
      <c r="S228" s="150">
        <f>OneLineRR!V319</f>
        <v>0</v>
      </c>
      <c r="T228" s="150">
        <f>OneLineRR!W319</f>
        <v>0</v>
      </c>
      <c r="U228" s="157" t="str">
        <f>IF(OneLineRR!Q319="","",OneLineRR!Q319)</f>
        <v/>
      </c>
      <c r="V228" s="157" t="str">
        <f>IF(OneLineRR!R319="","",OneLineRR!R319)</f>
        <v/>
      </c>
      <c r="AB228" s="320" t="str">
        <f>IFERROR(U228+(COUNTIF($U$8:U228,U228)-1)/10000,"")</f>
        <v/>
      </c>
      <c r="AC228" s="158"/>
      <c r="AD228" s="119"/>
      <c r="AE228" s="460"/>
      <c r="AG228" s="119"/>
    </row>
    <row r="229" spans="4:33" x14ac:dyDescent="0.25">
      <c r="D229" s="154" t="str">
        <f>OneLineRR!A320</f>
        <v>Hudson View Park</v>
      </c>
      <c r="E229" s="104">
        <f>OneLineRR!J320</f>
        <v>0</v>
      </c>
      <c r="F229" s="104">
        <f>OneLineRR!K320</f>
        <v>0</v>
      </c>
      <c r="G229" s="155" t="e">
        <f>OneLineRR!D320</f>
        <v>#N/A</v>
      </c>
      <c r="H229" s="155" t="e">
        <f>IF(OneLineRR!G320="Yes","Affordable","Market")</f>
        <v>#N/A</v>
      </c>
      <c r="I229" s="104" t="e">
        <f>OneLineRR!I320</f>
        <v>#N/A</v>
      </c>
      <c r="J229" s="156">
        <f>OneLineRR!M320</f>
        <v>0</v>
      </c>
      <c r="K229" s="634">
        <f>OneLineRR!L320</f>
        <v>0</v>
      </c>
      <c r="L229" s="143" t="str">
        <f>OneLineRR!C320</f>
        <v>Occ</v>
      </c>
      <c r="M229" s="636">
        <f>OneLineRR!O320</f>
        <v>0</v>
      </c>
      <c r="N229" s="636">
        <f t="shared" si="3"/>
        <v>0</v>
      </c>
      <c r="O229" s="636">
        <f>OneLineRR!N320</f>
        <v>0</v>
      </c>
      <c r="P229" s="636" t="e" cm="1">
        <f t="array" ref="P229">INDEX('Unit Mix'!$P$6:$P$62,MATCH(1,('Rent Roll'!G229='Unit Mix'!$E$6:$E$62)*(D229='Unit Mix'!$D$6:$D$62),0))</f>
        <v>#N/A</v>
      </c>
      <c r="Q229" s="150">
        <f>OneLineRR!T320</f>
        <v>0</v>
      </c>
      <c r="R229" s="150">
        <f>OneLineRR!U320</f>
        <v>0</v>
      </c>
      <c r="S229" s="150">
        <f>OneLineRR!V320</f>
        <v>0</v>
      </c>
      <c r="T229" s="150">
        <f>OneLineRR!W320</f>
        <v>0</v>
      </c>
      <c r="U229" s="157" t="str">
        <f>IF(OneLineRR!Q320="","",OneLineRR!Q320)</f>
        <v/>
      </c>
      <c r="V229" s="157" t="str">
        <f>IF(OneLineRR!R320="","",OneLineRR!R320)</f>
        <v/>
      </c>
      <c r="AB229" s="320" t="str">
        <f>IFERROR(U229+(COUNTIF($U$8:U229,U229)-1)/10000,"")</f>
        <v/>
      </c>
      <c r="AC229" s="158"/>
      <c r="AD229" s="119"/>
      <c r="AE229" s="460"/>
      <c r="AG229" s="119"/>
    </row>
    <row r="230" spans="4:33" x14ac:dyDescent="0.25">
      <c r="D230" s="154" t="str">
        <f>OneLineRR!A321</f>
        <v>Hudson View Park</v>
      </c>
      <c r="E230" s="104">
        <f>OneLineRR!J321</f>
        <v>0</v>
      </c>
      <c r="F230" s="104">
        <f>OneLineRR!K321</f>
        <v>0</v>
      </c>
      <c r="G230" s="155" t="e">
        <f>OneLineRR!D321</f>
        <v>#N/A</v>
      </c>
      <c r="H230" s="155" t="e">
        <f>IF(OneLineRR!G321="Yes","Affordable","Market")</f>
        <v>#N/A</v>
      </c>
      <c r="I230" s="104" t="e">
        <f>OneLineRR!I321</f>
        <v>#N/A</v>
      </c>
      <c r="J230" s="156">
        <f>OneLineRR!M321</f>
        <v>0</v>
      </c>
      <c r="K230" s="634">
        <f>OneLineRR!L321</f>
        <v>0</v>
      </c>
      <c r="L230" s="143" t="str">
        <f>OneLineRR!C321</f>
        <v>Occ</v>
      </c>
      <c r="M230" s="636">
        <f>OneLineRR!O321</f>
        <v>0</v>
      </c>
      <c r="N230" s="636">
        <f t="shared" si="3"/>
        <v>0</v>
      </c>
      <c r="O230" s="636">
        <f>OneLineRR!N321</f>
        <v>0</v>
      </c>
      <c r="P230" s="636" t="e" cm="1">
        <f t="array" ref="P230">INDEX('Unit Mix'!$P$6:$P$62,MATCH(1,('Rent Roll'!G230='Unit Mix'!$E$6:$E$62)*(D230='Unit Mix'!$D$6:$D$62),0))</f>
        <v>#N/A</v>
      </c>
      <c r="Q230" s="150">
        <f>OneLineRR!T321</f>
        <v>0</v>
      </c>
      <c r="R230" s="150">
        <f>OneLineRR!U321</f>
        <v>0</v>
      </c>
      <c r="S230" s="150">
        <f>OneLineRR!V321</f>
        <v>0</v>
      </c>
      <c r="T230" s="150">
        <f>OneLineRR!W321</f>
        <v>0</v>
      </c>
      <c r="U230" s="157" t="str">
        <f>IF(OneLineRR!Q321="","",OneLineRR!Q321)</f>
        <v/>
      </c>
      <c r="V230" s="157" t="str">
        <f>IF(OneLineRR!R321="","",OneLineRR!R321)</f>
        <v/>
      </c>
      <c r="AB230" s="320" t="str">
        <f>IFERROR(U230+(COUNTIF($U$8:U230,U230)-1)/10000,"")</f>
        <v/>
      </c>
      <c r="AC230" s="158"/>
      <c r="AD230" s="119"/>
      <c r="AE230" s="460"/>
      <c r="AG230" s="119"/>
    </row>
    <row r="231" spans="4:33" x14ac:dyDescent="0.25">
      <c r="D231" s="154" t="str">
        <f>OneLineRR!A322</f>
        <v>Hudson View Park</v>
      </c>
      <c r="E231" s="104">
        <f>OneLineRR!J322</f>
        <v>0</v>
      </c>
      <c r="F231" s="104">
        <f>OneLineRR!K322</f>
        <v>0</v>
      </c>
      <c r="G231" s="155" t="e">
        <f>OneLineRR!D322</f>
        <v>#N/A</v>
      </c>
      <c r="H231" s="155" t="e">
        <f>IF(OneLineRR!G322="Yes","Affordable","Market")</f>
        <v>#N/A</v>
      </c>
      <c r="I231" s="104" t="e">
        <f>OneLineRR!I322</f>
        <v>#N/A</v>
      </c>
      <c r="J231" s="156">
        <f>OneLineRR!M322</f>
        <v>0</v>
      </c>
      <c r="K231" s="634">
        <f>OneLineRR!L322</f>
        <v>0</v>
      </c>
      <c r="L231" s="143" t="str">
        <f>OneLineRR!C322</f>
        <v>Occ</v>
      </c>
      <c r="M231" s="636">
        <f>OneLineRR!O322</f>
        <v>0</v>
      </c>
      <c r="N231" s="636">
        <f t="shared" si="3"/>
        <v>0</v>
      </c>
      <c r="O231" s="636">
        <f>OneLineRR!N322</f>
        <v>0</v>
      </c>
      <c r="P231" s="636" t="e" cm="1">
        <f t="array" ref="P231">INDEX('Unit Mix'!$P$6:$P$62,MATCH(1,('Rent Roll'!G231='Unit Mix'!$E$6:$E$62)*(D231='Unit Mix'!$D$6:$D$62),0))</f>
        <v>#N/A</v>
      </c>
      <c r="Q231" s="150">
        <f>OneLineRR!T322</f>
        <v>0</v>
      </c>
      <c r="R231" s="150">
        <f>OneLineRR!U322</f>
        <v>0</v>
      </c>
      <c r="S231" s="150">
        <f>OneLineRR!V322</f>
        <v>0</v>
      </c>
      <c r="T231" s="150">
        <f>OneLineRR!W322</f>
        <v>0</v>
      </c>
      <c r="U231" s="157" t="str">
        <f>IF(OneLineRR!Q322="","",OneLineRR!Q322)</f>
        <v/>
      </c>
      <c r="V231" s="157" t="str">
        <f>IF(OneLineRR!R322="","",OneLineRR!R322)</f>
        <v/>
      </c>
      <c r="AB231" s="320" t="str">
        <f>IFERROR(U231+(COUNTIF($U$8:U231,U231)-1)/10000,"")</f>
        <v/>
      </c>
      <c r="AC231" s="158"/>
      <c r="AD231" s="119"/>
      <c r="AE231" s="460"/>
      <c r="AG231" s="119"/>
    </row>
    <row r="232" spans="4:33" x14ac:dyDescent="0.25">
      <c r="D232" s="154" t="str">
        <f>OneLineRR!A323</f>
        <v>Hudson View Park</v>
      </c>
      <c r="E232" s="104">
        <f>OneLineRR!J323</f>
        <v>0</v>
      </c>
      <c r="F232" s="104">
        <f>OneLineRR!K323</f>
        <v>0</v>
      </c>
      <c r="G232" s="155" t="e">
        <f>OneLineRR!D323</f>
        <v>#N/A</v>
      </c>
      <c r="H232" s="155" t="e">
        <f>IF(OneLineRR!G323="Yes","Affordable","Market")</f>
        <v>#N/A</v>
      </c>
      <c r="I232" s="104" t="e">
        <f>OneLineRR!I323</f>
        <v>#N/A</v>
      </c>
      <c r="J232" s="156">
        <f>OneLineRR!M323</f>
        <v>0</v>
      </c>
      <c r="K232" s="634">
        <f>OneLineRR!L323</f>
        <v>0</v>
      </c>
      <c r="L232" s="143" t="str">
        <f>OneLineRR!C323</f>
        <v>Occ</v>
      </c>
      <c r="M232" s="636">
        <f>OneLineRR!O323</f>
        <v>0</v>
      </c>
      <c r="N232" s="636">
        <f t="shared" si="3"/>
        <v>0</v>
      </c>
      <c r="O232" s="636">
        <f>OneLineRR!N323</f>
        <v>0</v>
      </c>
      <c r="P232" s="636" t="e" cm="1">
        <f t="array" ref="P232">INDEX('Unit Mix'!$P$6:$P$62,MATCH(1,('Rent Roll'!G232='Unit Mix'!$E$6:$E$62)*(D232='Unit Mix'!$D$6:$D$62),0))</f>
        <v>#N/A</v>
      </c>
      <c r="Q232" s="150">
        <f>OneLineRR!T323</f>
        <v>0</v>
      </c>
      <c r="R232" s="150">
        <f>OneLineRR!U323</f>
        <v>0</v>
      </c>
      <c r="S232" s="150">
        <f>OneLineRR!V323</f>
        <v>0</v>
      </c>
      <c r="T232" s="150">
        <f>OneLineRR!W323</f>
        <v>0</v>
      </c>
      <c r="U232" s="157" t="str">
        <f>IF(OneLineRR!Q323="","",OneLineRR!Q323)</f>
        <v/>
      </c>
      <c r="V232" s="157" t="str">
        <f>IF(OneLineRR!R323="","",OneLineRR!R323)</f>
        <v/>
      </c>
      <c r="AB232" s="320" t="str">
        <f>IFERROR(U232+(COUNTIF($U$8:U232,U232)-1)/10000,"")</f>
        <v/>
      </c>
      <c r="AC232" s="158"/>
      <c r="AD232" s="119"/>
      <c r="AE232" s="460"/>
      <c r="AG232" s="119"/>
    </row>
    <row r="233" spans="4:33" x14ac:dyDescent="0.25">
      <c r="D233" s="154" t="str">
        <f>OneLineRR!A324</f>
        <v>Hudson View Park</v>
      </c>
      <c r="E233" s="104">
        <f>OneLineRR!J324</f>
        <v>0</v>
      </c>
      <c r="F233" s="104">
        <f>OneLineRR!K324</f>
        <v>0</v>
      </c>
      <c r="G233" s="155" t="e">
        <f>OneLineRR!D324</f>
        <v>#N/A</v>
      </c>
      <c r="H233" s="155" t="e">
        <f>IF(OneLineRR!G324="Yes","Affordable","Market")</f>
        <v>#N/A</v>
      </c>
      <c r="I233" s="104" t="e">
        <f>OneLineRR!I324</f>
        <v>#N/A</v>
      </c>
      <c r="J233" s="156">
        <f>OneLineRR!M324</f>
        <v>0</v>
      </c>
      <c r="K233" s="634">
        <f>OneLineRR!L324</f>
        <v>0</v>
      </c>
      <c r="L233" s="143" t="str">
        <f>OneLineRR!C324</f>
        <v>Occ</v>
      </c>
      <c r="M233" s="636">
        <f>OneLineRR!O324</f>
        <v>0</v>
      </c>
      <c r="N233" s="636">
        <f t="shared" si="3"/>
        <v>0</v>
      </c>
      <c r="O233" s="636">
        <f>OneLineRR!N324</f>
        <v>0</v>
      </c>
      <c r="P233" s="636" t="e" cm="1">
        <f t="array" ref="P233">INDEX('Unit Mix'!$P$6:$P$62,MATCH(1,('Rent Roll'!G233='Unit Mix'!$E$6:$E$62)*(D233='Unit Mix'!$D$6:$D$62),0))</f>
        <v>#N/A</v>
      </c>
      <c r="Q233" s="150">
        <f>OneLineRR!T324</f>
        <v>0</v>
      </c>
      <c r="R233" s="150">
        <f>OneLineRR!U324</f>
        <v>0</v>
      </c>
      <c r="S233" s="150">
        <f>OneLineRR!V324</f>
        <v>0</v>
      </c>
      <c r="T233" s="150">
        <f>OneLineRR!W324</f>
        <v>0</v>
      </c>
      <c r="U233" s="157" t="str">
        <f>IF(OneLineRR!Q324="","",OneLineRR!Q324)</f>
        <v/>
      </c>
      <c r="V233" s="157" t="str">
        <f>IF(OneLineRR!R324="","",OneLineRR!R324)</f>
        <v/>
      </c>
      <c r="AB233" s="320" t="str">
        <f>IFERROR(U233+(COUNTIF($U$8:U233,U233)-1)/10000,"")</f>
        <v/>
      </c>
      <c r="AC233" s="158"/>
      <c r="AD233" s="119"/>
      <c r="AE233" s="460"/>
      <c r="AG233" s="119"/>
    </row>
    <row r="234" spans="4:33" x14ac:dyDescent="0.25">
      <c r="D234" s="154" t="str">
        <f>OneLineRR!A325</f>
        <v>Hudson View Park</v>
      </c>
      <c r="E234" s="104">
        <f>OneLineRR!J325</f>
        <v>0</v>
      </c>
      <c r="F234" s="104">
        <f>OneLineRR!K325</f>
        <v>0</v>
      </c>
      <c r="G234" s="155" t="e">
        <f>OneLineRR!D325</f>
        <v>#N/A</v>
      </c>
      <c r="H234" s="155" t="e">
        <f>IF(OneLineRR!G325="Yes","Affordable","Market")</f>
        <v>#N/A</v>
      </c>
      <c r="I234" s="104" t="e">
        <f>OneLineRR!I325</f>
        <v>#N/A</v>
      </c>
      <c r="J234" s="156">
        <f>OneLineRR!M325</f>
        <v>0</v>
      </c>
      <c r="K234" s="634">
        <f>OneLineRR!L325</f>
        <v>0</v>
      </c>
      <c r="L234" s="143" t="str">
        <f>OneLineRR!C325</f>
        <v>Occ</v>
      </c>
      <c r="M234" s="636">
        <f>OneLineRR!O325</f>
        <v>0</v>
      </c>
      <c r="N234" s="636">
        <f t="shared" si="3"/>
        <v>0</v>
      </c>
      <c r="O234" s="636">
        <f>OneLineRR!N325</f>
        <v>0</v>
      </c>
      <c r="P234" s="636" t="e" cm="1">
        <f t="array" ref="P234">INDEX('Unit Mix'!$P$6:$P$62,MATCH(1,('Rent Roll'!G234='Unit Mix'!$E$6:$E$62)*(D234='Unit Mix'!$D$6:$D$62),0))</f>
        <v>#N/A</v>
      </c>
      <c r="Q234" s="150">
        <f>OneLineRR!T325</f>
        <v>0</v>
      </c>
      <c r="R234" s="150">
        <f>OneLineRR!U325</f>
        <v>0</v>
      </c>
      <c r="S234" s="150">
        <f>OneLineRR!V325</f>
        <v>0</v>
      </c>
      <c r="T234" s="150">
        <f>OneLineRR!W325</f>
        <v>0</v>
      </c>
      <c r="U234" s="157" t="str">
        <f>IF(OneLineRR!Q325="","",OneLineRR!Q325)</f>
        <v/>
      </c>
      <c r="V234" s="157" t="str">
        <f>IF(OneLineRR!R325="","",OneLineRR!R325)</f>
        <v/>
      </c>
      <c r="AB234" s="320" t="str">
        <f>IFERROR(U234+(COUNTIF($U$8:U234,U234)-1)/10000,"")</f>
        <v/>
      </c>
      <c r="AC234" s="158"/>
      <c r="AD234" s="119"/>
      <c r="AE234" s="460"/>
      <c r="AG234" s="119"/>
    </row>
    <row r="235" spans="4:33" x14ac:dyDescent="0.25">
      <c r="D235" s="154" t="str">
        <f>OneLineRR!A326</f>
        <v>Hudson View Park</v>
      </c>
      <c r="E235" s="104">
        <f>OneLineRR!J326</f>
        <v>0</v>
      </c>
      <c r="F235" s="104">
        <f>OneLineRR!K326</f>
        <v>0</v>
      </c>
      <c r="G235" s="155" t="e">
        <f>OneLineRR!D326</f>
        <v>#N/A</v>
      </c>
      <c r="H235" s="155" t="e">
        <f>IF(OneLineRR!G326="Yes","Affordable","Market")</f>
        <v>#N/A</v>
      </c>
      <c r="I235" s="104" t="e">
        <f>OneLineRR!I326</f>
        <v>#N/A</v>
      </c>
      <c r="J235" s="156">
        <f>OneLineRR!M326</f>
        <v>0</v>
      </c>
      <c r="K235" s="634">
        <f>OneLineRR!L326</f>
        <v>0</v>
      </c>
      <c r="L235" s="143" t="str">
        <f>OneLineRR!C326</f>
        <v>Occ</v>
      </c>
      <c r="M235" s="636">
        <f>OneLineRR!O326</f>
        <v>0</v>
      </c>
      <c r="N235" s="636">
        <f t="shared" si="3"/>
        <v>0</v>
      </c>
      <c r="O235" s="636">
        <f>OneLineRR!N326</f>
        <v>0</v>
      </c>
      <c r="P235" s="636" t="e" cm="1">
        <f t="array" ref="P235">INDEX('Unit Mix'!$P$6:$P$62,MATCH(1,('Rent Roll'!G235='Unit Mix'!$E$6:$E$62)*(D235='Unit Mix'!$D$6:$D$62),0))</f>
        <v>#N/A</v>
      </c>
      <c r="Q235" s="150">
        <f>OneLineRR!T326</f>
        <v>0</v>
      </c>
      <c r="R235" s="150">
        <f>OneLineRR!U326</f>
        <v>0</v>
      </c>
      <c r="S235" s="150">
        <f>OneLineRR!V326</f>
        <v>0</v>
      </c>
      <c r="T235" s="150">
        <f>OneLineRR!W326</f>
        <v>0</v>
      </c>
      <c r="U235" s="157" t="str">
        <f>IF(OneLineRR!Q326="","",OneLineRR!Q326)</f>
        <v/>
      </c>
      <c r="V235" s="157" t="str">
        <f>IF(OneLineRR!R326="","",OneLineRR!R326)</f>
        <v/>
      </c>
      <c r="AB235" s="320" t="str">
        <f>IFERROR(U235+(COUNTIF($U$8:U235,U235)-1)/10000,"")</f>
        <v/>
      </c>
      <c r="AC235" s="158"/>
      <c r="AD235" s="119"/>
      <c r="AE235" s="460"/>
      <c r="AG235" s="119"/>
    </row>
    <row r="236" spans="4:33" x14ac:dyDescent="0.25">
      <c r="D236" s="154" t="str">
        <f>OneLineRR!A327</f>
        <v>Hudson View Park</v>
      </c>
      <c r="E236" s="104">
        <f>OneLineRR!J327</f>
        <v>0</v>
      </c>
      <c r="F236" s="104">
        <f>OneLineRR!K327</f>
        <v>0</v>
      </c>
      <c r="G236" s="155" t="e">
        <f>OneLineRR!D327</f>
        <v>#N/A</v>
      </c>
      <c r="H236" s="155" t="e">
        <f>IF(OneLineRR!G327="Yes","Affordable","Market")</f>
        <v>#N/A</v>
      </c>
      <c r="I236" s="104" t="e">
        <f>OneLineRR!I327</f>
        <v>#N/A</v>
      </c>
      <c r="J236" s="156">
        <f>OneLineRR!M327</f>
        <v>0</v>
      </c>
      <c r="K236" s="634">
        <f>OneLineRR!L327</f>
        <v>0</v>
      </c>
      <c r="L236" s="143" t="str">
        <f>OneLineRR!C327</f>
        <v>Occ</v>
      </c>
      <c r="M236" s="636">
        <f>OneLineRR!O327</f>
        <v>0</v>
      </c>
      <c r="N236" s="636">
        <f t="shared" si="3"/>
        <v>0</v>
      </c>
      <c r="O236" s="636">
        <f>OneLineRR!N327</f>
        <v>0</v>
      </c>
      <c r="P236" s="636" t="e" cm="1">
        <f t="array" ref="P236">INDEX('Unit Mix'!$P$6:$P$62,MATCH(1,('Rent Roll'!G236='Unit Mix'!$E$6:$E$62)*(D236='Unit Mix'!$D$6:$D$62),0))</f>
        <v>#N/A</v>
      </c>
      <c r="Q236" s="150">
        <f>OneLineRR!T327</f>
        <v>0</v>
      </c>
      <c r="R236" s="150">
        <f>OneLineRR!U327</f>
        <v>0</v>
      </c>
      <c r="S236" s="150">
        <f>OneLineRR!V327</f>
        <v>0</v>
      </c>
      <c r="T236" s="150">
        <f>OneLineRR!W327</f>
        <v>0</v>
      </c>
      <c r="U236" s="157" t="str">
        <f>IF(OneLineRR!Q327="","",OneLineRR!Q327)</f>
        <v/>
      </c>
      <c r="V236" s="157" t="str">
        <f>IF(OneLineRR!R327="","",OneLineRR!R327)</f>
        <v/>
      </c>
      <c r="AB236" s="320" t="str">
        <f>IFERROR(U236+(COUNTIF($U$8:U236,U236)-1)/10000,"")</f>
        <v/>
      </c>
      <c r="AC236" s="158"/>
      <c r="AD236" s="119"/>
      <c r="AE236" s="460"/>
      <c r="AG236" s="119"/>
    </row>
    <row r="237" spans="4:33" x14ac:dyDescent="0.25">
      <c r="D237" s="154" t="str">
        <f>OneLineRR!A328</f>
        <v>Hudson View Park</v>
      </c>
      <c r="E237" s="104">
        <f>OneLineRR!J328</f>
        <v>0</v>
      </c>
      <c r="F237" s="104">
        <f>OneLineRR!K328</f>
        <v>0</v>
      </c>
      <c r="G237" s="155" t="e">
        <f>OneLineRR!D328</f>
        <v>#N/A</v>
      </c>
      <c r="H237" s="155" t="e">
        <f>IF(OneLineRR!G328="Yes","Affordable","Market")</f>
        <v>#N/A</v>
      </c>
      <c r="I237" s="104" t="e">
        <f>OneLineRR!I328</f>
        <v>#N/A</v>
      </c>
      <c r="J237" s="156">
        <f>OneLineRR!M328</f>
        <v>0</v>
      </c>
      <c r="K237" s="634">
        <f>OneLineRR!L328</f>
        <v>0</v>
      </c>
      <c r="L237" s="143" t="str">
        <f>OneLineRR!C328</f>
        <v>Occ</v>
      </c>
      <c r="M237" s="636">
        <f>OneLineRR!O328</f>
        <v>0</v>
      </c>
      <c r="N237" s="636">
        <f t="shared" si="3"/>
        <v>0</v>
      </c>
      <c r="O237" s="636">
        <f>OneLineRR!N328</f>
        <v>0</v>
      </c>
      <c r="P237" s="636" t="e" cm="1">
        <f t="array" ref="P237">INDEX('Unit Mix'!$P$6:$P$62,MATCH(1,('Rent Roll'!G237='Unit Mix'!$E$6:$E$62)*(D237='Unit Mix'!$D$6:$D$62),0))</f>
        <v>#N/A</v>
      </c>
      <c r="Q237" s="150">
        <f>OneLineRR!T328</f>
        <v>0</v>
      </c>
      <c r="R237" s="150">
        <f>OneLineRR!U328</f>
        <v>0</v>
      </c>
      <c r="S237" s="150">
        <f>OneLineRR!V328</f>
        <v>0</v>
      </c>
      <c r="T237" s="150">
        <f>OneLineRR!W328</f>
        <v>0</v>
      </c>
      <c r="U237" s="157" t="str">
        <f>IF(OneLineRR!Q328="","",OneLineRR!Q328)</f>
        <v/>
      </c>
      <c r="V237" s="157" t="str">
        <f>IF(OneLineRR!R328="","",OneLineRR!R328)</f>
        <v/>
      </c>
      <c r="AB237" s="320" t="str">
        <f>IFERROR(U237+(COUNTIF($U$8:U237,U237)-1)/10000,"")</f>
        <v/>
      </c>
      <c r="AC237" s="158"/>
      <c r="AD237" s="119"/>
      <c r="AE237" s="460"/>
      <c r="AG237" s="119"/>
    </row>
    <row r="238" spans="4:33" x14ac:dyDescent="0.25">
      <c r="D238" s="154" t="str">
        <f>OneLineRR!A329</f>
        <v>Hudson View Park</v>
      </c>
      <c r="E238" s="104">
        <f>OneLineRR!J329</f>
        <v>0</v>
      </c>
      <c r="F238" s="104">
        <f>OneLineRR!K329</f>
        <v>0</v>
      </c>
      <c r="G238" s="155" t="e">
        <f>OneLineRR!D329</f>
        <v>#N/A</v>
      </c>
      <c r="H238" s="155" t="e">
        <f>IF(OneLineRR!G329="Yes","Affordable","Market")</f>
        <v>#N/A</v>
      </c>
      <c r="I238" s="104" t="e">
        <f>OneLineRR!I329</f>
        <v>#N/A</v>
      </c>
      <c r="J238" s="156">
        <f>OneLineRR!M329</f>
        <v>0</v>
      </c>
      <c r="K238" s="634">
        <f>OneLineRR!L329</f>
        <v>0</v>
      </c>
      <c r="L238" s="143" t="str">
        <f>OneLineRR!C329</f>
        <v>Occ</v>
      </c>
      <c r="M238" s="636">
        <f>OneLineRR!O329</f>
        <v>0</v>
      </c>
      <c r="N238" s="636">
        <f t="shared" si="3"/>
        <v>0</v>
      </c>
      <c r="O238" s="636">
        <f>OneLineRR!N329</f>
        <v>0</v>
      </c>
      <c r="P238" s="636" t="e" cm="1">
        <f t="array" ref="P238">INDEX('Unit Mix'!$P$6:$P$62,MATCH(1,('Rent Roll'!G238='Unit Mix'!$E$6:$E$62)*(D238='Unit Mix'!$D$6:$D$62),0))</f>
        <v>#N/A</v>
      </c>
      <c r="Q238" s="150">
        <f>OneLineRR!T329</f>
        <v>0</v>
      </c>
      <c r="R238" s="150">
        <f>OneLineRR!U329</f>
        <v>0</v>
      </c>
      <c r="S238" s="150">
        <f>OneLineRR!V329</f>
        <v>0</v>
      </c>
      <c r="T238" s="150">
        <f>OneLineRR!W329</f>
        <v>0</v>
      </c>
      <c r="U238" s="157" t="str">
        <f>IF(OneLineRR!Q329="","",OneLineRR!Q329)</f>
        <v/>
      </c>
      <c r="V238" s="157" t="str">
        <f>IF(OneLineRR!R329="","",OneLineRR!R329)</f>
        <v/>
      </c>
      <c r="AB238" s="320" t="str">
        <f>IFERROR(U238+(COUNTIF($U$8:U238,U238)-1)/10000,"")</f>
        <v/>
      </c>
      <c r="AC238" s="158"/>
      <c r="AD238" s="119"/>
      <c r="AE238" s="460"/>
      <c r="AG238" s="119"/>
    </row>
    <row r="239" spans="4:33" x14ac:dyDescent="0.25">
      <c r="D239" s="154" t="str">
        <f>OneLineRR!A330</f>
        <v>Hudson View Park</v>
      </c>
      <c r="E239" s="104">
        <f>OneLineRR!J330</f>
        <v>0</v>
      </c>
      <c r="F239" s="104">
        <f>OneLineRR!K330</f>
        <v>0</v>
      </c>
      <c r="G239" s="155" t="e">
        <f>OneLineRR!D330</f>
        <v>#N/A</v>
      </c>
      <c r="H239" s="155" t="e">
        <f>IF(OneLineRR!G330="Yes","Affordable","Market")</f>
        <v>#N/A</v>
      </c>
      <c r="I239" s="104" t="e">
        <f>OneLineRR!I330</f>
        <v>#N/A</v>
      </c>
      <c r="J239" s="156">
        <f>OneLineRR!M330</f>
        <v>0</v>
      </c>
      <c r="K239" s="634">
        <f>OneLineRR!L330</f>
        <v>0</v>
      </c>
      <c r="L239" s="143" t="str">
        <f>OneLineRR!C330</f>
        <v>Occ</v>
      </c>
      <c r="M239" s="636">
        <f>OneLineRR!O330</f>
        <v>0</v>
      </c>
      <c r="N239" s="636">
        <f t="shared" si="3"/>
        <v>0</v>
      </c>
      <c r="O239" s="636">
        <f>OneLineRR!N330</f>
        <v>0</v>
      </c>
      <c r="P239" s="636" t="e" cm="1">
        <f t="array" ref="P239">INDEX('Unit Mix'!$P$6:$P$62,MATCH(1,('Rent Roll'!G239='Unit Mix'!$E$6:$E$62)*(D239='Unit Mix'!$D$6:$D$62),0))</f>
        <v>#N/A</v>
      </c>
      <c r="Q239" s="150">
        <f>OneLineRR!T330</f>
        <v>0</v>
      </c>
      <c r="R239" s="150">
        <f>OneLineRR!U330</f>
        <v>0</v>
      </c>
      <c r="S239" s="150">
        <f>OneLineRR!V330</f>
        <v>0</v>
      </c>
      <c r="T239" s="150">
        <f>OneLineRR!W330</f>
        <v>0</v>
      </c>
      <c r="U239" s="157" t="str">
        <f>IF(OneLineRR!Q330="","",OneLineRR!Q330)</f>
        <v/>
      </c>
      <c r="V239" s="157" t="str">
        <f>IF(OneLineRR!R330="","",OneLineRR!R330)</f>
        <v/>
      </c>
      <c r="AB239" s="320" t="str">
        <f>IFERROR(U239+(COUNTIF($U$8:U239,U239)-1)/10000,"")</f>
        <v/>
      </c>
      <c r="AC239" s="158"/>
      <c r="AD239" s="119"/>
      <c r="AE239" s="460"/>
      <c r="AG239" s="119"/>
    </row>
    <row r="240" spans="4:33" x14ac:dyDescent="0.25">
      <c r="D240" s="154" t="str">
        <f>OneLineRR!A331</f>
        <v>Hudson View Park</v>
      </c>
      <c r="E240" s="104">
        <f>OneLineRR!J331</f>
        <v>0</v>
      </c>
      <c r="F240" s="104">
        <f>OneLineRR!K331</f>
        <v>0</v>
      </c>
      <c r="G240" s="155" t="e">
        <f>OneLineRR!D331</f>
        <v>#N/A</v>
      </c>
      <c r="H240" s="155" t="e">
        <f>IF(OneLineRR!G331="Yes","Affordable","Market")</f>
        <v>#N/A</v>
      </c>
      <c r="I240" s="104" t="e">
        <f>OneLineRR!I331</f>
        <v>#N/A</v>
      </c>
      <c r="J240" s="156">
        <f>OneLineRR!M331</f>
        <v>0</v>
      </c>
      <c r="K240" s="634">
        <f>OneLineRR!L331</f>
        <v>0</v>
      </c>
      <c r="L240" s="143" t="str">
        <f>OneLineRR!C331</f>
        <v>Occ</v>
      </c>
      <c r="M240" s="636">
        <f>OneLineRR!O331</f>
        <v>0</v>
      </c>
      <c r="N240" s="636">
        <f t="shared" si="3"/>
        <v>0</v>
      </c>
      <c r="O240" s="636">
        <f>OneLineRR!N331</f>
        <v>0</v>
      </c>
      <c r="P240" s="636" t="e" cm="1">
        <f t="array" ref="P240">INDEX('Unit Mix'!$P$6:$P$62,MATCH(1,('Rent Roll'!G240='Unit Mix'!$E$6:$E$62)*(D240='Unit Mix'!$D$6:$D$62),0))</f>
        <v>#N/A</v>
      </c>
      <c r="Q240" s="150">
        <f>OneLineRR!T331</f>
        <v>0</v>
      </c>
      <c r="R240" s="150">
        <f>OneLineRR!U331</f>
        <v>0</v>
      </c>
      <c r="S240" s="150">
        <f>OneLineRR!V331</f>
        <v>0</v>
      </c>
      <c r="T240" s="150">
        <f>OneLineRR!W331</f>
        <v>0</v>
      </c>
      <c r="U240" s="157" t="str">
        <f>IF(OneLineRR!Q331="","",OneLineRR!Q331)</f>
        <v/>
      </c>
      <c r="V240" s="157" t="str">
        <f>IF(OneLineRR!R331="","",OneLineRR!R331)</f>
        <v/>
      </c>
      <c r="AB240" s="320" t="str">
        <f>IFERROR(U240+(COUNTIF($U$8:U240,U240)-1)/10000,"")</f>
        <v/>
      </c>
      <c r="AC240" s="158"/>
      <c r="AD240" s="119"/>
      <c r="AE240" s="460"/>
      <c r="AG240" s="119"/>
    </row>
    <row r="241" spans="4:33" x14ac:dyDescent="0.25">
      <c r="D241" s="154" t="str">
        <f>OneLineRR!A332</f>
        <v>Hudson View Park</v>
      </c>
      <c r="E241" s="104">
        <f>OneLineRR!J332</f>
        <v>0</v>
      </c>
      <c r="F241" s="104">
        <f>OneLineRR!K332</f>
        <v>0</v>
      </c>
      <c r="G241" s="155" t="e">
        <f>OneLineRR!D332</f>
        <v>#N/A</v>
      </c>
      <c r="H241" s="155" t="e">
        <f>IF(OneLineRR!G332="Yes","Affordable","Market")</f>
        <v>#N/A</v>
      </c>
      <c r="I241" s="104" t="e">
        <f>OneLineRR!I332</f>
        <v>#N/A</v>
      </c>
      <c r="J241" s="156">
        <f>OneLineRR!M332</f>
        <v>0</v>
      </c>
      <c r="K241" s="634">
        <f>OneLineRR!L332</f>
        <v>0</v>
      </c>
      <c r="L241" s="143" t="str">
        <f>OneLineRR!C332</f>
        <v>Occ</v>
      </c>
      <c r="M241" s="636">
        <f>OneLineRR!O332</f>
        <v>0</v>
      </c>
      <c r="N241" s="636">
        <f t="shared" si="3"/>
        <v>0</v>
      </c>
      <c r="O241" s="636">
        <f>OneLineRR!N332</f>
        <v>0</v>
      </c>
      <c r="P241" s="636" t="e" cm="1">
        <f t="array" ref="P241">INDEX('Unit Mix'!$P$6:$P$62,MATCH(1,('Rent Roll'!G241='Unit Mix'!$E$6:$E$62)*(D241='Unit Mix'!$D$6:$D$62),0))</f>
        <v>#N/A</v>
      </c>
      <c r="Q241" s="150">
        <f>OneLineRR!T332</f>
        <v>0</v>
      </c>
      <c r="R241" s="150">
        <f>OneLineRR!U332</f>
        <v>0</v>
      </c>
      <c r="S241" s="150">
        <f>OneLineRR!V332</f>
        <v>0</v>
      </c>
      <c r="T241" s="150">
        <f>OneLineRR!W332</f>
        <v>0</v>
      </c>
      <c r="U241" s="157" t="str">
        <f>IF(OneLineRR!Q332="","",OneLineRR!Q332)</f>
        <v/>
      </c>
      <c r="V241" s="157" t="str">
        <f>IF(OneLineRR!R332="","",OneLineRR!R332)</f>
        <v/>
      </c>
      <c r="AB241" s="320" t="str">
        <f>IFERROR(U241+(COUNTIF($U$8:U241,U241)-1)/10000,"")</f>
        <v/>
      </c>
      <c r="AC241" s="158"/>
      <c r="AD241" s="119"/>
      <c r="AE241" s="460"/>
      <c r="AG241" s="119"/>
    </row>
    <row r="242" spans="4:33" x14ac:dyDescent="0.25">
      <c r="D242" s="154" t="str">
        <f>OneLineRR!A333</f>
        <v>Hudson View Park</v>
      </c>
      <c r="E242" s="104">
        <f>OneLineRR!J333</f>
        <v>0</v>
      </c>
      <c r="F242" s="104">
        <f>OneLineRR!K333</f>
        <v>0</v>
      </c>
      <c r="G242" s="155" t="e">
        <f>OneLineRR!D333</f>
        <v>#N/A</v>
      </c>
      <c r="H242" s="155" t="e">
        <f>IF(OneLineRR!G333="Yes","Affordable","Market")</f>
        <v>#N/A</v>
      </c>
      <c r="I242" s="104" t="e">
        <f>OneLineRR!I333</f>
        <v>#N/A</v>
      </c>
      <c r="J242" s="156">
        <f>OneLineRR!M333</f>
        <v>0</v>
      </c>
      <c r="K242" s="634">
        <f>OneLineRR!L333</f>
        <v>0</v>
      </c>
      <c r="L242" s="143" t="str">
        <f>OneLineRR!C333</f>
        <v>Occ</v>
      </c>
      <c r="M242" s="636">
        <f>OneLineRR!O333</f>
        <v>0</v>
      </c>
      <c r="N242" s="636">
        <f t="shared" si="3"/>
        <v>0</v>
      </c>
      <c r="O242" s="636">
        <f>OneLineRR!N333</f>
        <v>0</v>
      </c>
      <c r="P242" s="636" t="e" cm="1">
        <f t="array" ref="P242">INDEX('Unit Mix'!$P$6:$P$62,MATCH(1,('Rent Roll'!G242='Unit Mix'!$E$6:$E$62)*(D242='Unit Mix'!$D$6:$D$62),0))</f>
        <v>#N/A</v>
      </c>
      <c r="Q242" s="150">
        <f>OneLineRR!T333</f>
        <v>0</v>
      </c>
      <c r="R242" s="150">
        <f>OneLineRR!U333</f>
        <v>0</v>
      </c>
      <c r="S242" s="150">
        <f>OneLineRR!V333</f>
        <v>0</v>
      </c>
      <c r="T242" s="150">
        <f>OneLineRR!W333</f>
        <v>0</v>
      </c>
      <c r="U242" s="157" t="str">
        <f>IF(OneLineRR!Q333="","",OneLineRR!Q333)</f>
        <v/>
      </c>
      <c r="V242" s="157" t="str">
        <f>IF(OneLineRR!R333="","",OneLineRR!R333)</f>
        <v/>
      </c>
      <c r="AB242" s="320" t="str">
        <f>IFERROR(U242+(COUNTIF($U$8:U242,U242)-1)/10000,"")</f>
        <v/>
      </c>
      <c r="AC242" s="158"/>
      <c r="AD242" s="119"/>
      <c r="AE242" s="460"/>
      <c r="AG242" s="119"/>
    </row>
    <row r="243" spans="4:33" x14ac:dyDescent="0.25">
      <c r="D243" s="154" t="str">
        <f>OneLineRR!A334</f>
        <v>Hudson View Park</v>
      </c>
      <c r="E243" s="104">
        <f>OneLineRR!J334</f>
        <v>0</v>
      </c>
      <c r="F243" s="104">
        <f>OneLineRR!K334</f>
        <v>0</v>
      </c>
      <c r="G243" s="155" t="e">
        <f>OneLineRR!D334</f>
        <v>#N/A</v>
      </c>
      <c r="H243" s="155" t="e">
        <f>IF(OneLineRR!G334="Yes","Affordable","Market")</f>
        <v>#N/A</v>
      </c>
      <c r="I243" s="104" t="e">
        <f>OneLineRR!I334</f>
        <v>#N/A</v>
      </c>
      <c r="J243" s="156">
        <f>OneLineRR!M334</f>
        <v>0</v>
      </c>
      <c r="K243" s="634">
        <f>OneLineRR!L334</f>
        <v>0</v>
      </c>
      <c r="L243" s="143" t="str">
        <f>OneLineRR!C334</f>
        <v>Occ</v>
      </c>
      <c r="M243" s="636">
        <f>OneLineRR!O334</f>
        <v>0</v>
      </c>
      <c r="N243" s="636">
        <f t="shared" si="3"/>
        <v>0</v>
      </c>
      <c r="O243" s="636">
        <f>OneLineRR!N334</f>
        <v>0</v>
      </c>
      <c r="P243" s="636" t="e" cm="1">
        <f t="array" ref="P243">INDEX('Unit Mix'!$P$6:$P$62,MATCH(1,('Rent Roll'!G243='Unit Mix'!$E$6:$E$62)*(D243='Unit Mix'!$D$6:$D$62),0))</f>
        <v>#N/A</v>
      </c>
      <c r="Q243" s="150">
        <f>OneLineRR!T334</f>
        <v>0</v>
      </c>
      <c r="R243" s="150">
        <f>OneLineRR!U334</f>
        <v>0</v>
      </c>
      <c r="S243" s="150">
        <f>OneLineRR!V334</f>
        <v>0</v>
      </c>
      <c r="T243" s="150">
        <f>OneLineRR!W334</f>
        <v>0</v>
      </c>
      <c r="U243" s="157" t="str">
        <f>IF(OneLineRR!Q334="","",OneLineRR!Q334)</f>
        <v/>
      </c>
      <c r="V243" s="157" t="str">
        <f>IF(OneLineRR!R334="","",OneLineRR!R334)</f>
        <v/>
      </c>
      <c r="AB243" s="320" t="str">
        <f>IFERROR(U243+(COUNTIF($U$8:U243,U243)-1)/10000,"")</f>
        <v/>
      </c>
      <c r="AC243" s="158"/>
      <c r="AD243" s="119"/>
      <c r="AE243" s="460"/>
      <c r="AG243" s="119"/>
    </row>
    <row r="244" spans="4:33" x14ac:dyDescent="0.25">
      <c r="D244" s="154" t="str">
        <f>OneLineRR!A335</f>
        <v>Hudson View Park</v>
      </c>
      <c r="E244" s="104">
        <f>OneLineRR!J335</f>
        <v>0</v>
      </c>
      <c r="F244" s="104">
        <f>OneLineRR!K335</f>
        <v>0</v>
      </c>
      <c r="G244" s="155" t="e">
        <f>OneLineRR!D335</f>
        <v>#N/A</v>
      </c>
      <c r="H244" s="155" t="e">
        <f>IF(OneLineRR!G335="Yes","Affordable","Market")</f>
        <v>#N/A</v>
      </c>
      <c r="I244" s="104" t="e">
        <f>OneLineRR!I335</f>
        <v>#N/A</v>
      </c>
      <c r="J244" s="156">
        <f>OneLineRR!M335</f>
        <v>0</v>
      </c>
      <c r="K244" s="634">
        <f>OneLineRR!L335</f>
        <v>0</v>
      </c>
      <c r="L244" s="143" t="str">
        <f>OneLineRR!C335</f>
        <v>Occ</v>
      </c>
      <c r="M244" s="636">
        <f>OneLineRR!O335</f>
        <v>0</v>
      </c>
      <c r="N244" s="636">
        <f t="shared" si="3"/>
        <v>0</v>
      </c>
      <c r="O244" s="636">
        <f>OneLineRR!N335</f>
        <v>0</v>
      </c>
      <c r="P244" s="636" t="e" cm="1">
        <f t="array" ref="P244">INDEX('Unit Mix'!$P$6:$P$62,MATCH(1,('Rent Roll'!G244='Unit Mix'!$E$6:$E$62)*(D244='Unit Mix'!$D$6:$D$62),0))</f>
        <v>#N/A</v>
      </c>
      <c r="Q244" s="150">
        <f>OneLineRR!T335</f>
        <v>0</v>
      </c>
      <c r="R244" s="150">
        <f>OneLineRR!U335</f>
        <v>0</v>
      </c>
      <c r="S244" s="150">
        <f>OneLineRR!V335</f>
        <v>0</v>
      </c>
      <c r="T244" s="150">
        <f>OneLineRR!W335</f>
        <v>0</v>
      </c>
      <c r="U244" s="157" t="str">
        <f>IF(OneLineRR!Q335="","",OneLineRR!Q335)</f>
        <v/>
      </c>
      <c r="V244" s="157" t="str">
        <f>IF(OneLineRR!R335="","",OneLineRR!R335)</f>
        <v/>
      </c>
      <c r="AB244" s="320" t="str">
        <f>IFERROR(U244+(COUNTIF($U$8:U244,U244)-1)/10000,"")</f>
        <v/>
      </c>
      <c r="AC244" s="158"/>
      <c r="AD244" s="119"/>
      <c r="AE244" s="460"/>
      <c r="AG244" s="119"/>
    </row>
    <row r="245" spans="4:33" x14ac:dyDescent="0.25">
      <c r="D245" s="154" t="str">
        <f>OneLineRR!A336</f>
        <v>Hudson View Park</v>
      </c>
      <c r="E245" s="104">
        <f>OneLineRR!J336</f>
        <v>0</v>
      </c>
      <c r="F245" s="104">
        <f>OneLineRR!K336</f>
        <v>0</v>
      </c>
      <c r="G245" s="155" t="e">
        <f>OneLineRR!D336</f>
        <v>#N/A</v>
      </c>
      <c r="H245" s="155" t="e">
        <f>IF(OneLineRR!G336="Yes","Affordable","Market")</f>
        <v>#N/A</v>
      </c>
      <c r="I245" s="104" t="e">
        <f>OneLineRR!I336</f>
        <v>#N/A</v>
      </c>
      <c r="J245" s="156">
        <f>OneLineRR!M336</f>
        <v>0</v>
      </c>
      <c r="K245" s="634">
        <f>OneLineRR!L336</f>
        <v>0</v>
      </c>
      <c r="L245" s="143" t="str">
        <f>OneLineRR!C336</f>
        <v>Occ</v>
      </c>
      <c r="M245" s="636">
        <f>OneLineRR!O336</f>
        <v>0</v>
      </c>
      <c r="N245" s="636">
        <f t="shared" si="3"/>
        <v>0</v>
      </c>
      <c r="O245" s="636">
        <f>OneLineRR!N336</f>
        <v>0</v>
      </c>
      <c r="P245" s="636" t="e" cm="1">
        <f t="array" ref="P245">INDEX('Unit Mix'!$P$6:$P$62,MATCH(1,('Rent Roll'!G245='Unit Mix'!$E$6:$E$62)*(D245='Unit Mix'!$D$6:$D$62),0))</f>
        <v>#N/A</v>
      </c>
      <c r="Q245" s="150">
        <f>OneLineRR!T336</f>
        <v>0</v>
      </c>
      <c r="R245" s="150">
        <f>OneLineRR!U336</f>
        <v>0</v>
      </c>
      <c r="S245" s="150">
        <f>OneLineRR!V336</f>
        <v>0</v>
      </c>
      <c r="T245" s="150">
        <f>OneLineRR!W336</f>
        <v>0</v>
      </c>
      <c r="U245" s="157" t="str">
        <f>IF(OneLineRR!Q336="","",OneLineRR!Q336)</f>
        <v/>
      </c>
      <c r="V245" s="157" t="str">
        <f>IF(OneLineRR!R336="","",OneLineRR!R336)</f>
        <v/>
      </c>
      <c r="AB245" s="320" t="str">
        <f>IFERROR(U245+(COUNTIF($U$8:U245,U245)-1)/10000,"")</f>
        <v/>
      </c>
      <c r="AC245" s="158"/>
      <c r="AD245" s="119"/>
      <c r="AE245" s="460"/>
      <c r="AG245" s="119"/>
    </row>
    <row r="246" spans="4:33" x14ac:dyDescent="0.25">
      <c r="D246" s="154" t="str">
        <f>OneLineRR!A337</f>
        <v>Hudson View Park</v>
      </c>
      <c r="E246" s="104">
        <f>OneLineRR!J337</f>
        <v>0</v>
      </c>
      <c r="F246" s="104">
        <f>OneLineRR!K337</f>
        <v>0</v>
      </c>
      <c r="G246" s="155" t="e">
        <f>OneLineRR!D337</f>
        <v>#N/A</v>
      </c>
      <c r="H246" s="155" t="e">
        <f>IF(OneLineRR!G337="Yes","Affordable","Market")</f>
        <v>#N/A</v>
      </c>
      <c r="I246" s="104" t="e">
        <f>OneLineRR!I337</f>
        <v>#N/A</v>
      </c>
      <c r="J246" s="156">
        <f>OneLineRR!M337</f>
        <v>0</v>
      </c>
      <c r="K246" s="634">
        <f>OneLineRR!L337</f>
        <v>0</v>
      </c>
      <c r="L246" s="143" t="str">
        <f>OneLineRR!C337</f>
        <v>Occ</v>
      </c>
      <c r="M246" s="636">
        <f>OneLineRR!O337</f>
        <v>0</v>
      </c>
      <c r="N246" s="636">
        <f t="shared" si="3"/>
        <v>0</v>
      </c>
      <c r="O246" s="636">
        <f>OneLineRR!N337</f>
        <v>0</v>
      </c>
      <c r="P246" s="636" t="e" cm="1">
        <f t="array" ref="P246">INDEX('Unit Mix'!$P$6:$P$62,MATCH(1,('Rent Roll'!G246='Unit Mix'!$E$6:$E$62)*(D246='Unit Mix'!$D$6:$D$62),0))</f>
        <v>#N/A</v>
      </c>
      <c r="Q246" s="150">
        <f>OneLineRR!T337</f>
        <v>0</v>
      </c>
      <c r="R246" s="150">
        <f>OneLineRR!U337</f>
        <v>0</v>
      </c>
      <c r="S246" s="150">
        <f>OneLineRR!V337</f>
        <v>0</v>
      </c>
      <c r="T246" s="150">
        <f>OneLineRR!W337</f>
        <v>0</v>
      </c>
      <c r="U246" s="157" t="str">
        <f>IF(OneLineRR!Q337="","",OneLineRR!Q337)</f>
        <v/>
      </c>
      <c r="V246" s="157" t="str">
        <f>IF(OneLineRR!R337="","",OneLineRR!R337)</f>
        <v/>
      </c>
      <c r="AB246" s="320" t="str">
        <f>IFERROR(U246+(COUNTIF($U$8:U246,U246)-1)/10000,"")</f>
        <v/>
      </c>
      <c r="AC246" s="158"/>
      <c r="AD246" s="119"/>
      <c r="AE246" s="460"/>
      <c r="AG246" s="119"/>
    </row>
    <row r="247" spans="4:33" x14ac:dyDescent="0.25">
      <c r="D247" s="154" t="str">
        <f>OneLineRR!A338</f>
        <v>Hudson View Park</v>
      </c>
      <c r="E247" s="104">
        <f>OneLineRR!J338</f>
        <v>0</v>
      </c>
      <c r="F247" s="104">
        <f>OneLineRR!K338</f>
        <v>0</v>
      </c>
      <c r="G247" s="155" t="e">
        <f>OneLineRR!D338</f>
        <v>#N/A</v>
      </c>
      <c r="H247" s="155" t="e">
        <f>IF(OneLineRR!G338="Yes","Affordable","Market")</f>
        <v>#N/A</v>
      </c>
      <c r="I247" s="104" t="e">
        <f>OneLineRR!I338</f>
        <v>#N/A</v>
      </c>
      <c r="J247" s="156">
        <f>OneLineRR!M338</f>
        <v>0</v>
      </c>
      <c r="K247" s="634">
        <f>OneLineRR!L338</f>
        <v>0</v>
      </c>
      <c r="L247" s="143" t="str">
        <f>OneLineRR!C338</f>
        <v>Occ</v>
      </c>
      <c r="M247" s="636">
        <f>OneLineRR!O338</f>
        <v>0</v>
      </c>
      <c r="N247" s="636">
        <f t="shared" si="3"/>
        <v>0</v>
      </c>
      <c r="O247" s="636">
        <f>OneLineRR!N338</f>
        <v>0</v>
      </c>
      <c r="P247" s="636" t="e" cm="1">
        <f t="array" ref="P247">INDEX('Unit Mix'!$P$6:$P$62,MATCH(1,('Rent Roll'!G247='Unit Mix'!$E$6:$E$62)*(D247='Unit Mix'!$D$6:$D$62),0))</f>
        <v>#N/A</v>
      </c>
      <c r="Q247" s="150">
        <f>OneLineRR!T338</f>
        <v>0</v>
      </c>
      <c r="R247" s="150">
        <f>OneLineRR!U338</f>
        <v>0</v>
      </c>
      <c r="S247" s="150">
        <f>OneLineRR!V338</f>
        <v>0</v>
      </c>
      <c r="T247" s="150">
        <f>OneLineRR!W338</f>
        <v>0</v>
      </c>
      <c r="U247" s="157" t="str">
        <f>IF(OneLineRR!Q338="","",OneLineRR!Q338)</f>
        <v/>
      </c>
      <c r="V247" s="157" t="str">
        <f>IF(OneLineRR!R338="","",OneLineRR!R338)</f>
        <v/>
      </c>
      <c r="AB247" s="320" t="str">
        <f>IFERROR(U247+(COUNTIF($U$8:U247,U247)-1)/10000,"")</f>
        <v/>
      </c>
      <c r="AC247" s="158"/>
      <c r="AD247" s="119"/>
      <c r="AE247" s="460"/>
      <c r="AG247" s="119"/>
    </row>
    <row r="248" spans="4:33" x14ac:dyDescent="0.25">
      <c r="D248" s="154" t="str">
        <f>OneLineRR!A339</f>
        <v>Hudson View Park</v>
      </c>
      <c r="E248" s="104">
        <f>OneLineRR!J339</f>
        <v>0</v>
      </c>
      <c r="F248" s="104">
        <f>OneLineRR!K339</f>
        <v>0</v>
      </c>
      <c r="G248" s="155" t="e">
        <f>OneLineRR!D339</f>
        <v>#N/A</v>
      </c>
      <c r="H248" s="155" t="e">
        <f>IF(OneLineRR!G339="Yes","Affordable","Market")</f>
        <v>#N/A</v>
      </c>
      <c r="I248" s="104" t="e">
        <f>OneLineRR!I339</f>
        <v>#N/A</v>
      </c>
      <c r="J248" s="156">
        <f>OneLineRR!M339</f>
        <v>0</v>
      </c>
      <c r="K248" s="634">
        <f>OneLineRR!L339</f>
        <v>0</v>
      </c>
      <c r="L248" s="143" t="str">
        <f>OneLineRR!C339</f>
        <v>Occ</v>
      </c>
      <c r="M248" s="636">
        <f>OneLineRR!O339</f>
        <v>0</v>
      </c>
      <c r="N248" s="636">
        <f t="shared" si="3"/>
        <v>0</v>
      </c>
      <c r="O248" s="636">
        <f>OneLineRR!N339</f>
        <v>0</v>
      </c>
      <c r="P248" s="636" t="e" cm="1">
        <f t="array" ref="P248">INDEX('Unit Mix'!$P$6:$P$62,MATCH(1,('Rent Roll'!G248='Unit Mix'!$E$6:$E$62)*(D248='Unit Mix'!$D$6:$D$62),0))</f>
        <v>#N/A</v>
      </c>
      <c r="Q248" s="150">
        <f>OneLineRR!T339</f>
        <v>0</v>
      </c>
      <c r="R248" s="150">
        <f>OneLineRR!U339</f>
        <v>0</v>
      </c>
      <c r="S248" s="150">
        <f>OneLineRR!V339</f>
        <v>0</v>
      </c>
      <c r="T248" s="150">
        <f>OneLineRR!W339</f>
        <v>0</v>
      </c>
      <c r="U248" s="157" t="str">
        <f>IF(OneLineRR!Q339="","",OneLineRR!Q339)</f>
        <v/>
      </c>
      <c r="V248" s="157" t="str">
        <f>IF(OneLineRR!R339="","",OneLineRR!R339)</f>
        <v/>
      </c>
      <c r="AB248" s="320" t="str">
        <f>IFERROR(U248+(COUNTIF($U$8:U248,U248)-1)/10000,"")</f>
        <v/>
      </c>
      <c r="AC248" s="158"/>
      <c r="AD248" s="119"/>
      <c r="AE248" s="460"/>
      <c r="AG248" s="119"/>
    </row>
    <row r="249" spans="4:33" x14ac:dyDescent="0.25">
      <c r="D249" s="154" t="str">
        <f>OneLineRR!A340</f>
        <v>Hudson View Park</v>
      </c>
      <c r="E249" s="104">
        <f>OneLineRR!J340</f>
        <v>0</v>
      </c>
      <c r="F249" s="104">
        <f>OneLineRR!K340</f>
        <v>0</v>
      </c>
      <c r="G249" s="155" t="e">
        <f>OneLineRR!D340</f>
        <v>#N/A</v>
      </c>
      <c r="H249" s="155" t="e">
        <f>IF(OneLineRR!G340="Yes","Affordable","Market")</f>
        <v>#N/A</v>
      </c>
      <c r="I249" s="104" t="e">
        <f>OneLineRR!I340</f>
        <v>#N/A</v>
      </c>
      <c r="J249" s="156">
        <f>OneLineRR!M340</f>
        <v>0</v>
      </c>
      <c r="K249" s="634">
        <f>OneLineRR!L340</f>
        <v>0</v>
      </c>
      <c r="L249" s="143" t="str">
        <f>OneLineRR!C340</f>
        <v>Occ</v>
      </c>
      <c r="M249" s="636">
        <f>OneLineRR!O340</f>
        <v>0</v>
      </c>
      <c r="N249" s="636">
        <f t="shared" si="3"/>
        <v>0</v>
      </c>
      <c r="O249" s="636">
        <f>OneLineRR!N340</f>
        <v>0</v>
      </c>
      <c r="P249" s="636" t="e" cm="1">
        <f t="array" ref="P249">INDEX('Unit Mix'!$P$6:$P$62,MATCH(1,('Rent Roll'!G249='Unit Mix'!$E$6:$E$62)*(D249='Unit Mix'!$D$6:$D$62),0))</f>
        <v>#N/A</v>
      </c>
      <c r="Q249" s="150">
        <f>OneLineRR!T340</f>
        <v>0</v>
      </c>
      <c r="R249" s="150">
        <f>OneLineRR!U340</f>
        <v>0</v>
      </c>
      <c r="S249" s="150">
        <f>OneLineRR!V340</f>
        <v>0</v>
      </c>
      <c r="T249" s="150">
        <f>OneLineRR!W340</f>
        <v>0</v>
      </c>
      <c r="U249" s="157" t="str">
        <f>IF(OneLineRR!Q340="","",OneLineRR!Q340)</f>
        <v/>
      </c>
      <c r="V249" s="157" t="str">
        <f>IF(OneLineRR!R340="","",OneLineRR!R340)</f>
        <v/>
      </c>
      <c r="AB249" s="320" t="str">
        <f>IFERROR(U249+(COUNTIF($U$8:U249,U249)-1)/10000,"")</f>
        <v/>
      </c>
      <c r="AC249" s="158"/>
      <c r="AD249" s="119"/>
      <c r="AE249" s="460"/>
      <c r="AG249" s="119"/>
    </row>
    <row r="250" spans="4:33" x14ac:dyDescent="0.25">
      <c r="D250" s="154" t="str">
        <f>OneLineRR!A341</f>
        <v>Hudson View Park</v>
      </c>
      <c r="E250" s="104">
        <f>OneLineRR!J341</f>
        <v>0</v>
      </c>
      <c r="F250" s="104">
        <f>OneLineRR!K341</f>
        <v>0</v>
      </c>
      <c r="G250" s="155" t="e">
        <f>OneLineRR!D341</f>
        <v>#N/A</v>
      </c>
      <c r="H250" s="155" t="e">
        <f>IF(OneLineRR!G341="Yes","Affordable","Market")</f>
        <v>#N/A</v>
      </c>
      <c r="I250" s="104" t="e">
        <f>OneLineRR!I341</f>
        <v>#N/A</v>
      </c>
      <c r="J250" s="156">
        <f>OneLineRR!M341</f>
        <v>0</v>
      </c>
      <c r="K250" s="634">
        <f>OneLineRR!L341</f>
        <v>0</v>
      </c>
      <c r="L250" s="143" t="str">
        <f>OneLineRR!C341</f>
        <v>Occ</v>
      </c>
      <c r="M250" s="636">
        <f>OneLineRR!O341</f>
        <v>0</v>
      </c>
      <c r="N250" s="636">
        <f t="shared" si="3"/>
        <v>0</v>
      </c>
      <c r="O250" s="636">
        <f>OneLineRR!N341</f>
        <v>0</v>
      </c>
      <c r="P250" s="636" t="e" cm="1">
        <f t="array" ref="P250">INDEX('Unit Mix'!$P$6:$P$62,MATCH(1,('Rent Roll'!G250='Unit Mix'!$E$6:$E$62)*(D250='Unit Mix'!$D$6:$D$62),0))</f>
        <v>#N/A</v>
      </c>
      <c r="Q250" s="150">
        <f>OneLineRR!T341</f>
        <v>0</v>
      </c>
      <c r="R250" s="150">
        <f>OneLineRR!U341</f>
        <v>0</v>
      </c>
      <c r="S250" s="150">
        <f>OneLineRR!V341</f>
        <v>0</v>
      </c>
      <c r="T250" s="150">
        <f>OneLineRR!W341</f>
        <v>0</v>
      </c>
      <c r="U250" s="157" t="str">
        <f>IF(OneLineRR!Q341="","",OneLineRR!Q341)</f>
        <v/>
      </c>
      <c r="V250" s="157" t="str">
        <f>IF(OneLineRR!R341="","",OneLineRR!R341)</f>
        <v/>
      </c>
      <c r="AB250" s="320" t="str">
        <f>IFERROR(U250+(COUNTIF($U$8:U250,U250)-1)/10000,"")</f>
        <v/>
      </c>
      <c r="AC250" s="158"/>
      <c r="AD250" s="119"/>
      <c r="AE250" s="460"/>
      <c r="AG250" s="119"/>
    </row>
    <row r="251" spans="4:33" x14ac:dyDescent="0.25">
      <c r="D251" s="154" t="str">
        <f>OneLineRR!A342</f>
        <v>Hudson View Park</v>
      </c>
      <c r="E251" s="104">
        <f>OneLineRR!J342</f>
        <v>0</v>
      </c>
      <c r="F251" s="104">
        <f>OneLineRR!K342</f>
        <v>0</v>
      </c>
      <c r="G251" s="155" t="e">
        <f>OneLineRR!D342</f>
        <v>#N/A</v>
      </c>
      <c r="H251" s="155" t="e">
        <f>IF(OneLineRR!G342="Yes","Affordable","Market")</f>
        <v>#N/A</v>
      </c>
      <c r="I251" s="104" t="e">
        <f>OneLineRR!I342</f>
        <v>#N/A</v>
      </c>
      <c r="J251" s="156">
        <f>OneLineRR!M342</f>
        <v>0</v>
      </c>
      <c r="K251" s="634">
        <f>OneLineRR!L342</f>
        <v>0</v>
      </c>
      <c r="L251" s="143" t="str">
        <f>OneLineRR!C342</f>
        <v>Occ</v>
      </c>
      <c r="M251" s="636">
        <f>OneLineRR!O342</f>
        <v>0</v>
      </c>
      <c r="N251" s="636">
        <f t="shared" si="3"/>
        <v>0</v>
      </c>
      <c r="O251" s="636">
        <f>OneLineRR!N342</f>
        <v>0</v>
      </c>
      <c r="P251" s="636" t="e" cm="1">
        <f t="array" ref="P251">INDEX('Unit Mix'!$P$6:$P$62,MATCH(1,('Rent Roll'!G251='Unit Mix'!$E$6:$E$62)*(D251='Unit Mix'!$D$6:$D$62),0))</f>
        <v>#N/A</v>
      </c>
      <c r="Q251" s="150">
        <f>OneLineRR!T342</f>
        <v>0</v>
      </c>
      <c r="R251" s="150">
        <f>OneLineRR!U342</f>
        <v>0</v>
      </c>
      <c r="S251" s="150">
        <f>OneLineRR!V342</f>
        <v>0</v>
      </c>
      <c r="T251" s="150">
        <f>OneLineRR!W342</f>
        <v>0</v>
      </c>
      <c r="U251" s="157" t="str">
        <f>IF(OneLineRR!Q342="","",OneLineRR!Q342)</f>
        <v/>
      </c>
      <c r="V251" s="157" t="str">
        <f>IF(OneLineRR!R342="","",OneLineRR!R342)</f>
        <v/>
      </c>
      <c r="AB251" s="320" t="str">
        <f>IFERROR(U251+(COUNTIF($U$8:U251,U251)-1)/10000,"")</f>
        <v/>
      </c>
      <c r="AC251" s="158"/>
      <c r="AD251" s="119"/>
      <c r="AE251" s="460"/>
      <c r="AG251" s="119"/>
    </row>
    <row r="252" spans="4:33" x14ac:dyDescent="0.25">
      <c r="D252" s="154" t="str">
        <f>OneLineRR!A343</f>
        <v>Hudson View Park</v>
      </c>
      <c r="E252" s="104">
        <f>OneLineRR!J343</f>
        <v>0</v>
      </c>
      <c r="F252" s="104">
        <f>OneLineRR!K343</f>
        <v>0</v>
      </c>
      <c r="G252" s="155" t="e">
        <f>OneLineRR!D343</f>
        <v>#N/A</v>
      </c>
      <c r="H252" s="155" t="e">
        <f>IF(OneLineRR!G343="Yes","Affordable","Market")</f>
        <v>#N/A</v>
      </c>
      <c r="I252" s="104" t="e">
        <f>OneLineRR!I343</f>
        <v>#N/A</v>
      </c>
      <c r="J252" s="156">
        <f>OneLineRR!M343</f>
        <v>0</v>
      </c>
      <c r="K252" s="634">
        <f>OneLineRR!L343</f>
        <v>0</v>
      </c>
      <c r="L252" s="143" t="str">
        <f>OneLineRR!C343</f>
        <v>Occ</v>
      </c>
      <c r="M252" s="636">
        <f>OneLineRR!O343</f>
        <v>0</v>
      </c>
      <c r="N252" s="636">
        <f t="shared" si="3"/>
        <v>0</v>
      </c>
      <c r="O252" s="636">
        <f>OneLineRR!N343</f>
        <v>0</v>
      </c>
      <c r="P252" s="636" t="e" cm="1">
        <f t="array" ref="P252">INDEX('Unit Mix'!$P$6:$P$62,MATCH(1,('Rent Roll'!G252='Unit Mix'!$E$6:$E$62)*(D252='Unit Mix'!$D$6:$D$62),0))</f>
        <v>#N/A</v>
      </c>
      <c r="Q252" s="150">
        <f>OneLineRR!T343</f>
        <v>0</v>
      </c>
      <c r="R252" s="150">
        <f>OneLineRR!U343</f>
        <v>0</v>
      </c>
      <c r="S252" s="150">
        <f>OneLineRR!V343</f>
        <v>0</v>
      </c>
      <c r="T252" s="150">
        <f>OneLineRR!W343</f>
        <v>0</v>
      </c>
      <c r="U252" s="157" t="str">
        <f>IF(OneLineRR!Q343="","",OneLineRR!Q343)</f>
        <v/>
      </c>
      <c r="V252" s="157" t="str">
        <f>IF(OneLineRR!R343="","",OneLineRR!R343)</f>
        <v/>
      </c>
      <c r="AB252" s="320" t="str">
        <f>IFERROR(U252+(COUNTIF($U$8:U252,U252)-1)/10000,"")</f>
        <v/>
      </c>
      <c r="AC252" s="158"/>
      <c r="AD252" s="119"/>
      <c r="AE252" s="460"/>
      <c r="AG252" s="119"/>
    </row>
    <row r="253" spans="4:33" x14ac:dyDescent="0.25">
      <c r="D253" s="154" t="str">
        <f>OneLineRR!A344</f>
        <v>Hudson View Park</v>
      </c>
      <c r="E253" s="104">
        <f>OneLineRR!J344</f>
        <v>0</v>
      </c>
      <c r="F253" s="104">
        <f>OneLineRR!K344</f>
        <v>0</v>
      </c>
      <c r="G253" s="155" t="e">
        <f>OneLineRR!D344</f>
        <v>#N/A</v>
      </c>
      <c r="H253" s="155" t="e">
        <f>IF(OneLineRR!G344="Yes","Affordable","Market")</f>
        <v>#N/A</v>
      </c>
      <c r="I253" s="104" t="e">
        <f>OneLineRR!I344</f>
        <v>#N/A</v>
      </c>
      <c r="J253" s="156">
        <f>OneLineRR!M344</f>
        <v>0</v>
      </c>
      <c r="K253" s="634">
        <f>OneLineRR!L344</f>
        <v>0</v>
      </c>
      <c r="L253" s="143" t="str">
        <f>OneLineRR!C344</f>
        <v>Occ</v>
      </c>
      <c r="M253" s="636">
        <f>OneLineRR!O344</f>
        <v>0</v>
      </c>
      <c r="N253" s="636">
        <f t="shared" si="3"/>
        <v>0</v>
      </c>
      <c r="O253" s="636">
        <f>OneLineRR!N344</f>
        <v>0</v>
      </c>
      <c r="P253" s="636" t="e" cm="1">
        <f t="array" ref="P253">INDEX('Unit Mix'!$P$6:$P$62,MATCH(1,('Rent Roll'!G253='Unit Mix'!$E$6:$E$62)*(D253='Unit Mix'!$D$6:$D$62),0))</f>
        <v>#N/A</v>
      </c>
      <c r="Q253" s="150">
        <f>OneLineRR!T344</f>
        <v>0</v>
      </c>
      <c r="R253" s="150">
        <f>OneLineRR!U344</f>
        <v>0</v>
      </c>
      <c r="S253" s="150">
        <f>OneLineRR!V344</f>
        <v>0</v>
      </c>
      <c r="T253" s="150">
        <f>OneLineRR!W344</f>
        <v>0</v>
      </c>
      <c r="U253" s="157" t="str">
        <f>IF(OneLineRR!Q344="","",OneLineRR!Q344)</f>
        <v/>
      </c>
      <c r="V253" s="157" t="str">
        <f>IF(OneLineRR!R344="","",OneLineRR!R344)</f>
        <v/>
      </c>
      <c r="AB253" s="320" t="str">
        <f>IFERROR(U253+(COUNTIF($U$8:U253,U253)-1)/10000,"")</f>
        <v/>
      </c>
      <c r="AC253" s="158"/>
      <c r="AD253" s="119"/>
      <c r="AE253" s="460"/>
      <c r="AG253" s="119"/>
    </row>
    <row r="254" spans="4:33" x14ac:dyDescent="0.25">
      <c r="D254" s="154" t="str">
        <f>OneLineRR!A345</f>
        <v>Hudson View Park</v>
      </c>
      <c r="E254" s="104">
        <f>OneLineRR!J345</f>
        <v>0</v>
      </c>
      <c r="F254" s="104">
        <f>OneLineRR!K345</f>
        <v>0</v>
      </c>
      <c r="G254" s="155" t="e">
        <f>OneLineRR!D345</f>
        <v>#N/A</v>
      </c>
      <c r="H254" s="155" t="e">
        <f>IF(OneLineRR!G345="Yes","Affordable","Market")</f>
        <v>#N/A</v>
      </c>
      <c r="I254" s="104" t="e">
        <f>OneLineRR!I345</f>
        <v>#N/A</v>
      </c>
      <c r="J254" s="156">
        <f>OneLineRR!M345</f>
        <v>0</v>
      </c>
      <c r="K254" s="634">
        <f>OneLineRR!L345</f>
        <v>0</v>
      </c>
      <c r="L254" s="143" t="str">
        <f>OneLineRR!C345</f>
        <v>Occ</v>
      </c>
      <c r="M254" s="636">
        <f>OneLineRR!O345</f>
        <v>0</v>
      </c>
      <c r="N254" s="636">
        <f t="shared" si="3"/>
        <v>0</v>
      </c>
      <c r="O254" s="636">
        <f>OneLineRR!N345</f>
        <v>0</v>
      </c>
      <c r="P254" s="636" t="e" cm="1">
        <f t="array" ref="P254">INDEX('Unit Mix'!$P$6:$P$62,MATCH(1,('Rent Roll'!G254='Unit Mix'!$E$6:$E$62)*(D254='Unit Mix'!$D$6:$D$62),0))</f>
        <v>#N/A</v>
      </c>
      <c r="Q254" s="150">
        <f>OneLineRR!T345</f>
        <v>0</v>
      </c>
      <c r="R254" s="150">
        <f>OneLineRR!U345</f>
        <v>0</v>
      </c>
      <c r="S254" s="150">
        <f>OneLineRR!V345</f>
        <v>0</v>
      </c>
      <c r="T254" s="150">
        <f>OneLineRR!W345</f>
        <v>0</v>
      </c>
      <c r="U254" s="157" t="str">
        <f>IF(OneLineRR!Q345="","",OneLineRR!Q345)</f>
        <v/>
      </c>
      <c r="V254" s="157" t="str">
        <f>IF(OneLineRR!R345="","",OneLineRR!R345)</f>
        <v/>
      </c>
      <c r="AB254" s="320" t="str">
        <f>IFERROR(U254+(COUNTIF($U$8:U254,U254)-1)/10000,"")</f>
        <v/>
      </c>
      <c r="AC254" s="158"/>
      <c r="AD254" s="119"/>
      <c r="AE254" s="460"/>
      <c r="AG254" s="119"/>
    </row>
    <row r="255" spans="4:33" x14ac:dyDescent="0.25">
      <c r="D255" s="154" t="str">
        <f>OneLineRR!A346</f>
        <v>Hudson View Park</v>
      </c>
      <c r="E255" s="104">
        <f>OneLineRR!J346</f>
        <v>0</v>
      </c>
      <c r="F255" s="104">
        <f>OneLineRR!K346</f>
        <v>0</v>
      </c>
      <c r="G255" s="155" t="e">
        <f>OneLineRR!D346</f>
        <v>#N/A</v>
      </c>
      <c r="H255" s="155" t="e">
        <f>IF(OneLineRR!G346="Yes","Affordable","Market")</f>
        <v>#N/A</v>
      </c>
      <c r="I255" s="104" t="e">
        <f>OneLineRR!I346</f>
        <v>#N/A</v>
      </c>
      <c r="J255" s="156">
        <f>OneLineRR!M346</f>
        <v>0</v>
      </c>
      <c r="K255" s="634">
        <f>OneLineRR!L346</f>
        <v>0</v>
      </c>
      <c r="L255" s="143" t="str">
        <f>OneLineRR!C346</f>
        <v>Occ</v>
      </c>
      <c r="M255" s="636">
        <f>OneLineRR!O346</f>
        <v>0</v>
      </c>
      <c r="N255" s="636">
        <f t="shared" si="3"/>
        <v>0</v>
      </c>
      <c r="O255" s="636">
        <f>OneLineRR!N346</f>
        <v>0</v>
      </c>
      <c r="P255" s="636" t="e" cm="1">
        <f t="array" ref="P255">INDEX('Unit Mix'!$P$6:$P$62,MATCH(1,('Rent Roll'!G255='Unit Mix'!$E$6:$E$62)*(D255='Unit Mix'!$D$6:$D$62),0))</f>
        <v>#N/A</v>
      </c>
      <c r="Q255" s="150">
        <f>OneLineRR!T346</f>
        <v>0</v>
      </c>
      <c r="R255" s="150">
        <f>OneLineRR!U346</f>
        <v>0</v>
      </c>
      <c r="S255" s="150">
        <f>OneLineRR!V346</f>
        <v>0</v>
      </c>
      <c r="T255" s="150">
        <f>OneLineRR!W346</f>
        <v>0</v>
      </c>
      <c r="U255" s="157" t="str">
        <f>IF(OneLineRR!Q346="","",OneLineRR!Q346)</f>
        <v/>
      </c>
      <c r="V255" s="157" t="str">
        <f>IF(OneLineRR!R346="","",OneLineRR!R346)</f>
        <v/>
      </c>
      <c r="AB255" s="320" t="str">
        <f>IFERROR(U255+(COUNTIF($U$8:U255,U255)-1)/10000,"")</f>
        <v/>
      </c>
      <c r="AC255" s="158"/>
      <c r="AD255" s="119"/>
      <c r="AE255" s="460"/>
      <c r="AG255" s="119"/>
    </row>
    <row r="256" spans="4:33" x14ac:dyDescent="0.25">
      <c r="D256" s="154" t="str">
        <f>OneLineRR!A347</f>
        <v>Hudson View Park</v>
      </c>
      <c r="E256" s="104">
        <f>OneLineRR!J347</f>
        <v>0</v>
      </c>
      <c r="F256" s="104">
        <f>OneLineRR!K347</f>
        <v>0</v>
      </c>
      <c r="G256" s="155" t="e">
        <f>OneLineRR!D347</f>
        <v>#N/A</v>
      </c>
      <c r="H256" s="155" t="e">
        <f>IF(OneLineRR!G347="Yes","Affordable","Market")</f>
        <v>#N/A</v>
      </c>
      <c r="I256" s="104" t="e">
        <f>OneLineRR!I347</f>
        <v>#N/A</v>
      </c>
      <c r="J256" s="156">
        <f>OneLineRR!M347</f>
        <v>0</v>
      </c>
      <c r="K256" s="634">
        <f>OneLineRR!L347</f>
        <v>0</v>
      </c>
      <c r="L256" s="143" t="str">
        <f>OneLineRR!C347</f>
        <v>Occ</v>
      </c>
      <c r="M256" s="636">
        <f>OneLineRR!O347</f>
        <v>0</v>
      </c>
      <c r="N256" s="636">
        <f t="shared" si="3"/>
        <v>0</v>
      </c>
      <c r="O256" s="636">
        <f>OneLineRR!N347</f>
        <v>0</v>
      </c>
      <c r="P256" s="636" t="e" cm="1">
        <f t="array" ref="P256">INDEX('Unit Mix'!$P$6:$P$62,MATCH(1,('Rent Roll'!G256='Unit Mix'!$E$6:$E$62)*(D256='Unit Mix'!$D$6:$D$62),0))</f>
        <v>#N/A</v>
      </c>
      <c r="Q256" s="150">
        <f>OneLineRR!T347</f>
        <v>0</v>
      </c>
      <c r="R256" s="150">
        <f>OneLineRR!U347</f>
        <v>0</v>
      </c>
      <c r="S256" s="150">
        <f>OneLineRR!V347</f>
        <v>0</v>
      </c>
      <c r="T256" s="150">
        <f>OneLineRR!W347</f>
        <v>0</v>
      </c>
      <c r="U256" s="157" t="str">
        <f>IF(OneLineRR!Q347="","",OneLineRR!Q347)</f>
        <v/>
      </c>
      <c r="V256" s="157" t="str">
        <f>IF(OneLineRR!R347="","",OneLineRR!R347)</f>
        <v/>
      </c>
      <c r="AB256" s="320" t="str">
        <f>IFERROR(U256+(COUNTIF($U$8:U256,U256)-1)/10000,"")</f>
        <v/>
      </c>
      <c r="AC256" s="158"/>
      <c r="AD256" s="119"/>
      <c r="AE256" s="460"/>
      <c r="AG256" s="119"/>
    </row>
    <row r="257" spans="4:33" x14ac:dyDescent="0.25">
      <c r="D257" s="154" t="str">
        <f>OneLineRR!A348</f>
        <v>Hudson View Park</v>
      </c>
      <c r="E257" s="104">
        <f>OneLineRR!J348</f>
        <v>0</v>
      </c>
      <c r="F257" s="104">
        <f>OneLineRR!K348</f>
        <v>0</v>
      </c>
      <c r="G257" s="155" t="e">
        <f>OneLineRR!D348</f>
        <v>#N/A</v>
      </c>
      <c r="H257" s="155" t="e">
        <f>IF(OneLineRR!G348="Yes","Affordable","Market")</f>
        <v>#N/A</v>
      </c>
      <c r="I257" s="104" t="e">
        <f>OneLineRR!I348</f>
        <v>#N/A</v>
      </c>
      <c r="J257" s="156">
        <f>OneLineRR!M348</f>
        <v>0</v>
      </c>
      <c r="K257" s="634">
        <f>OneLineRR!L348</f>
        <v>0</v>
      </c>
      <c r="L257" s="143" t="str">
        <f>OneLineRR!C348</f>
        <v>Occ</v>
      </c>
      <c r="M257" s="636">
        <f>OneLineRR!O348</f>
        <v>0</v>
      </c>
      <c r="N257" s="636">
        <f t="shared" si="3"/>
        <v>0</v>
      </c>
      <c r="O257" s="636">
        <f>OneLineRR!N348</f>
        <v>0</v>
      </c>
      <c r="P257" s="636" t="e" cm="1">
        <f t="array" ref="P257">INDEX('Unit Mix'!$P$6:$P$62,MATCH(1,('Rent Roll'!G257='Unit Mix'!$E$6:$E$62)*(D257='Unit Mix'!$D$6:$D$62),0))</f>
        <v>#N/A</v>
      </c>
      <c r="Q257" s="150">
        <f>OneLineRR!T348</f>
        <v>0</v>
      </c>
      <c r="R257" s="150">
        <f>OneLineRR!U348</f>
        <v>0</v>
      </c>
      <c r="S257" s="150">
        <f>OneLineRR!V348</f>
        <v>0</v>
      </c>
      <c r="T257" s="150">
        <f>OneLineRR!W348</f>
        <v>0</v>
      </c>
      <c r="U257" s="157" t="str">
        <f>IF(OneLineRR!Q348="","",OneLineRR!Q348)</f>
        <v/>
      </c>
      <c r="V257" s="157" t="str">
        <f>IF(OneLineRR!R348="","",OneLineRR!R348)</f>
        <v/>
      </c>
      <c r="AB257" s="320" t="str">
        <f>IFERROR(U257+(COUNTIF($U$8:U257,U257)-1)/10000,"")</f>
        <v/>
      </c>
      <c r="AC257" s="158"/>
      <c r="AD257" s="119"/>
      <c r="AE257" s="460"/>
      <c r="AG257" s="119"/>
    </row>
    <row r="258" spans="4:33" x14ac:dyDescent="0.25">
      <c r="D258" s="154" t="str">
        <f>OneLineRR!A349</f>
        <v>Hudson View Park</v>
      </c>
      <c r="E258" s="104">
        <f>OneLineRR!J349</f>
        <v>0</v>
      </c>
      <c r="F258" s="104">
        <f>OneLineRR!K349</f>
        <v>0</v>
      </c>
      <c r="G258" s="155" t="e">
        <f>OneLineRR!D349</f>
        <v>#N/A</v>
      </c>
      <c r="H258" s="155" t="e">
        <f>IF(OneLineRR!G349="Yes","Affordable","Market")</f>
        <v>#N/A</v>
      </c>
      <c r="I258" s="104" t="e">
        <f>OneLineRR!I349</f>
        <v>#N/A</v>
      </c>
      <c r="J258" s="156">
        <f>OneLineRR!M349</f>
        <v>0</v>
      </c>
      <c r="K258" s="634">
        <f>OneLineRR!L349</f>
        <v>0</v>
      </c>
      <c r="L258" s="143" t="str">
        <f>OneLineRR!C349</f>
        <v>Occ</v>
      </c>
      <c r="M258" s="636">
        <f>OneLineRR!O349</f>
        <v>0</v>
      </c>
      <c r="N258" s="636">
        <f t="shared" si="3"/>
        <v>0</v>
      </c>
      <c r="O258" s="636">
        <f>OneLineRR!N349</f>
        <v>0</v>
      </c>
      <c r="P258" s="636" t="e" cm="1">
        <f t="array" ref="P258">INDEX('Unit Mix'!$P$6:$P$62,MATCH(1,('Rent Roll'!G258='Unit Mix'!$E$6:$E$62)*(D258='Unit Mix'!$D$6:$D$62),0))</f>
        <v>#N/A</v>
      </c>
      <c r="Q258" s="150">
        <f>OneLineRR!T349</f>
        <v>0</v>
      </c>
      <c r="R258" s="150">
        <f>OneLineRR!U349</f>
        <v>0</v>
      </c>
      <c r="S258" s="150">
        <f>OneLineRR!V349</f>
        <v>0</v>
      </c>
      <c r="T258" s="150">
        <f>OneLineRR!W349</f>
        <v>0</v>
      </c>
      <c r="U258" s="157" t="str">
        <f>IF(OneLineRR!Q349="","",OneLineRR!Q349)</f>
        <v/>
      </c>
      <c r="V258" s="157" t="str">
        <f>IF(OneLineRR!R349="","",OneLineRR!R349)</f>
        <v/>
      </c>
      <c r="AB258" s="320" t="str">
        <f>IFERROR(U258+(COUNTIF($U$8:U258,U258)-1)/10000,"")</f>
        <v/>
      </c>
      <c r="AC258" s="158"/>
      <c r="AD258" s="119"/>
      <c r="AE258" s="460"/>
      <c r="AG258" s="119"/>
    </row>
    <row r="259" spans="4:33" x14ac:dyDescent="0.25">
      <c r="D259" s="154" t="str">
        <f>OneLineRR!A350</f>
        <v>Hudson View Park</v>
      </c>
      <c r="E259" s="104">
        <f>OneLineRR!J350</f>
        <v>0</v>
      </c>
      <c r="F259" s="104">
        <f>OneLineRR!K350</f>
        <v>0</v>
      </c>
      <c r="G259" s="155" t="e">
        <f>OneLineRR!D350</f>
        <v>#N/A</v>
      </c>
      <c r="H259" s="155" t="e">
        <f>IF(OneLineRR!G350="Yes","Affordable","Market")</f>
        <v>#N/A</v>
      </c>
      <c r="I259" s="104" t="e">
        <f>OneLineRR!I350</f>
        <v>#N/A</v>
      </c>
      <c r="J259" s="156">
        <f>OneLineRR!M350</f>
        <v>0</v>
      </c>
      <c r="K259" s="634">
        <f>OneLineRR!L350</f>
        <v>0</v>
      </c>
      <c r="L259" s="143" t="str">
        <f>OneLineRR!C350</f>
        <v>Occ</v>
      </c>
      <c r="M259" s="636">
        <f>OneLineRR!O350</f>
        <v>0</v>
      </c>
      <c r="N259" s="636">
        <f t="shared" si="3"/>
        <v>0</v>
      </c>
      <c r="O259" s="636">
        <f>OneLineRR!N350</f>
        <v>0</v>
      </c>
      <c r="P259" s="636" t="e" cm="1">
        <f t="array" ref="P259">INDEX('Unit Mix'!$P$6:$P$62,MATCH(1,('Rent Roll'!G259='Unit Mix'!$E$6:$E$62)*(D259='Unit Mix'!$D$6:$D$62),0))</f>
        <v>#N/A</v>
      </c>
      <c r="Q259" s="150">
        <f>OneLineRR!T350</f>
        <v>0</v>
      </c>
      <c r="R259" s="150">
        <f>OneLineRR!U350</f>
        <v>0</v>
      </c>
      <c r="S259" s="150">
        <f>OneLineRR!V350</f>
        <v>0</v>
      </c>
      <c r="T259" s="150">
        <f>OneLineRR!W350</f>
        <v>0</v>
      </c>
      <c r="U259" s="157" t="str">
        <f>IF(OneLineRR!Q350="","",OneLineRR!Q350)</f>
        <v/>
      </c>
      <c r="V259" s="157" t="str">
        <f>IF(OneLineRR!R350="","",OneLineRR!R350)</f>
        <v/>
      </c>
      <c r="AB259" s="320" t="str">
        <f>IFERROR(U259+(COUNTIF($U$8:U259,U259)-1)/10000,"")</f>
        <v/>
      </c>
      <c r="AC259" s="158"/>
      <c r="AD259" s="119"/>
      <c r="AE259" s="460"/>
      <c r="AG259" s="119"/>
    </row>
    <row r="260" spans="4:33" x14ac:dyDescent="0.25">
      <c r="D260" s="154" t="str">
        <f>OneLineRR!A351</f>
        <v>Hudson View Park</v>
      </c>
      <c r="E260" s="104">
        <f>OneLineRR!J351</f>
        <v>0</v>
      </c>
      <c r="F260" s="104">
        <f>OneLineRR!K351</f>
        <v>0</v>
      </c>
      <c r="G260" s="155" t="e">
        <f>OneLineRR!D351</f>
        <v>#N/A</v>
      </c>
      <c r="H260" s="155" t="e">
        <f>IF(OneLineRR!G351="Yes","Affordable","Market")</f>
        <v>#N/A</v>
      </c>
      <c r="I260" s="104" t="e">
        <f>OneLineRR!I351</f>
        <v>#N/A</v>
      </c>
      <c r="J260" s="156">
        <f>OneLineRR!M351</f>
        <v>0</v>
      </c>
      <c r="K260" s="634">
        <f>OneLineRR!L351</f>
        <v>0</v>
      </c>
      <c r="L260" s="143" t="str">
        <f>OneLineRR!C351</f>
        <v>Occ</v>
      </c>
      <c r="M260" s="636">
        <f>OneLineRR!O351</f>
        <v>0</v>
      </c>
      <c r="N260" s="636">
        <f t="shared" si="3"/>
        <v>0</v>
      </c>
      <c r="O260" s="636">
        <f>OneLineRR!N351</f>
        <v>0</v>
      </c>
      <c r="P260" s="636" t="e" cm="1">
        <f t="array" ref="P260">INDEX('Unit Mix'!$P$6:$P$62,MATCH(1,('Rent Roll'!G260='Unit Mix'!$E$6:$E$62)*(D260='Unit Mix'!$D$6:$D$62),0))</f>
        <v>#N/A</v>
      </c>
      <c r="Q260" s="150">
        <f>OneLineRR!T351</f>
        <v>0</v>
      </c>
      <c r="R260" s="150">
        <f>OneLineRR!U351</f>
        <v>0</v>
      </c>
      <c r="S260" s="150">
        <f>OneLineRR!V351</f>
        <v>0</v>
      </c>
      <c r="T260" s="150">
        <f>OneLineRR!W351</f>
        <v>0</v>
      </c>
      <c r="U260" s="157" t="str">
        <f>IF(OneLineRR!Q351="","",OneLineRR!Q351)</f>
        <v/>
      </c>
      <c r="V260" s="157" t="str">
        <f>IF(OneLineRR!R351="","",OneLineRR!R351)</f>
        <v/>
      </c>
      <c r="AB260" s="320" t="str">
        <f>IFERROR(U260+(COUNTIF($U$8:U260,U260)-1)/10000,"")</f>
        <v/>
      </c>
      <c r="AC260" s="158"/>
      <c r="AD260" s="119"/>
      <c r="AE260" s="460"/>
      <c r="AG260" s="119"/>
    </row>
    <row r="261" spans="4:33" x14ac:dyDescent="0.25">
      <c r="D261" s="154" t="str">
        <f>OneLineRR!A352</f>
        <v>Hudson View Park</v>
      </c>
      <c r="E261" s="104">
        <f>OneLineRR!J352</f>
        <v>0</v>
      </c>
      <c r="F261" s="104">
        <f>OneLineRR!K352</f>
        <v>0</v>
      </c>
      <c r="G261" s="155" t="e">
        <f>OneLineRR!D352</f>
        <v>#N/A</v>
      </c>
      <c r="H261" s="155" t="e">
        <f>IF(OneLineRR!G352="Yes","Affordable","Market")</f>
        <v>#N/A</v>
      </c>
      <c r="I261" s="104" t="e">
        <f>OneLineRR!I352</f>
        <v>#N/A</v>
      </c>
      <c r="J261" s="156">
        <f>OneLineRR!M352</f>
        <v>0</v>
      </c>
      <c r="K261" s="634">
        <f>OneLineRR!L352</f>
        <v>0</v>
      </c>
      <c r="L261" s="143" t="str">
        <f>OneLineRR!C352</f>
        <v>Occ</v>
      </c>
      <c r="M261" s="636">
        <f>OneLineRR!O352</f>
        <v>0</v>
      </c>
      <c r="N261" s="636">
        <f t="shared" si="3"/>
        <v>0</v>
      </c>
      <c r="O261" s="636">
        <f>OneLineRR!N352</f>
        <v>0</v>
      </c>
      <c r="P261" s="636" t="e" cm="1">
        <f t="array" ref="P261">INDEX('Unit Mix'!$P$6:$P$62,MATCH(1,('Rent Roll'!G261='Unit Mix'!$E$6:$E$62)*(D261='Unit Mix'!$D$6:$D$62),0))</f>
        <v>#N/A</v>
      </c>
      <c r="Q261" s="150">
        <f>OneLineRR!T352</f>
        <v>0</v>
      </c>
      <c r="R261" s="150">
        <f>OneLineRR!U352</f>
        <v>0</v>
      </c>
      <c r="S261" s="150">
        <f>OneLineRR!V352</f>
        <v>0</v>
      </c>
      <c r="T261" s="150">
        <f>OneLineRR!W352</f>
        <v>0</v>
      </c>
      <c r="U261" s="157" t="str">
        <f>IF(OneLineRR!Q352="","",OneLineRR!Q352)</f>
        <v/>
      </c>
      <c r="V261" s="157" t="str">
        <f>IF(OneLineRR!R352="","",OneLineRR!R352)</f>
        <v/>
      </c>
      <c r="AB261" s="320" t="str">
        <f>IFERROR(U261+(COUNTIF($U$8:U261,U261)-1)/10000,"")</f>
        <v/>
      </c>
      <c r="AC261" s="158"/>
      <c r="AD261" s="119"/>
      <c r="AE261" s="460"/>
      <c r="AG261" s="119"/>
    </row>
    <row r="262" spans="4:33" x14ac:dyDescent="0.25">
      <c r="D262" s="154" t="str">
        <f>OneLineRR!A353</f>
        <v>Hudson View Park</v>
      </c>
      <c r="E262" s="104">
        <f>OneLineRR!J353</f>
        <v>0</v>
      </c>
      <c r="F262" s="104">
        <f>OneLineRR!K353</f>
        <v>0</v>
      </c>
      <c r="G262" s="155" t="e">
        <f>OneLineRR!D353</f>
        <v>#N/A</v>
      </c>
      <c r="H262" s="155" t="e">
        <f>IF(OneLineRR!G353="Yes","Affordable","Market")</f>
        <v>#N/A</v>
      </c>
      <c r="I262" s="104" t="e">
        <f>OneLineRR!I353</f>
        <v>#N/A</v>
      </c>
      <c r="J262" s="156">
        <f>OneLineRR!M353</f>
        <v>0</v>
      </c>
      <c r="K262" s="634">
        <f>OneLineRR!L353</f>
        <v>0</v>
      </c>
      <c r="L262" s="143" t="str">
        <f>OneLineRR!C353</f>
        <v>Occ</v>
      </c>
      <c r="M262" s="636">
        <f>OneLineRR!O353</f>
        <v>0</v>
      </c>
      <c r="N262" s="636">
        <f t="shared" si="3"/>
        <v>0</v>
      </c>
      <c r="O262" s="636">
        <f>OneLineRR!N353</f>
        <v>0</v>
      </c>
      <c r="P262" s="636" t="e" cm="1">
        <f t="array" ref="P262">INDEX('Unit Mix'!$P$6:$P$62,MATCH(1,('Rent Roll'!G262='Unit Mix'!$E$6:$E$62)*(D262='Unit Mix'!$D$6:$D$62),0))</f>
        <v>#N/A</v>
      </c>
      <c r="Q262" s="150">
        <f>OneLineRR!T353</f>
        <v>0</v>
      </c>
      <c r="R262" s="150">
        <f>OneLineRR!U353</f>
        <v>0</v>
      </c>
      <c r="S262" s="150">
        <f>OneLineRR!V353</f>
        <v>0</v>
      </c>
      <c r="T262" s="150">
        <f>OneLineRR!W353</f>
        <v>0</v>
      </c>
      <c r="U262" s="157" t="str">
        <f>IF(OneLineRR!Q353="","",OneLineRR!Q353)</f>
        <v/>
      </c>
      <c r="V262" s="157" t="str">
        <f>IF(OneLineRR!R353="","",OneLineRR!R353)</f>
        <v/>
      </c>
      <c r="AB262" s="320" t="str">
        <f>IFERROR(U262+(COUNTIF($U$8:U262,U262)-1)/10000,"")</f>
        <v/>
      </c>
      <c r="AC262" s="158"/>
      <c r="AD262" s="119"/>
      <c r="AE262" s="460"/>
      <c r="AG262" s="119"/>
    </row>
    <row r="263" spans="4:33" x14ac:dyDescent="0.25">
      <c r="D263" s="154" t="str">
        <f>OneLineRR!A354</f>
        <v>Hudson View Park</v>
      </c>
      <c r="E263" s="104">
        <f>OneLineRR!J354</f>
        <v>0</v>
      </c>
      <c r="F263" s="104">
        <f>OneLineRR!K354</f>
        <v>0</v>
      </c>
      <c r="G263" s="155" t="e">
        <f>OneLineRR!D354</f>
        <v>#N/A</v>
      </c>
      <c r="H263" s="155" t="e">
        <f>IF(OneLineRR!G354="Yes","Affordable","Market")</f>
        <v>#N/A</v>
      </c>
      <c r="I263" s="104" t="e">
        <f>OneLineRR!I354</f>
        <v>#N/A</v>
      </c>
      <c r="J263" s="156">
        <f>OneLineRR!M354</f>
        <v>0</v>
      </c>
      <c r="K263" s="634">
        <f>OneLineRR!L354</f>
        <v>0</v>
      </c>
      <c r="L263" s="143" t="str">
        <f>OneLineRR!C354</f>
        <v>Occ</v>
      </c>
      <c r="M263" s="636">
        <f>OneLineRR!O354</f>
        <v>0</v>
      </c>
      <c r="N263" s="636">
        <f t="shared" si="3"/>
        <v>0</v>
      </c>
      <c r="O263" s="636">
        <f>OneLineRR!N354</f>
        <v>0</v>
      </c>
      <c r="P263" s="636" t="e" cm="1">
        <f t="array" ref="P263">INDEX('Unit Mix'!$P$6:$P$62,MATCH(1,('Rent Roll'!G263='Unit Mix'!$E$6:$E$62)*(D263='Unit Mix'!$D$6:$D$62),0))</f>
        <v>#N/A</v>
      </c>
      <c r="Q263" s="150">
        <f>OneLineRR!T354</f>
        <v>0</v>
      </c>
      <c r="R263" s="150">
        <f>OneLineRR!U354</f>
        <v>0</v>
      </c>
      <c r="S263" s="150">
        <f>OneLineRR!V354</f>
        <v>0</v>
      </c>
      <c r="T263" s="150">
        <f>OneLineRR!W354</f>
        <v>0</v>
      </c>
      <c r="U263" s="157" t="str">
        <f>IF(OneLineRR!Q354="","",OneLineRR!Q354)</f>
        <v/>
      </c>
      <c r="V263" s="157" t="str">
        <f>IF(OneLineRR!R354="","",OneLineRR!R354)</f>
        <v/>
      </c>
      <c r="AB263" s="320" t="str">
        <f>IFERROR(U263+(COUNTIF($U$8:U263,U263)-1)/10000,"")</f>
        <v/>
      </c>
      <c r="AC263" s="158"/>
      <c r="AD263" s="119"/>
      <c r="AE263" s="460"/>
      <c r="AG263" s="119"/>
    </row>
    <row r="264" spans="4:33" x14ac:dyDescent="0.25">
      <c r="D264" s="154" t="str">
        <f>OneLineRR!A355</f>
        <v>Hudson View Park</v>
      </c>
      <c r="E264" s="104">
        <f>OneLineRR!J355</f>
        <v>0</v>
      </c>
      <c r="F264" s="104">
        <f>OneLineRR!K355</f>
        <v>0</v>
      </c>
      <c r="G264" s="155" t="e">
        <f>OneLineRR!D355</f>
        <v>#N/A</v>
      </c>
      <c r="H264" s="155" t="e">
        <f>IF(OneLineRR!G355="Yes","Affordable","Market")</f>
        <v>#N/A</v>
      </c>
      <c r="I264" s="104" t="e">
        <f>OneLineRR!I355</f>
        <v>#N/A</v>
      </c>
      <c r="J264" s="156">
        <f>OneLineRR!M355</f>
        <v>0</v>
      </c>
      <c r="K264" s="634">
        <f>OneLineRR!L355</f>
        <v>0</v>
      </c>
      <c r="L264" s="143" t="str">
        <f>OneLineRR!C355</f>
        <v>Occ</v>
      </c>
      <c r="M264" s="636">
        <f>OneLineRR!O355</f>
        <v>0</v>
      </c>
      <c r="N264" s="636">
        <f t="shared" si="3"/>
        <v>0</v>
      </c>
      <c r="O264" s="636">
        <f>OneLineRR!N355</f>
        <v>0</v>
      </c>
      <c r="P264" s="636" t="e" cm="1">
        <f t="array" ref="P264">INDEX('Unit Mix'!$P$6:$P$62,MATCH(1,('Rent Roll'!G264='Unit Mix'!$E$6:$E$62)*(D264='Unit Mix'!$D$6:$D$62),0))</f>
        <v>#N/A</v>
      </c>
      <c r="Q264" s="150">
        <f>OneLineRR!T355</f>
        <v>0</v>
      </c>
      <c r="R264" s="150">
        <f>OneLineRR!U355</f>
        <v>0</v>
      </c>
      <c r="S264" s="150">
        <f>OneLineRR!V355</f>
        <v>0</v>
      </c>
      <c r="T264" s="150">
        <f>OneLineRR!W355</f>
        <v>0</v>
      </c>
      <c r="U264" s="157" t="str">
        <f>IF(OneLineRR!Q355="","",OneLineRR!Q355)</f>
        <v/>
      </c>
      <c r="V264" s="157" t="str">
        <f>IF(OneLineRR!R355="","",OneLineRR!R355)</f>
        <v/>
      </c>
      <c r="AB264" s="320" t="str">
        <f>IFERROR(U264+(COUNTIF($U$8:U264,U264)-1)/10000,"")</f>
        <v/>
      </c>
      <c r="AC264" s="158"/>
      <c r="AD264" s="119"/>
      <c r="AE264" s="460"/>
      <c r="AG264" s="119"/>
    </row>
    <row r="265" spans="4:33" x14ac:dyDescent="0.25">
      <c r="D265" s="154" t="str">
        <f>OneLineRR!A356</f>
        <v>Hudson View Park</v>
      </c>
      <c r="E265" s="104">
        <f>OneLineRR!J356</f>
        <v>0</v>
      </c>
      <c r="F265" s="104">
        <f>OneLineRR!K356</f>
        <v>0</v>
      </c>
      <c r="G265" s="155" t="e">
        <f>OneLineRR!D356</f>
        <v>#N/A</v>
      </c>
      <c r="H265" s="155" t="e">
        <f>IF(OneLineRR!G356="Yes","Affordable","Market")</f>
        <v>#N/A</v>
      </c>
      <c r="I265" s="104" t="e">
        <f>OneLineRR!I356</f>
        <v>#N/A</v>
      </c>
      <c r="J265" s="156">
        <f>OneLineRR!M356</f>
        <v>0</v>
      </c>
      <c r="K265" s="634">
        <f>OneLineRR!L356</f>
        <v>0</v>
      </c>
      <c r="L265" s="143" t="str">
        <f>OneLineRR!C356</f>
        <v>Occ</v>
      </c>
      <c r="M265" s="636">
        <f>OneLineRR!O356</f>
        <v>0</v>
      </c>
      <c r="N265" s="636">
        <f t="shared" ref="N265:N328" si="4">IF(L265="Vac",P265,0)</f>
        <v>0</v>
      </c>
      <c r="O265" s="636">
        <f>OneLineRR!N356</f>
        <v>0</v>
      </c>
      <c r="P265" s="636" t="e" cm="1">
        <f t="array" ref="P265">INDEX('Unit Mix'!$P$6:$P$62,MATCH(1,('Rent Roll'!G265='Unit Mix'!$E$6:$E$62)*(D265='Unit Mix'!$D$6:$D$62),0))</f>
        <v>#N/A</v>
      </c>
      <c r="Q265" s="150">
        <f>OneLineRR!T356</f>
        <v>0</v>
      </c>
      <c r="R265" s="150">
        <f>OneLineRR!U356</f>
        <v>0</v>
      </c>
      <c r="S265" s="150">
        <f>OneLineRR!V356</f>
        <v>0</v>
      </c>
      <c r="T265" s="150">
        <f>OneLineRR!W356</f>
        <v>0</v>
      </c>
      <c r="U265" s="157" t="str">
        <f>IF(OneLineRR!Q356="","",OneLineRR!Q356)</f>
        <v/>
      </c>
      <c r="V265" s="157" t="str">
        <f>IF(OneLineRR!R356="","",OneLineRR!R356)</f>
        <v/>
      </c>
      <c r="AB265" s="320" t="str">
        <f>IFERROR(U265+(COUNTIF($U$8:U265,U265)-1)/10000,"")</f>
        <v/>
      </c>
      <c r="AC265" s="158"/>
      <c r="AD265" s="119"/>
      <c r="AE265" s="460"/>
      <c r="AG265" s="119"/>
    </row>
    <row r="266" spans="4:33" x14ac:dyDescent="0.25">
      <c r="D266" s="154" t="str">
        <f>OneLineRR!A357</f>
        <v>Hudson View Park</v>
      </c>
      <c r="E266" s="104">
        <f>OneLineRR!J357</f>
        <v>0</v>
      </c>
      <c r="F266" s="104">
        <f>OneLineRR!K357</f>
        <v>0</v>
      </c>
      <c r="G266" s="155" t="e">
        <f>OneLineRR!D357</f>
        <v>#N/A</v>
      </c>
      <c r="H266" s="155" t="e">
        <f>IF(OneLineRR!G357="Yes","Affordable","Market")</f>
        <v>#N/A</v>
      </c>
      <c r="I266" s="104" t="e">
        <f>OneLineRR!I357</f>
        <v>#N/A</v>
      </c>
      <c r="J266" s="156">
        <f>OneLineRR!M357</f>
        <v>0</v>
      </c>
      <c r="K266" s="634">
        <f>OneLineRR!L357</f>
        <v>0</v>
      </c>
      <c r="L266" s="143" t="str">
        <f>OneLineRR!C357</f>
        <v>Occ</v>
      </c>
      <c r="M266" s="636">
        <f>OneLineRR!O357</f>
        <v>0</v>
      </c>
      <c r="N266" s="636">
        <f t="shared" si="4"/>
        <v>0</v>
      </c>
      <c r="O266" s="636">
        <f>OneLineRR!N357</f>
        <v>0</v>
      </c>
      <c r="P266" s="636" t="e" cm="1">
        <f t="array" ref="P266">INDEX('Unit Mix'!$P$6:$P$62,MATCH(1,('Rent Roll'!G266='Unit Mix'!$E$6:$E$62)*(D266='Unit Mix'!$D$6:$D$62),0))</f>
        <v>#N/A</v>
      </c>
      <c r="Q266" s="150">
        <f>OneLineRR!T357</f>
        <v>0</v>
      </c>
      <c r="R266" s="150">
        <f>OneLineRR!U357</f>
        <v>0</v>
      </c>
      <c r="S266" s="150">
        <f>OneLineRR!V357</f>
        <v>0</v>
      </c>
      <c r="T266" s="150">
        <f>OneLineRR!W357</f>
        <v>0</v>
      </c>
      <c r="U266" s="157" t="str">
        <f>IF(OneLineRR!Q357="","",OneLineRR!Q357)</f>
        <v/>
      </c>
      <c r="V266" s="157" t="str">
        <f>IF(OneLineRR!R357="","",OneLineRR!R357)</f>
        <v/>
      </c>
      <c r="AB266" s="320" t="str">
        <f>IFERROR(U266+(COUNTIF($U$8:U266,U266)-1)/10000,"")</f>
        <v/>
      </c>
      <c r="AC266" s="158"/>
      <c r="AD266" s="119"/>
      <c r="AE266" s="460"/>
      <c r="AG266" s="119"/>
    </row>
    <row r="267" spans="4:33" x14ac:dyDescent="0.25">
      <c r="D267" s="154" t="str">
        <f>OneLineRR!A358</f>
        <v>Hudson View Park</v>
      </c>
      <c r="E267" s="104">
        <f>OneLineRR!J358</f>
        <v>0</v>
      </c>
      <c r="F267" s="104">
        <f>OneLineRR!K358</f>
        <v>0</v>
      </c>
      <c r="G267" s="155" t="e">
        <f>OneLineRR!D358</f>
        <v>#N/A</v>
      </c>
      <c r="H267" s="155" t="e">
        <f>IF(OneLineRR!G358="Yes","Affordable","Market")</f>
        <v>#N/A</v>
      </c>
      <c r="I267" s="104" t="e">
        <f>OneLineRR!I358</f>
        <v>#N/A</v>
      </c>
      <c r="J267" s="156">
        <f>OneLineRR!M358</f>
        <v>0</v>
      </c>
      <c r="K267" s="634">
        <f>OneLineRR!L358</f>
        <v>0</v>
      </c>
      <c r="L267" s="143" t="str">
        <f>OneLineRR!C358</f>
        <v>Occ</v>
      </c>
      <c r="M267" s="636">
        <f>OneLineRR!O358</f>
        <v>0</v>
      </c>
      <c r="N267" s="636">
        <f t="shared" si="4"/>
        <v>0</v>
      </c>
      <c r="O267" s="636">
        <f>OneLineRR!N358</f>
        <v>0</v>
      </c>
      <c r="P267" s="636" t="e" cm="1">
        <f t="array" ref="P267">INDEX('Unit Mix'!$P$6:$P$62,MATCH(1,('Rent Roll'!G267='Unit Mix'!$E$6:$E$62)*(D267='Unit Mix'!$D$6:$D$62),0))</f>
        <v>#N/A</v>
      </c>
      <c r="Q267" s="150">
        <f>OneLineRR!T358</f>
        <v>0</v>
      </c>
      <c r="R267" s="150">
        <f>OneLineRR!U358</f>
        <v>0</v>
      </c>
      <c r="S267" s="150">
        <f>OneLineRR!V358</f>
        <v>0</v>
      </c>
      <c r="T267" s="150">
        <f>OneLineRR!W358</f>
        <v>0</v>
      </c>
      <c r="U267" s="157" t="str">
        <f>IF(OneLineRR!Q358="","",OneLineRR!Q358)</f>
        <v/>
      </c>
      <c r="V267" s="157" t="str">
        <f>IF(OneLineRR!R358="","",OneLineRR!R358)</f>
        <v/>
      </c>
      <c r="AB267" s="320" t="str">
        <f>IFERROR(U267+(COUNTIF($U$8:U267,U267)-1)/10000,"")</f>
        <v/>
      </c>
      <c r="AC267" s="158"/>
      <c r="AD267" s="119"/>
      <c r="AE267" s="460"/>
      <c r="AG267" s="119"/>
    </row>
    <row r="268" spans="4:33" x14ac:dyDescent="0.25">
      <c r="D268" s="154" t="str">
        <f>OneLineRR!A359</f>
        <v>Hudson View Park</v>
      </c>
      <c r="E268" s="104">
        <f>OneLineRR!J359</f>
        <v>0</v>
      </c>
      <c r="F268" s="104">
        <f>OneLineRR!K359</f>
        <v>0</v>
      </c>
      <c r="G268" s="155" t="e">
        <f>OneLineRR!D359</f>
        <v>#N/A</v>
      </c>
      <c r="H268" s="155" t="e">
        <f>IF(OneLineRR!G359="Yes","Affordable","Market")</f>
        <v>#N/A</v>
      </c>
      <c r="I268" s="104" t="e">
        <f>OneLineRR!I359</f>
        <v>#N/A</v>
      </c>
      <c r="J268" s="156">
        <f>OneLineRR!M359</f>
        <v>0</v>
      </c>
      <c r="K268" s="634">
        <f>OneLineRR!L359</f>
        <v>0</v>
      </c>
      <c r="L268" s="143" t="str">
        <f>OneLineRR!C359</f>
        <v>Occ</v>
      </c>
      <c r="M268" s="636">
        <f>OneLineRR!O359</f>
        <v>0</v>
      </c>
      <c r="N268" s="636">
        <f t="shared" si="4"/>
        <v>0</v>
      </c>
      <c r="O268" s="636">
        <f>OneLineRR!N359</f>
        <v>0</v>
      </c>
      <c r="P268" s="636" t="e" cm="1">
        <f t="array" ref="P268">INDEX('Unit Mix'!$P$6:$P$62,MATCH(1,('Rent Roll'!G268='Unit Mix'!$E$6:$E$62)*(D268='Unit Mix'!$D$6:$D$62),0))</f>
        <v>#N/A</v>
      </c>
      <c r="Q268" s="150">
        <f>OneLineRR!T359</f>
        <v>0</v>
      </c>
      <c r="R268" s="150">
        <f>OneLineRR!U359</f>
        <v>0</v>
      </c>
      <c r="S268" s="150">
        <f>OneLineRR!V359</f>
        <v>0</v>
      </c>
      <c r="T268" s="150">
        <f>OneLineRR!W359</f>
        <v>0</v>
      </c>
      <c r="U268" s="157" t="str">
        <f>IF(OneLineRR!Q359="","",OneLineRR!Q359)</f>
        <v/>
      </c>
      <c r="V268" s="157" t="str">
        <f>IF(OneLineRR!R359="","",OneLineRR!R359)</f>
        <v/>
      </c>
      <c r="AB268" s="320" t="str">
        <f>IFERROR(U268+(COUNTIF($U$8:U268,U268)-1)/10000,"")</f>
        <v/>
      </c>
      <c r="AC268" s="158"/>
      <c r="AD268" s="119"/>
      <c r="AE268" s="460"/>
      <c r="AG268" s="119"/>
    </row>
    <row r="269" spans="4:33" x14ac:dyDescent="0.25">
      <c r="D269" s="154" t="str">
        <f>OneLineRR!A360</f>
        <v>Hudson View Park</v>
      </c>
      <c r="E269" s="104">
        <f>OneLineRR!J360</f>
        <v>0</v>
      </c>
      <c r="F269" s="104">
        <f>OneLineRR!K360</f>
        <v>0</v>
      </c>
      <c r="G269" s="155" t="e">
        <f>OneLineRR!D360</f>
        <v>#N/A</v>
      </c>
      <c r="H269" s="155" t="e">
        <f>IF(OneLineRR!G360="Yes","Affordable","Market")</f>
        <v>#N/A</v>
      </c>
      <c r="I269" s="104" t="e">
        <f>OneLineRR!I360</f>
        <v>#N/A</v>
      </c>
      <c r="J269" s="156">
        <f>OneLineRR!M360</f>
        <v>0</v>
      </c>
      <c r="K269" s="634">
        <f>OneLineRR!L360</f>
        <v>0</v>
      </c>
      <c r="L269" s="143" t="str">
        <f>OneLineRR!C360</f>
        <v>Occ</v>
      </c>
      <c r="M269" s="636">
        <f>OneLineRR!O360</f>
        <v>0</v>
      </c>
      <c r="N269" s="636">
        <f t="shared" si="4"/>
        <v>0</v>
      </c>
      <c r="O269" s="636">
        <f>OneLineRR!N360</f>
        <v>0</v>
      </c>
      <c r="P269" s="636" t="e" cm="1">
        <f t="array" ref="P269">INDEX('Unit Mix'!$P$6:$P$62,MATCH(1,('Rent Roll'!G269='Unit Mix'!$E$6:$E$62)*(D269='Unit Mix'!$D$6:$D$62),0))</f>
        <v>#N/A</v>
      </c>
      <c r="Q269" s="150">
        <f>OneLineRR!T360</f>
        <v>0</v>
      </c>
      <c r="R269" s="150">
        <f>OneLineRR!U360</f>
        <v>0</v>
      </c>
      <c r="S269" s="150">
        <f>OneLineRR!V360</f>
        <v>0</v>
      </c>
      <c r="T269" s="150">
        <f>OneLineRR!W360</f>
        <v>0</v>
      </c>
      <c r="U269" s="157" t="str">
        <f>IF(OneLineRR!Q360="","",OneLineRR!Q360)</f>
        <v/>
      </c>
      <c r="V269" s="157" t="str">
        <f>IF(OneLineRR!R360="","",OneLineRR!R360)</f>
        <v/>
      </c>
      <c r="AB269" s="320" t="str">
        <f>IFERROR(U269+(COUNTIF($U$8:U269,U269)-1)/10000,"")</f>
        <v/>
      </c>
      <c r="AC269" s="158"/>
      <c r="AD269" s="119"/>
      <c r="AE269" s="460"/>
      <c r="AG269" s="119"/>
    </row>
    <row r="270" spans="4:33" x14ac:dyDescent="0.25">
      <c r="D270" s="154" t="str">
        <f>OneLineRR!A361</f>
        <v>Hudson View Park</v>
      </c>
      <c r="E270" s="104">
        <f>OneLineRR!J361</f>
        <v>0</v>
      </c>
      <c r="F270" s="104">
        <f>OneLineRR!K361</f>
        <v>0</v>
      </c>
      <c r="G270" s="155" t="e">
        <f>OneLineRR!D361</f>
        <v>#N/A</v>
      </c>
      <c r="H270" s="155" t="e">
        <f>IF(OneLineRR!G361="Yes","Affordable","Market")</f>
        <v>#N/A</v>
      </c>
      <c r="I270" s="104" t="e">
        <f>OneLineRR!I361</f>
        <v>#N/A</v>
      </c>
      <c r="J270" s="156">
        <f>OneLineRR!M361</f>
        <v>0</v>
      </c>
      <c r="K270" s="634">
        <f>OneLineRR!L361</f>
        <v>0</v>
      </c>
      <c r="L270" s="143" t="str">
        <f>OneLineRR!C361</f>
        <v>Occ</v>
      </c>
      <c r="M270" s="636">
        <f>OneLineRR!O361</f>
        <v>0</v>
      </c>
      <c r="N270" s="636">
        <f t="shared" si="4"/>
        <v>0</v>
      </c>
      <c r="O270" s="636">
        <f>OneLineRR!N361</f>
        <v>0</v>
      </c>
      <c r="P270" s="636" t="e" cm="1">
        <f t="array" ref="P270">INDEX('Unit Mix'!$P$6:$P$62,MATCH(1,('Rent Roll'!G270='Unit Mix'!$E$6:$E$62)*(D270='Unit Mix'!$D$6:$D$62),0))</f>
        <v>#N/A</v>
      </c>
      <c r="Q270" s="150">
        <f>OneLineRR!T361</f>
        <v>0</v>
      </c>
      <c r="R270" s="150">
        <f>OneLineRR!U361</f>
        <v>0</v>
      </c>
      <c r="S270" s="150">
        <f>OneLineRR!V361</f>
        <v>0</v>
      </c>
      <c r="T270" s="150">
        <f>OneLineRR!W361</f>
        <v>0</v>
      </c>
      <c r="U270" s="157" t="str">
        <f>IF(OneLineRR!Q361="","",OneLineRR!Q361)</f>
        <v/>
      </c>
      <c r="V270" s="157" t="str">
        <f>IF(OneLineRR!R361="","",OneLineRR!R361)</f>
        <v/>
      </c>
      <c r="AB270" s="320" t="str">
        <f>IFERROR(U270+(COUNTIF($U$8:U270,U270)-1)/10000,"")</f>
        <v/>
      </c>
      <c r="AC270" s="158"/>
      <c r="AD270" s="119"/>
      <c r="AE270" s="460"/>
      <c r="AG270" s="119"/>
    </row>
    <row r="271" spans="4:33" x14ac:dyDescent="0.25">
      <c r="D271" s="154" t="str">
        <f>OneLineRR!A362</f>
        <v>Hudson View Park</v>
      </c>
      <c r="E271" s="104">
        <f>OneLineRR!J362</f>
        <v>0</v>
      </c>
      <c r="F271" s="104">
        <f>OneLineRR!K362</f>
        <v>0</v>
      </c>
      <c r="G271" s="155" t="e">
        <f>OneLineRR!D362</f>
        <v>#N/A</v>
      </c>
      <c r="H271" s="155" t="e">
        <f>IF(OneLineRR!G362="Yes","Affordable","Market")</f>
        <v>#N/A</v>
      </c>
      <c r="I271" s="104" t="e">
        <f>OneLineRR!I362</f>
        <v>#N/A</v>
      </c>
      <c r="J271" s="156">
        <f>OneLineRR!M362</f>
        <v>0</v>
      </c>
      <c r="K271" s="634">
        <f>OneLineRR!L362</f>
        <v>0</v>
      </c>
      <c r="L271" s="143" t="str">
        <f>OneLineRR!C362</f>
        <v>Occ</v>
      </c>
      <c r="M271" s="636">
        <f>OneLineRR!O362</f>
        <v>0</v>
      </c>
      <c r="N271" s="636">
        <f t="shared" si="4"/>
        <v>0</v>
      </c>
      <c r="O271" s="636">
        <f>OneLineRR!N362</f>
        <v>0</v>
      </c>
      <c r="P271" s="636" t="e" cm="1">
        <f t="array" ref="P271">INDEX('Unit Mix'!$P$6:$P$62,MATCH(1,('Rent Roll'!G271='Unit Mix'!$E$6:$E$62)*(D271='Unit Mix'!$D$6:$D$62),0))</f>
        <v>#N/A</v>
      </c>
      <c r="Q271" s="150">
        <f>OneLineRR!T362</f>
        <v>0</v>
      </c>
      <c r="R271" s="150">
        <f>OneLineRR!U362</f>
        <v>0</v>
      </c>
      <c r="S271" s="150">
        <f>OneLineRR!V362</f>
        <v>0</v>
      </c>
      <c r="T271" s="150">
        <f>OneLineRR!W362</f>
        <v>0</v>
      </c>
      <c r="U271" s="157" t="str">
        <f>IF(OneLineRR!Q362="","",OneLineRR!Q362)</f>
        <v/>
      </c>
      <c r="V271" s="157" t="str">
        <f>IF(OneLineRR!R362="","",OneLineRR!R362)</f>
        <v/>
      </c>
      <c r="AB271" s="320" t="str">
        <f>IFERROR(U271+(COUNTIF($U$8:U271,U271)-1)/10000,"")</f>
        <v/>
      </c>
      <c r="AC271" s="158"/>
      <c r="AD271" s="119"/>
      <c r="AE271" s="460"/>
      <c r="AG271" s="119"/>
    </row>
    <row r="272" spans="4:33" x14ac:dyDescent="0.25">
      <c r="D272" s="154" t="str">
        <f>OneLineRR!A363</f>
        <v>Hudson View Park</v>
      </c>
      <c r="E272" s="104">
        <f>OneLineRR!J363</f>
        <v>0</v>
      </c>
      <c r="F272" s="104">
        <f>OneLineRR!K363</f>
        <v>0</v>
      </c>
      <c r="G272" s="155" t="e">
        <f>OneLineRR!D363</f>
        <v>#N/A</v>
      </c>
      <c r="H272" s="155" t="e">
        <f>IF(OneLineRR!G363="Yes","Affordable","Market")</f>
        <v>#N/A</v>
      </c>
      <c r="I272" s="104" t="e">
        <f>OneLineRR!I363</f>
        <v>#N/A</v>
      </c>
      <c r="J272" s="156">
        <f>OneLineRR!M363</f>
        <v>0</v>
      </c>
      <c r="K272" s="634">
        <f>OneLineRR!L363</f>
        <v>0</v>
      </c>
      <c r="L272" s="143" t="str">
        <f>OneLineRR!C363</f>
        <v>Occ</v>
      </c>
      <c r="M272" s="636">
        <f>OneLineRR!O363</f>
        <v>0</v>
      </c>
      <c r="N272" s="636">
        <f t="shared" si="4"/>
        <v>0</v>
      </c>
      <c r="O272" s="636">
        <f>OneLineRR!N363</f>
        <v>0</v>
      </c>
      <c r="P272" s="636" t="e" cm="1">
        <f t="array" ref="P272">INDEX('Unit Mix'!$P$6:$P$62,MATCH(1,('Rent Roll'!G272='Unit Mix'!$E$6:$E$62)*(D272='Unit Mix'!$D$6:$D$62),0))</f>
        <v>#N/A</v>
      </c>
      <c r="Q272" s="150">
        <f>OneLineRR!T363</f>
        <v>0</v>
      </c>
      <c r="R272" s="150">
        <f>OneLineRR!U363</f>
        <v>0</v>
      </c>
      <c r="S272" s="150">
        <f>OneLineRR!V363</f>
        <v>0</v>
      </c>
      <c r="T272" s="150">
        <f>OneLineRR!W363</f>
        <v>0</v>
      </c>
      <c r="U272" s="157" t="str">
        <f>IF(OneLineRR!Q363="","",OneLineRR!Q363)</f>
        <v/>
      </c>
      <c r="V272" s="157" t="str">
        <f>IF(OneLineRR!R363="","",OneLineRR!R363)</f>
        <v/>
      </c>
      <c r="AB272" s="320" t="str">
        <f>IFERROR(U272+(COUNTIF($U$8:U272,U272)-1)/10000,"")</f>
        <v/>
      </c>
      <c r="AC272" s="158"/>
      <c r="AD272" s="119"/>
      <c r="AE272" s="460"/>
      <c r="AG272" s="119"/>
    </row>
    <row r="273" spans="4:33" x14ac:dyDescent="0.25">
      <c r="D273" s="154" t="str">
        <f>OneLineRR!A364</f>
        <v>Hudson View Park</v>
      </c>
      <c r="E273" s="104">
        <f>OneLineRR!J364</f>
        <v>0</v>
      </c>
      <c r="F273" s="104">
        <f>OneLineRR!K364</f>
        <v>0</v>
      </c>
      <c r="G273" s="155" t="e">
        <f>OneLineRR!D364</f>
        <v>#N/A</v>
      </c>
      <c r="H273" s="155" t="e">
        <f>IF(OneLineRR!G364="Yes","Affordable","Market")</f>
        <v>#N/A</v>
      </c>
      <c r="I273" s="104" t="e">
        <f>OneLineRR!I364</f>
        <v>#N/A</v>
      </c>
      <c r="J273" s="156">
        <f>OneLineRR!M364</f>
        <v>0</v>
      </c>
      <c r="K273" s="634">
        <f>OneLineRR!L364</f>
        <v>0</v>
      </c>
      <c r="L273" s="143" t="str">
        <f>OneLineRR!C364</f>
        <v>Occ</v>
      </c>
      <c r="M273" s="636">
        <f>OneLineRR!O364</f>
        <v>0</v>
      </c>
      <c r="N273" s="636">
        <f t="shared" si="4"/>
        <v>0</v>
      </c>
      <c r="O273" s="636">
        <f>OneLineRR!N364</f>
        <v>0</v>
      </c>
      <c r="P273" s="636" t="e" cm="1">
        <f t="array" ref="P273">INDEX('Unit Mix'!$P$6:$P$62,MATCH(1,('Rent Roll'!G273='Unit Mix'!$E$6:$E$62)*(D273='Unit Mix'!$D$6:$D$62),0))</f>
        <v>#N/A</v>
      </c>
      <c r="Q273" s="150">
        <f>OneLineRR!T364</f>
        <v>0</v>
      </c>
      <c r="R273" s="150">
        <f>OneLineRR!U364</f>
        <v>0</v>
      </c>
      <c r="S273" s="150">
        <f>OneLineRR!V364</f>
        <v>0</v>
      </c>
      <c r="T273" s="150">
        <f>OneLineRR!W364</f>
        <v>0</v>
      </c>
      <c r="U273" s="157" t="str">
        <f>IF(OneLineRR!Q364="","",OneLineRR!Q364)</f>
        <v/>
      </c>
      <c r="V273" s="157" t="str">
        <f>IF(OneLineRR!R364="","",OneLineRR!R364)</f>
        <v/>
      </c>
      <c r="AB273" s="320" t="str">
        <f>IFERROR(U273+(COUNTIF($U$8:U273,U273)-1)/10000,"")</f>
        <v/>
      </c>
      <c r="AC273" s="158"/>
      <c r="AD273" s="119"/>
      <c r="AE273" s="460"/>
      <c r="AG273" s="119"/>
    </row>
    <row r="274" spans="4:33" x14ac:dyDescent="0.25">
      <c r="D274" s="154" t="str">
        <f>OneLineRR!A365</f>
        <v>Hudson View Park</v>
      </c>
      <c r="E274" s="104">
        <f>OneLineRR!J365</f>
        <v>0</v>
      </c>
      <c r="F274" s="104">
        <f>OneLineRR!K365</f>
        <v>0</v>
      </c>
      <c r="G274" s="155" t="e">
        <f>OneLineRR!D365</f>
        <v>#N/A</v>
      </c>
      <c r="H274" s="155" t="e">
        <f>IF(OneLineRR!G365="Yes","Affordable","Market")</f>
        <v>#N/A</v>
      </c>
      <c r="I274" s="104" t="e">
        <f>OneLineRR!I365</f>
        <v>#N/A</v>
      </c>
      <c r="J274" s="156">
        <f>OneLineRR!M365</f>
        <v>0</v>
      </c>
      <c r="K274" s="634">
        <f>OneLineRR!L365</f>
        <v>0</v>
      </c>
      <c r="L274" s="143" t="str">
        <f>OneLineRR!C365</f>
        <v>Occ</v>
      </c>
      <c r="M274" s="636">
        <f>OneLineRR!O365</f>
        <v>0</v>
      </c>
      <c r="N274" s="636">
        <f t="shared" si="4"/>
        <v>0</v>
      </c>
      <c r="O274" s="636">
        <f>OneLineRR!N365</f>
        <v>0</v>
      </c>
      <c r="P274" s="636" t="e" cm="1">
        <f t="array" ref="P274">INDEX('Unit Mix'!$P$6:$P$62,MATCH(1,('Rent Roll'!G274='Unit Mix'!$E$6:$E$62)*(D274='Unit Mix'!$D$6:$D$62),0))</f>
        <v>#N/A</v>
      </c>
      <c r="Q274" s="150">
        <f>OneLineRR!T365</f>
        <v>0</v>
      </c>
      <c r="R274" s="150">
        <f>OneLineRR!U365</f>
        <v>0</v>
      </c>
      <c r="S274" s="150">
        <f>OneLineRR!V365</f>
        <v>0</v>
      </c>
      <c r="T274" s="150">
        <f>OneLineRR!W365</f>
        <v>0</v>
      </c>
      <c r="U274" s="157" t="str">
        <f>IF(OneLineRR!Q365="","",OneLineRR!Q365)</f>
        <v/>
      </c>
      <c r="V274" s="157" t="str">
        <f>IF(OneLineRR!R365="","",OneLineRR!R365)</f>
        <v/>
      </c>
      <c r="AB274" s="320" t="str">
        <f>IFERROR(U274+(COUNTIF($U$8:U274,U274)-1)/10000,"")</f>
        <v/>
      </c>
      <c r="AC274" s="158"/>
      <c r="AD274" s="119"/>
      <c r="AE274" s="460"/>
      <c r="AG274" s="119"/>
    </row>
    <row r="275" spans="4:33" x14ac:dyDescent="0.25">
      <c r="D275" s="154" t="str">
        <f>OneLineRR!A366</f>
        <v>Hudson View Park</v>
      </c>
      <c r="E275" s="104">
        <f>OneLineRR!J366</f>
        <v>0</v>
      </c>
      <c r="F275" s="104">
        <f>OneLineRR!K366</f>
        <v>0</v>
      </c>
      <c r="G275" s="155" t="e">
        <f>OneLineRR!D366</f>
        <v>#N/A</v>
      </c>
      <c r="H275" s="155" t="e">
        <f>IF(OneLineRR!G366="Yes","Affordable","Market")</f>
        <v>#N/A</v>
      </c>
      <c r="I275" s="104" t="e">
        <f>OneLineRR!I366</f>
        <v>#N/A</v>
      </c>
      <c r="J275" s="156">
        <f>OneLineRR!M366</f>
        <v>0</v>
      </c>
      <c r="K275" s="634">
        <f>OneLineRR!L366</f>
        <v>0</v>
      </c>
      <c r="L275" s="143" t="str">
        <f>OneLineRR!C366</f>
        <v>Occ</v>
      </c>
      <c r="M275" s="636">
        <f>OneLineRR!O366</f>
        <v>0</v>
      </c>
      <c r="N275" s="636">
        <f t="shared" si="4"/>
        <v>0</v>
      </c>
      <c r="O275" s="636">
        <f>OneLineRR!N366</f>
        <v>0</v>
      </c>
      <c r="P275" s="636" t="e" cm="1">
        <f t="array" ref="P275">INDEX('Unit Mix'!$P$6:$P$62,MATCH(1,('Rent Roll'!G275='Unit Mix'!$E$6:$E$62)*(D275='Unit Mix'!$D$6:$D$62),0))</f>
        <v>#N/A</v>
      </c>
      <c r="Q275" s="150">
        <f>OneLineRR!T366</f>
        <v>0</v>
      </c>
      <c r="R275" s="150">
        <f>OneLineRR!U366</f>
        <v>0</v>
      </c>
      <c r="S275" s="150">
        <f>OneLineRR!V366</f>
        <v>0</v>
      </c>
      <c r="T275" s="150">
        <f>OneLineRR!W366</f>
        <v>0</v>
      </c>
      <c r="U275" s="157" t="str">
        <f>IF(OneLineRR!Q366="","",OneLineRR!Q366)</f>
        <v/>
      </c>
      <c r="V275" s="157" t="str">
        <f>IF(OneLineRR!R366="","",OneLineRR!R366)</f>
        <v/>
      </c>
      <c r="AB275" s="320" t="str">
        <f>IFERROR(U275+(COUNTIF($U$8:U275,U275)-1)/10000,"")</f>
        <v/>
      </c>
      <c r="AC275" s="158"/>
      <c r="AD275" s="119"/>
      <c r="AE275" s="460"/>
      <c r="AG275" s="119"/>
    </row>
    <row r="276" spans="4:33" x14ac:dyDescent="0.25">
      <c r="D276" s="154" t="str">
        <f>OneLineRR!A367</f>
        <v>Hudson View Park</v>
      </c>
      <c r="E276" s="104">
        <f>OneLineRR!J367</f>
        <v>0</v>
      </c>
      <c r="F276" s="104">
        <f>OneLineRR!K367</f>
        <v>0</v>
      </c>
      <c r="G276" s="155" t="e">
        <f>OneLineRR!D367</f>
        <v>#N/A</v>
      </c>
      <c r="H276" s="155" t="e">
        <f>IF(OneLineRR!G367="Yes","Affordable","Market")</f>
        <v>#N/A</v>
      </c>
      <c r="I276" s="104" t="e">
        <f>OneLineRR!I367</f>
        <v>#N/A</v>
      </c>
      <c r="J276" s="156">
        <f>OneLineRR!M367</f>
        <v>0</v>
      </c>
      <c r="K276" s="634">
        <f>OneLineRR!L367</f>
        <v>0</v>
      </c>
      <c r="L276" s="143" t="str">
        <f>OneLineRR!C367</f>
        <v>Occ</v>
      </c>
      <c r="M276" s="636">
        <f>OneLineRR!O367</f>
        <v>0</v>
      </c>
      <c r="N276" s="636">
        <f t="shared" si="4"/>
        <v>0</v>
      </c>
      <c r="O276" s="636">
        <f>OneLineRR!N367</f>
        <v>0</v>
      </c>
      <c r="P276" s="636" t="e" cm="1">
        <f t="array" ref="P276">INDEX('Unit Mix'!$P$6:$P$62,MATCH(1,('Rent Roll'!G276='Unit Mix'!$E$6:$E$62)*(D276='Unit Mix'!$D$6:$D$62),0))</f>
        <v>#N/A</v>
      </c>
      <c r="Q276" s="150">
        <f>OneLineRR!T367</f>
        <v>0</v>
      </c>
      <c r="R276" s="150">
        <f>OneLineRR!U367</f>
        <v>0</v>
      </c>
      <c r="S276" s="150">
        <f>OneLineRR!V367</f>
        <v>0</v>
      </c>
      <c r="T276" s="150">
        <f>OneLineRR!W367</f>
        <v>0</v>
      </c>
      <c r="U276" s="157" t="str">
        <f>IF(OneLineRR!Q367="","",OneLineRR!Q367)</f>
        <v/>
      </c>
      <c r="V276" s="157" t="str">
        <f>IF(OneLineRR!R367="","",OneLineRR!R367)</f>
        <v/>
      </c>
      <c r="AB276" s="320" t="str">
        <f>IFERROR(U276+(COUNTIF($U$8:U276,U276)-1)/10000,"")</f>
        <v/>
      </c>
      <c r="AC276" s="158"/>
      <c r="AD276" s="119"/>
      <c r="AE276" s="460"/>
      <c r="AG276" s="119"/>
    </row>
    <row r="277" spans="4:33" x14ac:dyDescent="0.25">
      <c r="D277" s="154" t="str">
        <f>OneLineRR!A368</f>
        <v>Hudson View Park</v>
      </c>
      <c r="E277" s="104">
        <f>OneLineRR!J368</f>
        <v>0</v>
      </c>
      <c r="F277" s="104">
        <f>OneLineRR!K368</f>
        <v>0</v>
      </c>
      <c r="G277" s="155" t="e">
        <f>OneLineRR!D368</f>
        <v>#N/A</v>
      </c>
      <c r="H277" s="155" t="e">
        <f>IF(OneLineRR!G368="Yes","Affordable","Market")</f>
        <v>#N/A</v>
      </c>
      <c r="I277" s="104" t="e">
        <f>OneLineRR!I368</f>
        <v>#N/A</v>
      </c>
      <c r="J277" s="156">
        <f>OneLineRR!M368</f>
        <v>0</v>
      </c>
      <c r="K277" s="634">
        <f>OneLineRR!L368</f>
        <v>0</v>
      </c>
      <c r="L277" s="143" t="str">
        <f>OneLineRR!C368</f>
        <v>Occ</v>
      </c>
      <c r="M277" s="636">
        <f>OneLineRR!O368</f>
        <v>0</v>
      </c>
      <c r="N277" s="636">
        <f t="shared" si="4"/>
        <v>0</v>
      </c>
      <c r="O277" s="636">
        <f>OneLineRR!N368</f>
        <v>0</v>
      </c>
      <c r="P277" s="636" t="e" cm="1">
        <f t="array" ref="P277">INDEX('Unit Mix'!$P$6:$P$62,MATCH(1,('Rent Roll'!G277='Unit Mix'!$E$6:$E$62)*(D277='Unit Mix'!$D$6:$D$62),0))</f>
        <v>#N/A</v>
      </c>
      <c r="Q277" s="150">
        <f>OneLineRR!T368</f>
        <v>0</v>
      </c>
      <c r="R277" s="150">
        <f>OneLineRR!U368</f>
        <v>0</v>
      </c>
      <c r="S277" s="150">
        <f>OneLineRR!V368</f>
        <v>0</v>
      </c>
      <c r="T277" s="150">
        <f>OneLineRR!W368</f>
        <v>0</v>
      </c>
      <c r="U277" s="157" t="str">
        <f>IF(OneLineRR!Q368="","",OneLineRR!Q368)</f>
        <v/>
      </c>
      <c r="V277" s="157" t="str">
        <f>IF(OneLineRR!R368="","",OneLineRR!R368)</f>
        <v/>
      </c>
      <c r="AB277" s="320" t="str">
        <f>IFERROR(U277+(COUNTIF($U$8:U277,U277)-1)/10000,"")</f>
        <v/>
      </c>
      <c r="AC277" s="158"/>
      <c r="AD277" s="119"/>
      <c r="AE277" s="460"/>
      <c r="AG277" s="119"/>
    </row>
    <row r="278" spans="4:33" x14ac:dyDescent="0.25">
      <c r="D278" s="154" t="str">
        <f>OneLineRR!A369</f>
        <v>Hudson View Park</v>
      </c>
      <c r="E278" s="104">
        <f>OneLineRR!J369</f>
        <v>0</v>
      </c>
      <c r="F278" s="104">
        <f>OneLineRR!K369</f>
        <v>0</v>
      </c>
      <c r="G278" s="155" t="e">
        <f>OneLineRR!D369</f>
        <v>#N/A</v>
      </c>
      <c r="H278" s="155" t="e">
        <f>IF(OneLineRR!G369="Yes","Affordable","Market")</f>
        <v>#N/A</v>
      </c>
      <c r="I278" s="104" t="e">
        <f>OneLineRR!I369</f>
        <v>#N/A</v>
      </c>
      <c r="J278" s="156">
        <f>OneLineRR!M369</f>
        <v>0</v>
      </c>
      <c r="K278" s="634">
        <f>OneLineRR!L369</f>
        <v>0</v>
      </c>
      <c r="L278" s="143" t="str">
        <f>OneLineRR!C369</f>
        <v>Occ</v>
      </c>
      <c r="M278" s="636">
        <f>OneLineRR!O369</f>
        <v>0</v>
      </c>
      <c r="N278" s="636">
        <f t="shared" si="4"/>
        <v>0</v>
      </c>
      <c r="O278" s="636">
        <f>OneLineRR!N369</f>
        <v>0</v>
      </c>
      <c r="P278" s="636" t="e" cm="1">
        <f t="array" ref="P278">INDEX('Unit Mix'!$P$6:$P$62,MATCH(1,('Rent Roll'!G278='Unit Mix'!$E$6:$E$62)*(D278='Unit Mix'!$D$6:$D$62),0))</f>
        <v>#N/A</v>
      </c>
      <c r="Q278" s="150">
        <f>OneLineRR!T369</f>
        <v>0</v>
      </c>
      <c r="R278" s="150">
        <f>OneLineRR!U369</f>
        <v>0</v>
      </c>
      <c r="S278" s="150">
        <f>OneLineRR!V369</f>
        <v>0</v>
      </c>
      <c r="T278" s="150">
        <f>OneLineRR!W369</f>
        <v>0</v>
      </c>
      <c r="U278" s="157" t="str">
        <f>IF(OneLineRR!Q369="","",OneLineRR!Q369)</f>
        <v/>
      </c>
      <c r="V278" s="157" t="str">
        <f>IF(OneLineRR!R369="","",OneLineRR!R369)</f>
        <v/>
      </c>
      <c r="AB278" s="320" t="str">
        <f>IFERROR(U278+(COUNTIF($U$8:U278,U278)-1)/10000,"")</f>
        <v/>
      </c>
      <c r="AC278" s="158"/>
      <c r="AD278" s="119"/>
      <c r="AE278" s="460"/>
      <c r="AG278" s="119"/>
    </row>
    <row r="279" spans="4:33" x14ac:dyDescent="0.25">
      <c r="D279" s="154" t="str">
        <f>OneLineRR!A370</f>
        <v>Hudson View Park</v>
      </c>
      <c r="E279" s="104">
        <f>OneLineRR!J370</f>
        <v>0</v>
      </c>
      <c r="F279" s="104">
        <f>OneLineRR!K370</f>
        <v>0</v>
      </c>
      <c r="G279" s="155" t="e">
        <f>OneLineRR!D370</f>
        <v>#N/A</v>
      </c>
      <c r="H279" s="155" t="e">
        <f>IF(OneLineRR!G370="Yes","Affordable","Market")</f>
        <v>#N/A</v>
      </c>
      <c r="I279" s="104" t="e">
        <f>OneLineRR!I370</f>
        <v>#N/A</v>
      </c>
      <c r="J279" s="156">
        <f>OneLineRR!M370</f>
        <v>0</v>
      </c>
      <c r="K279" s="634">
        <f>OneLineRR!L370</f>
        <v>0</v>
      </c>
      <c r="L279" s="143" t="str">
        <f>OneLineRR!C370</f>
        <v>Occ</v>
      </c>
      <c r="M279" s="636">
        <f>OneLineRR!O370</f>
        <v>0</v>
      </c>
      <c r="N279" s="636">
        <f t="shared" si="4"/>
        <v>0</v>
      </c>
      <c r="O279" s="636">
        <f>OneLineRR!N370</f>
        <v>0</v>
      </c>
      <c r="P279" s="636" t="e" cm="1">
        <f t="array" ref="P279">INDEX('Unit Mix'!$P$6:$P$62,MATCH(1,('Rent Roll'!G279='Unit Mix'!$E$6:$E$62)*(D279='Unit Mix'!$D$6:$D$62),0))</f>
        <v>#N/A</v>
      </c>
      <c r="Q279" s="150">
        <f>OneLineRR!T370</f>
        <v>0</v>
      </c>
      <c r="R279" s="150">
        <f>OneLineRR!U370</f>
        <v>0</v>
      </c>
      <c r="S279" s="150">
        <f>OneLineRR!V370</f>
        <v>0</v>
      </c>
      <c r="T279" s="150">
        <f>OneLineRR!W370</f>
        <v>0</v>
      </c>
      <c r="U279" s="157" t="str">
        <f>IF(OneLineRR!Q370="","",OneLineRR!Q370)</f>
        <v/>
      </c>
      <c r="V279" s="157" t="str">
        <f>IF(OneLineRR!R370="","",OneLineRR!R370)</f>
        <v/>
      </c>
      <c r="AB279" s="320" t="str">
        <f>IFERROR(U279+(COUNTIF($U$8:U279,U279)-1)/10000,"")</f>
        <v/>
      </c>
      <c r="AC279" s="158"/>
      <c r="AD279" s="119"/>
      <c r="AE279" s="460"/>
      <c r="AG279" s="119"/>
    </row>
    <row r="280" spans="4:33" x14ac:dyDescent="0.25">
      <c r="D280" s="154" t="str">
        <f>OneLineRR!A371</f>
        <v>Hudson View Park</v>
      </c>
      <c r="E280" s="104">
        <f>OneLineRR!J371</f>
        <v>0</v>
      </c>
      <c r="F280" s="104">
        <f>OneLineRR!K371</f>
        <v>0</v>
      </c>
      <c r="G280" s="155" t="e">
        <f>OneLineRR!D371</f>
        <v>#N/A</v>
      </c>
      <c r="H280" s="155" t="e">
        <f>IF(OneLineRR!G371="Yes","Affordable","Market")</f>
        <v>#N/A</v>
      </c>
      <c r="I280" s="104" t="e">
        <f>OneLineRR!I371</f>
        <v>#N/A</v>
      </c>
      <c r="J280" s="156">
        <f>OneLineRR!M371</f>
        <v>0</v>
      </c>
      <c r="K280" s="634">
        <f>OneLineRR!L371</f>
        <v>0</v>
      </c>
      <c r="L280" s="143" t="str">
        <f>OneLineRR!C371</f>
        <v>Occ</v>
      </c>
      <c r="M280" s="636">
        <f>OneLineRR!O371</f>
        <v>0</v>
      </c>
      <c r="N280" s="636">
        <f t="shared" si="4"/>
        <v>0</v>
      </c>
      <c r="O280" s="636">
        <f>OneLineRR!N371</f>
        <v>0</v>
      </c>
      <c r="P280" s="636" t="e" cm="1">
        <f t="array" ref="P280">INDEX('Unit Mix'!$P$6:$P$62,MATCH(1,('Rent Roll'!G280='Unit Mix'!$E$6:$E$62)*(D280='Unit Mix'!$D$6:$D$62),0))</f>
        <v>#N/A</v>
      </c>
      <c r="Q280" s="150">
        <f>OneLineRR!T371</f>
        <v>0</v>
      </c>
      <c r="R280" s="150">
        <f>OneLineRR!U371</f>
        <v>0</v>
      </c>
      <c r="S280" s="150">
        <f>OneLineRR!V371</f>
        <v>0</v>
      </c>
      <c r="T280" s="150">
        <f>OneLineRR!W371</f>
        <v>0</v>
      </c>
      <c r="U280" s="157" t="str">
        <f>IF(OneLineRR!Q371="","",OneLineRR!Q371)</f>
        <v/>
      </c>
      <c r="V280" s="157" t="str">
        <f>IF(OneLineRR!R371="","",OneLineRR!R371)</f>
        <v/>
      </c>
      <c r="AB280" s="320" t="str">
        <f>IFERROR(U280+(COUNTIF($U$8:U280,U280)-1)/10000,"")</f>
        <v/>
      </c>
      <c r="AC280" s="158"/>
      <c r="AD280" s="119"/>
      <c r="AE280" s="460"/>
      <c r="AG280" s="119"/>
    </row>
    <row r="281" spans="4:33" x14ac:dyDescent="0.25">
      <c r="D281" s="154" t="str">
        <f>OneLineRR!A372</f>
        <v>Hudson View Park</v>
      </c>
      <c r="E281" s="104">
        <f>OneLineRR!J372</f>
        <v>0</v>
      </c>
      <c r="F281" s="104">
        <f>OneLineRR!K372</f>
        <v>0</v>
      </c>
      <c r="G281" s="155" t="e">
        <f>OneLineRR!D372</f>
        <v>#N/A</v>
      </c>
      <c r="H281" s="155" t="e">
        <f>IF(OneLineRR!G372="Yes","Affordable","Market")</f>
        <v>#N/A</v>
      </c>
      <c r="I281" s="104" t="e">
        <f>OneLineRR!I372</f>
        <v>#N/A</v>
      </c>
      <c r="J281" s="156">
        <f>OneLineRR!M372</f>
        <v>0</v>
      </c>
      <c r="K281" s="634">
        <f>OneLineRR!L372</f>
        <v>0</v>
      </c>
      <c r="L281" s="143" t="str">
        <f>OneLineRR!C372</f>
        <v>Occ</v>
      </c>
      <c r="M281" s="636">
        <f>OneLineRR!O372</f>
        <v>0</v>
      </c>
      <c r="N281" s="636">
        <f t="shared" si="4"/>
        <v>0</v>
      </c>
      <c r="O281" s="636">
        <f>OneLineRR!N372</f>
        <v>0</v>
      </c>
      <c r="P281" s="636" t="e" cm="1">
        <f t="array" ref="P281">INDEX('Unit Mix'!$P$6:$P$62,MATCH(1,('Rent Roll'!G281='Unit Mix'!$E$6:$E$62)*(D281='Unit Mix'!$D$6:$D$62),0))</f>
        <v>#N/A</v>
      </c>
      <c r="Q281" s="150">
        <f>OneLineRR!T372</f>
        <v>0</v>
      </c>
      <c r="R281" s="150">
        <f>OneLineRR!U372</f>
        <v>0</v>
      </c>
      <c r="S281" s="150">
        <f>OneLineRR!V372</f>
        <v>0</v>
      </c>
      <c r="T281" s="150">
        <f>OneLineRR!W372</f>
        <v>0</v>
      </c>
      <c r="U281" s="157" t="str">
        <f>IF(OneLineRR!Q372="","",OneLineRR!Q372)</f>
        <v/>
      </c>
      <c r="V281" s="157" t="str">
        <f>IF(OneLineRR!R372="","",OneLineRR!R372)</f>
        <v/>
      </c>
      <c r="AB281" s="320" t="str">
        <f>IFERROR(U281+(COUNTIF($U$8:U281,U281)-1)/10000,"")</f>
        <v/>
      </c>
      <c r="AC281" s="158"/>
      <c r="AD281" s="119"/>
      <c r="AE281" s="460"/>
      <c r="AG281" s="119"/>
    </row>
    <row r="282" spans="4:33" x14ac:dyDescent="0.25">
      <c r="D282" s="154" t="str">
        <f>OneLineRR!A373</f>
        <v>Hudson View Park</v>
      </c>
      <c r="E282" s="104">
        <f>OneLineRR!J373</f>
        <v>0</v>
      </c>
      <c r="F282" s="104">
        <f>OneLineRR!K373</f>
        <v>0</v>
      </c>
      <c r="G282" s="155" t="e">
        <f>OneLineRR!D373</f>
        <v>#N/A</v>
      </c>
      <c r="H282" s="155" t="e">
        <f>IF(OneLineRR!G373="Yes","Affordable","Market")</f>
        <v>#N/A</v>
      </c>
      <c r="I282" s="104" t="e">
        <f>OneLineRR!I373</f>
        <v>#N/A</v>
      </c>
      <c r="J282" s="156">
        <f>OneLineRR!M373</f>
        <v>0</v>
      </c>
      <c r="K282" s="634">
        <f>OneLineRR!L373</f>
        <v>0</v>
      </c>
      <c r="L282" s="143" t="str">
        <f>OneLineRR!C373</f>
        <v>Occ</v>
      </c>
      <c r="M282" s="636">
        <f>OneLineRR!O373</f>
        <v>0</v>
      </c>
      <c r="N282" s="636">
        <f t="shared" si="4"/>
        <v>0</v>
      </c>
      <c r="O282" s="636">
        <f>OneLineRR!N373</f>
        <v>0</v>
      </c>
      <c r="P282" s="636" t="e" cm="1">
        <f t="array" ref="P282">INDEX('Unit Mix'!$P$6:$P$62,MATCH(1,('Rent Roll'!G282='Unit Mix'!$E$6:$E$62)*(D282='Unit Mix'!$D$6:$D$62),0))</f>
        <v>#N/A</v>
      </c>
      <c r="Q282" s="150">
        <f>OneLineRR!T373</f>
        <v>0</v>
      </c>
      <c r="R282" s="150">
        <f>OneLineRR!U373</f>
        <v>0</v>
      </c>
      <c r="S282" s="150">
        <f>OneLineRR!V373</f>
        <v>0</v>
      </c>
      <c r="T282" s="150">
        <f>OneLineRR!W373</f>
        <v>0</v>
      </c>
      <c r="U282" s="157" t="str">
        <f>IF(OneLineRR!Q373="","",OneLineRR!Q373)</f>
        <v/>
      </c>
      <c r="V282" s="157" t="str">
        <f>IF(OneLineRR!R373="","",OneLineRR!R373)</f>
        <v/>
      </c>
      <c r="AB282" s="320" t="str">
        <f>IFERROR(U282+(COUNTIF($U$8:U282,U282)-1)/10000,"")</f>
        <v/>
      </c>
      <c r="AC282" s="158"/>
      <c r="AD282" s="119"/>
      <c r="AE282" s="460"/>
      <c r="AG282" s="119"/>
    </row>
    <row r="283" spans="4:33" x14ac:dyDescent="0.25">
      <c r="D283" s="154" t="str">
        <f>OneLineRR!A374</f>
        <v>Hudson View Park</v>
      </c>
      <c r="E283" s="104">
        <f>OneLineRR!J374</f>
        <v>0</v>
      </c>
      <c r="F283" s="104">
        <f>OneLineRR!K374</f>
        <v>0</v>
      </c>
      <c r="G283" s="155" t="e">
        <f>OneLineRR!D374</f>
        <v>#N/A</v>
      </c>
      <c r="H283" s="155" t="e">
        <f>IF(OneLineRR!G374="Yes","Affordable","Market")</f>
        <v>#N/A</v>
      </c>
      <c r="I283" s="104" t="e">
        <f>OneLineRR!I374</f>
        <v>#N/A</v>
      </c>
      <c r="J283" s="156">
        <f>OneLineRR!M374</f>
        <v>0</v>
      </c>
      <c r="K283" s="634">
        <f>OneLineRR!L374</f>
        <v>0</v>
      </c>
      <c r="L283" s="143" t="str">
        <f>OneLineRR!C374</f>
        <v>Occ</v>
      </c>
      <c r="M283" s="636">
        <f>OneLineRR!O374</f>
        <v>0</v>
      </c>
      <c r="N283" s="636">
        <f t="shared" si="4"/>
        <v>0</v>
      </c>
      <c r="O283" s="636">
        <f>OneLineRR!N374</f>
        <v>0</v>
      </c>
      <c r="P283" s="636" t="e" cm="1">
        <f t="array" ref="P283">INDEX('Unit Mix'!$P$6:$P$62,MATCH(1,('Rent Roll'!G283='Unit Mix'!$E$6:$E$62)*(D283='Unit Mix'!$D$6:$D$62),0))</f>
        <v>#N/A</v>
      </c>
      <c r="Q283" s="150">
        <f>OneLineRR!T374</f>
        <v>0</v>
      </c>
      <c r="R283" s="150">
        <f>OneLineRR!U374</f>
        <v>0</v>
      </c>
      <c r="S283" s="150">
        <f>OneLineRR!V374</f>
        <v>0</v>
      </c>
      <c r="T283" s="150">
        <f>OneLineRR!W374</f>
        <v>0</v>
      </c>
      <c r="U283" s="157" t="str">
        <f>IF(OneLineRR!Q374="","",OneLineRR!Q374)</f>
        <v/>
      </c>
      <c r="V283" s="157" t="str">
        <f>IF(OneLineRR!R374="","",OneLineRR!R374)</f>
        <v/>
      </c>
      <c r="AB283" s="320" t="str">
        <f>IFERROR(U283+(COUNTIF($U$8:U283,U283)-1)/10000,"")</f>
        <v/>
      </c>
      <c r="AC283" s="158"/>
      <c r="AD283" s="119"/>
      <c r="AE283" s="460"/>
      <c r="AG283" s="119"/>
    </row>
    <row r="284" spans="4:33" x14ac:dyDescent="0.25">
      <c r="D284" s="154" t="str">
        <f>OneLineRR!A375</f>
        <v>Hudson View Park</v>
      </c>
      <c r="E284" s="104">
        <f>OneLineRR!J375</f>
        <v>0</v>
      </c>
      <c r="F284" s="104">
        <f>OneLineRR!K375</f>
        <v>0</v>
      </c>
      <c r="G284" s="155" t="e">
        <f>OneLineRR!D375</f>
        <v>#N/A</v>
      </c>
      <c r="H284" s="155" t="e">
        <f>IF(OneLineRR!G375="Yes","Affordable","Market")</f>
        <v>#N/A</v>
      </c>
      <c r="I284" s="104" t="e">
        <f>OneLineRR!I375</f>
        <v>#N/A</v>
      </c>
      <c r="J284" s="156">
        <f>OneLineRR!M375</f>
        <v>0</v>
      </c>
      <c r="K284" s="634">
        <f>OneLineRR!L375</f>
        <v>0</v>
      </c>
      <c r="L284" s="143" t="str">
        <f>OneLineRR!C375</f>
        <v>Occ</v>
      </c>
      <c r="M284" s="636">
        <f>OneLineRR!O375</f>
        <v>0</v>
      </c>
      <c r="N284" s="636">
        <f t="shared" si="4"/>
        <v>0</v>
      </c>
      <c r="O284" s="636">
        <f>OneLineRR!N375</f>
        <v>0</v>
      </c>
      <c r="P284" s="636" t="e" cm="1">
        <f t="array" ref="P284">INDEX('Unit Mix'!$P$6:$P$62,MATCH(1,('Rent Roll'!G284='Unit Mix'!$E$6:$E$62)*(D284='Unit Mix'!$D$6:$D$62),0))</f>
        <v>#N/A</v>
      </c>
      <c r="Q284" s="150">
        <f>OneLineRR!T375</f>
        <v>0</v>
      </c>
      <c r="R284" s="150">
        <f>OneLineRR!U375</f>
        <v>0</v>
      </c>
      <c r="S284" s="150">
        <f>OneLineRR!V375</f>
        <v>0</v>
      </c>
      <c r="T284" s="150">
        <f>OneLineRR!W375</f>
        <v>0</v>
      </c>
      <c r="U284" s="157" t="str">
        <f>IF(OneLineRR!Q375="","",OneLineRR!Q375)</f>
        <v/>
      </c>
      <c r="V284" s="157" t="str">
        <f>IF(OneLineRR!R375="","",OneLineRR!R375)</f>
        <v/>
      </c>
      <c r="AB284" s="320" t="str">
        <f>IFERROR(U284+(COUNTIF($U$8:U284,U284)-1)/10000,"")</f>
        <v/>
      </c>
      <c r="AC284" s="158"/>
      <c r="AD284" s="119"/>
      <c r="AE284" s="460"/>
      <c r="AG284" s="119"/>
    </row>
    <row r="285" spans="4:33" x14ac:dyDescent="0.25">
      <c r="D285" s="154" t="str">
        <f>OneLineRR!A376</f>
        <v>Hudson View Park</v>
      </c>
      <c r="E285" s="104">
        <f>OneLineRR!J376</f>
        <v>0</v>
      </c>
      <c r="F285" s="104">
        <f>OneLineRR!K376</f>
        <v>0</v>
      </c>
      <c r="G285" s="155" t="e">
        <f>OneLineRR!D376</f>
        <v>#N/A</v>
      </c>
      <c r="H285" s="155" t="e">
        <f>IF(OneLineRR!G376="Yes","Affordable","Market")</f>
        <v>#N/A</v>
      </c>
      <c r="I285" s="104" t="e">
        <f>OneLineRR!I376</f>
        <v>#N/A</v>
      </c>
      <c r="J285" s="156">
        <f>OneLineRR!M376</f>
        <v>0</v>
      </c>
      <c r="K285" s="634">
        <f>OneLineRR!L376</f>
        <v>0</v>
      </c>
      <c r="L285" s="143" t="str">
        <f>OneLineRR!C376</f>
        <v>Occ</v>
      </c>
      <c r="M285" s="636">
        <f>OneLineRR!O376</f>
        <v>0</v>
      </c>
      <c r="N285" s="636">
        <f t="shared" si="4"/>
        <v>0</v>
      </c>
      <c r="O285" s="636">
        <f>OneLineRR!N376</f>
        <v>0</v>
      </c>
      <c r="P285" s="636" t="e" cm="1">
        <f t="array" ref="P285">INDEX('Unit Mix'!$P$6:$P$62,MATCH(1,('Rent Roll'!G285='Unit Mix'!$E$6:$E$62)*(D285='Unit Mix'!$D$6:$D$62),0))</f>
        <v>#N/A</v>
      </c>
      <c r="Q285" s="150">
        <f>OneLineRR!T376</f>
        <v>0</v>
      </c>
      <c r="R285" s="150">
        <f>OneLineRR!U376</f>
        <v>0</v>
      </c>
      <c r="S285" s="150">
        <f>OneLineRR!V376</f>
        <v>0</v>
      </c>
      <c r="T285" s="150">
        <f>OneLineRR!W376</f>
        <v>0</v>
      </c>
      <c r="U285" s="157" t="str">
        <f>IF(OneLineRR!Q376="","",OneLineRR!Q376)</f>
        <v/>
      </c>
      <c r="V285" s="157" t="str">
        <f>IF(OneLineRR!R376="","",OneLineRR!R376)</f>
        <v/>
      </c>
      <c r="AB285" s="320" t="str">
        <f>IFERROR(U285+(COUNTIF($U$8:U285,U285)-1)/10000,"")</f>
        <v/>
      </c>
      <c r="AC285" s="158"/>
      <c r="AD285" s="119"/>
      <c r="AE285" s="460"/>
      <c r="AG285" s="119"/>
    </row>
    <row r="286" spans="4:33" x14ac:dyDescent="0.25">
      <c r="D286" s="154" t="str">
        <f>OneLineRR!A377</f>
        <v>Hudson View Park</v>
      </c>
      <c r="E286" s="104">
        <f>OneLineRR!J377</f>
        <v>0</v>
      </c>
      <c r="F286" s="104">
        <f>OneLineRR!K377</f>
        <v>0</v>
      </c>
      <c r="G286" s="155" t="e">
        <f>OneLineRR!D377</f>
        <v>#N/A</v>
      </c>
      <c r="H286" s="155" t="e">
        <f>IF(OneLineRR!G377="Yes","Affordable","Market")</f>
        <v>#N/A</v>
      </c>
      <c r="I286" s="104" t="e">
        <f>OneLineRR!I377</f>
        <v>#N/A</v>
      </c>
      <c r="J286" s="156">
        <f>OneLineRR!M377</f>
        <v>0</v>
      </c>
      <c r="K286" s="634">
        <f>OneLineRR!L377</f>
        <v>0</v>
      </c>
      <c r="L286" s="143" t="str">
        <f>OneLineRR!C377</f>
        <v>Occ</v>
      </c>
      <c r="M286" s="636">
        <f>OneLineRR!O377</f>
        <v>0</v>
      </c>
      <c r="N286" s="636">
        <f t="shared" si="4"/>
        <v>0</v>
      </c>
      <c r="O286" s="636">
        <f>OneLineRR!N377</f>
        <v>0</v>
      </c>
      <c r="P286" s="636" t="e" cm="1">
        <f t="array" ref="P286">INDEX('Unit Mix'!$P$6:$P$62,MATCH(1,('Rent Roll'!G286='Unit Mix'!$E$6:$E$62)*(D286='Unit Mix'!$D$6:$D$62),0))</f>
        <v>#N/A</v>
      </c>
      <c r="Q286" s="150">
        <f>OneLineRR!T377</f>
        <v>0</v>
      </c>
      <c r="R286" s="150">
        <f>OneLineRR!U377</f>
        <v>0</v>
      </c>
      <c r="S286" s="150">
        <f>OneLineRR!V377</f>
        <v>0</v>
      </c>
      <c r="T286" s="150">
        <f>OneLineRR!W377</f>
        <v>0</v>
      </c>
      <c r="U286" s="157" t="str">
        <f>IF(OneLineRR!Q377="","",OneLineRR!Q377)</f>
        <v/>
      </c>
      <c r="V286" s="157" t="str">
        <f>IF(OneLineRR!R377="","",OneLineRR!R377)</f>
        <v/>
      </c>
      <c r="AB286" s="320" t="str">
        <f>IFERROR(U286+(COUNTIF($U$8:U286,U286)-1)/10000,"")</f>
        <v/>
      </c>
      <c r="AC286" s="158"/>
      <c r="AD286" s="119"/>
      <c r="AE286" s="460"/>
      <c r="AG286" s="119"/>
    </row>
    <row r="287" spans="4:33" x14ac:dyDescent="0.25">
      <c r="D287" s="154" t="str">
        <f>OneLineRR!A378</f>
        <v>Hudson View Park</v>
      </c>
      <c r="E287" s="104">
        <f>OneLineRR!J378</f>
        <v>0</v>
      </c>
      <c r="F287" s="104">
        <f>OneLineRR!K378</f>
        <v>0</v>
      </c>
      <c r="G287" s="155" t="e">
        <f>OneLineRR!D378</f>
        <v>#N/A</v>
      </c>
      <c r="H287" s="155" t="e">
        <f>IF(OneLineRR!G378="Yes","Affordable","Market")</f>
        <v>#N/A</v>
      </c>
      <c r="I287" s="104" t="e">
        <f>OneLineRR!I378</f>
        <v>#N/A</v>
      </c>
      <c r="J287" s="156">
        <f>OneLineRR!M378</f>
        <v>0</v>
      </c>
      <c r="K287" s="634">
        <f>OneLineRR!L378</f>
        <v>0</v>
      </c>
      <c r="L287" s="143" t="str">
        <f>OneLineRR!C378</f>
        <v>Occ</v>
      </c>
      <c r="M287" s="636">
        <f>OneLineRR!O378</f>
        <v>0</v>
      </c>
      <c r="N287" s="636">
        <f t="shared" si="4"/>
        <v>0</v>
      </c>
      <c r="O287" s="636">
        <f>OneLineRR!N378</f>
        <v>0</v>
      </c>
      <c r="P287" s="636" t="e" cm="1">
        <f t="array" ref="P287">INDEX('Unit Mix'!$P$6:$P$62,MATCH(1,('Rent Roll'!G287='Unit Mix'!$E$6:$E$62)*(D287='Unit Mix'!$D$6:$D$62),0))</f>
        <v>#N/A</v>
      </c>
      <c r="Q287" s="150">
        <f>OneLineRR!T378</f>
        <v>0</v>
      </c>
      <c r="R287" s="150">
        <f>OneLineRR!U378</f>
        <v>0</v>
      </c>
      <c r="S287" s="150">
        <f>OneLineRR!V378</f>
        <v>0</v>
      </c>
      <c r="T287" s="150">
        <f>OneLineRR!W378</f>
        <v>0</v>
      </c>
      <c r="U287" s="157" t="str">
        <f>IF(OneLineRR!Q378="","",OneLineRR!Q378)</f>
        <v/>
      </c>
      <c r="V287" s="157" t="str">
        <f>IF(OneLineRR!R378="","",OneLineRR!R378)</f>
        <v/>
      </c>
      <c r="AB287" s="320" t="str">
        <f>IFERROR(U287+(COUNTIF($U$8:U287,U287)-1)/10000,"")</f>
        <v/>
      </c>
      <c r="AC287" s="158"/>
      <c r="AD287" s="119"/>
      <c r="AE287" s="460"/>
      <c r="AG287" s="119"/>
    </row>
    <row r="288" spans="4:33" x14ac:dyDescent="0.25">
      <c r="D288" s="154" t="str">
        <f>OneLineRR!A379</f>
        <v>Hudson View Park</v>
      </c>
      <c r="E288" s="104">
        <f>OneLineRR!J379</f>
        <v>0</v>
      </c>
      <c r="F288" s="104">
        <f>OneLineRR!K379</f>
        <v>0</v>
      </c>
      <c r="G288" s="155" t="e">
        <f>OneLineRR!D379</f>
        <v>#N/A</v>
      </c>
      <c r="H288" s="155" t="e">
        <f>IF(OneLineRR!G379="Yes","Affordable","Market")</f>
        <v>#N/A</v>
      </c>
      <c r="I288" s="104" t="e">
        <f>OneLineRR!I379</f>
        <v>#N/A</v>
      </c>
      <c r="J288" s="156">
        <f>OneLineRR!M379</f>
        <v>0</v>
      </c>
      <c r="K288" s="634">
        <f>OneLineRR!L379</f>
        <v>0</v>
      </c>
      <c r="L288" s="143" t="str">
        <f>OneLineRR!C379</f>
        <v>Occ</v>
      </c>
      <c r="M288" s="636">
        <f>OneLineRR!O379</f>
        <v>0</v>
      </c>
      <c r="N288" s="636">
        <f t="shared" si="4"/>
        <v>0</v>
      </c>
      <c r="O288" s="636">
        <f>OneLineRR!N379</f>
        <v>0</v>
      </c>
      <c r="P288" s="636" t="e" cm="1">
        <f t="array" ref="P288">INDEX('Unit Mix'!$P$6:$P$62,MATCH(1,('Rent Roll'!G288='Unit Mix'!$E$6:$E$62)*(D288='Unit Mix'!$D$6:$D$62),0))</f>
        <v>#N/A</v>
      </c>
      <c r="Q288" s="150">
        <f>OneLineRR!T379</f>
        <v>0</v>
      </c>
      <c r="R288" s="150">
        <f>OneLineRR!U379</f>
        <v>0</v>
      </c>
      <c r="S288" s="150">
        <f>OneLineRR!V379</f>
        <v>0</v>
      </c>
      <c r="T288" s="150">
        <f>OneLineRR!W379</f>
        <v>0</v>
      </c>
      <c r="U288" s="157" t="str">
        <f>IF(OneLineRR!Q379="","",OneLineRR!Q379)</f>
        <v/>
      </c>
      <c r="V288" s="157" t="str">
        <f>IF(OneLineRR!R379="","",OneLineRR!R379)</f>
        <v/>
      </c>
      <c r="AB288" s="320" t="str">
        <f>IFERROR(U288+(COUNTIF($U$8:U288,U288)-1)/10000,"")</f>
        <v/>
      </c>
      <c r="AC288" s="158"/>
      <c r="AD288" s="119"/>
      <c r="AE288" s="460"/>
      <c r="AG288" s="119"/>
    </row>
    <row r="289" spans="4:33" x14ac:dyDescent="0.25">
      <c r="D289" s="154" t="str">
        <f>OneLineRR!A380</f>
        <v>Hudson View Park</v>
      </c>
      <c r="E289" s="104">
        <f>OneLineRR!J380</f>
        <v>0</v>
      </c>
      <c r="F289" s="104">
        <f>OneLineRR!K380</f>
        <v>0</v>
      </c>
      <c r="G289" s="155" t="e">
        <f>OneLineRR!D380</f>
        <v>#N/A</v>
      </c>
      <c r="H289" s="155" t="e">
        <f>IF(OneLineRR!G380="Yes","Affordable","Market")</f>
        <v>#N/A</v>
      </c>
      <c r="I289" s="104" t="e">
        <f>OneLineRR!I380</f>
        <v>#N/A</v>
      </c>
      <c r="J289" s="156">
        <f>OneLineRR!M380</f>
        <v>0</v>
      </c>
      <c r="K289" s="634">
        <f>OneLineRR!L380</f>
        <v>0</v>
      </c>
      <c r="L289" s="143" t="str">
        <f>OneLineRR!C380</f>
        <v>Occ</v>
      </c>
      <c r="M289" s="636">
        <f>OneLineRR!O380</f>
        <v>0</v>
      </c>
      <c r="N289" s="636">
        <f t="shared" si="4"/>
        <v>0</v>
      </c>
      <c r="O289" s="636">
        <f>OneLineRR!N380</f>
        <v>0</v>
      </c>
      <c r="P289" s="636" t="e" cm="1">
        <f t="array" ref="P289">INDEX('Unit Mix'!$P$6:$P$62,MATCH(1,('Rent Roll'!G289='Unit Mix'!$E$6:$E$62)*(D289='Unit Mix'!$D$6:$D$62),0))</f>
        <v>#N/A</v>
      </c>
      <c r="Q289" s="150">
        <f>OneLineRR!T380</f>
        <v>0</v>
      </c>
      <c r="R289" s="150">
        <f>OneLineRR!U380</f>
        <v>0</v>
      </c>
      <c r="S289" s="150">
        <f>OneLineRR!V380</f>
        <v>0</v>
      </c>
      <c r="T289" s="150">
        <f>OneLineRR!W380</f>
        <v>0</v>
      </c>
      <c r="U289" s="157" t="str">
        <f>IF(OneLineRR!Q380="","",OneLineRR!Q380)</f>
        <v/>
      </c>
      <c r="V289" s="157" t="str">
        <f>IF(OneLineRR!R380="","",OneLineRR!R380)</f>
        <v/>
      </c>
      <c r="AB289" s="320" t="str">
        <f>IFERROR(U289+(COUNTIF($U$8:U289,U289)-1)/10000,"")</f>
        <v/>
      </c>
      <c r="AC289" s="158"/>
      <c r="AD289" s="119"/>
      <c r="AE289" s="460"/>
      <c r="AG289" s="119"/>
    </row>
    <row r="290" spans="4:33" x14ac:dyDescent="0.25">
      <c r="D290" s="154" t="str">
        <f>OneLineRR!A381</f>
        <v>Hudson View Park</v>
      </c>
      <c r="E290" s="104">
        <f>OneLineRR!J381</f>
        <v>0</v>
      </c>
      <c r="F290" s="104">
        <f>OneLineRR!K381</f>
        <v>0</v>
      </c>
      <c r="G290" s="155" t="e">
        <f>OneLineRR!D381</f>
        <v>#N/A</v>
      </c>
      <c r="H290" s="155" t="e">
        <f>IF(OneLineRR!G381="Yes","Affordable","Market")</f>
        <v>#N/A</v>
      </c>
      <c r="I290" s="104" t="e">
        <f>OneLineRR!I381</f>
        <v>#N/A</v>
      </c>
      <c r="J290" s="156">
        <f>OneLineRR!M381</f>
        <v>0</v>
      </c>
      <c r="K290" s="634">
        <f>OneLineRR!L381</f>
        <v>0</v>
      </c>
      <c r="L290" s="143" t="str">
        <f>OneLineRR!C381</f>
        <v>Occ</v>
      </c>
      <c r="M290" s="636">
        <f>OneLineRR!O381</f>
        <v>0</v>
      </c>
      <c r="N290" s="636">
        <f t="shared" si="4"/>
        <v>0</v>
      </c>
      <c r="O290" s="636">
        <f>OneLineRR!N381</f>
        <v>0</v>
      </c>
      <c r="P290" s="636" t="e" cm="1">
        <f t="array" ref="P290">INDEX('Unit Mix'!$P$6:$P$62,MATCH(1,('Rent Roll'!G290='Unit Mix'!$E$6:$E$62)*(D290='Unit Mix'!$D$6:$D$62),0))</f>
        <v>#N/A</v>
      </c>
      <c r="Q290" s="150">
        <f>OneLineRR!T381</f>
        <v>0</v>
      </c>
      <c r="R290" s="150">
        <f>OneLineRR!U381</f>
        <v>0</v>
      </c>
      <c r="S290" s="150">
        <f>OneLineRR!V381</f>
        <v>0</v>
      </c>
      <c r="T290" s="150">
        <f>OneLineRR!W381</f>
        <v>0</v>
      </c>
      <c r="U290" s="157" t="str">
        <f>IF(OneLineRR!Q381="","",OneLineRR!Q381)</f>
        <v/>
      </c>
      <c r="V290" s="157" t="str">
        <f>IF(OneLineRR!R381="","",OneLineRR!R381)</f>
        <v/>
      </c>
      <c r="AB290" s="320" t="str">
        <f>IFERROR(U290+(COUNTIF($U$8:U290,U290)-1)/10000,"")</f>
        <v/>
      </c>
      <c r="AC290" s="158"/>
      <c r="AD290" s="119"/>
      <c r="AE290" s="460"/>
      <c r="AG290" s="119"/>
    </row>
    <row r="291" spans="4:33" x14ac:dyDescent="0.25">
      <c r="D291" s="154" t="str">
        <f>OneLineRR!A382</f>
        <v>Hudson View Park</v>
      </c>
      <c r="E291" s="104">
        <f>OneLineRR!J382</f>
        <v>0</v>
      </c>
      <c r="F291" s="104">
        <f>OneLineRR!K382</f>
        <v>0</v>
      </c>
      <c r="G291" s="155" t="e">
        <f>OneLineRR!D382</f>
        <v>#N/A</v>
      </c>
      <c r="H291" s="155" t="e">
        <f>IF(OneLineRR!G382="Yes","Affordable","Market")</f>
        <v>#N/A</v>
      </c>
      <c r="I291" s="104" t="e">
        <f>OneLineRR!I382</f>
        <v>#N/A</v>
      </c>
      <c r="J291" s="156">
        <f>OneLineRR!M382</f>
        <v>0</v>
      </c>
      <c r="K291" s="634">
        <f>OneLineRR!L382</f>
        <v>0</v>
      </c>
      <c r="L291" s="143" t="str">
        <f>OneLineRR!C382</f>
        <v>Occ</v>
      </c>
      <c r="M291" s="636">
        <f>OneLineRR!O382</f>
        <v>0</v>
      </c>
      <c r="N291" s="636">
        <f t="shared" si="4"/>
        <v>0</v>
      </c>
      <c r="O291" s="636">
        <f>OneLineRR!N382</f>
        <v>0</v>
      </c>
      <c r="P291" s="636" t="e" cm="1">
        <f t="array" ref="P291">INDEX('Unit Mix'!$P$6:$P$62,MATCH(1,('Rent Roll'!G291='Unit Mix'!$E$6:$E$62)*(D291='Unit Mix'!$D$6:$D$62),0))</f>
        <v>#N/A</v>
      </c>
      <c r="Q291" s="150">
        <f>OneLineRR!T382</f>
        <v>0</v>
      </c>
      <c r="R291" s="150">
        <f>OneLineRR!U382</f>
        <v>0</v>
      </c>
      <c r="S291" s="150">
        <f>OneLineRR!V382</f>
        <v>0</v>
      </c>
      <c r="T291" s="150">
        <f>OneLineRR!W382</f>
        <v>0</v>
      </c>
      <c r="U291" s="157" t="str">
        <f>IF(OneLineRR!Q382="","",OneLineRR!Q382)</f>
        <v/>
      </c>
      <c r="V291" s="157" t="str">
        <f>IF(OneLineRR!R382="","",OneLineRR!R382)</f>
        <v/>
      </c>
      <c r="AB291" s="320" t="str">
        <f>IFERROR(U291+(COUNTIF($U$8:U291,U291)-1)/10000,"")</f>
        <v/>
      </c>
      <c r="AC291" s="158"/>
      <c r="AD291" s="119"/>
      <c r="AE291" s="460"/>
      <c r="AG291" s="119"/>
    </row>
    <row r="292" spans="4:33" x14ac:dyDescent="0.25">
      <c r="D292" s="154" t="str">
        <f>OneLineRR!A383</f>
        <v>Hudson View Park</v>
      </c>
      <c r="E292" s="104">
        <f>OneLineRR!J383</f>
        <v>0</v>
      </c>
      <c r="F292" s="104">
        <f>OneLineRR!K383</f>
        <v>0</v>
      </c>
      <c r="G292" s="155" t="e">
        <f>OneLineRR!D383</f>
        <v>#N/A</v>
      </c>
      <c r="H292" s="155" t="e">
        <f>IF(OneLineRR!G383="Yes","Affordable","Market")</f>
        <v>#N/A</v>
      </c>
      <c r="I292" s="104" t="e">
        <f>OneLineRR!I383</f>
        <v>#N/A</v>
      </c>
      <c r="J292" s="156">
        <f>OneLineRR!M383</f>
        <v>0</v>
      </c>
      <c r="K292" s="634">
        <f>OneLineRR!L383</f>
        <v>0</v>
      </c>
      <c r="L292" s="143" t="str">
        <f>OneLineRR!C383</f>
        <v>Occ</v>
      </c>
      <c r="M292" s="636">
        <f>OneLineRR!O383</f>
        <v>0</v>
      </c>
      <c r="N292" s="636">
        <f t="shared" si="4"/>
        <v>0</v>
      </c>
      <c r="O292" s="636">
        <f>OneLineRR!N383</f>
        <v>0</v>
      </c>
      <c r="P292" s="636" t="e" cm="1">
        <f t="array" ref="P292">INDEX('Unit Mix'!$P$6:$P$62,MATCH(1,('Rent Roll'!G292='Unit Mix'!$E$6:$E$62)*(D292='Unit Mix'!$D$6:$D$62),0))</f>
        <v>#N/A</v>
      </c>
      <c r="Q292" s="150">
        <f>OneLineRR!T383</f>
        <v>0</v>
      </c>
      <c r="R292" s="150">
        <f>OneLineRR!U383</f>
        <v>0</v>
      </c>
      <c r="S292" s="150">
        <f>OneLineRR!V383</f>
        <v>0</v>
      </c>
      <c r="T292" s="150">
        <f>OneLineRR!W383</f>
        <v>0</v>
      </c>
      <c r="U292" s="157" t="str">
        <f>IF(OneLineRR!Q383="","",OneLineRR!Q383)</f>
        <v/>
      </c>
      <c r="V292" s="157" t="str">
        <f>IF(OneLineRR!R383="","",OneLineRR!R383)</f>
        <v/>
      </c>
      <c r="AB292" s="320" t="str">
        <f>IFERROR(U292+(COUNTIF($U$8:U292,U292)-1)/10000,"")</f>
        <v/>
      </c>
      <c r="AC292" s="158"/>
      <c r="AD292" s="119"/>
      <c r="AE292" s="460"/>
      <c r="AG292" s="119"/>
    </row>
    <row r="293" spans="4:33" x14ac:dyDescent="0.25">
      <c r="D293" s="154" t="str">
        <f>OneLineRR!A384</f>
        <v>Hudson View Park</v>
      </c>
      <c r="E293" s="104">
        <f>OneLineRR!J384</f>
        <v>0</v>
      </c>
      <c r="F293" s="104">
        <f>OneLineRR!K384</f>
        <v>0</v>
      </c>
      <c r="G293" s="155" t="e">
        <f>OneLineRR!D384</f>
        <v>#N/A</v>
      </c>
      <c r="H293" s="155" t="e">
        <f>IF(OneLineRR!G384="Yes","Affordable","Market")</f>
        <v>#N/A</v>
      </c>
      <c r="I293" s="104" t="e">
        <f>OneLineRR!I384</f>
        <v>#N/A</v>
      </c>
      <c r="J293" s="156">
        <f>OneLineRR!M384</f>
        <v>0</v>
      </c>
      <c r="K293" s="634">
        <f>OneLineRR!L384</f>
        <v>0</v>
      </c>
      <c r="L293" s="143" t="str">
        <f>OneLineRR!C384</f>
        <v>Occ</v>
      </c>
      <c r="M293" s="636">
        <f>OneLineRR!O384</f>
        <v>0</v>
      </c>
      <c r="N293" s="636">
        <f t="shared" si="4"/>
        <v>0</v>
      </c>
      <c r="O293" s="636">
        <f>OneLineRR!N384</f>
        <v>0</v>
      </c>
      <c r="P293" s="636" t="e" cm="1">
        <f t="array" ref="P293">INDEX('Unit Mix'!$P$6:$P$62,MATCH(1,('Rent Roll'!G293='Unit Mix'!$E$6:$E$62)*(D293='Unit Mix'!$D$6:$D$62),0))</f>
        <v>#N/A</v>
      </c>
      <c r="Q293" s="150">
        <f>OneLineRR!T384</f>
        <v>0</v>
      </c>
      <c r="R293" s="150">
        <f>OneLineRR!U384</f>
        <v>0</v>
      </c>
      <c r="S293" s="150">
        <f>OneLineRR!V384</f>
        <v>0</v>
      </c>
      <c r="T293" s="150">
        <f>OneLineRR!W384</f>
        <v>0</v>
      </c>
      <c r="U293" s="157" t="str">
        <f>IF(OneLineRR!Q384="","",OneLineRR!Q384)</f>
        <v/>
      </c>
      <c r="V293" s="157" t="str">
        <f>IF(OneLineRR!R384="","",OneLineRR!R384)</f>
        <v/>
      </c>
      <c r="AB293" s="320" t="str">
        <f>IFERROR(U293+(COUNTIF($U$8:U293,U293)-1)/10000,"")</f>
        <v/>
      </c>
      <c r="AC293" s="158"/>
      <c r="AD293" s="119"/>
      <c r="AE293" s="460"/>
      <c r="AG293" s="119"/>
    </row>
    <row r="294" spans="4:33" x14ac:dyDescent="0.25">
      <c r="D294" s="154" t="str">
        <f>OneLineRR!A385</f>
        <v>Hudson View Park</v>
      </c>
      <c r="E294" s="104">
        <f>OneLineRR!J385</f>
        <v>0</v>
      </c>
      <c r="F294" s="104">
        <f>OneLineRR!K385</f>
        <v>0</v>
      </c>
      <c r="G294" s="155" t="e">
        <f>OneLineRR!D385</f>
        <v>#N/A</v>
      </c>
      <c r="H294" s="155" t="e">
        <f>IF(OneLineRR!G385="Yes","Affordable","Market")</f>
        <v>#N/A</v>
      </c>
      <c r="I294" s="104" t="e">
        <f>OneLineRR!I385</f>
        <v>#N/A</v>
      </c>
      <c r="J294" s="156">
        <f>OneLineRR!M385</f>
        <v>0</v>
      </c>
      <c r="K294" s="634">
        <f>OneLineRR!L385</f>
        <v>0</v>
      </c>
      <c r="L294" s="143" t="str">
        <f>OneLineRR!C385</f>
        <v>Occ</v>
      </c>
      <c r="M294" s="636">
        <f>OneLineRR!O385</f>
        <v>0</v>
      </c>
      <c r="N294" s="636">
        <f t="shared" si="4"/>
        <v>0</v>
      </c>
      <c r="O294" s="636">
        <f>OneLineRR!N385</f>
        <v>0</v>
      </c>
      <c r="P294" s="636" t="e" cm="1">
        <f t="array" ref="P294">INDEX('Unit Mix'!$P$6:$P$62,MATCH(1,('Rent Roll'!G294='Unit Mix'!$E$6:$E$62)*(D294='Unit Mix'!$D$6:$D$62),0))</f>
        <v>#N/A</v>
      </c>
      <c r="Q294" s="150">
        <f>OneLineRR!T385</f>
        <v>0</v>
      </c>
      <c r="R294" s="150">
        <f>OneLineRR!U385</f>
        <v>0</v>
      </c>
      <c r="S294" s="150">
        <f>OneLineRR!V385</f>
        <v>0</v>
      </c>
      <c r="T294" s="150">
        <f>OneLineRR!W385</f>
        <v>0</v>
      </c>
      <c r="U294" s="157" t="str">
        <f>IF(OneLineRR!Q385="","",OneLineRR!Q385)</f>
        <v/>
      </c>
      <c r="V294" s="157" t="str">
        <f>IF(OneLineRR!R385="","",OneLineRR!R385)</f>
        <v/>
      </c>
      <c r="AB294" s="320" t="str">
        <f>IFERROR(U294+(COUNTIF($U$8:U294,U294)-1)/10000,"")</f>
        <v/>
      </c>
      <c r="AC294" s="158"/>
      <c r="AD294" s="119"/>
      <c r="AE294" s="460"/>
      <c r="AG294" s="119"/>
    </row>
    <row r="295" spans="4:33" x14ac:dyDescent="0.25">
      <c r="D295" s="154" t="str">
        <f>OneLineRR!A386</f>
        <v>Hudson View Park</v>
      </c>
      <c r="E295" s="104">
        <f>OneLineRR!J386</f>
        <v>0</v>
      </c>
      <c r="F295" s="104">
        <f>OneLineRR!K386</f>
        <v>0</v>
      </c>
      <c r="G295" s="155" t="e">
        <f>OneLineRR!D386</f>
        <v>#N/A</v>
      </c>
      <c r="H295" s="155" t="e">
        <f>IF(OneLineRR!G386="Yes","Affordable","Market")</f>
        <v>#N/A</v>
      </c>
      <c r="I295" s="104" t="e">
        <f>OneLineRR!I386</f>
        <v>#N/A</v>
      </c>
      <c r="J295" s="156">
        <f>OneLineRR!M386</f>
        <v>0</v>
      </c>
      <c r="K295" s="634">
        <f>OneLineRR!L386</f>
        <v>0</v>
      </c>
      <c r="L295" s="143" t="str">
        <f>OneLineRR!C386</f>
        <v>Occ</v>
      </c>
      <c r="M295" s="636">
        <f>OneLineRR!O386</f>
        <v>0</v>
      </c>
      <c r="N295" s="636">
        <f t="shared" si="4"/>
        <v>0</v>
      </c>
      <c r="O295" s="636">
        <f>OneLineRR!N386</f>
        <v>0</v>
      </c>
      <c r="P295" s="636" t="e" cm="1">
        <f t="array" ref="P295">INDEX('Unit Mix'!$P$6:$P$62,MATCH(1,('Rent Roll'!G295='Unit Mix'!$E$6:$E$62)*(D295='Unit Mix'!$D$6:$D$62),0))</f>
        <v>#N/A</v>
      </c>
      <c r="Q295" s="150">
        <f>OneLineRR!T386</f>
        <v>0</v>
      </c>
      <c r="R295" s="150">
        <f>OneLineRR!U386</f>
        <v>0</v>
      </c>
      <c r="S295" s="150">
        <f>OneLineRR!V386</f>
        <v>0</v>
      </c>
      <c r="T295" s="150">
        <f>OneLineRR!W386</f>
        <v>0</v>
      </c>
      <c r="U295" s="157" t="str">
        <f>IF(OneLineRR!Q386="","",OneLineRR!Q386)</f>
        <v/>
      </c>
      <c r="V295" s="157" t="str">
        <f>IF(OneLineRR!R386="","",OneLineRR!R386)</f>
        <v/>
      </c>
      <c r="AB295" s="320" t="str">
        <f>IFERROR(U295+(COUNTIF($U$8:U295,U295)-1)/10000,"")</f>
        <v/>
      </c>
      <c r="AC295" s="158"/>
      <c r="AD295" s="119"/>
      <c r="AE295" s="460"/>
      <c r="AG295" s="119"/>
    </row>
    <row r="296" spans="4:33" x14ac:dyDescent="0.25">
      <c r="D296" s="154" t="str">
        <f>OneLineRR!A387</f>
        <v>Hudson View Park</v>
      </c>
      <c r="E296" s="104">
        <f>OneLineRR!J387</f>
        <v>0</v>
      </c>
      <c r="F296" s="104">
        <f>OneLineRR!K387</f>
        <v>0</v>
      </c>
      <c r="G296" s="155" t="e">
        <f>OneLineRR!D387</f>
        <v>#N/A</v>
      </c>
      <c r="H296" s="155" t="e">
        <f>IF(OneLineRR!G387="Yes","Affordable","Market")</f>
        <v>#N/A</v>
      </c>
      <c r="I296" s="104" t="e">
        <f>OneLineRR!I387</f>
        <v>#N/A</v>
      </c>
      <c r="J296" s="156">
        <f>OneLineRR!M387</f>
        <v>0</v>
      </c>
      <c r="K296" s="634">
        <f>OneLineRR!L387</f>
        <v>0</v>
      </c>
      <c r="L296" s="143" t="str">
        <f>OneLineRR!C387</f>
        <v>Occ</v>
      </c>
      <c r="M296" s="636">
        <f>OneLineRR!O387</f>
        <v>0</v>
      </c>
      <c r="N296" s="636">
        <f t="shared" si="4"/>
        <v>0</v>
      </c>
      <c r="O296" s="636">
        <f>OneLineRR!N387</f>
        <v>0</v>
      </c>
      <c r="P296" s="636" t="e" cm="1">
        <f t="array" ref="P296">INDEX('Unit Mix'!$P$6:$P$62,MATCH(1,('Rent Roll'!G296='Unit Mix'!$E$6:$E$62)*(D296='Unit Mix'!$D$6:$D$62),0))</f>
        <v>#N/A</v>
      </c>
      <c r="Q296" s="150">
        <f>OneLineRR!T387</f>
        <v>0</v>
      </c>
      <c r="R296" s="150">
        <f>OneLineRR!U387</f>
        <v>0</v>
      </c>
      <c r="S296" s="150">
        <f>OneLineRR!V387</f>
        <v>0</v>
      </c>
      <c r="T296" s="150">
        <f>OneLineRR!W387</f>
        <v>0</v>
      </c>
      <c r="U296" s="157" t="str">
        <f>IF(OneLineRR!Q387="","",OneLineRR!Q387)</f>
        <v/>
      </c>
      <c r="V296" s="157" t="str">
        <f>IF(OneLineRR!R387="","",OneLineRR!R387)</f>
        <v/>
      </c>
      <c r="AB296" s="320" t="str">
        <f>IFERROR(U296+(COUNTIF($U$8:U296,U296)-1)/10000,"")</f>
        <v/>
      </c>
      <c r="AC296" s="158"/>
      <c r="AD296" s="119"/>
      <c r="AE296" s="460"/>
      <c r="AG296" s="119"/>
    </row>
    <row r="297" spans="4:33" x14ac:dyDescent="0.25">
      <c r="D297" s="154" t="str">
        <f>OneLineRR!A388</f>
        <v>Hudson View Park</v>
      </c>
      <c r="E297" s="104">
        <f>OneLineRR!J388</f>
        <v>0</v>
      </c>
      <c r="F297" s="104">
        <f>OneLineRR!K388</f>
        <v>0</v>
      </c>
      <c r="G297" s="155" t="e">
        <f>OneLineRR!D388</f>
        <v>#N/A</v>
      </c>
      <c r="H297" s="155" t="e">
        <f>IF(OneLineRR!G388="Yes","Affordable","Market")</f>
        <v>#N/A</v>
      </c>
      <c r="I297" s="104" t="e">
        <f>OneLineRR!I388</f>
        <v>#N/A</v>
      </c>
      <c r="J297" s="156">
        <f>OneLineRR!M388</f>
        <v>0</v>
      </c>
      <c r="K297" s="634">
        <f>OneLineRR!L388</f>
        <v>0</v>
      </c>
      <c r="L297" s="143" t="str">
        <f>OneLineRR!C388</f>
        <v>Occ</v>
      </c>
      <c r="M297" s="636">
        <f>OneLineRR!O388</f>
        <v>0</v>
      </c>
      <c r="N297" s="636">
        <f t="shared" si="4"/>
        <v>0</v>
      </c>
      <c r="O297" s="636">
        <f>OneLineRR!N388</f>
        <v>0</v>
      </c>
      <c r="P297" s="636" t="e" cm="1">
        <f t="array" ref="P297">INDEX('Unit Mix'!$P$6:$P$62,MATCH(1,('Rent Roll'!G297='Unit Mix'!$E$6:$E$62)*(D297='Unit Mix'!$D$6:$D$62),0))</f>
        <v>#N/A</v>
      </c>
      <c r="Q297" s="150">
        <f>OneLineRR!T388</f>
        <v>0</v>
      </c>
      <c r="R297" s="150">
        <f>OneLineRR!U388</f>
        <v>0</v>
      </c>
      <c r="S297" s="150">
        <f>OneLineRR!V388</f>
        <v>0</v>
      </c>
      <c r="T297" s="150">
        <f>OneLineRR!W388</f>
        <v>0</v>
      </c>
      <c r="U297" s="157" t="str">
        <f>IF(OneLineRR!Q388="","",OneLineRR!Q388)</f>
        <v/>
      </c>
      <c r="V297" s="157" t="str">
        <f>IF(OneLineRR!R388="","",OneLineRR!R388)</f>
        <v/>
      </c>
      <c r="AB297" s="320" t="str">
        <f>IFERROR(U297+(COUNTIF($U$8:U297,U297)-1)/10000,"")</f>
        <v/>
      </c>
      <c r="AC297" s="158"/>
      <c r="AD297" s="119"/>
      <c r="AE297" s="460"/>
      <c r="AG297" s="119"/>
    </row>
    <row r="298" spans="4:33" x14ac:dyDescent="0.25">
      <c r="D298" s="154" t="str">
        <f>OneLineRR!A389</f>
        <v>Hudson View Park</v>
      </c>
      <c r="E298" s="104">
        <f>OneLineRR!J389</f>
        <v>0</v>
      </c>
      <c r="F298" s="104">
        <f>OneLineRR!K389</f>
        <v>0</v>
      </c>
      <c r="G298" s="155" t="e">
        <f>OneLineRR!D389</f>
        <v>#N/A</v>
      </c>
      <c r="H298" s="155" t="e">
        <f>IF(OneLineRR!G389="Yes","Affordable","Market")</f>
        <v>#N/A</v>
      </c>
      <c r="I298" s="104" t="e">
        <f>OneLineRR!I389</f>
        <v>#N/A</v>
      </c>
      <c r="J298" s="156">
        <f>OneLineRR!M389</f>
        <v>0</v>
      </c>
      <c r="K298" s="634">
        <f>OneLineRR!L389</f>
        <v>0</v>
      </c>
      <c r="L298" s="143" t="str">
        <f>OneLineRR!C389</f>
        <v>Occ</v>
      </c>
      <c r="M298" s="636">
        <f>OneLineRR!O389</f>
        <v>0</v>
      </c>
      <c r="N298" s="636">
        <f t="shared" si="4"/>
        <v>0</v>
      </c>
      <c r="O298" s="636">
        <f>OneLineRR!N389</f>
        <v>0</v>
      </c>
      <c r="P298" s="636" t="e" cm="1">
        <f t="array" ref="P298">INDEX('Unit Mix'!$P$6:$P$62,MATCH(1,('Rent Roll'!G298='Unit Mix'!$E$6:$E$62)*(D298='Unit Mix'!$D$6:$D$62),0))</f>
        <v>#N/A</v>
      </c>
      <c r="Q298" s="150">
        <f>OneLineRR!T389</f>
        <v>0</v>
      </c>
      <c r="R298" s="150">
        <f>OneLineRR!U389</f>
        <v>0</v>
      </c>
      <c r="S298" s="150">
        <f>OneLineRR!V389</f>
        <v>0</v>
      </c>
      <c r="T298" s="150">
        <f>OneLineRR!W389</f>
        <v>0</v>
      </c>
      <c r="U298" s="157" t="str">
        <f>IF(OneLineRR!Q389="","",OneLineRR!Q389)</f>
        <v/>
      </c>
      <c r="V298" s="157" t="str">
        <f>IF(OneLineRR!R389="","",OneLineRR!R389)</f>
        <v/>
      </c>
      <c r="AB298" s="320" t="str">
        <f>IFERROR(U298+(COUNTIF($U$8:U298,U298)-1)/10000,"")</f>
        <v/>
      </c>
      <c r="AC298" s="158"/>
      <c r="AD298" s="119"/>
      <c r="AE298" s="460"/>
      <c r="AG298" s="119"/>
    </row>
    <row r="299" spans="4:33" x14ac:dyDescent="0.25">
      <c r="D299" s="154" t="str">
        <f>OneLineRR!A390</f>
        <v>Hudson View Park</v>
      </c>
      <c r="E299" s="104">
        <f>OneLineRR!J390</f>
        <v>0</v>
      </c>
      <c r="F299" s="104">
        <f>OneLineRR!K390</f>
        <v>0</v>
      </c>
      <c r="G299" s="155" t="e">
        <f>OneLineRR!D390</f>
        <v>#N/A</v>
      </c>
      <c r="H299" s="155" t="e">
        <f>IF(OneLineRR!G390="Yes","Affordable","Market")</f>
        <v>#N/A</v>
      </c>
      <c r="I299" s="104" t="e">
        <f>OneLineRR!I390</f>
        <v>#N/A</v>
      </c>
      <c r="J299" s="156">
        <f>OneLineRR!M390</f>
        <v>0</v>
      </c>
      <c r="K299" s="634">
        <f>OneLineRR!L390</f>
        <v>0</v>
      </c>
      <c r="L299" s="143" t="str">
        <f>OneLineRR!C390</f>
        <v>Occ</v>
      </c>
      <c r="M299" s="636">
        <f>OneLineRR!O390</f>
        <v>0</v>
      </c>
      <c r="N299" s="636">
        <f t="shared" si="4"/>
        <v>0</v>
      </c>
      <c r="O299" s="636">
        <f>OneLineRR!N390</f>
        <v>0</v>
      </c>
      <c r="P299" s="636" t="e" cm="1">
        <f t="array" ref="P299">INDEX('Unit Mix'!$P$6:$P$62,MATCH(1,('Rent Roll'!G299='Unit Mix'!$E$6:$E$62)*(D299='Unit Mix'!$D$6:$D$62),0))</f>
        <v>#N/A</v>
      </c>
      <c r="Q299" s="150">
        <f>OneLineRR!T390</f>
        <v>0</v>
      </c>
      <c r="R299" s="150">
        <f>OneLineRR!U390</f>
        <v>0</v>
      </c>
      <c r="S299" s="150">
        <f>OneLineRR!V390</f>
        <v>0</v>
      </c>
      <c r="T299" s="150">
        <f>OneLineRR!W390</f>
        <v>0</v>
      </c>
      <c r="U299" s="157" t="str">
        <f>IF(OneLineRR!Q390="","",OneLineRR!Q390)</f>
        <v/>
      </c>
      <c r="V299" s="157" t="str">
        <f>IF(OneLineRR!R390="","",OneLineRR!R390)</f>
        <v/>
      </c>
      <c r="AB299" s="320" t="str">
        <f>IFERROR(U299+(COUNTIF($U$8:U299,U299)-1)/10000,"")</f>
        <v/>
      </c>
      <c r="AC299" s="158"/>
      <c r="AD299" s="119"/>
      <c r="AE299" s="460"/>
      <c r="AG299" s="119"/>
    </row>
    <row r="300" spans="4:33" x14ac:dyDescent="0.25">
      <c r="D300" s="154" t="str">
        <f>OneLineRR!A391</f>
        <v>Hudson View Park</v>
      </c>
      <c r="E300" s="104">
        <f>OneLineRR!J391</f>
        <v>0</v>
      </c>
      <c r="F300" s="104">
        <f>OneLineRR!K391</f>
        <v>0</v>
      </c>
      <c r="G300" s="155" t="e">
        <f>OneLineRR!D391</f>
        <v>#N/A</v>
      </c>
      <c r="H300" s="155" t="e">
        <f>IF(OneLineRR!G391="Yes","Affordable","Market")</f>
        <v>#N/A</v>
      </c>
      <c r="I300" s="104" t="e">
        <f>OneLineRR!I391</f>
        <v>#N/A</v>
      </c>
      <c r="J300" s="156">
        <f>OneLineRR!M391</f>
        <v>0</v>
      </c>
      <c r="K300" s="634">
        <f>OneLineRR!L391</f>
        <v>0</v>
      </c>
      <c r="L300" s="143" t="str">
        <f>OneLineRR!C391</f>
        <v>Occ</v>
      </c>
      <c r="M300" s="636">
        <f>OneLineRR!O391</f>
        <v>0</v>
      </c>
      <c r="N300" s="636">
        <f t="shared" si="4"/>
        <v>0</v>
      </c>
      <c r="O300" s="636">
        <f>OneLineRR!N391</f>
        <v>0</v>
      </c>
      <c r="P300" s="636" t="e" cm="1">
        <f t="array" ref="P300">INDEX('Unit Mix'!$P$6:$P$62,MATCH(1,('Rent Roll'!G300='Unit Mix'!$E$6:$E$62)*(D300='Unit Mix'!$D$6:$D$62),0))</f>
        <v>#N/A</v>
      </c>
      <c r="Q300" s="150">
        <f>OneLineRR!T391</f>
        <v>0</v>
      </c>
      <c r="R300" s="150">
        <f>OneLineRR!U391</f>
        <v>0</v>
      </c>
      <c r="S300" s="150">
        <f>OneLineRR!V391</f>
        <v>0</v>
      </c>
      <c r="T300" s="150">
        <f>OneLineRR!W391</f>
        <v>0</v>
      </c>
      <c r="U300" s="157" t="str">
        <f>IF(OneLineRR!Q391="","",OneLineRR!Q391)</f>
        <v/>
      </c>
      <c r="V300" s="157" t="str">
        <f>IF(OneLineRR!R391="","",OneLineRR!R391)</f>
        <v/>
      </c>
      <c r="AB300" s="320" t="str">
        <f>IFERROR(U300+(COUNTIF($U$8:U300,U300)-1)/10000,"")</f>
        <v/>
      </c>
      <c r="AC300" s="158"/>
      <c r="AD300" s="119"/>
      <c r="AE300" s="460"/>
      <c r="AG300" s="119"/>
    </row>
    <row r="301" spans="4:33" x14ac:dyDescent="0.25">
      <c r="D301" s="154" t="str">
        <f>OneLineRR!A392</f>
        <v>Hudson View Park</v>
      </c>
      <c r="E301" s="104">
        <f>OneLineRR!J392</f>
        <v>0</v>
      </c>
      <c r="F301" s="104">
        <f>OneLineRR!K392</f>
        <v>0</v>
      </c>
      <c r="G301" s="155" t="e">
        <f>OneLineRR!D392</f>
        <v>#N/A</v>
      </c>
      <c r="H301" s="155" t="e">
        <f>IF(OneLineRR!G392="Yes","Affordable","Market")</f>
        <v>#N/A</v>
      </c>
      <c r="I301" s="104" t="e">
        <f>OneLineRR!I392</f>
        <v>#N/A</v>
      </c>
      <c r="J301" s="156">
        <f>OneLineRR!M392</f>
        <v>0</v>
      </c>
      <c r="K301" s="634">
        <f>OneLineRR!L392</f>
        <v>0</v>
      </c>
      <c r="L301" s="143" t="str">
        <f>OneLineRR!C392</f>
        <v>Occ</v>
      </c>
      <c r="M301" s="636">
        <f>OneLineRR!O392</f>
        <v>0</v>
      </c>
      <c r="N301" s="636">
        <f t="shared" si="4"/>
        <v>0</v>
      </c>
      <c r="O301" s="636">
        <f>OneLineRR!N392</f>
        <v>0</v>
      </c>
      <c r="P301" s="636" t="e" cm="1">
        <f t="array" ref="P301">INDEX('Unit Mix'!$P$6:$P$62,MATCH(1,('Rent Roll'!G301='Unit Mix'!$E$6:$E$62)*(D301='Unit Mix'!$D$6:$D$62),0))</f>
        <v>#N/A</v>
      </c>
      <c r="Q301" s="150">
        <f>OneLineRR!T392</f>
        <v>0</v>
      </c>
      <c r="R301" s="150">
        <f>OneLineRR!U392</f>
        <v>0</v>
      </c>
      <c r="S301" s="150">
        <f>OneLineRR!V392</f>
        <v>0</v>
      </c>
      <c r="T301" s="150">
        <f>OneLineRR!W392</f>
        <v>0</v>
      </c>
      <c r="U301" s="157" t="str">
        <f>IF(OneLineRR!Q392="","",OneLineRR!Q392)</f>
        <v/>
      </c>
      <c r="V301" s="157" t="str">
        <f>IF(OneLineRR!R392="","",OneLineRR!R392)</f>
        <v/>
      </c>
      <c r="AB301" s="320" t="str">
        <f>IFERROR(U301+(COUNTIF($U$8:U301,U301)-1)/10000,"")</f>
        <v/>
      </c>
      <c r="AC301" s="158"/>
      <c r="AD301" s="119"/>
      <c r="AE301" s="460"/>
      <c r="AG301" s="119"/>
    </row>
    <row r="302" spans="4:33" x14ac:dyDescent="0.25">
      <c r="D302" s="154" t="str">
        <f>OneLineRR!A393</f>
        <v>Hudson View Park</v>
      </c>
      <c r="E302" s="104">
        <f>OneLineRR!J393</f>
        <v>0</v>
      </c>
      <c r="F302" s="104">
        <f>OneLineRR!K393</f>
        <v>0</v>
      </c>
      <c r="G302" s="155" t="e">
        <f>OneLineRR!D393</f>
        <v>#N/A</v>
      </c>
      <c r="H302" s="155" t="e">
        <f>IF(OneLineRR!G393="Yes","Affordable","Market")</f>
        <v>#N/A</v>
      </c>
      <c r="I302" s="104" t="e">
        <f>OneLineRR!I393</f>
        <v>#N/A</v>
      </c>
      <c r="J302" s="156">
        <f>OneLineRR!M393</f>
        <v>0</v>
      </c>
      <c r="K302" s="634">
        <f>OneLineRR!L393</f>
        <v>0</v>
      </c>
      <c r="L302" s="143" t="str">
        <f>OneLineRR!C393</f>
        <v>Occ</v>
      </c>
      <c r="M302" s="636">
        <f>OneLineRR!O393</f>
        <v>0</v>
      </c>
      <c r="N302" s="636">
        <f t="shared" si="4"/>
        <v>0</v>
      </c>
      <c r="O302" s="636">
        <f>OneLineRR!N393</f>
        <v>0</v>
      </c>
      <c r="P302" s="636" t="e" cm="1">
        <f t="array" ref="P302">INDEX('Unit Mix'!$P$6:$P$62,MATCH(1,('Rent Roll'!G302='Unit Mix'!$E$6:$E$62)*(D302='Unit Mix'!$D$6:$D$62),0))</f>
        <v>#N/A</v>
      </c>
      <c r="Q302" s="150">
        <f>OneLineRR!T393</f>
        <v>0</v>
      </c>
      <c r="R302" s="150">
        <f>OneLineRR!U393</f>
        <v>0</v>
      </c>
      <c r="S302" s="150">
        <f>OneLineRR!V393</f>
        <v>0</v>
      </c>
      <c r="T302" s="150">
        <f>OneLineRR!W393</f>
        <v>0</v>
      </c>
      <c r="U302" s="157" t="str">
        <f>IF(OneLineRR!Q393="","",OneLineRR!Q393)</f>
        <v/>
      </c>
      <c r="V302" s="157" t="str">
        <f>IF(OneLineRR!R393="","",OneLineRR!R393)</f>
        <v/>
      </c>
      <c r="AB302" s="320" t="str">
        <f>IFERROR(U302+(COUNTIF($U$8:U302,U302)-1)/10000,"")</f>
        <v/>
      </c>
      <c r="AC302" s="158"/>
      <c r="AD302" s="119"/>
      <c r="AE302" s="460"/>
      <c r="AG302" s="119"/>
    </row>
    <row r="303" spans="4:33" x14ac:dyDescent="0.25">
      <c r="D303" s="154" t="str">
        <f>OneLineRR!A394</f>
        <v>Hudson View Park</v>
      </c>
      <c r="E303" s="104">
        <f>OneLineRR!J394</f>
        <v>0</v>
      </c>
      <c r="F303" s="104">
        <f>OneLineRR!K394</f>
        <v>0</v>
      </c>
      <c r="G303" s="155" t="e">
        <f>OneLineRR!D394</f>
        <v>#N/A</v>
      </c>
      <c r="H303" s="155" t="e">
        <f>IF(OneLineRR!G394="Yes","Affordable","Market")</f>
        <v>#N/A</v>
      </c>
      <c r="I303" s="104" t="e">
        <f>OneLineRR!I394</f>
        <v>#N/A</v>
      </c>
      <c r="J303" s="156">
        <f>OneLineRR!M394</f>
        <v>0</v>
      </c>
      <c r="K303" s="634">
        <f>OneLineRR!L394</f>
        <v>0</v>
      </c>
      <c r="L303" s="143" t="str">
        <f>OneLineRR!C394</f>
        <v>Occ</v>
      </c>
      <c r="M303" s="636">
        <f>OneLineRR!O394</f>
        <v>0</v>
      </c>
      <c r="N303" s="636">
        <f t="shared" si="4"/>
        <v>0</v>
      </c>
      <c r="O303" s="636">
        <f>OneLineRR!N394</f>
        <v>0</v>
      </c>
      <c r="P303" s="636" t="e" cm="1">
        <f t="array" ref="P303">INDEX('Unit Mix'!$P$6:$P$62,MATCH(1,('Rent Roll'!G303='Unit Mix'!$E$6:$E$62)*(D303='Unit Mix'!$D$6:$D$62),0))</f>
        <v>#N/A</v>
      </c>
      <c r="Q303" s="150">
        <f>OneLineRR!T394</f>
        <v>0</v>
      </c>
      <c r="R303" s="150">
        <f>OneLineRR!U394</f>
        <v>0</v>
      </c>
      <c r="S303" s="150">
        <f>OneLineRR!V394</f>
        <v>0</v>
      </c>
      <c r="T303" s="150">
        <f>OneLineRR!W394</f>
        <v>0</v>
      </c>
      <c r="U303" s="157" t="str">
        <f>IF(OneLineRR!Q394="","",OneLineRR!Q394)</f>
        <v/>
      </c>
      <c r="V303" s="157" t="str">
        <f>IF(OneLineRR!R394="","",OneLineRR!R394)</f>
        <v/>
      </c>
      <c r="AB303" s="320" t="str">
        <f>IFERROR(U303+(COUNTIF($U$8:U303,U303)-1)/10000,"")</f>
        <v/>
      </c>
      <c r="AC303" s="158"/>
      <c r="AD303" s="119"/>
      <c r="AE303" s="460"/>
      <c r="AG303" s="119"/>
    </row>
    <row r="304" spans="4:33" x14ac:dyDescent="0.25">
      <c r="D304" s="154" t="str">
        <f>OneLineRR!A395</f>
        <v>Hudson View Park</v>
      </c>
      <c r="E304" s="104">
        <f>OneLineRR!J395</f>
        <v>0</v>
      </c>
      <c r="F304" s="104">
        <f>OneLineRR!K395</f>
        <v>0</v>
      </c>
      <c r="G304" s="155" t="e">
        <f>OneLineRR!D395</f>
        <v>#N/A</v>
      </c>
      <c r="H304" s="155" t="e">
        <f>IF(OneLineRR!G395="Yes","Affordable","Market")</f>
        <v>#N/A</v>
      </c>
      <c r="I304" s="104" t="e">
        <f>OneLineRR!I395</f>
        <v>#N/A</v>
      </c>
      <c r="J304" s="156">
        <f>OneLineRR!M395</f>
        <v>0</v>
      </c>
      <c r="K304" s="634">
        <f>OneLineRR!L395</f>
        <v>0</v>
      </c>
      <c r="L304" s="143" t="str">
        <f>OneLineRR!C395</f>
        <v>Occ</v>
      </c>
      <c r="M304" s="636">
        <f>OneLineRR!O395</f>
        <v>0</v>
      </c>
      <c r="N304" s="636">
        <f t="shared" si="4"/>
        <v>0</v>
      </c>
      <c r="O304" s="636">
        <f>OneLineRR!N395</f>
        <v>0</v>
      </c>
      <c r="P304" s="636" t="e" cm="1">
        <f t="array" ref="P304">INDEX('Unit Mix'!$P$6:$P$62,MATCH(1,('Rent Roll'!G304='Unit Mix'!$E$6:$E$62)*(D304='Unit Mix'!$D$6:$D$62),0))</f>
        <v>#N/A</v>
      </c>
      <c r="Q304" s="150">
        <f>OneLineRR!T395</f>
        <v>0</v>
      </c>
      <c r="R304" s="150">
        <f>OneLineRR!U395</f>
        <v>0</v>
      </c>
      <c r="S304" s="150">
        <f>OneLineRR!V395</f>
        <v>0</v>
      </c>
      <c r="T304" s="150">
        <f>OneLineRR!W395</f>
        <v>0</v>
      </c>
      <c r="U304" s="157" t="str">
        <f>IF(OneLineRR!Q395="","",OneLineRR!Q395)</f>
        <v/>
      </c>
      <c r="V304" s="157" t="str">
        <f>IF(OneLineRR!R395="","",OneLineRR!R395)</f>
        <v/>
      </c>
      <c r="AB304" s="320" t="str">
        <f>IFERROR(U304+(COUNTIF($U$8:U304,U304)-1)/10000,"")</f>
        <v/>
      </c>
      <c r="AC304" s="158"/>
      <c r="AD304" s="119"/>
      <c r="AE304" s="460"/>
      <c r="AG304" s="119"/>
    </row>
    <row r="305" spans="4:33" x14ac:dyDescent="0.25">
      <c r="D305" s="154" t="str">
        <f>OneLineRR!A396</f>
        <v>Hudson View Park</v>
      </c>
      <c r="E305" s="104">
        <f>OneLineRR!J396</f>
        <v>0</v>
      </c>
      <c r="F305" s="104">
        <f>OneLineRR!K396</f>
        <v>0</v>
      </c>
      <c r="G305" s="155" t="e">
        <f>OneLineRR!D396</f>
        <v>#N/A</v>
      </c>
      <c r="H305" s="155" t="e">
        <f>IF(OneLineRR!G396="Yes","Affordable","Market")</f>
        <v>#N/A</v>
      </c>
      <c r="I305" s="104" t="e">
        <f>OneLineRR!I396</f>
        <v>#N/A</v>
      </c>
      <c r="J305" s="156">
        <f>OneLineRR!M396</f>
        <v>0</v>
      </c>
      <c r="K305" s="634">
        <f>OneLineRR!L396</f>
        <v>0</v>
      </c>
      <c r="L305" s="143" t="str">
        <f>OneLineRR!C396</f>
        <v>Occ</v>
      </c>
      <c r="M305" s="636">
        <f>OneLineRR!O396</f>
        <v>0</v>
      </c>
      <c r="N305" s="636">
        <f t="shared" si="4"/>
        <v>0</v>
      </c>
      <c r="O305" s="636">
        <f>OneLineRR!N396</f>
        <v>0</v>
      </c>
      <c r="P305" s="636" t="e" cm="1">
        <f t="array" ref="P305">INDEX('Unit Mix'!$P$6:$P$62,MATCH(1,('Rent Roll'!G305='Unit Mix'!$E$6:$E$62)*(D305='Unit Mix'!$D$6:$D$62),0))</f>
        <v>#N/A</v>
      </c>
      <c r="Q305" s="150">
        <f>OneLineRR!T396</f>
        <v>0</v>
      </c>
      <c r="R305" s="150">
        <f>OneLineRR!U396</f>
        <v>0</v>
      </c>
      <c r="S305" s="150">
        <f>OneLineRR!V396</f>
        <v>0</v>
      </c>
      <c r="T305" s="150">
        <f>OneLineRR!W396</f>
        <v>0</v>
      </c>
      <c r="U305" s="157" t="str">
        <f>IF(OneLineRR!Q396="","",OneLineRR!Q396)</f>
        <v/>
      </c>
      <c r="V305" s="157" t="str">
        <f>IF(OneLineRR!R396="","",OneLineRR!R396)</f>
        <v/>
      </c>
      <c r="AB305" s="320" t="str">
        <f>IFERROR(U305+(COUNTIF($U$8:U305,U305)-1)/10000,"")</f>
        <v/>
      </c>
      <c r="AC305" s="158"/>
      <c r="AD305" s="119"/>
      <c r="AE305" s="460"/>
      <c r="AG305" s="119"/>
    </row>
    <row r="306" spans="4:33" x14ac:dyDescent="0.25">
      <c r="D306" s="154" t="str">
        <f>OneLineRR!A397</f>
        <v>Hudson View Park</v>
      </c>
      <c r="E306" s="104">
        <f>OneLineRR!J397</f>
        <v>0</v>
      </c>
      <c r="F306" s="104">
        <f>OneLineRR!K397</f>
        <v>0</v>
      </c>
      <c r="G306" s="155" t="e">
        <f>OneLineRR!D397</f>
        <v>#N/A</v>
      </c>
      <c r="H306" s="155" t="e">
        <f>IF(OneLineRR!G397="Yes","Affordable","Market")</f>
        <v>#N/A</v>
      </c>
      <c r="I306" s="104" t="e">
        <f>OneLineRR!I397</f>
        <v>#N/A</v>
      </c>
      <c r="J306" s="156">
        <f>OneLineRR!M397</f>
        <v>0</v>
      </c>
      <c r="K306" s="634">
        <f>OneLineRR!L397</f>
        <v>0</v>
      </c>
      <c r="L306" s="143" t="str">
        <f>OneLineRR!C397</f>
        <v>Occ</v>
      </c>
      <c r="M306" s="636">
        <f>OneLineRR!O397</f>
        <v>0</v>
      </c>
      <c r="N306" s="636">
        <f t="shared" si="4"/>
        <v>0</v>
      </c>
      <c r="O306" s="636">
        <f>OneLineRR!N397</f>
        <v>0</v>
      </c>
      <c r="P306" s="636" t="e" cm="1">
        <f t="array" ref="P306">INDEX('Unit Mix'!$P$6:$P$62,MATCH(1,('Rent Roll'!G306='Unit Mix'!$E$6:$E$62)*(D306='Unit Mix'!$D$6:$D$62),0))</f>
        <v>#N/A</v>
      </c>
      <c r="Q306" s="150">
        <f>OneLineRR!T397</f>
        <v>0</v>
      </c>
      <c r="R306" s="150">
        <f>OneLineRR!U397</f>
        <v>0</v>
      </c>
      <c r="S306" s="150">
        <f>OneLineRR!V397</f>
        <v>0</v>
      </c>
      <c r="T306" s="150">
        <f>OneLineRR!W397</f>
        <v>0</v>
      </c>
      <c r="U306" s="157" t="str">
        <f>IF(OneLineRR!Q397="","",OneLineRR!Q397)</f>
        <v/>
      </c>
      <c r="V306" s="157" t="str">
        <f>IF(OneLineRR!R397="","",OneLineRR!R397)</f>
        <v/>
      </c>
      <c r="AB306" s="320" t="str">
        <f>IFERROR(U306+(COUNTIF($U$8:U306,U306)-1)/10000,"")</f>
        <v/>
      </c>
      <c r="AC306" s="158"/>
      <c r="AD306" s="119"/>
      <c r="AE306" s="460"/>
      <c r="AG306" s="119"/>
    </row>
    <row r="307" spans="4:33" x14ac:dyDescent="0.25">
      <c r="D307" s="154" t="str">
        <f>OneLineRR!A398</f>
        <v>Hudson View Park</v>
      </c>
      <c r="E307" s="104">
        <f>OneLineRR!J398</f>
        <v>0</v>
      </c>
      <c r="F307" s="104">
        <f>OneLineRR!K398</f>
        <v>0</v>
      </c>
      <c r="G307" s="155" t="e">
        <f>OneLineRR!D398</f>
        <v>#N/A</v>
      </c>
      <c r="H307" s="155" t="e">
        <f>IF(OneLineRR!G398="Yes","Affordable","Market")</f>
        <v>#N/A</v>
      </c>
      <c r="I307" s="104" t="e">
        <f>OneLineRR!I398</f>
        <v>#N/A</v>
      </c>
      <c r="J307" s="156">
        <f>OneLineRR!M398</f>
        <v>0</v>
      </c>
      <c r="K307" s="634">
        <f>OneLineRR!L398</f>
        <v>0</v>
      </c>
      <c r="L307" s="143" t="str">
        <f>OneLineRR!C398</f>
        <v>Occ</v>
      </c>
      <c r="M307" s="636">
        <f>OneLineRR!O398</f>
        <v>0</v>
      </c>
      <c r="N307" s="636">
        <f t="shared" si="4"/>
        <v>0</v>
      </c>
      <c r="O307" s="636">
        <f>OneLineRR!N398</f>
        <v>0</v>
      </c>
      <c r="P307" s="636" t="e" cm="1">
        <f t="array" ref="P307">INDEX('Unit Mix'!$P$6:$P$62,MATCH(1,('Rent Roll'!G307='Unit Mix'!$E$6:$E$62)*(D307='Unit Mix'!$D$6:$D$62),0))</f>
        <v>#N/A</v>
      </c>
      <c r="Q307" s="150">
        <f>OneLineRR!T398</f>
        <v>0</v>
      </c>
      <c r="R307" s="150">
        <f>OneLineRR!U398</f>
        <v>0</v>
      </c>
      <c r="S307" s="150">
        <f>OneLineRR!V398</f>
        <v>0</v>
      </c>
      <c r="T307" s="150">
        <f>OneLineRR!W398</f>
        <v>0</v>
      </c>
      <c r="U307" s="157" t="str">
        <f>IF(OneLineRR!Q398="","",OneLineRR!Q398)</f>
        <v/>
      </c>
      <c r="V307" s="157" t="str">
        <f>IF(OneLineRR!R398="","",OneLineRR!R398)</f>
        <v/>
      </c>
      <c r="AB307" s="320" t="str">
        <f>IFERROR(U307+(COUNTIF($U$8:U307,U307)-1)/10000,"")</f>
        <v/>
      </c>
      <c r="AC307" s="158"/>
      <c r="AD307" s="119"/>
      <c r="AE307" s="460"/>
      <c r="AG307" s="119"/>
    </row>
    <row r="308" spans="4:33" x14ac:dyDescent="0.25">
      <c r="D308" s="154" t="str">
        <f>OneLineRR!A399</f>
        <v>Hudson View Park</v>
      </c>
      <c r="E308" s="104">
        <f>OneLineRR!J399</f>
        <v>0</v>
      </c>
      <c r="F308" s="104">
        <f>OneLineRR!K399</f>
        <v>0</v>
      </c>
      <c r="G308" s="155" t="e">
        <f>OneLineRR!D399</f>
        <v>#N/A</v>
      </c>
      <c r="H308" s="155" t="e">
        <f>IF(OneLineRR!G399="Yes","Affordable","Market")</f>
        <v>#N/A</v>
      </c>
      <c r="I308" s="104" t="e">
        <f>OneLineRR!I399</f>
        <v>#N/A</v>
      </c>
      <c r="J308" s="156">
        <f>OneLineRR!M399</f>
        <v>0</v>
      </c>
      <c r="K308" s="634">
        <f>OneLineRR!L399</f>
        <v>0</v>
      </c>
      <c r="L308" s="143" t="str">
        <f>OneLineRR!C399</f>
        <v>Occ</v>
      </c>
      <c r="M308" s="636">
        <f>OneLineRR!O399</f>
        <v>0</v>
      </c>
      <c r="N308" s="636">
        <f t="shared" si="4"/>
        <v>0</v>
      </c>
      <c r="O308" s="636">
        <f>OneLineRR!N399</f>
        <v>0</v>
      </c>
      <c r="P308" s="636" t="e" cm="1">
        <f t="array" ref="P308">INDEX('Unit Mix'!$P$6:$P$62,MATCH(1,('Rent Roll'!G308='Unit Mix'!$E$6:$E$62)*(D308='Unit Mix'!$D$6:$D$62),0))</f>
        <v>#N/A</v>
      </c>
      <c r="Q308" s="150">
        <f>OneLineRR!T399</f>
        <v>0</v>
      </c>
      <c r="R308" s="150">
        <f>OneLineRR!U399</f>
        <v>0</v>
      </c>
      <c r="S308" s="150">
        <f>OneLineRR!V399</f>
        <v>0</v>
      </c>
      <c r="T308" s="150">
        <f>OneLineRR!W399</f>
        <v>0</v>
      </c>
      <c r="U308" s="157" t="str">
        <f>IF(OneLineRR!Q399="","",OneLineRR!Q399)</f>
        <v/>
      </c>
      <c r="V308" s="157" t="str">
        <f>IF(OneLineRR!R399="","",OneLineRR!R399)</f>
        <v/>
      </c>
      <c r="AB308" s="320" t="str">
        <f>IFERROR(U308+(COUNTIF($U$8:U308,U308)-1)/10000,"")</f>
        <v/>
      </c>
      <c r="AC308" s="158"/>
      <c r="AD308" s="119"/>
      <c r="AE308" s="460"/>
      <c r="AG308" s="119"/>
    </row>
    <row r="309" spans="4:33" x14ac:dyDescent="0.25">
      <c r="D309" s="154" t="str">
        <f>OneLineRR!A400</f>
        <v>Hudson View Park</v>
      </c>
      <c r="E309" s="104">
        <f>OneLineRR!J400</f>
        <v>0</v>
      </c>
      <c r="F309" s="104">
        <f>OneLineRR!K400</f>
        <v>0</v>
      </c>
      <c r="G309" s="155" t="e">
        <f>OneLineRR!D400</f>
        <v>#N/A</v>
      </c>
      <c r="H309" s="155" t="e">
        <f>IF(OneLineRR!G400="Yes","Affordable","Market")</f>
        <v>#N/A</v>
      </c>
      <c r="I309" s="104" t="e">
        <f>OneLineRR!I400</f>
        <v>#N/A</v>
      </c>
      <c r="J309" s="156">
        <f>OneLineRR!M400</f>
        <v>0</v>
      </c>
      <c r="K309" s="634">
        <f>OneLineRR!L400</f>
        <v>0</v>
      </c>
      <c r="L309" s="143" t="str">
        <f>OneLineRR!C400</f>
        <v>Occ</v>
      </c>
      <c r="M309" s="636">
        <f>OneLineRR!O400</f>
        <v>0</v>
      </c>
      <c r="N309" s="636">
        <f t="shared" si="4"/>
        <v>0</v>
      </c>
      <c r="O309" s="636">
        <f>OneLineRR!N400</f>
        <v>0</v>
      </c>
      <c r="P309" s="636" t="e" cm="1">
        <f t="array" ref="P309">INDEX('Unit Mix'!$P$6:$P$62,MATCH(1,('Rent Roll'!G309='Unit Mix'!$E$6:$E$62)*(D309='Unit Mix'!$D$6:$D$62),0))</f>
        <v>#N/A</v>
      </c>
      <c r="Q309" s="150">
        <f>OneLineRR!T400</f>
        <v>0</v>
      </c>
      <c r="R309" s="150">
        <f>OneLineRR!U400</f>
        <v>0</v>
      </c>
      <c r="S309" s="150">
        <f>OneLineRR!V400</f>
        <v>0</v>
      </c>
      <c r="T309" s="150">
        <f>OneLineRR!W400</f>
        <v>0</v>
      </c>
      <c r="U309" s="157" t="str">
        <f>IF(OneLineRR!Q400="","",OneLineRR!Q400)</f>
        <v/>
      </c>
      <c r="V309" s="157" t="str">
        <f>IF(OneLineRR!R400="","",OneLineRR!R400)</f>
        <v/>
      </c>
      <c r="AB309" s="320" t="str">
        <f>IFERROR(U309+(COUNTIF($U$8:U309,U309)-1)/10000,"")</f>
        <v/>
      </c>
      <c r="AC309" s="158"/>
      <c r="AD309" s="119"/>
      <c r="AE309" s="460"/>
      <c r="AG309" s="119"/>
    </row>
    <row r="310" spans="4:33" x14ac:dyDescent="0.25">
      <c r="D310" s="154" t="str">
        <f>OneLineRR!A401</f>
        <v>Hudson View Park</v>
      </c>
      <c r="E310" s="104">
        <f>OneLineRR!J401</f>
        <v>0</v>
      </c>
      <c r="F310" s="104">
        <f>OneLineRR!K401</f>
        <v>0</v>
      </c>
      <c r="G310" s="155" t="e">
        <f>OneLineRR!D401</f>
        <v>#N/A</v>
      </c>
      <c r="H310" s="155" t="e">
        <f>IF(OneLineRR!G401="Yes","Affordable","Market")</f>
        <v>#N/A</v>
      </c>
      <c r="I310" s="104" t="e">
        <f>OneLineRR!I401</f>
        <v>#N/A</v>
      </c>
      <c r="J310" s="156">
        <f>OneLineRR!M401</f>
        <v>0</v>
      </c>
      <c r="K310" s="634">
        <f>OneLineRR!L401</f>
        <v>0</v>
      </c>
      <c r="L310" s="143" t="str">
        <f>OneLineRR!C401</f>
        <v>Occ</v>
      </c>
      <c r="M310" s="636">
        <f>OneLineRR!O401</f>
        <v>0</v>
      </c>
      <c r="N310" s="636">
        <f t="shared" si="4"/>
        <v>0</v>
      </c>
      <c r="O310" s="636">
        <f>OneLineRR!N401</f>
        <v>0</v>
      </c>
      <c r="P310" s="636" t="e" cm="1">
        <f t="array" ref="P310">INDEX('Unit Mix'!$P$6:$P$62,MATCH(1,('Rent Roll'!G310='Unit Mix'!$E$6:$E$62)*(D310='Unit Mix'!$D$6:$D$62),0))</f>
        <v>#N/A</v>
      </c>
      <c r="Q310" s="150">
        <f>OneLineRR!T401</f>
        <v>0</v>
      </c>
      <c r="R310" s="150">
        <f>OneLineRR!U401</f>
        <v>0</v>
      </c>
      <c r="S310" s="150">
        <f>OneLineRR!V401</f>
        <v>0</v>
      </c>
      <c r="T310" s="150">
        <f>OneLineRR!W401</f>
        <v>0</v>
      </c>
      <c r="U310" s="157" t="str">
        <f>IF(OneLineRR!Q401="","",OneLineRR!Q401)</f>
        <v/>
      </c>
      <c r="V310" s="157" t="str">
        <f>IF(OneLineRR!R401="","",OneLineRR!R401)</f>
        <v/>
      </c>
      <c r="AB310" s="320" t="str">
        <f>IFERROR(U310+(COUNTIF($U$8:U310,U310)-1)/10000,"")</f>
        <v/>
      </c>
      <c r="AC310" s="158"/>
      <c r="AD310" s="119"/>
      <c r="AE310" s="460"/>
      <c r="AG310" s="119"/>
    </row>
    <row r="311" spans="4:33" x14ac:dyDescent="0.25">
      <c r="D311" s="154" t="str">
        <f>OneLineRR!A402</f>
        <v>Hudson View Park</v>
      </c>
      <c r="E311" s="104">
        <f>OneLineRR!J402</f>
        <v>0</v>
      </c>
      <c r="F311" s="104">
        <f>OneLineRR!K402</f>
        <v>0</v>
      </c>
      <c r="G311" s="155" t="e">
        <f>OneLineRR!D402</f>
        <v>#N/A</v>
      </c>
      <c r="H311" s="155" t="e">
        <f>IF(OneLineRR!G402="Yes","Affordable","Market")</f>
        <v>#N/A</v>
      </c>
      <c r="I311" s="104" t="e">
        <f>OneLineRR!I402</f>
        <v>#N/A</v>
      </c>
      <c r="J311" s="156">
        <f>OneLineRR!M402</f>
        <v>0</v>
      </c>
      <c r="K311" s="634">
        <f>OneLineRR!L402</f>
        <v>0</v>
      </c>
      <c r="L311" s="143" t="str">
        <f>OneLineRR!C402</f>
        <v>Occ</v>
      </c>
      <c r="M311" s="636">
        <f>OneLineRR!O402</f>
        <v>0</v>
      </c>
      <c r="N311" s="636">
        <f t="shared" si="4"/>
        <v>0</v>
      </c>
      <c r="O311" s="636">
        <f>OneLineRR!N402</f>
        <v>0</v>
      </c>
      <c r="P311" s="636" t="e" cm="1">
        <f t="array" ref="P311">INDEX('Unit Mix'!$P$6:$P$62,MATCH(1,('Rent Roll'!G311='Unit Mix'!$E$6:$E$62)*(D311='Unit Mix'!$D$6:$D$62),0))</f>
        <v>#N/A</v>
      </c>
      <c r="Q311" s="150">
        <f>OneLineRR!T402</f>
        <v>0</v>
      </c>
      <c r="R311" s="150">
        <f>OneLineRR!U402</f>
        <v>0</v>
      </c>
      <c r="S311" s="150">
        <f>OneLineRR!V402</f>
        <v>0</v>
      </c>
      <c r="T311" s="150">
        <f>OneLineRR!W402</f>
        <v>0</v>
      </c>
      <c r="U311" s="157" t="str">
        <f>IF(OneLineRR!Q402="","",OneLineRR!Q402)</f>
        <v/>
      </c>
      <c r="V311" s="157" t="str">
        <f>IF(OneLineRR!R402="","",OneLineRR!R402)</f>
        <v/>
      </c>
      <c r="AB311" s="320" t="str">
        <f>IFERROR(U311+(COUNTIF($U$8:U311,U311)-1)/10000,"")</f>
        <v/>
      </c>
      <c r="AC311" s="158"/>
      <c r="AD311" s="119"/>
      <c r="AE311" s="460"/>
      <c r="AG311" s="119"/>
    </row>
    <row r="312" spans="4:33" x14ac:dyDescent="0.25">
      <c r="D312" s="154" t="str">
        <f>OneLineRR!A403</f>
        <v>Hudson View Park</v>
      </c>
      <c r="E312" s="104">
        <f>OneLineRR!J403</f>
        <v>0</v>
      </c>
      <c r="F312" s="104">
        <f>OneLineRR!K403</f>
        <v>0</v>
      </c>
      <c r="G312" s="155" t="e">
        <f>OneLineRR!D403</f>
        <v>#N/A</v>
      </c>
      <c r="H312" s="155" t="e">
        <f>IF(OneLineRR!G403="Yes","Affordable","Market")</f>
        <v>#N/A</v>
      </c>
      <c r="I312" s="104" t="e">
        <f>OneLineRR!I403</f>
        <v>#N/A</v>
      </c>
      <c r="J312" s="156">
        <f>OneLineRR!M403</f>
        <v>0</v>
      </c>
      <c r="K312" s="634">
        <f>OneLineRR!L403</f>
        <v>0</v>
      </c>
      <c r="L312" s="143" t="str">
        <f>OneLineRR!C403</f>
        <v>Occ</v>
      </c>
      <c r="M312" s="636">
        <f>OneLineRR!O403</f>
        <v>0</v>
      </c>
      <c r="N312" s="636">
        <f t="shared" si="4"/>
        <v>0</v>
      </c>
      <c r="O312" s="636">
        <f>OneLineRR!N403</f>
        <v>0</v>
      </c>
      <c r="P312" s="636" t="e" cm="1">
        <f t="array" ref="P312">INDEX('Unit Mix'!$P$6:$P$62,MATCH(1,('Rent Roll'!G312='Unit Mix'!$E$6:$E$62)*(D312='Unit Mix'!$D$6:$D$62),0))</f>
        <v>#N/A</v>
      </c>
      <c r="Q312" s="150">
        <f>OneLineRR!T403</f>
        <v>0</v>
      </c>
      <c r="R312" s="150">
        <f>OneLineRR!U403</f>
        <v>0</v>
      </c>
      <c r="S312" s="150">
        <f>OneLineRR!V403</f>
        <v>0</v>
      </c>
      <c r="T312" s="150">
        <f>OneLineRR!W403</f>
        <v>0</v>
      </c>
      <c r="U312" s="157" t="str">
        <f>IF(OneLineRR!Q403="","",OneLineRR!Q403)</f>
        <v/>
      </c>
      <c r="V312" s="157" t="str">
        <f>IF(OneLineRR!R403="","",OneLineRR!R403)</f>
        <v/>
      </c>
      <c r="AB312" s="320" t="str">
        <f>IFERROR(U312+(COUNTIF($U$8:U312,U312)-1)/10000,"")</f>
        <v/>
      </c>
      <c r="AC312" s="158"/>
      <c r="AD312" s="119"/>
      <c r="AE312" s="460"/>
      <c r="AG312" s="119"/>
    </row>
    <row r="313" spans="4:33" x14ac:dyDescent="0.25">
      <c r="D313" s="154" t="str">
        <f>OneLineRR!A404</f>
        <v>Hudson View Park</v>
      </c>
      <c r="E313" s="104">
        <f>OneLineRR!J404</f>
        <v>0</v>
      </c>
      <c r="F313" s="104">
        <f>OneLineRR!K404</f>
        <v>0</v>
      </c>
      <c r="G313" s="155" t="e">
        <f>OneLineRR!D404</f>
        <v>#N/A</v>
      </c>
      <c r="H313" s="155" t="e">
        <f>IF(OneLineRR!G404="Yes","Affordable","Market")</f>
        <v>#N/A</v>
      </c>
      <c r="I313" s="104" t="e">
        <f>OneLineRR!I404</f>
        <v>#N/A</v>
      </c>
      <c r="J313" s="156">
        <f>OneLineRR!M404</f>
        <v>0</v>
      </c>
      <c r="K313" s="634">
        <f>OneLineRR!L404</f>
        <v>0</v>
      </c>
      <c r="L313" s="143" t="str">
        <f>OneLineRR!C404</f>
        <v>Occ</v>
      </c>
      <c r="M313" s="636">
        <f>OneLineRR!O404</f>
        <v>0</v>
      </c>
      <c r="N313" s="636">
        <f t="shared" si="4"/>
        <v>0</v>
      </c>
      <c r="O313" s="636">
        <f>OneLineRR!N404</f>
        <v>0</v>
      </c>
      <c r="P313" s="636" t="e" cm="1">
        <f t="array" ref="P313">INDEX('Unit Mix'!$P$6:$P$62,MATCH(1,('Rent Roll'!G313='Unit Mix'!$E$6:$E$62)*(D313='Unit Mix'!$D$6:$D$62),0))</f>
        <v>#N/A</v>
      </c>
      <c r="Q313" s="150">
        <f>OneLineRR!T404</f>
        <v>0</v>
      </c>
      <c r="R313" s="150">
        <f>OneLineRR!U404</f>
        <v>0</v>
      </c>
      <c r="S313" s="150">
        <f>OneLineRR!V404</f>
        <v>0</v>
      </c>
      <c r="T313" s="150">
        <f>OneLineRR!W404</f>
        <v>0</v>
      </c>
      <c r="U313" s="157" t="str">
        <f>IF(OneLineRR!Q404="","",OneLineRR!Q404)</f>
        <v/>
      </c>
      <c r="V313" s="157" t="str">
        <f>IF(OneLineRR!R404="","",OneLineRR!R404)</f>
        <v/>
      </c>
      <c r="AB313" s="320" t="str">
        <f>IFERROR(U313+(COUNTIF($U$8:U313,U313)-1)/10000,"")</f>
        <v/>
      </c>
      <c r="AC313" s="158"/>
      <c r="AD313" s="119"/>
      <c r="AE313" s="460"/>
      <c r="AG313" s="119"/>
    </row>
    <row r="314" spans="4:33" x14ac:dyDescent="0.25">
      <c r="D314" s="154" t="str">
        <f>OneLineRR!A405</f>
        <v>Hudson View Park</v>
      </c>
      <c r="E314" s="104">
        <f>OneLineRR!J405</f>
        <v>0</v>
      </c>
      <c r="F314" s="104">
        <f>OneLineRR!K405</f>
        <v>0</v>
      </c>
      <c r="G314" s="155" t="e">
        <f>OneLineRR!D405</f>
        <v>#N/A</v>
      </c>
      <c r="H314" s="155" t="e">
        <f>IF(OneLineRR!G405="Yes","Affordable","Market")</f>
        <v>#N/A</v>
      </c>
      <c r="I314" s="104" t="e">
        <f>OneLineRR!I405</f>
        <v>#N/A</v>
      </c>
      <c r="J314" s="156">
        <f>OneLineRR!M405</f>
        <v>0</v>
      </c>
      <c r="K314" s="634">
        <f>OneLineRR!L405</f>
        <v>0</v>
      </c>
      <c r="L314" s="143" t="str">
        <f>OneLineRR!C405</f>
        <v>Occ</v>
      </c>
      <c r="M314" s="636">
        <f>OneLineRR!O405</f>
        <v>0</v>
      </c>
      <c r="N314" s="636">
        <f t="shared" si="4"/>
        <v>0</v>
      </c>
      <c r="O314" s="636">
        <f>OneLineRR!N405</f>
        <v>0</v>
      </c>
      <c r="P314" s="636" t="e" cm="1">
        <f t="array" ref="P314">INDEX('Unit Mix'!$P$6:$P$62,MATCH(1,('Rent Roll'!G314='Unit Mix'!$E$6:$E$62)*(D314='Unit Mix'!$D$6:$D$62),0))</f>
        <v>#N/A</v>
      </c>
      <c r="Q314" s="150">
        <f>OneLineRR!T405</f>
        <v>0</v>
      </c>
      <c r="R314" s="150">
        <f>OneLineRR!U405</f>
        <v>0</v>
      </c>
      <c r="S314" s="150">
        <f>OneLineRR!V405</f>
        <v>0</v>
      </c>
      <c r="T314" s="150">
        <f>OneLineRR!W405</f>
        <v>0</v>
      </c>
      <c r="U314" s="157" t="str">
        <f>IF(OneLineRR!Q405="","",OneLineRR!Q405)</f>
        <v/>
      </c>
      <c r="V314" s="157" t="str">
        <f>IF(OneLineRR!R405="","",OneLineRR!R405)</f>
        <v/>
      </c>
      <c r="AB314" s="320" t="str">
        <f>IFERROR(U314+(COUNTIF($U$8:U314,U314)-1)/10000,"")</f>
        <v/>
      </c>
      <c r="AC314" s="158"/>
      <c r="AD314" s="119"/>
      <c r="AE314" s="460"/>
      <c r="AG314" s="119"/>
    </row>
    <row r="315" spans="4:33" x14ac:dyDescent="0.25">
      <c r="D315" s="154" t="str">
        <f>OneLineRR!A406</f>
        <v>Hudson View Park</v>
      </c>
      <c r="E315" s="104">
        <f>OneLineRR!J406</f>
        <v>0</v>
      </c>
      <c r="F315" s="104">
        <f>OneLineRR!K406</f>
        <v>0</v>
      </c>
      <c r="G315" s="155" t="e">
        <f>OneLineRR!D406</f>
        <v>#N/A</v>
      </c>
      <c r="H315" s="155" t="e">
        <f>IF(OneLineRR!G406="Yes","Affordable","Market")</f>
        <v>#N/A</v>
      </c>
      <c r="I315" s="104" t="e">
        <f>OneLineRR!I406</f>
        <v>#N/A</v>
      </c>
      <c r="J315" s="156">
        <f>OneLineRR!M406</f>
        <v>0</v>
      </c>
      <c r="K315" s="634">
        <f>OneLineRR!L406</f>
        <v>0</v>
      </c>
      <c r="L315" s="143" t="str">
        <f>OneLineRR!C406</f>
        <v>Occ</v>
      </c>
      <c r="M315" s="636">
        <f>OneLineRR!O406</f>
        <v>0</v>
      </c>
      <c r="N315" s="636">
        <f t="shared" si="4"/>
        <v>0</v>
      </c>
      <c r="O315" s="636">
        <f>OneLineRR!N406</f>
        <v>0</v>
      </c>
      <c r="P315" s="636" t="e" cm="1">
        <f t="array" ref="P315">INDEX('Unit Mix'!$P$6:$P$62,MATCH(1,('Rent Roll'!G315='Unit Mix'!$E$6:$E$62)*(D315='Unit Mix'!$D$6:$D$62),0))</f>
        <v>#N/A</v>
      </c>
      <c r="Q315" s="150">
        <f>OneLineRR!T406</f>
        <v>0</v>
      </c>
      <c r="R315" s="150">
        <f>OneLineRR!U406</f>
        <v>0</v>
      </c>
      <c r="S315" s="150">
        <f>OneLineRR!V406</f>
        <v>0</v>
      </c>
      <c r="T315" s="150">
        <f>OneLineRR!W406</f>
        <v>0</v>
      </c>
      <c r="U315" s="157" t="str">
        <f>IF(OneLineRR!Q406="","",OneLineRR!Q406)</f>
        <v/>
      </c>
      <c r="V315" s="157" t="str">
        <f>IF(OneLineRR!R406="","",OneLineRR!R406)</f>
        <v/>
      </c>
      <c r="AB315" s="320" t="str">
        <f>IFERROR(U315+(COUNTIF($U$8:U315,U315)-1)/10000,"")</f>
        <v/>
      </c>
      <c r="AC315" s="158"/>
      <c r="AD315" s="119"/>
      <c r="AE315" s="460"/>
      <c r="AG315" s="119"/>
    </row>
    <row r="316" spans="4:33" x14ac:dyDescent="0.25">
      <c r="D316" s="154" t="str">
        <f>OneLineRR!A407</f>
        <v>Hudson View Park</v>
      </c>
      <c r="E316" s="104">
        <f>OneLineRR!J407</f>
        <v>0</v>
      </c>
      <c r="F316" s="104">
        <f>OneLineRR!K407</f>
        <v>0</v>
      </c>
      <c r="G316" s="155" t="e">
        <f>OneLineRR!D407</f>
        <v>#N/A</v>
      </c>
      <c r="H316" s="155" t="e">
        <f>IF(OneLineRR!G407="Yes","Affordable","Market")</f>
        <v>#N/A</v>
      </c>
      <c r="I316" s="104" t="e">
        <f>OneLineRR!I407</f>
        <v>#N/A</v>
      </c>
      <c r="J316" s="156">
        <f>OneLineRR!M407</f>
        <v>0</v>
      </c>
      <c r="K316" s="634">
        <f>OneLineRR!L407</f>
        <v>0</v>
      </c>
      <c r="L316" s="143" t="str">
        <f>OneLineRR!C407</f>
        <v>Occ</v>
      </c>
      <c r="M316" s="636">
        <f>OneLineRR!O407</f>
        <v>0</v>
      </c>
      <c r="N316" s="636">
        <f t="shared" si="4"/>
        <v>0</v>
      </c>
      <c r="O316" s="636">
        <f>OneLineRR!N407</f>
        <v>0</v>
      </c>
      <c r="P316" s="636" t="e" cm="1">
        <f t="array" ref="P316">INDEX('Unit Mix'!$P$6:$P$62,MATCH(1,('Rent Roll'!G316='Unit Mix'!$E$6:$E$62)*(D316='Unit Mix'!$D$6:$D$62),0))</f>
        <v>#N/A</v>
      </c>
      <c r="Q316" s="150">
        <f>OneLineRR!T407</f>
        <v>0</v>
      </c>
      <c r="R316" s="150">
        <f>OneLineRR!U407</f>
        <v>0</v>
      </c>
      <c r="S316" s="150">
        <f>OneLineRR!V407</f>
        <v>0</v>
      </c>
      <c r="T316" s="150">
        <f>OneLineRR!W407</f>
        <v>0</v>
      </c>
      <c r="U316" s="157" t="str">
        <f>IF(OneLineRR!Q407="","",OneLineRR!Q407)</f>
        <v/>
      </c>
      <c r="V316" s="157" t="str">
        <f>IF(OneLineRR!R407="","",OneLineRR!R407)</f>
        <v/>
      </c>
      <c r="AB316" s="320" t="str">
        <f>IFERROR(U316+(COUNTIF($U$8:U316,U316)-1)/10000,"")</f>
        <v/>
      </c>
      <c r="AC316" s="158"/>
      <c r="AD316" s="119"/>
      <c r="AE316" s="460"/>
      <c r="AG316" s="119"/>
    </row>
    <row r="317" spans="4:33" x14ac:dyDescent="0.25">
      <c r="D317" s="154" t="str">
        <f>OneLineRR!A408</f>
        <v>Hudson View Park</v>
      </c>
      <c r="E317" s="104">
        <f>OneLineRR!J408</f>
        <v>0</v>
      </c>
      <c r="F317" s="104">
        <f>OneLineRR!K408</f>
        <v>0</v>
      </c>
      <c r="G317" s="155" t="e">
        <f>OneLineRR!D408</f>
        <v>#N/A</v>
      </c>
      <c r="H317" s="155" t="e">
        <f>IF(OneLineRR!G408="Yes","Affordable","Market")</f>
        <v>#N/A</v>
      </c>
      <c r="I317" s="104" t="e">
        <f>OneLineRR!I408</f>
        <v>#N/A</v>
      </c>
      <c r="J317" s="156">
        <f>OneLineRR!M408</f>
        <v>0</v>
      </c>
      <c r="K317" s="634">
        <f>OneLineRR!L408</f>
        <v>0</v>
      </c>
      <c r="L317" s="143" t="str">
        <f>OneLineRR!C408</f>
        <v>Occ</v>
      </c>
      <c r="M317" s="636">
        <f>OneLineRR!O408</f>
        <v>0</v>
      </c>
      <c r="N317" s="636">
        <f t="shared" si="4"/>
        <v>0</v>
      </c>
      <c r="O317" s="636">
        <f>OneLineRR!N408</f>
        <v>0</v>
      </c>
      <c r="P317" s="636" t="e" cm="1">
        <f t="array" ref="P317">INDEX('Unit Mix'!$P$6:$P$62,MATCH(1,('Rent Roll'!G317='Unit Mix'!$E$6:$E$62)*(D317='Unit Mix'!$D$6:$D$62),0))</f>
        <v>#N/A</v>
      </c>
      <c r="Q317" s="150">
        <f>OneLineRR!T408</f>
        <v>0</v>
      </c>
      <c r="R317" s="150">
        <f>OneLineRR!U408</f>
        <v>0</v>
      </c>
      <c r="S317" s="150">
        <f>OneLineRR!V408</f>
        <v>0</v>
      </c>
      <c r="T317" s="150">
        <f>OneLineRR!W408</f>
        <v>0</v>
      </c>
      <c r="U317" s="157" t="str">
        <f>IF(OneLineRR!Q408="","",OneLineRR!Q408)</f>
        <v/>
      </c>
      <c r="V317" s="157" t="str">
        <f>IF(OneLineRR!R408="","",OneLineRR!R408)</f>
        <v/>
      </c>
      <c r="AB317" s="320" t="str">
        <f>IFERROR(U317+(COUNTIF($U$8:U317,U317)-1)/10000,"")</f>
        <v/>
      </c>
      <c r="AC317" s="158"/>
      <c r="AD317" s="119"/>
      <c r="AE317" s="460"/>
      <c r="AG317" s="119"/>
    </row>
    <row r="318" spans="4:33" x14ac:dyDescent="0.25">
      <c r="D318" s="154" t="str">
        <f>OneLineRR!A409</f>
        <v>Hudson View Park</v>
      </c>
      <c r="E318" s="104">
        <f>OneLineRR!J409</f>
        <v>0</v>
      </c>
      <c r="F318" s="104">
        <f>OneLineRR!K409</f>
        <v>0</v>
      </c>
      <c r="G318" s="155" t="e">
        <f>OneLineRR!D409</f>
        <v>#N/A</v>
      </c>
      <c r="H318" s="155" t="e">
        <f>IF(OneLineRR!G409="Yes","Affordable","Market")</f>
        <v>#N/A</v>
      </c>
      <c r="I318" s="104" t="e">
        <f>OneLineRR!I409</f>
        <v>#N/A</v>
      </c>
      <c r="J318" s="156">
        <f>OneLineRR!M409</f>
        <v>0</v>
      </c>
      <c r="K318" s="634">
        <f>OneLineRR!L409</f>
        <v>0</v>
      </c>
      <c r="L318" s="143" t="str">
        <f>OneLineRR!C409</f>
        <v>Occ</v>
      </c>
      <c r="M318" s="636">
        <f>OneLineRR!O409</f>
        <v>0</v>
      </c>
      <c r="N318" s="636">
        <f t="shared" si="4"/>
        <v>0</v>
      </c>
      <c r="O318" s="636">
        <f>OneLineRR!N409</f>
        <v>0</v>
      </c>
      <c r="P318" s="636" t="e" cm="1">
        <f t="array" ref="P318">INDEX('Unit Mix'!$P$6:$P$62,MATCH(1,('Rent Roll'!G318='Unit Mix'!$E$6:$E$62)*(D318='Unit Mix'!$D$6:$D$62),0))</f>
        <v>#N/A</v>
      </c>
      <c r="Q318" s="150">
        <f>OneLineRR!T409</f>
        <v>0</v>
      </c>
      <c r="R318" s="150">
        <f>OneLineRR!U409</f>
        <v>0</v>
      </c>
      <c r="S318" s="150">
        <f>OneLineRR!V409</f>
        <v>0</v>
      </c>
      <c r="T318" s="150">
        <f>OneLineRR!W409</f>
        <v>0</v>
      </c>
      <c r="U318" s="157" t="str">
        <f>IF(OneLineRR!Q409="","",OneLineRR!Q409)</f>
        <v/>
      </c>
      <c r="V318" s="157" t="str">
        <f>IF(OneLineRR!R409="","",OneLineRR!R409)</f>
        <v/>
      </c>
      <c r="AB318" s="320" t="str">
        <f>IFERROR(U318+(COUNTIF($U$8:U318,U318)-1)/10000,"")</f>
        <v/>
      </c>
      <c r="AC318" s="158"/>
      <c r="AD318" s="119"/>
      <c r="AE318" s="460"/>
      <c r="AG318" s="119"/>
    </row>
    <row r="319" spans="4:33" x14ac:dyDescent="0.25">
      <c r="D319" s="154" t="str">
        <f>OneLineRR!A410</f>
        <v>Hudson View Park</v>
      </c>
      <c r="E319" s="104">
        <f>OneLineRR!J410</f>
        <v>0</v>
      </c>
      <c r="F319" s="104">
        <f>OneLineRR!K410</f>
        <v>0</v>
      </c>
      <c r="G319" s="155" t="e">
        <f>OneLineRR!D410</f>
        <v>#N/A</v>
      </c>
      <c r="H319" s="155" t="e">
        <f>IF(OneLineRR!G410="Yes","Affordable","Market")</f>
        <v>#N/A</v>
      </c>
      <c r="I319" s="104" t="e">
        <f>OneLineRR!I410</f>
        <v>#N/A</v>
      </c>
      <c r="J319" s="156">
        <f>OneLineRR!M410</f>
        <v>0</v>
      </c>
      <c r="K319" s="634">
        <f>OneLineRR!L410</f>
        <v>0</v>
      </c>
      <c r="L319" s="143" t="str">
        <f>OneLineRR!C410</f>
        <v>Occ</v>
      </c>
      <c r="M319" s="636">
        <f>OneLineRR!O410</f>
        <v>0</v>
      </c>
      <c r="N319" s="636">
        <f t="shared" si="4"/>
        <v>0</v>
      </c>
      <c r="O319" s="636">
        <f>OneLineRR!N410</f>
        <v>0</v>
      </c>
      <c r="P319" s="636" t="e" cm="1">
        <f t="array" ref="P319">INDEX('Unit Mix'!$P$6:$P$62,MATCH(1,('Rent Roll'!G319='Unit Mix'!$E$6:$E$62)*(D319='Unit Mix'!$D$6:$D$62),0))</f>
        <v>#N/A</v>
      </c>
      <c r="Q319" s="150">
        <f>OneLineRR!T410</f>
        <v>0</v>
      </c>
      <c r="R319" s="150">
        <f>OneLineRR!U410</f>
        <v>0</v>
      </c>
      <c r="S319" s="150">
        <f>OneLineRR!V410</f>
        <v>0</v>
      </c>
      <c r="T319" s="150">
        <f>OneLineRR!W410</f>
        <v>0</v>
      </c>
      <c r="U319" s="157" t="str">
        <f>IF(OneLineRR!Q410="","",OneLineRR!Q410)</f>
        <v/>
      </c>
      <c r="V319" s="157" t="str">
        <f>IF(OneLineRR!R410="","",OneLineRR!R410)</f>
        <v/>
      </c>
      <c r="AB319" s="320" t="str">
        <f>IFERROR(U319+(COUNTIF($U$8:U319,U319)-1)/10000,"")</f>
        <v/>
      </c>
      <c r="AC319" s="158"/>
      <c r="AD319" s="119"/>
      <c r="AE319" s="460"/>
      <c r="AG319" s="119"/>
    </row>
    <row r="320" spans="4:33" x14ac:dyDescent="0.25">
      <c r="D320" s="154" t="str">
        <f>OneLineRR!A411</f>
        <v>Hudson View Park</v>
      </c>
      <c r="E320" s="104">
        <f>OneLineRR!J411</f>
        <v>0</v>
      </c>
      <c r="F320" s="104">
        <f>OneLineRR!K411</f>
        <v>0</v>
      </c>
      <c r="G320" s="155" t="e">
        <f>OneLineRR!D411</f>
        <v>#N/A</v>
      </c>
      <c r="H320" s="155" t="e">
        <f>IF(OneLineRR!G411="Yes","Affordable","Market")</f>
        <v>#N/A</v>
      </c>
      <c r="I320" s="104" t="e">
        <f>OneLineRR!I411</f>
        <v>#N/A</v>
      </c>
      <c r="J320" s="156">
        <f>OneLineRR!M411</f>
        <v>0</v>
      </c>
      <c r="K320" s="634">
        <f>OneLineRR!L411</f>
        <v>0</v>
      </c>
      <c r="L320" s="143" t="str">
        <f>OneLineRR!C411</f>
        <v>Occ</v>
      </c>
      <c r="M320" s="636">
        <f>OneLineRR!O411</f>
        <v>0</v>
      </c>
      <c r="N320" s="636">
        <f t="shared" si="4"/>
        <v>0</v>
      </c>
      <c r="O320" s="636">
        <f>OneLineRR!N411</f>
        <v>0</v>
      </c>
      <c r="P320" s="636" t="e" cm="1">
        <f t="array" ref="P320">INDEX('Unit Mix'!$P$6:$P$62,MATCH(1,('Rent Roll'!G320='Unit Mix'!$E$6:$E$62)*(D320='Unit Mix'!$D$6:$D$62),0))</f>
        <v>#N/A</v>
      </c>
      <c r="Q320" s="150">
        <f>OneLineRR!T411</f>
        <v>0</v>
      </c>
      <c r="R320" s="150">
        <f>OneLineRR!U411</f>
        <v>0</v>
      </c>
      <c r="S320" s="150">
        <f>OneLineRR!V411</f>
        <v>0</v>
      </c>
      <c r="T320" s="150">
        <f>OneLineRR!W411</f>
        <v>0</v>
      </c>
      <c r="U320" s="157" t="str">
        <f>IF(OneLineRR!Q411="","",OneLineRR!Q411)</f>
        <v/>
      </c>
      <c r="V320" s="157" t="str">
        <f>IF(OneLineRR!R411="","",OneLineRR!R411)</f>
        <v/>
      </c>
      <c r="AB320" s="320" t="str">
        <f>IFERROR(U320+(COUNTIF($U$8:U320,U320)-1)/10000,"")</f>
        <v/>
      </c>
      <c r="AC320" s="158"/>
      <c r="AD320" s="119"/>
      <c r="AE320" s="460"/>
      <c r="AG320" s="119"/>
    </row>
    <row r="321" spans="4:33" x14ac:dyDescent="0.25">
      <c r="D321" s="154" t="str">
        <f>OneLineRR!A412</f>
        <v>Hudson View Park</v>
      </c>
      <c r="E321" s="104">
        <f>OneLineRR!J412</f>
        <v>0</v>
      </c>
      <c r="F321" s="104">
        <f>OneLineRR!K412</f>
        <v>0</v>
      </c>
      <c r="G321" s="155" t="e">
        <f>OneLineRR!D412</f>
        <v>#N/A</v>
      </c>
      <c r="H321" s="155" t="e">
        <f>IF(OneLineRR!G412="Yes","Affordable","Market")</f>
        <v>#N/A</v>
      </c>
      <c r="I321" s="104" t="e">
        <f>OneLineRR!I412</f>
        <v>#N/A</v>
      </c>
      <c r="J321" s="156">
        <f>OneLineRR!M412</f>
        <v>0</v>
      </c>
      <c r="K321" s="634">
        <f>OneLineRR!L412</f>
        <v>0</v>
      </c>
      <c r="L321" s="143" t="str">
        <f>OneLineRR!C412</f>
        <v>Occ</v>
      </c>
      <c r="M321" s="636">
        <f>OneLineRR!O412</f>
        <v>0</v>
      </c>
      <c r="N321" s="636">
        <f t="shared" si="4"/>
        <v>0</v>
      </c>
      <c r="O321" s="636">
        <f>OneLineRR!N412</f>
        <v>0</v>
      </c>
      <c r="P321" s="636" t="e" cm="1">
        <f t="array" ref="P321">INDEX('Unit Mix'!$P$6:$P$62,MATCH(1,('Rent Roll'!G321='Unit Mix'!$E$6:$E$62)*(D321='Unit Mix'!$D$6:$D$62),0))</f>
        <v>#N/A</v>
      </c>
      <c r="Q321" s="150">
        <f>OneLineRR!T412</f>
        <v>0</v>
      </c>
      <c r="R321" s="150">
        <f>OneLineRR!U412</f>
        <v>0</v>
      </c>
      <c r="S321" s="150">
        <f>OneLineRR!V412</f>
        <v>0</v>
      </c>
      <c r="T321" s="150">
        <f>OneLineRR!W412</f>
        <v>0</v>
      </c>
      <c r="U321" s="157" t="str">
        <f>IF(OneLineRR!Q412="","",OneLineRR!Q412)</f>
        <v/>
      </c>
      <c r="V321" s="157" t="str">
        <f>IF(OneLineRR!R412="","",OneLineRR!R412)</f>
        <v/>
      </c>
      <c r="AB321" s="320" t="str">
        <f>IFERROR(U321+(COUNTIF($U$8:U321,U321)-1)/10000,"")</f>
        <v/>
      </c>
      <c r="AC321" s="158"/>
      <c r="AD321" s="119"/>
      <c r="AE321" s="460"/>
      <c r="AG321" s="119"/>
    </row>
    <row r="322" spans="4:33" x14ac:dyDescent="0.25">
      <c r="D322" s="154" t="str">
        <f>OneLineRR!A413</f>
        <v>Hudson View Park</v>
      </c>
      <c r="E322" s="104">
        <f>OneLineRR!J413</f>
        <v>0</v>
      </c>
      <c r="F322" s="104">
        <f>OneLineRR!K413</f>
        <v>0</v>
      </c>
      <c r="G322" s="155" t="e">
        <f>OneLineRR!D413</f>
        <v>#N/A</v>
      </c>
      <c r="H322" s="155" t="e">
        <f>IF(OneLineRR!G413="Yes","Affordable","Market")</f>
        <v>#N/A</v>
      </c>
      <c r="I322" s="104" t="e">
        <f>OneLineRR!I413</f>
        <v>#N/A</v>
      </c>
      <c r="J322" s="156">
        <f>OneLineRR!M413</f>
        <v>0</v>
      </c>
      <c r="K322" s="634">
        <f>OneLineRR!L413</f>
        <v>0</v>
      </c>
      <c r="L322" s="143" t="str">
        <f>OneLineRR!C413</f>
        <v>Occ</v>
      </c>
      <c r="M322" s="636">
        <f>OneLineRR!O413</f>
        <v>0</v>
      </c>
      <c r="N322" s="636">
        <f t="shared" si="4"/>
        <v>0</v>
      </c>
      <c r="O322" s="636">
        <f>OneLineRR!N413</f>
        <v>0</v>
      </c>
      <c r="P322" s="636" t="e" cm="1">
        <f t="array" ref="P322">INDEX('Unit Mix'!$P$6:$P$62,MATCH(1,('Rent Roll'!G322='Unit Mix'!$E$6:$E$62)*(D322='Unit Mix'!$D$6:$D$62),0))</f>
        <v>#N/A</v>
      </c>
      <c r="Q322" s="150">
        <f>OneLineRR!T413</f>
        <v>0</v>
      </c>
      <c r="R322" s="150">
        <f>OneLineRR!U413</f>
        <v>0</v>
      </c>
      <c r="S322" s="150">
        <f>OneLineRR!V413</f>
        <v>0</v>
      </c>
      <c r="T322" s="150">
        <f>OneLineRR!W413</f>
        <v>0</v>
      </c>
      <c r="U322" s="157" t="str">
        <f>IF(OneLineRR!Q413="","",OneLineRR!Q413)</f>
        <v/>
      </c>
      <c r="V322" s="157" t="str">
        <f>IF(OneLineRR!R413="","",OneLineRR!R413)</f>
        <v/>
      </c>
      <c r="AB322" s="320" t="str">
        <f>IFERROR(U322+(COUNTIF($U$8:U322,U322)-1)/10000,"")</f>
        <v/>
      </c>
      <c r="AC322" s="158"/>
      <c r="AD322" s="119"/>
      <c r="AE322" s="460"/>
      <c r="AG322" s="119"/>
    </row>
    <row r="323" spans="4:33" x14ac:dyDescent="0.25">
      <c r="D323" s="154" t="str">
        <f>OneLineRR!A414</f>
        <v>Hudson View Park</v>
      </c>
      <c r="E323" s="104">
        <f>OneLineRR!J414</f>
        <v>0</v>
      </c>
      <c r="F323" s="104">
        <f>OneLineRR!K414</f>
        <v>0</v>
      </c>
      <c r="G323" s="155" t="e">
        <f>OneLineRR!D414</f>
        <v>#N/A</v>
      </c>
      <c r="H323" s="155" t="e">
        <f>IF(OneLineRR!G414="Yes","Affordable","Market")</f>
        <v>#N/A</v>
      </c>
      <c r="I323" s="104" t="e">
        <f>OneLineRR!I414</f>
        <v>#N/A</v>
      </c>
      <c r="J323" s="156">
        <f>OneLineRR!M414</f>
        <v>0</v>
      </c>
      <c r="K323" s="634">
        <f>OneLineRR!L414</f>
        <v>0</v>
      </c>
      <c r="L323" s="143" t="str">
        <f>OneLineRR!C414</f>
        <v>Occ</v>
      </c>
      <c r="M323" s="636">
        <f>OneLineRR!O414</f>
        <v>0</v>
      </c>
      <c r="N323" s="636">
        <f t="shared" si="4"/>
        <v>0</v>
      </c>
      <c r="O323" s="636">
        <f>OneLineRR!N414</f>
        <v>0</v>
      </c>
      <c r="P323" s="636" t="e" cm="1">
        <f t="array" ref="P323">INDEX('Unit Mix'!$P$6:$P$62,MATCH(1,('Rent Roll'!G323='Unit Mix'!$E$6:$E$62)*(D323='Unit Mix'!$D$6:$D$62),0))</f>
        <v>#N/A</v>
      </c>
      <c r="Q323" s="150">
        <f>OneLineRR!T414</f>
        <v>0</v>
      </c>
      <c r="R323" s="150">
        <f>OneLineRR!U414</f>
        <v>0</v>
      </c>
      <c r="S323" s="150">
        <f>OneLineRR!V414</f>
        <v>0</v>
      </c>
      <c r="T323" s="150">
        <f>OneLineRR!W414</f>
        <v>0</v>
      </c>
      <c r="U323" s="157" t="str">
        <f>IF(OneLineRR!Q414="","",OneLineRR!Q414)</f>
        <v/>
      </c>
      <c r="V323" s="157" t="str">
        <f>IF(OneLineRR!R414="","",OneLineRR!R414)</f>
        <v/>
      </c>
      <c r="AB323" s="320" t="str">
        <f>IFERROR(U323+(COUNTIF($U$8:U323,U323)-1)/10000,"")</f>
        <v/>
      </c>
      <c r="AC323" s="158"/>
      <c r="AD323" s="119"/>
      <c r="AE323" s="460"/>
      <c r="AG323" s="119"/>
    </row>
    <row r="324" spans="4:33" x14ac:dyDescent="0.25">
      <c r="D324" s="154" t="str">
        <f>OneLineRR!A415</f>
        <v>Hudson View Park</v>
      </c>
      <c r="E324" s="104">
        <f>OneLineRR!J415</f>
        <v>0</v>
      </c>
      <c r="F324" s="104">
        <f>OneLineRR!K415</f>
        <v>0</v>
      </c>
      <c r="G324" s="155" t="e">
        <f>OneLineRR!D415</f>
        <v>#N/A</v>
      </c>
      <c r="H324" s="155" t="e">
        <f>IF(OneLineRR!G415="Yes","Affordable","Market")</f>
        <v>#N/A</v>
      </c>
      <c r="I324" s="104" t="e">
        <f>OneLineRR!I415</f>
        <v>#N/A</v>
      </c>
      <c r="J324" s="156">
        <f>OneLineRR!M415</f>
        <v>0</v>
      </c>
      <c r="K324" s="634">
        <f>OneLineRR!L415</f>
        <v>0</v>
      </c>
      <c r="L324" s="143" t="str">
        <f>OneLineRR!C415</f>
        <v>Occ</v>
      </c>
      <c r="M324" s="636">
        <f>OneLineRR!O415</f>
        <v>0</v>
      </c>
      <c r="N324" s="636">
        <f t="shared" si="4"/>
        <v>0</v>
      </c>
      <c r="O324" s="636">
        <f>OneLineRR!N415</f>
        <v>0</v>
      </c>
      <c r="P324" s="636" t="e" cm="1">
        <f t="array" ref="P324">INDEX('Unit Mix'!$P$6:$P$62,MATCH(1,('Rent Roll'!G324='Unit Mix'!$E$6:$E$62)*(D324='Unit Mix'!$D$6:$D$62),0))</f>
        <v>#N/A</v>
      </c>
      <c r="Q324" s="150">
        <f>OneLineRR!T415</f>
        <v>0</v>
      </c>
      <c r="R324" s="150">
        <f>OneLineRR!U415</f>
        <v>0</v>
      </c>
      <c r="S324" s="150">
        <f>OneLineRR!V415</f>
        <v>0</v>
      </c>
      <c r="T324" s="150">
        <f>OneLineRR!W415</f>
        <v>0</v>
      </c>
      <c r="U324" s="157" t="str">
        <f>IF(OneLineRR!Q415="","",OneLineRR!Q415)</f>
        <v/>
      </c>
      <c r="V324" s="157" t="str">
        <f>IF(OneLineRR!R415="","",OneLineRR!R415)</f>
        <v/>
      </c>
      <c r="AB324" s="320" t="str">
        <f>IFERROR(U324+(COUNTIF($U$8:U324,U324)-1)/10000,"")</f>
        <v/>
      </c>
      <c r="AC324" s="158"/>
      <c r="AD324" s="119"/>
      <c r="AE324" s="460"/>
      <c r="AG324" s="119"/>
    </row>
    <row r="325" spans="4:33" x14ac:dyDescent="0.25">
      <c r="D325" s="154" t="str">
        <f>OneLineRR!A416</f>
        <v>Hudson View Park</v>
      </c>
      <c r="E325" s="104">
        <f>OneLineRR!J416</f>
        <v>0</v>
      </c>
      <c r="F325" s="104">
        <f>OneLineRR!K416</f>
        <v>0</v>
      </c>
      <c r="G325" s="155" t="e">
        <f>OneLineRR!D416</f>
        <v>#N/A</v>
      </c>
      <c r="H325" s="155" t="e">
        <f>IF(OneLineRR!G416="Yes","Affordable","Market")</f>
        <v>#N/A</v>
      </c>
      <c r="I325" s="104" t="e">
        <f>OneLineRR!I416</f>
        <v>#N/A</v>
      </c>
      <c r="J325" s="156">
        <f>OneLineRR!M416</f>
        <v>0</v>
      </c>
      <c r="K325" s="634">
        <f>OneLineRR!L416</f>
        <v>0</v>
      </c>
      <c r="L325" s="143" t="str">
        <f>OneLineRR!C416</f>
        <v>Occ</v>
      </c>
      <c r="M325" s="636">
        <f>OneLineRR!O416</f>
        <v>0</v>
      </c>
      <c r="N325" s="636">
        <f t="shared" si="4"/>
        <v>0</v>
      </c>
      <c r="O325" s="636">
        <f>OneLineRR!N416</f>
        <v>0</v>
      </c>
      <c r="P325" s="636" t="e" cm="1">
        <f t="array" ref="P325">INDEX('Unit Mix'!$P$6:$P$62,MATCH(1,('Rent Roll'!G325='Unit Mix'!$E$6:$E$62)*(D325='Unit Mix'!$D$6:$D$62),0))</f>
        <v>#N/A</v>
      </c>
      <c r="Q325" s="150">
        <f>OneLineRR!T416</f>
        <v>0</v>
      </c>
      <c r="R325" s="150">
        <f>OneLineRR!U416</f>
        <v>0</v>
      </c>
      <c r="S325" s="150">
        <f>OneLineRR!V416</f>
        <v>0</v>
      </c>
      <c r="T325" s="150">
        <f>OneLineRR!W416</f>
        <v>0</v>
      </c>
      <c r="U325" s="157" t="str">
        <f>IF(OneLineRR!Q416="","",OneLineRR!Q416)</f>
        <v/>
      </c>
      <c r="V325" s="157" t="str">
        <f>IF(OneLineRR!R416="","",OneLineRR!R416)</f>
        <v/>
      </c>
      <c r="AB325" s="320" t="str">
        <f>IFERROR(U325+(COUNTIF($U$8:U325,U325)-1)/10000,"")</f>
        <v/>
      </c>
      <c r="AC325" s="158"/>
      <c r="AD325" s="119"/>
      <c r="AE325" s="460"/>
      <c r="AG325" s="119"/>
    </row>
    <row r="326" spans="4:33" x14ac:dyDescent="0.25">
      <c r="D326" s="154" t="str">
        <f>OneLineRR!A417</f>
        <v>Hudson View Park</v>
      </c>
      <c r="E326" s="104">
        <f>OneLineRR!J417</f>
        <v>0</v>
      </c>
      <c r="F326" s="104">
        <f>OneLineRR!K417</f>
        <v>0</v>
      </c>
      <c r="G326" s="155" t="e">
        <f>OneLineRR!D417</f>
        <v>#N/A</v>
      </c>
      <c r="H326" s="155" t="e">
        <f>IF(OneLineRR!G417="Yes","Affordable","Market")</f>
        <v>#N/A</v>
      </c>
      <c r="I326" s="104" t="e">
        <f>OneLineRR!I417</f>
        <v>#N/A</v>
      </c>
      <c r="J326" s="156">
        <f>OneLineRR!M417</f>
        <v>0</v>
      </c>
      <c r="K326" s="634">
        <f>OneLineRR!L417</f>
        <v>0</v>
      </c>
      <c r="L326" s="143" t="str">
        <f>OneLineRR!C417</f>
        <v>Occ</v>
      </c>
      <c r="M326" s="636">
        <f>OneLineRR!O417</f>
        <v>0</v>
      </c>
      <c r="N326" s="636">
        <f t="shared" si="4"/>
        <v>0</v>
      </c>
      <c r="O326" s="636">
        <f>OneLineRR!N417</f>
        <v>0</v>
      </c>
      <c r="P326" s="636" t="e" cm="1">
        <f t="array" ref="P326">INDEX('Unit Mix'!$P$6:$P$62,MATCH(1,('Rent Roll'!G326='Unit Mix'!$E$6:$E$62)*(D326='Unit Mix'!$D$6:$D$62),0))</f>
        <v>#N/A</v>
      </c>
      <c r="Q326" s="150">
        <f>OneLineRR!T417</f>
        <v>0</v>
      </c>
      <c r="R326" s="150">
        <f>OneLineRR!U417</f>
        <v>0</v>
      </c>
      <c r="S326" s="150">
        <f>OneLineRR!V417</f>
        <v>0</v>
      </c>
      <c r="T326" s="150">
        <f>OneLineRR!W417</f>
        <v>0</v>
      </c>
      <c r="U326" s="157" t="str">
        <f>IF(OneLineRR!Q417="","",OneLineRR!Q417)</f>
        <v/>
      </c>
      <c r="V326" s="157" t="str">
        <f>IF(OneLineRR!R417="","",OneLineRR!R417)</f>
        <v/>
      </c>
      <c r="AB326" s="320" t="str">
        <f>IFERROR(U326+(COUNTIF($U$8:U326,U326)-1)/10000,"")</f>
        <v/>
      </c>
      <c r="AC326" s="158"/>
      <c r="AD326" s="119"/>
      <c r="AE326" s="460"/>
      <c r="AG326" s="119"/>
    </row>
    <row r="327" spans="4:33" x14ac:dyDescent="0.25">
      <c r="D327" s="154" t="str">
        <f>OneLineRR!A418</f>
        <v>Hudson View Park</v>
      </c>
      <c r="E327" s="104">
        <f>OneLineRR!J418</f>
        <v>0</v>
      </c>
      <c r="F327" s="104">
        <f>OneLineRR!K418</f>
        <v>0</v>
      </c>
      <c r="G327" s="155" t="e">
        <f>OneLineRR!D418</f>
        <v>#N/A</v>
      </c>
      <c r="H327" s="155" t="e">
        <f>IF(OneLineRR!G418="Yes","Affordable","Market")</f>
        <v>#N/A</v>
      </c>
      <c r="I327" s="104" t="e">
        <f>OneLineRR!I418</f>
        <v>#N/A</v>
      </c>
      <c r="J327" s="156">
        <f>OneLineRR!M418</f>
        <v>0</v>
      </c>
      <c r="K327" s="634">
        <f>OneLineRR!L418</f>
        <v>0</v>
      </c>
      <c r="L327" s="143" t="str">
        <f>OneLineRR!C418</f>
        <v>Occ</v>
      </c>
      <c r="M327" s="636">
        <f>OneLineRR!O418</f>
        <v>0</v>
      </c>
      <c r="N327" s="636">
        <f t="shared" si="4"/>
        <v>0</v>
      </c>
      <c r="O327" s="636">
        <f>OneLineRR!N418</f>
        <v>0</v>
      </c>
      <c r="P327" s="636" t="e" cm="1">
        <f t="array" ref="P327">INDEX('Unit Mix'!$P$6:$P$62,MATCH(1,('Rent Roll'!G327='Unit Mix'!$E$6:$E$62)*(D327='Unit Mix'!$D$6:$D$62),0))</f>
        <v>#N/A</v>
      </c>
      <c r="Q327" s="150">
        <f>OneLineRR!T418</f>
        <v>0</v>
      </c>
      <c r="R327" s="150">
        <f>OneLineRR!U418</f>
        <v>0</v>
      </c>
      <c r="S327" s="150">
        <f>OneLineRR!V418</f>
        <v>0</v>
      </c>
      <c r="T327" s="150">
        <f>OneLineRR!W418</f>
        <v>0</v>
      </c>
      <c r="U327" s="157" t="str">
        <f>IF(OneLineRR!Q418="","",OneLineRR!Q418)</f>
        <v/>
      </c>
      <c r="V327" s="157" t="str">
        <f>IF(OneLineRR!R418="","",OneLineRR!R418)</f>
        <v/>
      </c>
      <c r="AB327" s="320" t="str">
        <f>IFERROR(U327+(COUNTIF($U$8:U327,U327)-1)/10000,"")</f>
        <v/>
      </c>
      <c r="AC327" s="158"/>
      <c r="AD327" s="119"/>
      <c r="AE327" s="460"/>
      <c r="AG327" s="119"/>
    </row>
    <row r="328" spans="4:33" x14ac:dyDescent="0.25">
      <c r="D328" s="154" t="str">
        <f>OneLineRR!A419</f>
        <v>Hudson View Park</v>
      </c>
      <c r="E328" s="104">
        <f>OneLineRR!J419</f>
        <v>0</v>
      </c>
      <c r="F328" s="104">
        <f>OneLineRR!K419</f>
        <v>0</v>
      </c>
      <c r="G328" s="155" t="e">
        <f>OneLineRR!D419</f>
        <v>#N/A</v>
      </c>
      <c r="H328" s="155" t="e">
        <f>IF(OneLineRR!G419="Yes","Affordable","Market")</f>
        <v>#N/A</v>
      </c>
      <c r="I328" s="104" t="e">
        <f>OneLineRR!I419</f>
        <v>#N/A</v>
      </c>
      <c r="J328" s="156">
        <f>OneLineRR!M419</f>
        <v>0</v>
      </c>
      <c r="K328" s="634">
        <f>OneLineRR!L419</f>
        <v>0</v>
      </c>
      <c r="L328" s="143" t="str">
        <f>OneLineRR!C419</f>
        <v>Occ</v>
      </c>
      <c r="M328" s="636">
        <f>OneLineRR!O419</f>
        <v>0</v>
      </c>
      <c r="N328" s="636">
        <f t="shared" si="4"/>
        <v>0</v>
      </c>
      <c r="O328" s="636">
        <f>OneLineRR!N419</f>
        <v>0</v>
      </c>
      <c r="P328" s="636" t="e" cm="1">
        <f t="array" ref="P328">INDEX('Unit Mix'!$P$6:$P$62,MATCH(1,('Rent Roll'!G328='Unit Mix'!$E$6:$E$62)*(D328='Unit Mix'!$D$6:$D$62),0))</f>
        <v>#N/A</v>
      </c>
      <c r="Q328" s="150">
        <f>OneLineRR!T419</f>
        <v>0</v>
      </c>
      <c r="R328" s="150">
        <f>OneLineRR!U419</f>
        <v>0</v>
      </c>
      <c r="S328" s="150">
        <f>OneLineRR!V419</f>
        <v>0</v>
      </c>
      <c r="T328" s="150">
        <f>OneLineRR!W419</f>
        <v>0</v>
      </c>
      <c r="U328" s="157" t="str">
        <f>IF(OneLineRR!Q419="","",OneLineRR!Q419)</f>
        <v/>
      </c>
      <c r="V328" s="157" t="str">
        <f>IF(OneLineRR!R419="","",OneLineRR!R419)</f>
        <v/>
      </c>
      <c r="AB328" s="320" t="str">
        <f>IFERROR(U328+(COUNTIF($U$8:U328,U328)-1)/10000,"")</f>
        <v/>
      </c>
      <c r="AC328" s="158"/>
      <c r="AD328" s="119"/>
      <c r="AE328" s="460"/>
      <c r="AG328" s="119"/>
    </row>
    <row r="329" spans="4:33" x14ac:dyDescent="0.25">
      <c r="D329" s="154" t="str">
        <f>OneLineRR!A420</f>
        <v>Hudson View Park</v>
      </c>
      <c r="E329" s="104">
        <f>OneLineRR!J420</f>
        <v>0</v>
      </c>
      <c r="F329" s="104">
        <f>OneLineRR!K420</f>
        <v>0</v>
      </c>
      <c r="G329" s="155" t="e">
        <f>OneLineRR!D420</f>
        <v>#N/A</v>
      </c>
      <c r="H329" s="155" t="e">
        <f>IF(OneLineRR!G420="Yes","Affordable","Market")</f>
        <v>#N/A</v>
      </c>
      <c r="I329" s="104" t="e">
        <f>OneLineRR!I420</f>
        <v>#N/A</v>
      </c>
      <c r="J329" s="156">
        <f>OneLineRR!M420</f>
        <v>0</v>
      </c>
      <c r="K329" s="634">
        <f>OneLineRR!L420</f>
        <v>0</v>
      </c>
      <c r="L329" s="143" t="str">
        <f>OneLineRR!C420</f>
        <v>Occ</v>
      </c>
      <c r="M329" s="636">
        <f>OneLineRR!O420</f>
        <v>0</v>
      </c>
      <c r="N329" s="636">
        <f t="shared" ref="N329:N392" si="5">IF(L329="Vac",P329,0)</f>
        <v>0</v>
      </c>
      <c r="O329" s="636">
        <f>OneLineRR!N420</f>
        <v>0</v>
      </c>
      <c r="P329" s="636" t="e" cm="1">
        <f t="array" ref="P329">INDEX('Unit Mix'!$P$6:$P$62,MATCH(1,('Rent Roll'!G329='Unit Mix'!$E$6:$E$62)*(D329='Unit Mix'!$D$6:$D$62),0))</f>
        <v>#N/A</v>
      </c>
      <c r="Q329" s="150">
        <f>OneLineRR!T420</f>
        <v>0</v>
      </c>
      <c r="R329" s="150">
        <f>OneLineRR!U420</f>
        <v>0</v>
      </c>
      <c r="S329" s="150">
        <f>OneLineRR!V420</f>
        <v>0</v>
      </c>
      <c r="T329" s="150">
        <f>OneLineRR!W420</f>
        <v>0</v>
      </c>
      <c r="U329" s="157" t="str">
        <f>IF(OneLineRR!Q420="","",OneLineRR!Q420)</f>
        <v/>
      </c>
      <c r="V329" s="157" t="str">
        <f>IF(OneLineRR!R420="","",OneLineRR!R420)</f>
        <v/>
      </c>
      <c r="AB329" s="320" t="str">
        <f>IFERROR(U329+(COUNTIF($U$8:U329,U329)-1)/10000,"")</f>
        <v/>
      </c>
      <c r="AC329" s="158"/>
      <c r="AD329" s="119"/>
      <c r="AE329" s="460"/>
      <c r="AG329" s="119"/>
    </row>
    <row r="330" spans="4:33" x14ac:dyDescent="0.25">
      <c r="D330" s="154" t="str">
        <f>OneLineRR!A421</f>
        <v>Hudson View Park</v>
      </c>
      <c r="E330" s="104">
        <f>OneLineRR!J421</f>
        <v>0</v>
      </c>
      <c r="F330" s="104">
        <f>OneLineRR!K421</f>
        <v>0</v>
      </c>
      <c r="G330" s="155" t="e">
        <f>OneLineRR!D421</f>
        <v>#N/A</v>
      </c>
      <c r="H330" s="155" t="e">
        <f>IF(OneLineRR!G421="Yes","Affordable","Market")</f>
        <v>#N/A</v>
      </c>
      <c r="I330" s="104" t="e">
        <f>OneLineRR!I421</f>
        <v>#N/A</v>
      </c>
      <c r="J330" s="156">
        <f>OneLineRR!M421</f>
        <v>0</v>
      </c>
      <c r="K330" s="634">
        <f>OneLineRR!L421</f>
        <v>0</v>
      </c>
      <c r="L330" s="143" t="str">
        <f>OneLineRR!C421</f>
        <v>Occ</v>
      </c>
      <c r="M330" s="636">
        <f>OneLineRR!O421</f>
        <v>0</v>
      </c>
      <c r="N330" s="636">
        <f t="shared" si="5"/>
        <v>0</v>
      </c>
      <c r="O330" s="636">
        <f>OneLineRR!N421</f>
        <v>0</v>
      </c>
      <c r="P330" s="636" t="e" cm="1">
        <f t="array" ref="P330">INDEX('Unit Mix'!$P$6:$P$62,MATCH(1,('Rent Roll'!G330='Unit Mix'!$E$6:$E$62)*(D330='Unit Mix'!$D$6:$D$62),0))</f>
        <v>#N/A</v>
      </c>
      <c r="Q330" s="150">
        <f>OneLineRR!T421</f>
        <v>0</v>
      </c>
      <c r="R330" s="150">
        <f>OneLineRR!U421</f>
        <v>0</v>
      </c>
      <c r="S330" s="150">
        <f>OneLineRR!V421</f>
        <v>0</v>
      </c>
      <c r="T330" s="150">
        <f>OneLineRR!W421</f>
        <v>0</v>
      </c>
      <c r="U330" s="157" t="str">
        <f>IF(OneLineRR!Q421="","",OneLineRR!Q421)</f>
        <v/>
      </c>
      <c r="V330" s="157" t="str">
        <f>IF(OneLineRR!R421="","",OneLineRR!R421)</f>
        <v/>
      </c>
      <c r="AB330" s="320" t="str">
        <f>IFERROR(U330+(COUNTIF($U$8:U330,U330)-1)/10000,"")</f>
        <v/>
      </c>
      <c r="AC330" s="158"/>
      <c r="AD330" s="119"/>
      <c r="AE330" s="460"/>
      <c r="AG330" s="119"/>
    </row>
    <row r="331" spans="4:33" x14ac:dyDescent="0.25">
      <c r="D331" s="154" t="str">
        <f>OneLineRR!A422</f>
        <v>Hudson View Park</v>
      </c>
      <c r="E331" s="104">
        <f>OneLineRR!J422</f>
        <v>0</v>
      </c>
      <c r="F331" s="104">
        <f>OneLineRR!K422</f>
        <v>0</v>
      </c>
      <c r="G331" s="155" t="e">
        <f>OneLineRR!D422</f>
        <v>#N/A</v>
      </c>
      <c r="H331" s="155" t="e">
        <f>IF(OneLineRR!G422="Yes","Affordable","Market")</f>
        <v>#N/A</v>
      </c>
      <c r="I331" s="104" t="e">
        <f>OneLineRR!I422</f>
        <v>#N/A</v>
      </c>
      <c r="J331" s="156">
        <f>OneLineRR!M422</f>
        <v>0</v>
      </c>
      <c r="K331" s="634">
        <f>OneLineRR!L422</f>
        <v>0</v>
      </c>
      <c r="L331" s="143" t="str">
        <f>OneLineRR!C422</f>
        <v>Occ</v>
      </c>
      <c r="M331" s="636">
        <f>OneLineRR!O422</f>
        <v>0</v>
      </c>
      <c r="N331" s="636">
        <f t="shared" si="5"/>
        <v>0</v>
      </c>
      <c r="O331" s="636">
        <f>OneLineRR!N422</f>
        <v>0</v>
      </c>
      <c r="P331" s="636" t="e" cm="1">
        <f t="array" ref="P331">INDEX('Unit Mix'!$P$6:$P$62,MATCH(1,('Rent Roll'!G331='Unit Mix'!$E$6:$E$62)*(D331='Unit Mix'!$D$6:$D$62),0))</f>
        <v>#N/A</v>
      </c>
      <c r="Q331" s="150">
        <f>OneLineRR!T422</f>
        <v>0</v>
      </c>
      <c r="R331" s="150">
        <f>OneLineRR!U422</f>
        <v>0</v>
      </c>
      <c r="S331" s="150">
        <f>OneLineRR!V422</f>
        <v>0</v>
      </c>
      <c r="T331" s="150">
        <f>OneLineRR!W422</f>
        <v>0</v>
      </c>
      <c r="U331" s="157" t="str">
        <f>IF(OneLineRR!Q422="","",OneLineRR!Q422)</f>
        <v/>
      </c>
      <c r="V331" s="157" t="str">
        <f>IF(OneLineRR!R422="","",OneLineRR!R422)</f>
        <v/>
      </c>
      <c r="AB331" s="320" t="str">
        <f>IFERROR(U331+(COUNTIF($U$8:U331,U331)-1)/10000,"")</f>
        <v/>
      </c>
      <c r="AC331" s="158"/>
      <c r="AD331" s="119"/>
      <c r="AE331" s="460"/>
      <c r="AG331" s="119"/>
    </row>
    <row r="332" spans="4:33" x14ac:dyDescent="0.25">
      <c r="D332" s="154" t="str">
        <f>OneLineRR!A423</f>
        <v>Hudson View Park</v>
      </c>
      <c r="E332" s="104">
        <f>OneLineRR!J423</f>
        <v>0</v>
      </c>
      <c r="F332" s="104">
        <f>OneLineRR!K423</f>
        <v>0</v>
      </c>
      <c r="G332" s="155" t="e">
        <f>OneLineRR!D423</f>
        <v>#N/A</v>
      </c>
      <c r="H332" s="155" t="e">
        <f>IF(OneLineRR!G423="Yes","Affordable","Market")</f>
        <v>#N/A</v>
      </c>
      <c r="I332" s="104" t="e">
        <f>OneLineRR!I423</f>
        <v>#N/A</v>
      </c>
      <c r="J332" s="156">
        <f>OneLineRR!M423</f>
        <v>0</v>
      </c>
      <c r="K332" s="634">
        <f>OneLineRR!L423</f>
        <v>0</v>
      </c>
      <c r="L332" s="143" t="str">
        <f>OneLineRR!C423</f>
        <v>Occ</v>
      </c>
      <c r="M332" s="636">
        <f>OneLineRR!O423</f>
        <v>0</v>
      </c>
      <c r="N332" s="636">
        <f t="shared" si="5"/>
        <v>0</v>
      </c>
      <c r="O332" s="636">
        <f>OneLineRR!N423</f>
        <v>0</v>
      </c>
      <c r="P332" s="636" t="e" cm="1">
        <f t="array" ref="P332">INDEX('Unit Mix'!$P$6:$P$62,MATCH(1,('Rent Roll'!G332='Unit Mix'!$E$6:$E$62)*(D332='Unit Mix'!$D$6:$D$62),0))</f>
        <v>#N/A</v>
      </c>
      <c r="Q332" s="150">
        <f>OneLineRR!T423</f>
        <v>0</v>
      </c>
      <c r="R332" s="150">
        <f>OneLineRR!U423</f>
        <v>0</v>
      </c>
      <c r="S332" s="150">
        <f>OneLineRR!V423</f>
        <v>0</v>
      </c>
      <c r="T332" s="150">
        <f>OneLineRR!W423</f>
        <v>0</v>
      </c>
      <c r="U332" s="157" t="str">
        <f>IF(OneLineRR!Q423="","",OneLineRR!Q423)</f>
        <v/>
      </c>
      <c r="V332" s="157" t="str">
        <f>IF(OneLineRR!R423="","",OneLineRR!R423)</f>
        <v/>
      </c>
      <c r="AB332" s="320" t="str">
        <f>IFERROR(U332+(COUNTIF($U$8:U332,U332)-1)/10000,"")</f>
        <v/>
      </c>
      <c r="AC332" s="158"/>
      <c r="AD332" s="119"/>
      <c r="AE332" s="460"/>
      <c r="AG332" s="119"/>
    </row>
    <row r="333" spans="4:33" x14ac:dyDescent="0.25">
      <c r="D333" s="154" t="str">
        <f>OneLineRR!A424</f>
        <v>Hudson View Park</v>
      </c>
      <c r="E333" s="104">
        <f>OneLineRR!J424</f>
        <v>0</v>
      </c>
      <c r="F333" s="104">
        <f>OneLineRR!K424</f>
        <v>0</v>
      </c>
      <c r="G333" s="155" t="e">
        <f>OneLineRR!D424</f>
        <v>#N/A</v>
      </c>
      <c r="H333" s="155" t="e">
        <f>IF(OneLineRR!G424="Yes","Affordable","Market")</f>
        <v>#N/A</v>
      </c>
      <c r="I333" s="104" t="e">
        <f>OneLineRR!I424</f>
        <v>#N/A</v>
      </c>
      <c r="J333" s="156">
        <f>OneLineRR!M424</f>
        <v>0</v>
      </c>
      <c r="K333" s="634">
        <f>OneLineRR!L424</f>
        <v>0</v>
      </c>
      <c r="L333" s="143" t="str">
        <f>OneLineRR!C424</f>
        <v>Occ</v>
      </c>
      <c r="M333" s="636">
        <f>OneLineRR!O424</f>
        <v>0</v>
      </c>
      <c r="N333" s="636">
        <f t="shared" si="5"/>
        <v>0</v>
      </c>
      <c r="O333" s="636">
        <f>OneLineRR!N424</f>
        <v>0</v>
      </c>
      <c r="P333" s="636" t="e" cm="1">
        <f t="array" ref="P333">INDEX('Unit Mix'!$P$6:$P$62,MATCH(1,('Rent Roll'!G333='Unit Mix'!$E$6:$E$62)*(D333='Unit Mix'!$D$6:$D$62),0))</f>
        <v>#N/A</v>
      </c>
      <c r="Q333" s="150">
        <f>OneLineRR!T424</f>
        <v>0</v>
      </c>
      <c r="R333" s="150">
        <f>OneLineRR!U424</f>
        <v>0</v>
      </c>
      <c r="S333" s="150">
        <f>OneLineRR!V424</f>
        <v>0</v>
      </c>
      <c r="T333" s="150">
        <f>OneLineRR!W424</f>
        <v>0</v>
      </c>
      <c r="U333" s="157" t="str">
        <f>IF(OneLineRR!Q424="","",OneLineRR!Q424)</f>
        <v/>
      </c>
      <c r="V333" s="157" t="str">
        <f>IF(OneLineRR!R424="","",OneLineRR!R424)</f>
        <v/>
      </c>
      <c r="AB333" s="320" t="str">
        <f>IFERROR(U333+(COUNTIF($U$8:U333,U333)-1)/10000,"")</f>
        <v/>
      </c>
      <c r="AC333" s="158"/>
      <c r="AD333" s="119"/>
      <c r="AE333" s="460"/>
      <c r="AG333" s="119"/>
    </row>
    <row r="334" spans="4:33" x14ac:dyDescent="0.25">
      <c r="D334" s="154" t="str">
        <f>OneLineRR!A425</f>
        <v>Hudson View Park</v>
      </c>
      <c r="E334" s="104">
        <f>OneLineRR!J425</f>
        <v>0</v>
      </c>
      <c r="F334" s="104">
        <f>OneLineRR!K425</f>
        <v>0</v>
      </c>
      <c r="G334" s="155" t="e">
        <f>OneLineRR!D425</f>
        <v>#N/A</v>
      </c>
      <c r="H334" s="155" t="e">
        <f>IF(OneLineRR!G425="Yes","Affordable","Market")</f>
        <v>#N/A</v>
      </c>
      <c r="I334" s="104" t="e">
        <f>OneLineRR!I425</f>
        <v>#N/A</v>
      </c>
      <c r="J334" s="156">
        <f>OneLineRR!M425</f>
        <v>0</v>
      </c>
      <c r="K334" s="634">
        <f>OneLineRR!L425</f>
        <v>0</v>
      </c>
      <c r="L334" s="143" t="str">
        <f>OneLineRR!C425</f>
        <v>Occ</v>
      </c>
      <c r="M334" s="636">
        <f>OneLineRR!O425</f>
        <v>0</v>
      </c>
      <c r="N334" s="636">
        <f t="shared" si="5"/>
        <v>0</v>
      </c>
      <c r="O334" s="636">
        <f>OneLineRR!N425</f>
        <v>0</v>
      </c>
      <c r="P334" s="636" t="e" cm="1">
        <f t="array" ref="P334">INDEX('Unit Mix'!$P$6:$P$62,MATCH(1,('Rent Roll'!G334='Unit Mix'!$E$6:$E$62)*(D334='Unit Mix'!$D$6:$D$62),0))</f>
        <v>#N/A</v>
      </c>
      <c r="Q334" s="150">
        <f>OneLineRR!T425</f>
        <v>0</v>
      </c>
      <c r="R334" s="150">
        <f>OneLineRR!U425</f>
        <v>0</v>
      </c>
      <c r="S334" s="150">
        <f>OneLineRR!V425</f>
        <v>0</v>
      </c>
      <c r="T334" s="150">
        <f>OneLineRR!W425</f>
        <v>0</v>
      </c>
      <c r="U334" s="157" t="str">
        <f>IF(OneLineRR!Q425="","",OneLineRR!Q425)</f>
        <v/>
      </c>
      <c r="V334" s="157" t="str">
        <f>IF(OneLineRR!R425="","",OneLineRR!R425)</f>
        <v/>
      </c>
      <c r="AB334" s="320" t="str">
        <f>IFERROR(U334+(COUNTIF($U$8:U334,U334)-1)/10000,"")</f>
        <v/>
      </c>
      <c r="AC334" s="158"/>
      <c r="AD334" s="119"/>
      <c r="AE334" s="460"/>
      <c r="AG334" s="119"/>
    </row>
    <row r="335" spans="4:33" x14ac:dyDescent="0.25">
      <c r="D335" s="154" t="str">
        <f>OneLineRR!A426</f>
        <v>Hudson View Park</v>
      </c>
      <c r="E335" s="104">
        <f>OneLineRR!J426</f>
        <v>0</v>
      </c>
      <c r="F335" s="104">
        <f>OneLineRR!K426</f>
        <v>0</v>
      </c>
      <c r="G335" s="155" t="e">
        <f>OneLineRR!D426</f>
        <v>#N/A</v>
      </c>
      <c r="H335" s="155" t="e">
        <f>IF(OneLineRR!G426="Yes","Affordable","Market")</f>
        <v>#N/A</v>
      </c>
      <c r="I335" s="104" t="e">
        <f>OneLineRR!I426</f>
        <v>#N/A</v>
      </c>
      <c r="J335" s="156">
        <f>OneLineRR!M426</f>
        <v>0</v>
      </c>
      <c r="K335" s="634">
        <f>OneLineRR!L426</f>
        <v>0</v>
      </c>
      <c r="L335" s="143" t="str">
        <f>OneLineRR!C426</f>
        <v>Occ</v>
      </c>
      <c r="M335" s="636">
        <f>OneLineRR!O426</f>
        <v>0</v>
      </c>
      <c r="N335" s="636">
        <f t="shared" si="5"/>
        <v>0</v>
      </c>
      <c r="O335" s="636">
        <f>OneLineRR!N426</f>
        <v>0</v>
      </c>
      <c r="P335" s="636" t="e" cm="1">
        <f t="array" ref="P335">INDEX('Unit Mix'!$P$6:$P$62,MATCH(1,('Rent Roll'!G335='Unit Mix'!$E$6:$E$62)*(D335='Unit Mix'!$D$6:$D$62),0))</f>
        <v>#N/A</v>
      </c>
      <c r="Q335" s="150">
        <f>OneLineRR!T426</f>
        <v>0</v>
      </c>
      <c r="R335" s="150">
        <f>OneLineRR!U426</f>
        <v>0</v>
      </c>
      <c r="S335" s="150">
        <f>OneLineRR!V426</f>
        <v>0</v>
      </c>
      <c r="T335" s="150">
        <f>OneLineRR!W426</f>
        <v>0</v>
      </c>
      <c r="U335" s="157" t="str">
        <f>IF(OneLineRR!Q426="","",OneLineRR!Q426)</f>
        <v/>
      </c>
      <c r="V335" s="157" t="str">
        <f>IF(OneLineRR!R426="","",OneLineRR!R426)</f>
        <v/>
      </c>
      <c r="AB335" s="320" t="str">
        <f>IFERROR(U335+(COUNTIF($U$8:U335,U335)-1)/10000,"")</f>
        <v/>
      </c>
      <c r="AC335" s="158"/>
      <c r="AD335" s="119"/>
      <c r="AE335" s="460"/>
      <c r="AG335" s="119"/>
    </row>
    <row r="336" spans="4:33" x14ac:dyDescent="0.25">
      <c r="D336" s="154" t="str">
        <f>OneLineRR!A427</f>
        <v>Hudson View Park</v>
      </c>
      <c r="E336" s="104">
        <f>OneLineRR!J427</f>
        <v>0</v>
      </c>
      <c r="F336" s="104">
        <f>OneLineRR!K427</f>
        <v>0</v>
      </c>
      <c r="G336" s="155" t="e">
        <f>OneLineRR!D427</f>
        <v>#N/A</v>
      </c>
      <c r="H336" s="155" t="e">
        <f>IF(OneLineRR!G427="Yes","Affordable","Market")</f>
        <v>#N/A</v>
      </c>
      <c r="I336" s="104" t="e">
        <f>OneLineRR!I427</f>
        <v>#N/A</v>
      </c>
      <c r="J336" s="156">
        <f>OneLineRR!M427</f>
        <v>0</v>
      </c>
      <c r="K336" s="634">
        <f>OneLineRR!L427</f>
        <v>0</v>
      </c>
      <c r="L336" s="143" t="str">
        <f>OneLineRR!C427</f>
        <v>Occ</v>
      </c>
      <c r="M336" s="636">
        <f>OneLineRR!O427</f>
        <v>0</v>
      </c>
      <c r="N336" s="636">
        <f t="shared" si="5"/>
        <v>0</v>
      </c>
      <c r="O336" s="636">
        <f>OneLineRR!N427</f>
        <v>0</v>
      </c>
      <c r="P336" s="636" t="e" cm="1">
        <f t="array" ref="P336">INDEX('Unit Mix'!$P$6:$P$62,MATCH(1,('Rent Roll'!G336='Unit Mix'!$E$6:$E$62)*(D336='Unit Mix'!$D$6:$D$62),0))</f>
        <v>#N/A</v>
      </c>
      <c r="Q336" s="150">
        <f>OneLineRR!T427</f>
        <v>0</v>
      </c>
      <c r="R336" s="150">
        <f>OneLineRR!U427</f>
        <v>0</v>
      </c>
      <c r="S336" s="150">
        <f>OneLineRR!V427</f>
        <v>0</v>
      </c>
      <c r="T336" s="150">
        <f>OneLineRR!W427</f>
        <v>0</v>
      </c>
      <c r="U336" s="157" t="str">
        <f>IF(OneLineRR!Q427="","",OneLineRR!Q427)</f>
        <v/>
      </c>
      <c r="V336" s="157" t="str">
        <f>IF(OneLineRR!R427="","",OneLineRR!R427)</f>
        <v/>
      </c>
      <c r="AB336" s="320" t="str">
        <f>IFERROR(U336+(COUNTIF($U$8:U336,U336)-1)/10000,"")</f>
        <v/>
      </c>
      <c r="AC336" s="158"/>
      <c r="AD336" s="119"/>
      <c r="AE336" s="460"/>
      <c r="AG336" s="119"/>
    </row>
    <row r="337" spans="4:33" x14ac:dyDescent="0.25">
      <c r="D337" s="154" t="str">
        <f>OneLineRR!A428</f>
        <v>Hudson View Park</v>
      </c>
      <c r="E337" s="104">
        <f>OneLineRR!J428</f>
        <v>0</v>
      </c>
      <c r="F337" s="104">
        <f>OneLineRR!K428</f>
        <v>0</v>
      </c>
      <c r="G337" s="155" t="e">
        <f>OneLineRR!D428</f>
        <v>#N/A</v>
      </c>
      <c r="H337" s="155" t="e">
        <f>IF(OneLineRR!G428="Yes","Affordable","Market")</f>
        <v>#N/A</v>
      </c>
      <c r="I337" s="104" t="e">
        <f>OneLineRR!I428</f>
        <v>#N/A</v>
      </c>
      <c r="J337" s="156">
        <f>OneLineRR!M428</f>
        <v>0</v>
      </c>
      <c r="K337" s="634">
        <f>OneLineRR!L428</f>
        <v>0</v>
      </c>
      <c r="L337" s="143" t="str">
        <f>OneLineRR!C428</f>
        <v>Occ</v>
      </c>
      <c r="M337" s="636">
        <f>OneLineRR!O428</f>
        <v>0</v>
      </c>
      <c r="N337" s="636">
        <f t="shared" si="5"/>
        <v>0</v>
      </c>
      <c r="O337" s="636">
        <f>OneLineRR!N428</f>
        <v>0</v>
      </c>
      <c r="P337" s="636" t="e" cm="1">
        <f t="array" ref="P337">INDEX('Unit Mix'!$P$6:$P$62,MATCH(1,('Rent Roll'!G337='Unit Mix'!$E$6:$E$62)*(D337='Unit Mix'!$D$6:$D$62),0))</f>
        <v>#N/A</v>
      </c>
      <c r="Q337" s="150">
        <f>OneLineRR!T428</f>
        <v>0</v>
      </c>
      <c r="R337" s="150">
        <f>OneLineRR!U428</f>
        <v>0</v>
      </c>
      <c r="S337" s="150">
        <f>OneLineRR!V428</f>
        <v>0</v>
      </c>
      <c r="T337" s="150">
        <f>OneLineRR!W428</f>
        <v>0</v>
      </c>
      <c r="U337" s="157" t="str">
        <f>IF(OneLineRR!Q428="","",OneLineRR!Q428)</f>
        <v/>
      </c>
      <c r="V337" s="157" t="str">
        <f>IF(OneLineRR!R428="","",OneLineRR!R428)</f>
        <v/>
      </c>
      <c r="AB337" s="320" t="str">
        <f>IFERROR(U337+(COUNTIF($U$8:U337,U337)-1)/10000,"")</f>
        <v/>
      </c>
      <c r="AC337" s="158"/>
      <c r="AD337" s="119"/>
      <c r="AE337" s="460"/>
      <c r="AG337" s="119"/>
    </row>
    <row r="338" spans="4:33" x14ac:dyDescent="0.25">
      <c r="D338" s="154" t="str">
        <f>OneLineRR!A429</f>
        <v>Hudson View Park</v>
      </c>
      <c r="E338" s="104">
        <f>OneLineRR!J429</f>
        <v>0</v>
      </c>
      <c r="F338" s="104">
        <f>OneLineRR!K429</f>
        <v>0</v>
      </c>
      <c r="G338" s="155" t="e">
        <f>OneLineRR!D429</f>
        <v>#N/A</v>
      </c>
      <c r="H338" s="155" t="e">
        <f>IF(OneLineRR!G429="Yes","Affordable","Market")</f>
        <v>#N/A</v>
      </c>
      <c r="I338" s="104" t="e">
        <f>OneLineRR!I429</f>
        <v>#N/A</v>
      </c>
      <c r="J338" s="156">
        <f>OneLineRR!M429</f>
        <v>0</v>
      </c>
      <c r="K338" s="634">
        <f>OneLineRR!L429</f>
        <v>0</v>
      </c>
      <c r="L338" s="143" t="str">
        <f>OneLineRR!C429</f>
        <v>Occ</v>
      </c>
      <c r="M338" s="636">
        <f>OneLineRR!O429</f>
        <v>0</v>
      </c>
      <c r="N338" s="636">
        <f t="shared" si="5"/>
        <v>0</v>
      </c>
      <c r="O338" s="636">
        <f>OneLineRR!N429</f>
        <v>0</v>
      </c>
      <c r="P338" s="636" t="e" cm="1">
        <f t="array" ref="P338">INDEX('Unit Mix'!$P$6:$P$62,MATCH(1,('Rent Roll'!G338='Unit Mix'!$E$6:$E$62)*(D338='Unit Mix'!$D$6:$D$62),0))</f>
        <v>#N/A</v>
      </c>
      <c r="Q338" s="150">
        <f>OneLineRR!T429</f>
        <v>0</v>
      </c>
      <c r="R338" s="150">
        <f>OneLineRR!U429</f>
        <v>0</v>
      </c>
      <c r="S338" s="150">
        <f>OneLineRR!V429</f>
        <v>0</v>
      </c>
      <c r="T338" s="150">
        <f>OneLineRR!W429</f>
        <v>0</v>
      </c>
      <c r="U338" s="157" t="str">
        <f>IF(OneLineRR!Q429="","",OneLineRR!Q429)</f>
        <v/>
      </c>
      <c r="V338" s="157" t="str">
        <f>IF(OneLineRR!R429="","",OneLineRR!R429)</f>
        <v/>
      </c>
      <c r="AB338" s="320" t="str">
        <f>IFERROR(U338+(COUNTIF($U$8:U338,U338)-1)/10000,"")</f>
        <v/>
      </c>
      <c r="AC338" s="158"/>
      <c r="AD338" s="119"/>
      <c r="AE338" s="460"/>
      <c r="AG338" s="119"/>
    </row>
    <row r="339" spans="4:33" x14ac:dyDescent="0.25">
      <c r="D339" s="154" t="str">
        <f>OneLineRR!A430</f>
        <v>Hudson View Park</v>
      </c>
      <c r="E339" s="104">
        <f>OneLineRR!J430</f>
        <v>0</v>
      </c>
      <c r="F339" s="104">
        <f>OneLineRR!K430</f>
        <v>0</v>
      </c>
      <c r="G339" s="155" t="e">
        <f>OneLineRR!D430</f>
        <v>#N/A</v>
      </c>
      <c r="H339" s="155" t="e">
        <f>IF(OneLineRR!G430="Yes","Affordable","Market")</f>
        <v>#N/A</v>
      </c>
      <c r="I339" s="104" t="e">
        <f>OneLineRR!I430</f>
        <v>#N/A</v>
      </c>
      <c r="J339" s="156">
        <f>OneLineRR!M430</f>
        <v>0</v>
      </c>
      <c r="K339" s="634">
        <f>OneLineRR!L430</f>
        <v>0</v>
      </c>
      <c r="L339" s="143" t="str">
        <f>OneLineRR!C430</f>
        <v>Occ</v>
      </c>
      <c r="M339" s="636">
        <f>OneLineRR!O430</f>
        <v>0</v>
      </c>
      <c r="N339" s="636">
        <f t="shared" si="5"/>
        <v>0</v>
      </c>
      <c r="O339" s="636">
        <f>OneLineRR!N430</f>
        <v>0</v>
      </c>
      <c r="P339" s="636" t="e" cm="1">
        <f t="array" ref="P339">INDEX('Unit Mix'!$P$6:$P$62,MATCH(1,('Rent Roll'!G339='Unit Mix'!$E$6:$E$62)*(D339='Unit Mix'!$D$6:$D$62),0))</f>
        <v>#N/A</v>
      </c>
      <c r="Q339" s="150">
        <f>OneLineRR!T430</f>
        <v>0</v>
      </c>
      <c r="R339" s="150">
        <f>OneLineRR!U430</f>
        <v>0</v>
      </c>
      <c r="S339" s="150">
        <f>OneLineRR!V430</f>
        <v>0</v>
      </c>
      <c r="T339" s="150">
        <f>OneLineRR!W430</f>
        <v>0</v>
      </c>
      <c r="U339" s="157" t="str">
        <f>IF(OneLineRR!Q430="","",OneLineRR!Q430)</f>
        <v/>
      </c>
      <c r="V339" s="157" t="str">
        <f>IF(OneLineRR!R430="","",OneLineRR!R430)</f>
        <v/>
      </c>
      <c r="AB339" s="320" t="str">
        <f>IFERROR(U339+(COUNTIF($U$8:U339,U339)-1)/10000,"")</f>
        <v/>
      </c>
      <c r="AC339" s="158"/>
      <c r="AD339" s="119"/>
      <c r="AE339" s="460"/>
      <c r="AG339" s="119"/>
    </row>
    <row r="340" spans="4:33" x14ac:dyDescent="0.25">
      <c r="D340" s="154" t="str">
        <f>OneLineRR!A431</f>
        <v>Hudson View Park</v>
      </c>
      <c r="E340" s="104">
        <f>OneLineRR!J431</f>
        <v>0</v>
      </c>
      <c r="F340" s="104">
        <f>OneLineRR!K431</f>
        <v>0</v>
      </c>
      <c r="G340" s="155" t="e">
        <f>OneLineRR!D431</f>
        <v>#N/A</v>
      </c>
      <c r="H340" s="155" t="e">
        <f>IF(OneLineRR!G431="Yes","Affordable","Market")</f>
        <v>#N/A</v>
      </c>
      <c r="I340" s="104" t="e">
        <f>OneLineRR!I431</f>
        <v>#N/A</v>
      </c>
      <c r="J340" s="156">
        <f>OneLineRR!M431</f>
        <v>0</v>
      </c>
      <c r="K340" s="634">
        <f>OneLineRR!L431</f>
        <v>0</v>
      </c>
      <c r="L340" s="143" t="str">
        <f>OneLineRR!C431</f>
        <v>Occ</v>
      </c>
      <c r="M340" s="636">
        <f>OneLineRR!O431</f>
        <v>0</v>
      </c>
      <c r="N340" s="636">
        <f t="shared" si="5"/>
        <v>0</v>
      </c>
      <c r="O340" s="636">
        <f>OneLineRR!N431</f>
        <v>0</v>
      </c>
      <c r="P340" s="636" t="e" cm="1">
        <f t="array" ref="P340">INDEX('Unit Mix'!$P$6:$P$62,MATCH(1,('Rent Roll'!G340='Unit Mix'!$E$6:$E$62)*(D340='Unit Mix'!$D$6:$D$62),0))</f>
        <v>#N/A</v>
      </c>
      <c r="Q340" s="150">
        <f>OneLineRR!T431</f>
        <v>0</v>
      </c>
      <c r="R340" s="150">
        <f>OneLineRR!U431</f>
        <v>0</v>
      </c>
      <c r="S340" s="150">
        <f>OneLineRR!V431</f>
        <v>0</v>
      </c>
      <c r="T340" s="150">
        <f>OneLineRR!W431</f>
        <v>0</v>
      </c>
      <c r="U340" s="157" t="str">
        <f>IF(OneLineRR!Q431="","",OneLineRR!Q431)</f>
        <v/>
      </c>
      <c r="V340" s="157" t="str">
        <f>IF(OneLineRR!R431="","",OneLineRR!R431)</f>
        <v/>
      </c>
      <c r="AB340" s="320" t="str">
        <f>IFERROR(U340+(COUNTIF($U$8:U340,U340)-1)/10000,"")</f>
        <v/>
      </c>
      <c r="AC340" s="158"/>
      <c r="AD340" s="119"/>
      <c r="AE340" s="460"/>
      <c r="AG340" s="119"/>
    </row>
    <row r="341" spans="4:33" x14ac:dyDescent="0.25">
      <c r="D341" s="154" t="str">
        <f>OneLineRR!A432</f>
        <v>Hudson View Park</v>
      </c>
      <c r="E341" s="104">
        <f>OneLineRR!J432</f>
        <v>0</v>
      </c>
      <c r="F341" s="104">
        <f>OneLineRR!K432</f>
        <v>0</v>
      </c>
      <c r="G341" s="155" t="e">
        <f>OneLineRR!D432</f>
        <v>#N/A</v>
      </c>
      <c r="H341" s="155" t="e">
        <f>IF(OneLineRR!G432="Yes","Affordable","Market")</f>
        <v>#N/A</v>
      </c>
      <c r="I341" s="104" t="e">
        <f>OneLineRR!I432</f>
        <v>#N/A</v>
      </c>
      <c r="J341" s="156">
        <f>OneLineRR!M432</f>
        <v>0</v>
      </c>
      <c r="K341" s="634">
        <f>OneLineRR!L432</f>
        <v>0</v>
      </c>
      <c r="L341" s="143" t="str">
        <f>OneLineRR!C432</f>
        <v>Occ</v>
      </c>
      <c r="M341" s="636">
        <f>OneLineRR!O432</f>
        <v>0</v>
      </c>
      <c r="N341" s="636">
        <f t="shared" si="5"/>
        <v>0</v>
      </c>
      <c r="O341" s="636">
        <f>OneLineRR!N432</f>
        <v>0</v>
      </c>
      <c r="P341" s="636" t="e" cm="1">
        <f t="array" ref="P341">INDEX('Unit Mix'!$P$6:$P$62,MATCH(1,('Rent Roll'!G341='Unit Mix'!$E$6:$E$62)*(D341='Unit Mix'!$D$6:$D$62),0))</f>
        <v>#N/A</v>
      </c>
      <c r="Q341" s="150">
        <f>OneLineRR!T432</f>
        <v>0</v>
      </c>
      <c r="R341" s="150">
        <f>OneLineRR!U432</f>
        <v>0</v>
      </c>
      <c r="S341" s="150">
        <f>OneLineRR!V432</f>
        <v>0</v>
      </c>
      <c r="T341" s="150">
        <f>OneLineRR!W432</f>
        <v>0</v>
      </c>
      <c r="U341" s="157" t="str">
        <f>IF(OneLineRR!Q432="","",OneLineRR!Q432)</f>
        <v/>
      </c>
      <c r="V341" s="157" t="str">
        <f>IF(OneLineRR!R432="","",OneLineRR!R432)</f>
        <v/>
      </c>
      <c r="AB341" s="320" t="str">
        <f>IFERROR(U341+(COUNTIF($U$8:U341,U341)-1)/10000,"")</f>
        <v/>
      </c>
      <c r="AC341" s="158"/>
      <c r="AD341" s="119"/>
      <c r="AE341" s="460"/>
      <c r="AG341" s="119"/>
    </row>
    <row r="342" spans="4:33" x14ac:dyDescent="0.25">
      <c r="D342" s="154" t="str">
        <f>OneLineRR!A433</f>
        <v>Hudson View Park</v>
      </c>
      <c r="E342" s="104">
        <f>OneLineRR!J433</f>
        <v>0</v>
      </c>
      <c r="F342" s="104">
        <f>OneLineRR!K433</f>
        <v>0</v>
      </c>
      <c r="G342" s="155" t="e">
        <f>OneLineRR!D433</f>
        <v>#N/A</v>
      </c>
      <c r="H342" s="155" t="e">
        <f>IF(OneLineRR!G433="Yes","Affordable","Market")</f>
        <v>#N/A</v>
      </c>
      <c r="I342" s="104" t="e">
        <f>OneLineRR!I433</f>
        <v>#N/A</v>
      </c>
      <c r="J342" s="156">
        <f>OneLineRR!M433</f>
        <v>0</v>
      </c>
      <c r="K342" s="634">
        <f>OneLineRR!L433</f>
        <v>0</v>
      </c>
      <c r="L342" s="143" t="str">
        <f>OneLineRR!C433</f>
        <v>Occ</v>
      </c>
      <c r="M342" s="636">
        <f>OneLineRR!O433</f>
        <v>0</v>
      </c>
      <c r="N342" s="636">
        <f t="shared" si="5"/>
        <v>0</v>
      </c>
      <c r="O342" s="636">
        <f>OneLineRR!N433</f>
        <v>0</v>
      </c>
      <c r="P342" s="636" t="e" cm="1">
        <f t="array" ref="P342">INDEX('Unit Mix'!$P$6:$P$62,MATCH(1,('Rent Roll'!G342='Unit Mix'!$E$6:$E$62)*(D342='Unit Mix'!$D$6:$D$62),0))</f>
        <v>#N/A</v>
      </c>
      <c r="Q342" s="150">
        <f>OneLineRR!T433</f>
        <v>0</v>
      </c>
      <c r="R342" s="150">
        <f>OneLineRR!U433</f>
        <v>0</v>
      </c>
      <c r="S342" s="150">
        <f>OneLineRR!V433</f>
        <v>0</v>
      </c>
      <c r="T342" s="150">
        <f>OneLineRR!W433</f>
        <v>0</v>
      </c>
      <c r="U342" s="157" t="str">
        <f>IF(OneLineRR!Q433="","",OneLineRR!Q433)</f>
        <v/>
      </c>
      <c r="V342" s="157" t="str">
        <f>IF(OneLineRR!R433="","",OneLineRR!R433)</f>
        <v/>
      </c>
      <c r="AB342" s="320" t="str">
        <f>IFERROR(U342+(COUNTIF($U$8:U342,U342)-1)/10000,"")</f>
        <v/>
      </c>
      <c r="AC342" s="158"/>
      <c r="AD342" s="119"/>
      <c r="AE342" s="460"/>
      <c r="AG342" s="119"/>
    </row>
    <row r="343" spans="4:33" x14ac:dyDescent="0.25">
      <c r="D343" s="154" t="str">
        <f>OneLineRR!A434</f>
        <v>Hudson View Park</v>
      </c>
      <c r="E343" s="104">
        <f>OneLineRR!J434</f>
        <v>0</v>
      </c>
      <c r="F343" s="104">
        <f>OneLineRR!K434</f>
        <v>0</v>
      </c>
      <c r="G343" s="155" t="e">
        <f>OneLineRR!D434</f>
        <v>#N/A</v>
      </c>
      <c r="H343" s="155" t="e">
        <f>IF(OneLineRR!G434="Yes","Affordable","Market")</f>
        <v>#N/A</v>
      </c>
      <c r="I343" s="104" t="e">
        <f>OneLineRR!I434</f>
        <v>#N/A</v>
      </c>
      <c r="J343" s="156">
        <f>OneLineRR!M434</f>
        <v>0</v>
      </c>
      <c r="K343" s="634">
        <f>OneLineRR!L434</f>
        <v>0</v>
      </c>
      <c r="L343" s="143" t="str">
        <f>OneLineRR!C434</f>
        <v>Occ</v>
      </c>
      <c r="M343" s="636">
        <f>OneLineRR!O434</f>
        <v>0</v>
      </c>
      <c r="N343" s="636">
        <f t="shared" si="5"/>
        <v>0</v>
      </c>
      <c r="O343" s="636">
        <f>OneLineRR!N434</f>
        <v>0</v>
      </c>
      <c r="P343" s="636" t="e" cm="1">
        <f t="array" ref="P343">INDEX('Unit Mix'!$P$6:$P$62,MATCH(1,('Rent Roll'!G343='Unit Mix'!$E$6:$E$62)*(D343='Unit Mix'!$D$6:$D$62),0))</f>
        <v>#N/A</v>
      </c>
      <c r="Q343" s="150">
        <f>OneLineRR!T434</f>
        <v>0</v>
      </c>
      <c r="R343" s="150">
        <f>OneLineRR!U434</f>
        <v>0</v>
      </c>
      <c r="S343" s="150">
        <f>OneLineRR!V434</f>
        <v>0</v>
      </c>
      <c r="T343" s="150">
        <f>OneLineRR!W434</f>
        <v>0</v>
      </c>
      <c r="U343" s="157" t="str">
        <f>IF(OneLineRR!Q434="","",OneLineRR!Q434)</f>
        <v/>
      </c>
      <c r="V343" s="157" t="str">
        <f>IF(OneLineRR!R434="","",OneLineRR!R434)</f>
        <v/>
      </c>
      <c r="AB343" s="320" t="str">
        <f>IFERROR(U343+(COUNTIF($U$8:U343,U343)-1)/10000,"")</f>
        <v/>
      </c>
      <c r="AC343" s="158"/>
      <c r="AD343" s="119"/>
      <c r="AE343" s="460"/>
      <c r="AG343" s="119"/>
    </row>
    <row r="344" spans="4:33" x14ac:dyDescent="0.25">
      <c r="D344" s="154" t="str">
        <f>OneLineRR!A435</f>
        <v>Hudson View Park</v>
      </c>
      <c r="E344" s="104">
        <f>OneLineRR!J435</f>
        <v>0</v>
      </c>
      <c r="F344" s="104">
        <f>OneLineRR!K435</f>
        <v>0</v>
      </c>
      <c r="G344" s="155" t="e">
        <f>OneLineRR!D435</f>
        <v>#N/A</v>
      </c>
      <c r="H344" s="155" t="e">
        <f>IF(OneLineRR!G435="Yes","Affordable","Market")</f>
        <v>#N/A</v>
      </c>
      <c r="I344" s="104" t="e">
        <f>OneLineRR!I435</f>
        <v>#N/A</v>
      </c>
      <c r="J344" s="156">
        <f>OneLineRR!M435</f>
        <v>0</v>
      </c>
      <c r="K344" s="634">
        <f>OneLineRR!L435</f>
        <v>0</v>
      </c>
      <c r="L344" s="143" t="str">
        <f>OneLineRR!C435</f>
        <v>Occ</v>
      </c>
      <c r="M344" s="636">
        <f>OneLineRR!O435</f>
        <v>0</v>
      </c>
      <c r="N344" s="636">
        <f t="shared" si="5"/>
        <v>0</v>
      </c>
      <c r="O344" s="636">
        <f>OneLineRR!N435</f>
        <v>0</v>
      </c>
      <c r="P344" s="636" t="e" cm="1">
        <f t="array" ref="P344">INDEX('Unit Mix'!$P$6:$P$62,MATCH(1,('Rent Roll'!G344='Unit Mix'!$E$6:$E$62)*(D344='Unit Mix'!$D$6:$D$62),0))</f>
        <v>#N/A</v>
      </c>
      <c r="Q344" s="150">
        <f>OneLineRR!T435</f>
        <v>0</v>
      </c>
      <c r="R344" s="150">
        <f>OneLineRR!U435</f>
        <v>0</v>
      </c>
      <c r="S344" s="150">
        <f>OneLineRR!V435</f>
        <v>0</v>
      </c>
      <c r="T344" s="150">
        <f>OneLineRR!W435</f>
        <v>0</v>
      </c>
      <c r="U344" s="157" t="str">
        <f>IF(OneLineRR!Q435="","",OneLineRR!Q435)</f>
        <v/>
      </c>
      <c r="V344" s="157" t="str">
        <f>IF(OneLineRR!R435="","",OneLineRR!R435)</f>
        <v/>
      </c>
      <c r="AB344" s="320" t="str">
        <f>IFERROR(U344+(COUNTIF($U$8:U344,U344)-1)/10000,"")</f>
        <v/>
      </c>
      <c r="AC344" s="158"/>
      <c r="AD344" s="119"/>
      <c r="AE344" s="460"/>
      <c r="AG344" s="119"/>
    </row>
    <row r="345" spans="4:33" x14ac:dyDescent="0.25">
      <c r="D345" s="154" t="str">
        <f>OneLineRR!A436</f>
        <v>Hudson View Park</v>
      </c>
      <c r="E345" s="104">
        <f>OneLineRR!J436</f>
        <v>0</v>
      </c>
      <c r="F345" s="104">
        <f>OneLineRR!K436</f>
        <v>0</v>
      </c>
      <c r="G345" s="155" t="e">
        <f>OneLineRR!D436</f>
        <v>#N/A</v>
      </c>
      <c r="H345" s="155" t="e">
        <f>IF(OneLineRR!G436="Yes","Affordable","Market")</f>
        <v>#N/A</v>
      </c>
      <c r="I345" s="104" t="e">
        <f>OneLineRR!I436</f>
        <v>#N/A</v>
      </c>
      <c r="J345" s="156">
        <f>OneLineRR!M436</f>
        <v>0</v>
      </c>
      <c r="K345" s="634">
        <f>OneLineRR!L436</f>
        <v>0</v>
      </c>
      <c r="L345" s="143" t="str">
        <f>OneLineRR!C436</f>
        <v>Occ</v>
      </c>
      <c r="M345" s="636">
        <f>OneLineRR!O436</f>
        <v>0</v>
      </c>
      <c r="N345" s="636">
        <f t="shared" si="5"/>
        <v>0</v>
      </c>
      <c r="O345" s="636">
        <f>OneLineRR!N436</f>
        <v>0</v>
      </c>
      <c r="P345" s="636" t="e" cm="1">
        <f t="array" ref="P345">INDEX('Unit Mix'!$P$6:$P$62,MATCH(1,('Rent Roll'!G345='Unit Mix'!$E$6:$E$62)*(D345='Unit Mix'!$D$6:$D$62),0))</f>
        <v>#N/A</v>
      </c>
      <c r="Q345" s="150">
        <f>OneLineRR!T436</f>
        <v>0</v>
      </c>
      <c r="R345" s="150">
        <f>OneLineRR!U436</f>
        <v>0</v>
      </c>
      <c r="S345" s="150">
        <f>OneLineRR!V436</f>
        <v>0</v>
      </c>
      <c r="T345" s="150">
        <f>OneLineRR!W436</f>
        <v>0</v>
      </c>
      <c r="U345" s="157" t="str">
        <f>IF(OneLineRR!Q436="","",OneLineRR!Q436)</f>
        <v/>
      </c>
      <c r="V345" s="157" t="str">
        <f>IF(OneLineRR!R436="","",OneLineRR!R436)</f>
        <v/>
      </c>
      <c r="AB345" s="320" t="str">
        <f>IFERROR(U345+(COUNTIF($U$8:U345,U345)-1)/10000,"")</f>
        <v/>
      </c>
      <c r="AC345" s="158"/>
      <c r="AD345" s="119"/>
      <c r="AE345" s="460"/>
      <c r="AG345" s="119"/>
    </row>
    <row r="346" spans="4:33" x14ac:dyDescent="0.25">
      <c r="D346" s="154" t="str">
        <f>OneLineRR!A437</f>
        <v>Hudson View Park</v>
      </c>
      <c r="E346" s="104">
        <f>OneLineRR!J437</f>
        <v>0</v>
      </c>
      <c r="F346" s="104">
        <f>OneLineRR!K437</f>
        <v>0</v>
      </c>
      <c r="G346" s="155" t="e">
        <f>OneLineRR!D437</f>
        <v>#N/A</v>
      </c>
      <c r="H346" s="155" t="e">
        <f>IF(OneLineRR!G437="Yes","Affordable","Market")</f>
        <v>#N/A</v>
      </c>
      <c r="I346" s="104" t="e">
        <f>OneLineRR!I437</f>
        <v>#N/A</v>
      </c>
      <c r="J346" s="156">
        <f>OneLineRR!M437</f>
        <v>0</v>
      </c>
      <c r="K346" s="634">
        <f>OneLineRR!L437</f>
        <v>0</v>
      </c>
      <c r="L346" s="143" t="str">
        <f>OneLineRR!C437</f>
        <v>Occ</v>
      </c>
      <c r="M346" s="636">
        <f>OneLineRR!O437</f>
        <v>0</v>
      </c>
      <c r="N346" s="636">
        <f t="shared" si="5"/>
        <v>0</v>
      </c>
      <c r="O346" s="636">
        <f>OneLineRR!N437</f>
        <v>0</v>
      </c>
      <c r="P346" s="636" t="e" cm="1">
        <f t="array" ref="P346">INDEX('Unit Mix'!$P$6:$P$62,MATCH(1,('Rent Roll'!G346='Unit Mix'!$E$6:$E$62)*(D346='Unit Mix'!$D$6:$D$62),0))</f>
        <v>#N/A</v>
      </c>
      <c r="Q346" s="150">
        <f>OneLineRR!T437</f>
        <v>0</v>
      </c>
      <c r="R346" s="150">
        <f>OneLineRR!U437</f>
        <v>0</v>
      </c>
      <c r="S346" s="150">
        <f>OneLineRR!V437</f>
        <v>0</v>
      </c>
      <c r="T346" s="150">
        <f>OneLineRR!W437</f>
        <v>0</v>
      </c>
      <c r="U346" s="157" t="str">
        <f>IF(OneLineRR!Q437="","",OneLineRR!Q437)</f>
        <v/>
      </c>
      <c r="V346" s="157" t="str">
        <f>IF(OneLineRR!R437="","",OneLineRR!R437)</f>
        <v/>
      </c>
      <c r="AB346" s="320" t="str">
        <f>IFERROR(U346+(COUNTIF($U$8:U346,U346)-1)/10000,"")</f>
        <v/>
      </c>
      <c r="AC346" s="158"/>
      <c r="AD346" s="119"/>
      <c r="AE346" s="460"/>
      <c r="AG346" s="119"/>
    </row>
    <row r="347" spans="4:33" x14ac:dyDescent="0.25">
      <c r="D347" s="154" t="str">
        <f>OneLineRR!A438</f>
        <v>Hudson View Park</v>
      </c>
      <c r="E347" s="104">
        <f>OneLineRR!J438</f>
        <v>0</v>
      </c>
      <c r="F347" s="104">
        <f>OneLineRR!K438</f>
        <v>0</v>
      </c>
      <c r="G347" s="155" t="e">
        <f>OneLineRR!D438</f>
        <v>#N/A</v>
      </c>
      <c r="H347" s="155" t="e">
        <f>IF(OneLineRR!G438="Yes","Affordable","Market")</f>
        <v>#N/A</v>
      </c>
      <c r="I347" s="104" t="e">
        <f>OneLineRR!I438</f>
        <v>#N/A</v>
      </c>
      <c r="J347" s="156">
        <f>OneLineRR!M438</f>
        <v>0</v>
      </c>
      <c r="K347" s="634">
        <f>OneLineRR!L438</f>
        <v>0</v>
      </c>
      <c r="L347" s="143" t="str">
        <f>OneLineRR!C438</f>
        <v>Occ</v>
      </c>
      <c r="M347" s="636">
        <f>OneLineRR!O438</f>
        <v>0</v>
      </c>
      <c r="N347" s="636">
        <f t="shared" si="5"/>
        <v>0</v>
      </c>
      <c r="O347" s="636">
        <f>OneLineRR!N438</f>
        <v>0</v>
      </c>
      <c r="P347" s="636" t="e" cm="1">
        <f t="array" ref="P347">INDEX('Unit Mix'!$P$6:$P$62,MATCH(1,('Rent Roll'!G347='Unit Mix'!$E$6:$E$62)*(D347='Unit Mix'!$D$6:$D$62),0))</f>
        <v>#N/A</v>
      </c>
      <c r="Q347" s="150">
        <f>OneLineRR!T438</f>
        <v>0</v>
      </c>
      <c r="R347" s="150">
        <f>OneLineRR!U438</f>
        <v>0</v>
      </c>
      <c r="S347" s="150">
        <f>OneLineRR!V438</f>
        <v>0</v>
      </c>
      <c r="T347" s="150">
        <f>OneLineRR!W438</f>
        <v>0</v>
      </c>
      <c r="U347" s="157" t="str">
        <f>IF(OneLineRR!Q438="","",OneLineRR!Q438)</f>
        <v/>
      </c>
      <c r="V347" s="157" t="str">
        <f>IF(OneLineRR!R438="","",OneLineRR!R438)</f>
        <v/>
      </c>
      <c r="AB347" s="320" t="str">
        <f>IFERROR(U347+(COUNTIF($U$8:U347,U347)-1)/10000,"")</f>
        <v/>
      </c>
      <c r="AC347" s="158"/>
      <c r="AD347" s="119"/>
      <c r="AE347" s="460"/>
      <c r="AG347" s="119"/>
    </row>
    <row r="348" spans="4:33" x14ac:dyDescent="0.25">
      <c r="D348" s="154" t="str">
        <f>OneLineRR!A439</f>
        <v>Hudson View Park</v>
      </c>
      <c r="E348" s="104">
        <f>OneLineRR!J439</f>
        <v>0</v>
      </c>
      <c r="F348" s="104">
        <f>OneLineRR!K439</f>
        <v>0</v>
      </c>
      <c r="G348" s="155" t="e">
        <f>OneLineRR!D439</f>
        <v>#N/A</v>
      </c>
      <c r="H348" s="155" t="e">
        <f>IF(OneLineRR!G439="Yes","Affordable","Market")</f>
        <v>#N/A</v>
      </c>
      <c r="I348" s="104" t="e">
        <f>OneLineRR!I439</f>
        <v>#N/A</v>
      </c>
      <c r="J348" s="156">
        <f>OneLineRR!M439</f>
        <v>0</v>
      </c>
      <c r="K348" s="634">
        <f>OneLineRR!L439</f>
        <v>0</v>
      </c>
      <c r="L348" s="143" t="str">
        <f>OneLineRR!C439</f>
        <v>Occ</v>
      </c>
      <c r="M348" s="636">
        <f>OneLineRR!O439</f>
        <v>0</v>
      </c>
      <c r="N348" s="636">
        <f t="shared" si="5"/>
        <v>0</v>
      </c>
      <c r="O348" s="636">
        <f>OneLineRR!N439</f>
        <v>0</v>
      </c>
      <c r="P348" s="636" t="e" cm="1">
        <f t="array" ref="P348">INDEX('Unit Mix'!$P$6:$P$62,MATCH(1,('Rent Roll'!G348='Unit Mix'!$E$6:$E$62)*(D348='Unit Mix'!$D$6:$D$62),0))</f>
        <v>#N/A</v>
      </c>
      <c r="Q348" s="150">
        <f>OneLineRR!T439</f>
        <v>0</v>
      </c>
      <c r="R348" s="150">
        <f>OneLineRR!U439</f>
        <v>0</v>
      </c>
      <c r="S348" s="150">
        <f>OneLineRR!V439</f>
        <v>0</v>
      </c>
      <c r="T348" s="150">
        <f>OneLineRR!W439</f>
        <v>0</v>
      </c>
      <c r="U348" s="157" t="str">
        <f>IF(OneLineRR!Q439="","",OneLineRR!Q439)</f>
        <v/>
      </c>
      <c r="V348" s="157" t="str">
        <f>IF(OneLineRR!R439="","",OneLineRR!R439)</f>
        <v/>
      </c>
      <c r="AB348" s="320" t="str">
        <f>IFERROR(U348+(COUNTIF($U$8:U348,U348)-1)/10000,"")</f>
        <v/>
      </c>
      <c r="AC348" s="158"/>
      <c r="AD348" s="119"/>
      <c r="AE348" s="460"/>
      <c r="AG348" s="119"/>
    </row>
    <row r="349" spans="4:33" x14ac:dyDescent="0.25">
      <c r="D349" s="154" t="str">
        <f>OneLineRR!A440</f>
        <v>Hudson View Park</v>
      </c>
      <c r="E349" s="104">
        <f>OneLineRR!J440</f>
        <v>0</v>
      </c>
      <c r="F349" s="104">
        <f>OneLineRR!K440</f>
        <v>0</v>
      </c>
      <c r="G349" s="155" t="e">
        <f>OneLineRR!D440</f>
        <v>#N/A</v>
      </c>
      <c r="H349" s="155" t="e">
        <f>IF(OneLineRR!G440="Yes","Affordable","Market")</f>
        <v>#N/A</v>
      </c>
      <c r="I349" s="104" t="e">
        <f>OneLineRR!I440</f>
        <v>#N/A</v>
      </c>
      <c r="J349" s="156">
        <f>OneLineRR!M440</f>
        <v>0</v>
      </c>
      <c r="K349" s="634">
        <f>OneLineRR!L440</f>
        <v>0</v>
      </c>
      <c r="L349" s="143" t="str">
        <f>OneLineRR!C440</f>
        <v>Occ</v>
      </c>
      <c r="M349" s="636">
        <f>OneLineRR!O440</f>
        <v>0</v>
      </c>
      <c r="N349" s="636">
        <f t="shared" si="5"/>
        <v>0</v>
      </c>
      <c r="O349" s="636">
        <f>OneLineRR!N440</f>
        <v>0</v>
      </c>
      <c r="P349" s="636" t="e" cm="1">
        <f t="array" ref="P349">INDEX('Unit Mix'!$P$6:$P$62,MATCH(1,('Rent Roll'!G349='Unit Mix'!$E$6:$E$62)*(D349='Unit Mix'!$D$6:$D$62),0))</f>
        <v>#N/A</v>
      </c>
      <c r="Q349" s="150">
        <f>OneLineRR!T440</f>
        <v>0</v>
      </c>
      <c r="R349" s="150">
        <f>OneLineRR!U440</f>
        <v>0</v>
      </c>
      <c r="S349" s="150">
        <f>OneLineRR!V440</f>
        <v>0</v>
      </c>
      <c r="T349" s="150">
        <f>OneLineRR!W440</f>
        <v>0</v>
      </c>
      <c r="U349" s="157" t="str">
        <f>IF(OneLineRR!Q440="","",OneLineRR!Q440)</f>
        <v/>
      </c>
      <c r="V349" s="157" t="str">
        <f>IF(OneLineRR!R440="","",OneLineRR!R440)</f>
        <v/>
      </c>
      <c r="AB349" s="320" t="str">
        <f>IFERROR(U349+(COUNTIF($U$8:U349,U349)-1)/10000,"")</f>
        <v/>
      </c>
      <c r="AC349" s="158"/>
      <c r="AD349" s="119"/>
      <c r="AE349" s="460"/>
      <c r="AG349" s="119"/>
    </row>
    <row r="350" spans="4:33" x14ac:dyDescent="0.25">
      <c r="D350" s="154" t="str">
        <f>OneLineRR!A441</f>
        <v>Hudson View Park</v>
      </c>
      <c r="E350" s="104">
        <f>OneLineRR!J441</f>
        <v>0</v>
      </c>
      <c r="F350" s="104">
        <f>OneLineRR!K441</f>
        <v>0</v>
      </c>
      <c r="G350" s="155" t="e">
        <f>OneLineRR!D441</f>
        <v>#N/A</v>
      </c>
      <c r="H350" s="155" t="e">
        <f>IF(OneLineRR!G441="Yes","Affordable","Market")</f>
        <v>#N/A</v>
      </c>
      <c r="I350" s="104" t="e">
        <f>OneLineRR!I441</f>
        <v>#N/A</v>
      </c>
      <c r="J350" s="156">
        <f>OneLineRR!M441</f>
        <v>0</v>
      </c>
      <c r="K350" s="634">
        <f>OneLineRR!L441</f>
        <v>0</v>
      </c>
      <c r="L350" s="143" t="str">
        <f>OneLineRR!C441</f>
        <v>Occ</v>
      </c>
      <c r="M350" s="636">
        <f>OneLineRR!O441</f>
        <v>0</v>
      </c>
      <c r="N350" s="636">
        <f t="shared" si="5"/>
        <v>0</v>
      </c>
      <c r="O350" s="636">
        <f>OneLineRR!N441</f>
        <v>0</v>
      </c>
      <c r="P350" s="636" t="e" cm="1">
        <f t="array" ref="P350">INDEX('Unit Mix'!$P$6:$P$62,MATCH(1,('Rent Roll'!G350='Unit Mix'!$E$6:$E$62)*(D350='Unit Mix'!$D$6:$D$62),0))</f>
        <v>#N/A</v>
      </c>
      <c r="Q350" s="150">
        <f>OneLineRR!T441</f>
        <v>0</v>
      </c>
      <c r="R350" s="150">
        <f>OneLineRR!U441</f>
        <v>0</v>
      </c>
      <c r="S350" s="150">
        <f>OneLineRR!V441</f>
        <v>0</v>
      </c>
      <c r="T350" s="150">
        <f>OneLineRR!W441</f>
        <v>0</v>
      </c>
      <c r="U350" s="157" t="str">
        <f>IF(OneLineRR!Q441="","",OneLineRR!Q441)</f>
        <v/>
      </c>
      <c r="V350" s="157" t="str">
        <f>IF(OneLineRR!R441="","",OneLineRR!R441)</f>
        <v/>
      </c>
      <c r="AB350" s="320" t="str">
        <f>IFERROR(U350+(COUNTIF($U$8:U350,U350)-1)/10000,"")</f>
        <v/>
      </c>
      <c r="AC350" s="158"/>
      <c r="AD350" s="119"/>
      <c r="AE350" s="460"/>
      <c r="AG350" s="119"/>
    </row>
    <row r="351" spans="4:33" x14ac:dyDescent="0.25">
      <c r="D351" s="154" t="str">
        <f>OneLineRR!A442</f>
        <v>Hudson View Park</v>
      </c>
      <c r="E351" s="104">
        <f>OneLineRR!J442</f>
        <v>0</v>
      </c>
      <c r="F351" s="104">
        <f>OneLineRR!K442</f>
        <v>0</v>
      </c>
      <c r="G351" s="155" t="e">
        <f>OneLineRR!D442</f>
        <v>#N/A</v>
      </c>
      <c r="H351" s="155" t="e">
        <f>IF(OneLineRR!G442="Yes","Affordable","Market")</f>
        <v>#N/A</v>
      </c>
      <c r="I351" s="104" t="e">
        <f>OneLineRR!I442</f>
        <v>#N/A</v>
      </c>
      <c r="J351" s="156">
        <f>OneLineRR!M442</f>
        <v>0</v>
      </c>
      <c r="K351" s="634">
        <f>OneLineRR!L442</f>
        <v>0</v>
      </c>
      <c r="L351" s="143" t="str">
        <f>OneLineRR!C442</f>
        <v>Occ</v>
      </c>
      <c r="M351" s="636">
        <f>OneLineRR!O442</f>
        <v>0</v>
      </c>
      <c r="N351" s="636">
        <f t="shared" si="5"/>
        <v>0</v>
      </c>
      <c r="O351" s="636">
        <f>OneLineRR!N442</f>
        <v>0</v>
      </c>
      <c r="P351" s="636" t="e" cm="1">
        <f t="array" ref="P351">INDEX('Unit Mix'!$P$6:$P$62,MATCH(1,('Rent Roll'!G351='Unit Mix'!$E$6:$E$62)*(D351='Unit Mix'!$D$6:$D$62),0))</f>
        <v>#N/A</v>
      </c>
      <c r="Q351" s="150">
        <f>OneLineRR!T442</f>
        <v>0</v>
      </c>
      <c r="R351" s="150">
        <f>OneLineRR!U442</f>
        <v>0</v>
      </c>
      <c r="S351" s="150">
        <f>OneLineRR!V442</f>
        <v>0</v>
      </c>
      <c r="T351" s="150">
        <f>OneLineRR!W442</f>
        <v>0</v>
      </c>
      <c r="U351" s="157" t="str">
        <f>IF(OneLineRR!Q442="","",OneLineRR!Q442)</f>
        <v/>
      </c>
      <c r="V351" s="157" t="str">
        <f>IF(OneLineRR!R442="","",OneLineRR!R442)</f>
        <v/>
      </c>
      <c r="AB351" s="320" t="str">
        <f>IFERROR(U351+(COUNTIF($U$8:U351,U351)-1)/10000,"")</f>
        <v/>
      </c>
      <c r="AC351" s="158"/>
      <c r="AD351" s="119"/>
      <c r="AE351" s="460"/>
      <c r="AG351" s="119"/>
    </row>
    <row r="352" spans="4:33" x14ac:dyDescent="0.25">
      <c r="D352" s="154" t="str">
        <f>OneLineRR!A443</f>
        <v>Hudson View Park</v>
      </c>
      <c r="E352" s="104">
        <f>OneLineRR!J443</f>
        <v>0</v>
      </c>
      <c r="F352" s="104">
        <f>OneLineRR!K443</f>
        <v>0</v>
      </c>
      <c r="G352" s="155" t="e">
        <f>OneLineRR!D443</f>
        <v>#N/A</v>
      </c>
      <c r="H352" s="155" t="e">
        <f>IF(OneLineRR!G443="Yes","Affordable","Market")</f>
        <v>#N/A</v>
      </c>
      <c r="I352" s="104" t="e">
        <f>OneLineRR!I443</f>
        <v>#N/A</v>
      </c>
      <c r="J352" s="156">
        <f>OneLineRR!M443</f>
        <v>0</v>
      </c>
      <c r="K352" s="634">
        <f>OneLineRR!L443</f>
        <v>0</v>
      </c>
      <c r="L352" s="143" t="str">
        <f>OneLineRR!C443</f>
        <v>Occ</v>
      </c>
      <c r="M352" s="636">
        <f>OneLineRR!O443</f>
        <v>0</v>
      </c>
      <c r="N352" s="636">
        <f t="shared" si="5"/>
        <v>0</v>
      </c>
      <c r="O352" s="636">
        <f>OneLineRR!N443</f>
        <v>0</v>
      </c>
      <c r="P352" s="636" t="e" cm="1">
        <f t="array" ref="P352">INDEX('Unit Mix'!$P$6:$P$62,MATCH(1,('Rent Roll'!G352='Unit Mix'!$E$6:$E$62)*(D352='Unit Mix'!$D$6:$D$62),0))</f>
        <v>#N/A</v>
      </c>
      <c r="Q352" s="150">
        <f>OneLineRR!T443</f>
        <v>0</v>
      </c>
      <c r="R352" s="150">
        <f>OneLineRR!U443</f>
        <v>0</v>
      </c>
      <c r="S352" s="150">
        <f>OneLineRR!V443</f>
        <v>0</v>
      </c>
      <c r="T352" s="150">
        <f>OneLineRR!W443</f>
        <v>0</v>
      </c>
      <c r="U352" s="157" t="str">
        <f>IF(OneLineRR!Q443="","",OneLineRR!Q443)</f>
        <v/>
      </c>
      <c r="V352" s="157" t="str">
        <f>IF(OneLineRR!R443="","",OneLineRR!R443)</f>
        <v/>
      </c>
      <c r="AB352" s="320" t="str">
        <f>IFERROR(U352+(COUNTIF($U$8:U352,U352)-1)/10000,"")</f>
        <v/>
      </c>
      <c r="AC352" s="158"/>
      <c r="AD352" s="119"/>
      <c r="AE352" s="460"/>
      <c r="AG352" s="119"/>
    </row>
    <row r="353" spans="4:33" x14ac:dyDescent="0.25">
      <c r="D353" s="154" t="str">
        <f>OneLineRR!A444</f>
        <v>Hudson View Park</v>
      </c>
      <c r="E353" s="104">
        <f>OneLineRR!J444</f>
        <v>0</v>
      </c>
      <c r="F353" s="104">
        <f>OneLineRR!K444</f>
        <v>0</v>
      </c>
      <c r="G353" s="155" t="e">
        <f>OneLineRR!D444</f>
        <v>#N/A</v>
      </c>
      <c r="H353" s="155" t="e">
        <f>IF(OneLineRR!G444="Yes","Affordable","Market")</f>
        <v>#N/A</v>
      </c>
      <c r="I353" s="104" t="e">
        <f>OneLineRR!I444</f>
        <v>#N/A</v>
      </c>
      <c r="J353" s="156">
        <f>OneLineRR!M444</f>
        <v>0</v>
      </c>
      <c r="K353" s="634">
        <f>OneLineRR!L444</f>
        <v>0</v>
      </c>
      <c r="L353" s="143" t="str">
        <f>OneLineRR!C444</f>
        <v>Occ</v>
      </c>
      <c r="M353" s="636">
        <f>OneLineRR!O444</f>
        <v>0</v>
      </c>
      <c r="N353" s="636">
        <f t="shared" si="5"/>
        <v>0</v>
      </c>
      <c r="O353" s="636">
        <f>OneLineRR!N444</f>
        <v>0</v>
      </c>
      <c r="P353" s="636" t="e" cm="1">
        <f t="array" ref="P353">INDEX('Unit Mix'!$P$6:$P$62,MATCH(1,('Rent Roll'!G353='Unit Mix'!$E$6:$E$62)*(D353='Unit Mix'!$D$6:$D$62),0))</f>
        <v>#N/A</v>
      </c>
      <c r="Q353" s="150">
        <f>OneLineRR!T444</f>
        <v>0</v>
      </c>
      <c r="R353" s="150">
        <f>OneLineRR!U444</f>
        <v>0</v>
      </c>
      <c r="S353" s="150">
        <f>OneLineRR!V444</f>
        <v>0</v>
      </c>
      <c r="T353" s="150">
        <f>OneLineRR!W444</f>
        <v>0</v>
      </c>
      <c r="U353" s="157" t="str">
        <f>IF(OneLineRR!Q444="","",OneLineRR!Q444)</f>
        <v/>
      </c>
      <c r="V353" s="157" t="str">
        <f>IF(OneLineRR!R444="","",OneLineRR!R444)</f>
        <v/>
      </c>
      <c r="AB353" s="320" t="str">
        <f>IFERROR(U353+(COUNTIF($U$8:U353,U353)-1)/10000,"")</f>
        <v/>
      </c>
      <c r="AC353" s="158"/>
      <c r="AD353" s="119"/>
      <c r="AE353" s="460"/>
      <c r="AG353" s="119"/>
    </row>
    <row r="354" spans="4:33" x14ac:dyDescent="0.25">
      <c r="D354" s="154" t="str">
        <f>OneLineRR!A445</f>
        <v>Hudson View Park</v>
      </c>
      <c r="E354" s="104">
        <f>OneLineRR!J445</f>
        <v>0</v>
      </c>
      <c r="F354" s="104">
        <f>OneLineRR!K445</f>
        <v>0</v>
      </c>
      <c r="G354" s="155" t="e">
        <f>OneLineRR!D445</f>
        <v>#N/A</v>
      </c>
      <c r="H354" s="155" t="e">
        <f>IF(OneLineRR!G445="Yes","Affordable","Market")</f>
        <v>#N/A</v>
      </c>
      <c r="I354" s="104" t="e">
        <f>OneLineRR!I445</f>
        <v>#N/A</v>
      </c>
      <c r="J354" s="156">
        <f>OneLineRR!M445</f>
        <v>0</v>
      </c>
      <c r="K354" s="634">
        <f>OneLineRR!L445</f>
        <v>0</v>
      </c>
      <c r="L354" s="143" t="str">
        <f>OneLineRR!C445</f>
        <v>Occ</v>
      </c>
      <c r="M354" s="636">
        <f>OneLineRR!O445</f>
        <v>0</v>
      </c>
      <c r="N354" s="636">
        <f t="shared" si="5"/>
        <v>0</v>
      </c>
      <c r="O354" s="636">
        <f>OneLineRR!N445</f>
        <v>0</v>
      </c>
      <c r="P354" s="636" t="e" cm="1">
        <f t="array" ref="P354">INDEX('Unit Mix'!$P$6:$P$62,MATCH(1,('Rent Roll'!G354='Unit Mix'!$E$6:$E$62)*(D354='Unit Mix'!$D$6:$D$62),0))</f>
        <v>#N/A</v>
      </c>
      <c r="Q354" s="150">
        <f>OneLineRR!T445</f>
        <v>0</v>
      </c>
      <c r="R354" s="150">
        <f>OneLineRR!U445</f>
        <v>0</v>
      </c>
      <c r="S354" s="150">
        <f>OneLineRR!V445</f>
        <v>0</v>
      </c>
      <c r="T354" s="150">
        <f>OneLineRR!W445</f>
        <v>0</v>
      </c>
      <c r="U354" s="157" t="str">
        <f>IF(OneLineRR!Q445="","",OneLineRR!Q445)</f>
        <v/>
      </c>
      <c r="V354" s="157" t="str">
        <f>IF(OneLineRR!R445="","",OneLineRR!R445)</f>
        <v/>
      </c>
      <c r="AB354" s="320" t="str">
        <f>IFERROR(U354+(COUNTIF($U$8:U354,U354)-1)/10000,"")</f>
        <v/>
      </c>
      <c r="AC354" s="158"/>
      <c r="AD354" s="119"/>
      <c r="AE354" s="460"/>
      <c r="AG354" s="119"/>
    </row>
    <row r="355" spans="4:33" x14ac:dyDescent="0.25">
      <c r="D355" s="154" t="str">
        <f>OneLineRR!A446</f>
        <v>Hudson View Park</v>
      </c>
      <c r="E355" s="104">
        <f>OneLineRR!J446</f>
        <v>0</v>
      </c>
      <c r="F355" s="104">
        <f>OneLineRR!K446</f>
        <v>0</v>
      </c>
      <c r="G355" s="155" t="e">
        <f>OneLineRR!D446</f>
        <v>#N/A</v>
      </c>
      <c r="H355" s="155" t="e">
        <f>IF(OneLineRR!G446="Yes","Affordable","Market")</f>
        <v>#N/A</v>
      </c>
      <c r="I355" s="104" t="e">
        <f>OneLineRR!I446</f>
        <v>#N/A</v>
      </c>
      <c r="J355" s="156">
        <f>OneLineRR!M446</f>
        <v>0</v>
      </c>
      <c r="K355" s="634">
        <f>OneLineRR!L446</f>
        <v>0</v>
      </c>
      <c r="L355" s="143" t="str">
        <f>OneLineRR!C446</f>
        <v>Occ</v>
      </c>
      <c r="M355" s="636">
        <f>OneLineRR!O446</f>
        <v>0</v>
      </c>
      <c r="N355" s="636">
        <f t="shared" si="5"/>
        <v>0</v>
      </c>
      <c r="O355" s="636">
        <f>OneLineRR!N446</f>
        <v>0</v>
      </c>
      <c r="P355" s="636" t="e" cm="1">
        <f t="array" ref="P355">INDEX('Unit Mix'!$P$6:$P$62,MATCH(1,('Rent Roll'!G355='Unit Mix'!$E$6:$E$62)*(D355='Unit Mix'!$D$6:$D$62),0))</f>
        <v>#N/A</v>
      </c>
      <c r="Q355" s="150">
        <f>OneLineRR!T446</f>
        <v>0</v>
      </c>
      <c r="R355" s="150">
        <f>OneLineRR!U446</f>
        <v>0</v>
      </c>
      <c r="S355" s="150">
        <f>OneLineRR!V446</f>
        <v>0</v>
      </c>
      <c r="T355" s="150">
        <f>OneLineRR!W446</f>
        <v>0</v>
      </c>
      <c r="U355" s="157" t="str">
        <f>IF(OneLineRR!Q446="","",OneLineRR!Q446)</f>
        <v/>
      </c>
      <c r="V355" s="157" t="str">
        <f>IF(OneLineRR!R446="","",OneLineRR!R446)</f>
        <v/>
      </c>
      <c r="AB355" s="320" t="str">
        <f>IFERROR(U355+(COUNTIF($U$8:U355,U355)-1)/10000,"")</f>
        <v/>
      </c>
      <c r="AC355" s="158"/>
      <c r="AD355" s="119"/>
      <c r="AE355" s="460"/>
      <c r="AG355" s="119"/>
    </row>
    <row r="356" spans="4:33" x14ac:dyDescent="0.25">
      <c r="D356" s="154" t="str">
        <f>OneLineRR!A447</f>
        <v>Hudson View Park</v>
      </c>
      <c r="E356" s="104">
        <f>OneLineRR!J447</f>
        <v>0</v>
      </c>
      <c r="F356" s="104">
        <f>OneLineRR!K447</f>
        <v>0</v>
      </c>
      <c r="G356" s="155" t="e">
        <f>OneLineRR!D447</f>
        <v>#N/A</v>
      </c>
      <c r="H356" s="155" t="e">
        <f>IF(OneLineRR!G447="Yes","Affordable","Market")</f>
        <v>#N/A</v>
      </c>
      <c r="I356" s="104" t="e">
        <f>OneLineRR!I447</f>
        <v>#N/A</v>
      </c>
      <c r="J356" s="156">
        <f>OneLineRR!M447</f>
        <v>0</v>
      </c>
      <c r="K356" s="634">
        <f>OneLineRR!L447</f>
        <v>0</v>
      </c>
      <c r="L356" s="143" t="str">
        <f>OneLineRR!C447</f>
        <v>Occ</v>
      </c>
      <c r="M356" s="636">
        <f>OneLineRR!O447</f>
        <v>0</v>
      </c>
      <c r="N356" s="636">
        <f t="shared" si="5"/>
        <v>0</v>
      </c>
      <c r="O356" s="636">
        <f>OneLineRR!N447</f>
        <v>0</v>
      </c>
      <c r="P356" s="636" t="e" cm="1">
        <f t="array" ref="P356">INDEX('Unit Mix'!$P$6:$P$62,MATCH(1,('Rent Roll'!G356='Unit Mix'!$E$6:$E$62)*(D356='Unit Mix'!$D$6:$D$62),0))</f>
        <v>#N/A</v>
      </c>
      <c r="Q356" s="150">
        <f>OneLineRR!T447</f>
        <v>0</v>
      </c>
      <c r="R356" s="150">
        <f>OneLineRR!U447</f>
        <v>0</v>
      </c>
      <c r="S356" s="150">
        <f>OneLineRR!V447</f>
        <v>0</v>
      </c>
      <c r="T356" s="150">
        <f>OneLineRR!W447</f>
        <v>0</v>
      </c>
      <c r="U356" s="157" t="str">
        <f>IF(OneLineRR!Q447="","",OneLineRR!Q447)</f>
        <v/>
      </c>
      <c r="V356" s="157" t="str">
        <f>IF(OneLineRR!R447="","",OneLineRR!R447)</f>
        <v/>
      </c>
      <c r="AB356" s="320" t="str">
        <f>IFERROR(U356+(COUNTIF($U$8:U356,U356)-1)/10000,"")</f>
        <v/>
      </c>
      <c r="AC356" s="158"/>
      <c r="AD356" s="119"/>
      <c r="AE356" s="460"/>
      <c r="AG356" s="119"/>
    </row>
    <row r="357" spans="4:33" x14ac:dyDescent="0.25">
      <c r="D357" s="154" t="str">
        <f>OneLineRR!A448</f>
        <v>Hudson View Park</v>
      </c>
      <c r="E357" s="104">
        <f>OneLineRR!J448</f>
        <v>0</v>
      </c>
      <c r="F357" s="104">
        <f>OneLineRR!K448</f>
        <v>0</v>
      </c>
      <c r="G357" s="155" t="e">
        <f>OneLineRR!D448</f>
        <v>#N/A</v>
      </c>
      <c r="H357" s="155" t="e">
        <f>IF(OneLineRR!G448="Yes","Affordable","Market")</f>
        <v>#N/A</v>
      </c>
      <c r="I357" s="104" t="e">
        <f>OneLineRR!I448</f>
        <v>#N/A</v>
      </c>
      <c r="J357" s="156">
        <f>OneLineRR!M448</f>
        <v>0</v>
      </c>
      <c r="K357" s="634">
        <f>OneLineRR!L448</f>
        <v>0</v>
      </c>
      <c r="L357" s="143" t="str">
        <f>OneLineRR!C448</f>
        <v>Occ</v>
      </c>
      <c r="M357" s="636">
        <f>OneLineRR!O448</f>
        <v>0</v>
      </c>
      <c r="N357" s="636">
        <f t="shared" si="5"/>
        <v>0</v>
      </c>
      <c r="O357" s="636">
        <f>OneLineRR!N448</f>
        <v>0</v>
      </c>
      <c r="P357" s="636" t="e" cm="1">
        <f t="array" ref="P357">INDEX('Unit Mix'!$P$6:$P$62,MATCH(1,('Rent Roll'!G357='Unit Mix'!$E$6:$E$62)*(D357='Unit Mix'!$D$6:$D$62),0))</f>
        <v>#N/A</v>
      </c>
      <c r="Q357" s="150">
        <f>OneLineRR!T448</f>
        <v>0</v>
      </c>
      <c r="R357" s="150">
        <f>OneLineRR!U448</f>
        <v>0</v>
      </c>
      <c r="S357" s="150">
        <f>OneLineRR!V448</f>
        <v>0</v>
      </c>
      <c r="T357" s="150">
        <f>OneLineRR!W448</f>
        <v>0</v>
      </c>
      <c r="U357" s="157" t="str">
        <f>IF(OneLineRR!Q448="","",OneLineRR!Q448)</f>
        <v/>
      </c>
      <c r="V357" s="157" t="str">
        <f>IF(OneLineRR!R448="","",OneLineRR!R448)</f>
        <v/>
      </c>
      <c r="AB357" s="320" t="str">
        <f>IFERROR(U357+(COUNTIF($U$8:U357,U357)-1)/10000,"")</f>
        <v/>
      </c>
      <c r="AC357" s="158"/>
      <c r="AD357" s="119"/>
      <c r="AE357" s="460"/>
      <c r="AG357" s="119"/>
    </row>
    <row r="358" spans="4:33" x14ac:dyDescent="0.25">
      <c r="D358" s="154" t="str">
        <f>OneLineRR!A449</f>
        <v>Hudson View Park</v>
      </c>
      <c r="E358" s="104">
        <f>OneLineRR!J449</f>
        <v>0</v>
      </c>
      <c r="F358" s="104">
        <f>OneLineRR!K449</f>
        <v>0</v>
      </c>
      <c r="G358" s="155" t="e">
        <f>OneLineRR!D449</f>
        <v>#N/A</v>
      </c>
      <c r="H358" s="155" t="e">
        <f>IF(OneLineRR!G449="Yes","Affordable","Market")</f>
        <v>#N/A</v>
      </c>
      <c r="I358" s="104" t="e">
        <f>OneLineRR!I449</f>
        <v>#N/A</v>
      </c>
      <c r="J358" s="156">
        <f>OneLineRR!M449</f>
        <v>0</v>
      </c>
      <c r="K358" s="634">
        <f>OneLineRR!L449</f>
        <v>0</v>
      </c>
      <c r="L358" s="143" t="str">
        <f>OneLineRR!C449</f>
        <v>Occ</v>
      </c>
      <c r="M358" s="636">
        <f>OneLineRR!O449</f>
        <v>0</v>
      </c>
      <c r="N358" s="636">
        <f t="shared" si="5"/>
        <v>0</v>
      </c>
      <c r="O358" s="636">
        <f>OneLineRR!N449</f>
        <v>0</v>
      </c>
      <c r="P358" s="636" t="e" cm="1">
        <f t="array" ref="P358">INDEX('Unit Mix'!$P$6:$P$62,MATCH(1,('Rent Roll'!G358='Unit Mix'!$E$6:$E$62)*(D358='Unit Mix'!$D$6:$D$62),0))</f>
        <v>#N/A</v>
      </c>
      <c r="Q358" s="150">
        <f>OneLineRR!T449</f>
        <v>0</v>
      </c>
      <c r="R358" s="150">
        <f>OneLineRR!U449</f>
        <v>0</v>
      </c>
      <c r="S358" s="150">
        <f>OneLineRR!V449</f>
        <v>0</v>
      </c>
      <c r="T358" s="150">
        <f>OneLineRR!W449</f>
        <v>0</v>
      </c>
      <c r="U358" s="157" t="str">
        <f>IF(OneLineRR!Q449="","",OneLineRR!Q449)</f>
        <v/>
      </c>
      <c r="V358" s="157" t="str">
        <f>IF(OneLineRR!R449="","",OneLineRR!R449)</f>
        <v/>
      </c>
      <c r="AB358" s="320" t="str">
        <f>IFERROR(U358+(COUNTIF($U$8:U358,U358)-1)/10000,"")</f>
        <v/>
      </c>
      <c r="AC358" s="158"/>
      <c r="AD358" s="119"/>
      <c r="AE358" s="460"/>
      <c r="AG358" s="119"/>
    </row>
    <row r="359" spans="4:33" x14ac:dyDescent="0.25">
      <c r="D359" s="154" t="str">
        <f>OneLineRR!A450</f>
        <v>Hudson View Park</v>
      </c>
      <c r="E359" s="104">
        <f>OneLineRR!J450</f>
        <v>0</v>
      </c>
      <c r="F359" s="104">
        <f>OneLineRR!K450</f>
        <v>0</v>
      </c>
      <c r="G359" s="155" t="e">
        <f>OneLineRR!D450</f>
        <v>#N/A</v>
      </c>
      <c r="H359" s="155" t="e">
        <f>IF(OneLineRR!G450="Yes","Affordable","Market")</f>
        <v>#N/A</v>
      </c>
      <c r="I359" s="104" t="e">
        <f>OneLineRR!I450</f>
        <v>#N/A</v>
      </c>
      <c r="J359" s="156">
        <f>OneLineRR!M450</f>
        <v>0</v>
      </c>
      <c r="K359" s="634">
        <f>OneLineRR!L450</f>
        <v>0</v>
      </c>
      <c r="L359" s="143" t="str">
        <f>OneLineRR!C450</f>
        <v>Occ</v>
      </c>
      <c r="M359" s="636">
        <f>OneLineRR!O450</f>
        <v>0</v>
      </c>
      <c r="N359" s="636">
        <f t="shared" si="5"/>
        <v>0</v>
      </c>
      <c r="O359" s="636">
        <f>OneLineRR!N450</f>
        <v>0</v>
      </c>
      <c r="P359" s="636" t="e" cm="1">
        <f t="array" ref="P359">INDEX('Unit Mix'!$P$6:$P$62,MATCH(1,('Rent Roll'!G359='Unit Mix'!$E$6:$E$62)*(D359='Unit Mix'!$D$6:$D$62),0))</f>
        <v>#N/A</v>
      </c>
      <c r="Q359" s="150">
        <f>OneLineRR!T450</f>
        <v>0</v>
      </c>
      <c r="R359" s="150">
        <f>OneLineRR!U450</f>
        <v>0</v>
      </c>
      <c r="S359" s="150">
        <f>OneLineRR!V450</f>
        <v>0</v>
      </c>
      <c r="T359" s="150">
        <f>OneLineRR!W450</f>
        <v>0</v>
      </c>
      <c r="U359" s="157" t="str">
        <f>IF(OneLineRR!Q450="","",OneLineRR!Q450)</f>
        <v/>
      </c>
      <c r="V359" s="157" t="str">
        <f>IF(OneLineRR!R450="","",OneLineRR!R450)</f>
        <v/>
      </c>
      <c r="AB359" s="320" t="str">
        <f>IFERROR(U359+(COUNTIF($U$8:U359,U359)-1)/10000,"")</f>
        <v/>
      </c>
      <c r="AC359" s="158"/>
      <c r="AD359" s="119"/>
      <c r="AE359" s="460"/>
      <c r="AG359" s="119"/>
    </row>
    <row r="360" spans="4:33" x14ac:dyDescent="0.25">
      <c r="D360" s="154" t="str">
        <f>OneLineRR!A451</f>
        <v>Hudson View Park</v>
      </c>
      <c r="E360" s="104">
        <f>OneLineRR!J451</f>
        <v>0</v>
      </c>
      <c r="F360" s="104">
        <f>OneLineRR!K451</f>
        <v>0</v>
      </c>
      <c r="G360" s="155" t="e">
        <f>OneLineRR!D451</f>
        <v>#N/A</v>
      </c>
      <c r="H360" s="155" t="e">
        <f>IF(OneLineRR!G451="Yes","Affordable","Market")</f>
        <v>#N/A</v>
      </c>
      <c r="I360" s="104" t="e">
        <f>OneLineRR!I451</f>
        <v>#N/A</v>
      </c>
      <c r="J360" s="156">
        <f>OneLineRR!M451</f>
        <v>0</v>
      </c>
      <c r="K360" s="634">
        <f>OneLineRR!L451</f>
        <v>0</v>
      </c>
      <c r="L360" s="143" t="str">
        <f>OneLineRR!C451</f>
        <v>Occ</v>
      </c>
      <c r="M360" s="636">
        <f>OneLineRR!O451</f>
        <v>0</v>
      </c>
      <c r="N360" s="636">
        <f t="shared" si="5"/>
        <v>0</v>
      </c>
      <c r="O360" s="636">
        <f>OneLineRR!N451</f>
        <v>0</v>
      </c>
      <c r="P360" s="636" t="e" cm="1">
        <f t="array" ref="P360">INDEX('Unit Mix'!$P$6:$P$62,MATCH(1,('Rent Roll'!G360='Unit Mix'!$E$6:$E$62)*(D360='Unit Mix'!$D$6:$D$62),0))</f>
        <v>#N/A</v>
      </c>
      <c r="Q360" s="150">
        <f>OneLineRR!T451</f>
        <v>0</v>
      </c>
      <c r="R360" s="150">
        <f>OneLineRR!U451</f>
        <v>0</v>
      </c>
      <c r="S360" s="150">
        <f>OneLineRR!V451</f>
        <v>0</v>
      </c>
      <c r="T360" s="150">
        <f>OneLineRR!W451</f>
        <v>0</v>
      </c>
      <c r="U360" s="157" t="str">
        <f>IF(OneLineRR!Q451="","",OneLineRR!Q451)</f>
        <v/>
      </c>
      <c r="V360" s="157" t="str">
        <f>IF(OneLineRR!R451="","",OneLineRR!R451)</f>
        <v/>
      </c>
      <c r="AB360" s="320" t="str">
        <f>IFERROR(U360+(COUNTIF($U$8:U360,U360)-1)/10000,"")</f>
        <v/>
      </c>
      <c r="AC360" s="158"/>
      <c r="AD360" s="119"/>
      <c r="AE360" s="460"/>
      <c r="AG360" s="119"/>
    </row>
    <row r="361" spans="4:33" x14ac:dyDescent="0.25">
      <c r="D361" s="154" t="str">
        <f>OneLineRR!A452</f>
        <v>Hudson View Park</v>
      </c>
      <c r="E361" s="104">
        <f>OneLineRR!J452</f>
        <v>0</v>
      </c>
      <c r="F361" s="104">
        <f>OneLineRR!K452</f>
        <v>0</v>
      </c>
      <c r="G361" s="155" t="e">
        <f>OneLineRR!D452</f>
        <v>#N/A</v>
      </c>
      <c r="H361" s="155" t="e">
        <f>IF(OneLineRR!G452="Yes","Affordable","Market")</f>
        <v>#N/A</v>
      </c>
      <c r="I361" s="104" t="e">
        <f>OneLineRR!I452</f>
        <v>#N/A</v>
      </c>
      <c r="J361" s="156">
        <f>OneLineRR!M452</f>
        <v>0</v>
      </c>
      <c r="K361" s="634">
        <f>OneLineRR!L452</f>
        <v>0</v>
      </c>
      <c r="L361" s="143" t="str">
        <f>OneLineRR!C452</f>
        <v>Occ</v>
      </c>
      <c r="M361" s="636">
        <f>OneLineRR!O452</f>
        <v>0</v>
      </c>
      <c r="N361" s="636">
        <f t="shared" si="5"/>
        <v>0</v>
      </c>
      <c r="O361" s="636">
        <f>OneLineRR!N452</f>
        <v>0</v>
      </c>
      <c r="P361" s="636" t="e" cm="1">
        <f t="array" ref="P361">INDEX('Unit Mix'!$P$6:$P$62,MATCH(1,('Rent Roll'!G361='Unit Mix'!$E$6:$E$62)*(D361='Unit Mix'!$D$6:$D$62),0))</f>
        <v>#N/A</v>
      </c>
      <c r="Q361" s="150">
        <f>OneLineRR!T452</f>
        <v>0</v>
      </c>
      <c r="R361" s="150">
        <f>OneLineRR!U452</f>
        <v>0</v>
      </c>
      <c r="S361" s="150">
        <f>OneLineRR!V452</f>
        <v>0</v>
      </c>
      <c r="T361" s="150">
        <f>OneLineRR!W452</f>
        <v>0</v>
      </c>
      <c r="U361" s="157" t="str">
        <f>IF(OneLineRR!Q452="","",OneLineRR!Q452)</f>
        <v/>
      </c>
      <c r="V361" s="157" t="str">
        <f>IF(OneLineRR!R452="","",OneLineRR!R452)</f>
        <v/>
      </c>
      <c r="AB361" s="320" t="str">
        <f>IFERROR(U361+(COUNTIF($U$8:U361,U361)-1)/10000,"")</f>
        <v/>
      </c>
      <c r="AC361" s="158"/>
      <c r="AD361" s="119"/>
      <c r="AE361" s="460"/>
      <c r="AG361" s="119"/>
    </row>
    <row r="362" spans="4:33" x14ac:dyDescent="0.25">
      <c r="D362" s="154" t="str">
        <f>OneLineRR!A453</f>
        <v>Hudson View Park</v>
      </c>
      <c r="E362" s="104">
        <f>OneLineRR!J453</f>
        <v>0</v>
      </c>
      <c r="F362" s="104">
        <f>OneLineRR!K453</f>
        <v>0</v>
      </c>
      <c r="G362" s="155" t="e">
        <f>OneLineRR!D453</f>
        <v>#N/A</v>
      </c>
      <c r="H362" s="155" t="e">
        <f>IF(OneLineRR!G453="Yes","Affordable","Market")</f>
        <v>#N/A</v>
      </c>
      <c r="I362" s="104" t="e">
        <f>OneLineRR!I453</f>
        <v>#N/A</v>
      </c>
      <c r="J362" s="156">
        <f>OneLineRR!M453</f>
        <v>0</v>
      </c>
      <c r="K362" s="634">
        <f>OneLineRR!L453</f>
        <v>0</v>
      </c>
      <c r="L362" s="143" t="str">
        <f>OneLineRR!C453</f>
        <v>Occ</v>
      </c>
      <c r="M362" s="636">
        <f>OneLineRR!O453</f>
        <v>0</v>
      </c>
      <c r="N362" s="636">
        <f t="shared" si="5"/>
        <v>0</v>
      </c>
      <c r="O362" s="636">
        <f>OneLineRR!N453</f>
        <v>0</v>
      </c>
      <c r="P362" s="636" t="e" cm="1">
        <f t="array" ref="P362">INDEX('Unit Mix'!$P$6:$P$62,MATCH(1,('Rent Roll'!G362='Unit Mix'!$E$6:$E$62)*(D362='Unit Mix'!$D$6:$D$62),0))</f>
        <v>#N/A</v>
      </c>
      <c r="Q362" s="150">
        <f>OneLineRR!T453</f>
        <v>0</v>
      </c>
      <c r="R362" s="150">
        <f>OneLineRR!U453</f>
        <v>0</v>
      </c>
      <c r="S362" s="150">
        <f>OneLineRR!V453</f>
        <v>0</v>
      </c>
      <c r="T362" s="150">
        <f>OneLineRR!W453</f>
        <v>0</v>
      </c>
      <c r="U362" s="157" t="str">
        <f>IF(OneLineRR!Q453="","",OneLineRR!Q453)</f>
        <v/>
      </c>
      <c r="V362" s="157" t="str">
        <f>IF(OneLineRR!R453="","",OneLineRR!R453)</f>
        <v/>
      </c>
      <c r="AB362" s="320" t="str">
        <f>IFERROR(U362+(COUNTIF($U$8:U362,U362)-1)/10000,"")</f>
        <v/>
      </c>
      <c r="AC362" s="158"/>
      <c r="AD362" s="119"/>
      <c r="AE362" s="460"/>
      <c r="AG362" s="119"/>
    </row>
    <row r="363" spans="4:33" x14ac:dyDescent="0.25">
      <c r="D363" s="154" t="str">
        <f>OneLineRR!A454</f>
        <v>Hudson View Park</v>
      </c>
      <c r="E363" s="104">
        <f>OneLineRR!J454</f>
        <v>0</v>
      </c>
      <c r="F363" s="104">
        <f>OneLineRR!K454</f>
        <v>0</v>
      </c>
      <c r="G363" s="155" t="e">
        <f>OneLineRR!D454</f>
        <v>#N/A</v>
      </c>
      <c r="H363" s="155" t="e">
        <f>IF(OneLineRR!G454="Yes","Affordable","Market")</f>
        <v>#N/A</v>
      </c>
      <c r="I363" s="104" t="e">
        <f>OneLineRR!I454</f>
        <v>#N/A</v>
      </c>
      <c r="J363" s="156">
        <f>OneLineRR!M454</f>
        <v>0</v>
      </c>
      <c r="K363" s="634">
        <f>OneLineRR!L454</f>
        <v>0</v>
      </c>
      <c r="L363" s="143" t="str">
        <f>OneLineRR!C454</f>
        <v>Occ</v>
      </c>
      <c r="M363" s="636">
        <f>OneLineRR!O454</f>
        <v>0</v>
      </c>
      <c r="N363" s="636">
        <f t="shared" si="5"/>
        <v>0</v>
      </c>
      <c r="O363" s="636">
        <f>OneLineRR!N454</f>
        <v>0</v>
      </c>
      <c r="P363" s="636" t="e" cm="1">
        <f t="array" ref="P363">INDEX('Unit Mix'!$P$6:$P$62,MATCH(1,('Rent Roll'!G363='Unit Mix'!$E$6:$E$62)*(D363='Unit Mix'!$D$6:$D$62),0))</f>
        <v>#N/A</v>
      </c>
      <c r="Q363" s="150">
        <f>OneLineRR!T454</f>
        <v>0</v>
      </c>
      <c r="R363" s="150">
        <f>OneLineRR!U454</f>
        <v>0</v>
      </c>
      <c r="S363" s="150">
        <f>OneLineRR!V454</f>
        <v>0</v>
      </c>
      <c r="T363" s="150">
        <f>OneLineRR!W454</f>
        <v>0</v>
      </c>
      <c r="U363" s="157" t="str">
        <f>IF(OneLineRR!Q454="","",OneLineRR!Q454)</f>
        <v/>
      </c>
      <c r="V363" s="157" t="str">
        <f>IF(OneLineRR!R454="","",OneLineRR!R454)</f>
        <v/>
      </c>
      <c r="AB363" s="320" t="str">
        <f>IFERROR(U363+(COUNTIF($U$8:U363,U363)-1)/10000,"")</f>
        <v/>
      </c>
      <c r="AC363" s="158"/>
      <c r="AD363" s="119"/>
      <c r="AE363" s="460"/>
      <c r="AG363" s="119"/>
    </row>
    <row r="364" spans="4:33" x14ac:dyDescent="0.25">
      <c r="D364" s="154" t="str">
        <f>OneLineRR!A455</f>
        <v>Hudson View Park</v>
      </c>
      <c r="E364" s="104">
        <f>OneLineRR!J455</f>
        <v>0</v>
      </c>
      <c r="F364" s="104">
        <f>OneLineRR!K455</f>
        <v>0</v>
      </c>
      <c r="G364" s="155" t="e">
        <f>OneLineRR!D455</f>
        <v>#N/A</v>
      </c>
      <c r="H364" s="155" t="e">
        <f>IF(OneLineRR!G455="Yes","Affordable","Market")</f>
        <v>#N/A</v>
      </c>
      <c r="I364" s="104" t="e">
        <f>OneLineRR!I455</f>
        <v>#N/A</v>
      </c>
      <c r="J364" s="156">
        <f>OneLineRR!M455</f>
        <v>0</v>
      </c>
      <c r="K364" s="634">
        <f>OneLineRR!L455</f>
        <v>0</v>
      </c>
      <c r="L364" s="143" t="str">
        <f>OneLineRR!C455</f>
        <v>Occ</v>
      </c>
      <c r="M364" s="636">
        <f>OneLineRR!O455</f>
        <v>0</v>
      </c>
      <c r="N364" s="636">
        <f t="shared" si="5"/>
        <v>0</v>
      </c>
      <c r="O364" s="636">
        <f>OneLineRR!N455</f>
        <v>0</v>
      </c>
      <c r="P364" s="636" t="e" cm="1">
        <f t="array" ref="P364">INDEX('Unit Mix'!$P$6:$P$62,MATCH(1,('Rent Roll'!G364='Unit Mix'!$E$6:$E$62)*(D364='Unit Mix'!$D$6:$D$62),0))</f>
        <v>#N/A</v>
      </c>
      <c r="Q364" s="150">
        <f>OneLineRR!T455</f>
        <v>0</v>
      </c>
      <c r="R364" s="150">
        <f>OneLineRR!U455</f>
        <v>0</v>
      </c>
      <c r="S364" s="150">
        <f>OneLineRR!V455</f>
        <v>0</v>
      </c>
      <c r="T364" s="150">
        <f>OneLineRR!W455</f>
        <v>0</v>
      </c>
      <c r="U364" s="157" t="str">
        <f>IF(OneLineRR!Q455="","",OneLineRR!Q455)</f>
        <v/>
      </c>
      <c r="V364" s="157" t="str">
        <f>IF(OneLineRR!R455="","",OneLineRR!R455)</f>
        <v/>
      </c>
      <c r="AB364" s="320" t="str">
        <f>IFERROR(U364+(COUNTIF($U$8:U364,U364)-1)/10000,"")</f>
        <v/>
      </c>
      <c r="AC364" s="158"/>
      <c r="AD364" s="119"/>
      <c r="AE364" s="460"/>
      <c r="AG364" s="119"/>
    </row>
    <row r="365" spans="4:33" x14ac:dyDescent="0.25">
      <c r="D365" s="154" t="str">
        <f>OneLineRR!A456</f>
        <v>Hudson View Park</v>
      </c>
      <c r="E365" s="104">
        <f>OneLineRR!J456</f>
        <v>0</v>
      </c>
      <c r="F365" s="104">
        <f>OneLineRR!K456</f>
        <v>0</v>
      </c>
      <c r="G365" s="155" t="e">
        <f>OneLineRR!D456</f>
        <v>#N/A</v>
      </c>
      <c r="H365" s="155" t="e">
        <f>IF(OneLineRR!G456="Yes","Affordable","Market")</f>
        <v>#N/A</v>
      </c>
      <c r="I365" s="104" t="e">
        <f>OneLineRR!I456</f>
        <v>#N/A</v>
      </c>
      <c r="J365" s="156">
        <f>OneLineRR!M456</f>
        <v>0</v>
      </c>
      <c r="K365" s="634">
        <f>OneLineRR!L456</f>
        <v>0</v>
      </c>
      <c r="L365" s="143" t="str">
        <f>OneLineRR!C456</f>
        <v>Occ</v>
      </c>
      <c r="M365" s="636">
        <f>OneLineRR!O456</f>
        <v>0</v>
      </c>
      <c r="N365" s="636">
        <f t="shared" si="5"/>
        <v>0</v>
      </c>
      <c r="O365" s="636">
        <f>OneLineRR!N456</f>
        <v>0</v>
      </c>
      <c r="P365" s="636" t="e" cm="1">
        <f t="array" ref="P365">INDEX('Unit Mix'!$P$6:$P$62,MATCH(1,('Rent Roll'!G365='Unit Mix'!$E$6:$E$62)*(D365='Unit Mix'!$D$6:$D$62),0))</f>
        <v>#N/A</v>
      </c>
      <c r="Q365" s="150">
        <f>OneLineRR!T456</f>
        <v>0</v>
      </c>
      <c r="R365" s="150">
        <f>OneLineRR!U456</f>
        <v>0</v>
      </c>
      <c r="S365" s="150">
        <f>OneLineRR!V456</f>
        <v>0</v>
      </c>
      <c r="T365" s="150">
        <f>OneLineRR!W456</f>
        <v>0</v>
      </c>
      <c r="U365" s="157" t="str">
        <f>IF(OneLineRR!Q456="","",OneLineRR!Q456)</f>
        <v/>
      </c>
      <c r="V365" s="157" t="str">
        <f>IF(OneLineRR!R456="","",OneLineRR!R456)</f>
        <v/>
      </c>
      <c r="AB365" s="320" t="str">
        <f>IFERROR(U365+(COUNTIF($U$8:U365,U365)-1)/10000,"")</f>
        <v/>
      </c>
      <c r="AC365" s="158"/>
      <c r="AD365" s="119"/>
      <c r="AE365" s="460"/>
      <c r="AG365" s="119"/>
    </row>
    <row r="366" spans="4:33" x14ac:dyDescent="0.25">
      <c r="D366" s="154" t="str">
        <f>OneLineRR!A457</f>
        <v>Hudson View Park</v>
      </c>
      <c r="E366" s="104">
        <f>OneLineRR!J457</f>
        <v>0</v>
      </c>
      <c r="F366" s="104">
        <f>OneLineRR!K457</f>
        <v>0</v>
      </c>
      <c r="G366" s="155" t="e">
        <f>OneLineRR!D457</f>
        <v>#N/A</v>
      </c>
      <c r="H366" s="155" t="e">
        <f>IF(OneLineRR!G457="Yes","Affordable","Market")</f>
        <v>#N/A</v>
      </c>
      <c r="I366" s="104" t="e">
        <f>OneLineRR!I457</f>
        <v>#N/A</v>
      </c>
      <c r="J366" s="156">
        <f>OneLineRR!M457</f>
        <v>0</v>
      </c>
      <c r="K366" s="634">
        <f>OneLineRR!L457</f>
        <v>0</v>
      </c>
      <c r="L366" s="143" t="str">
        <f>OneLineRR!C457</f>
        <v>Occ</v>
      </c>
      <c r="M366" s="636">
        <f>OneLineRR!O457</f>
        <v>0</v>
      </c>
      <c r="N366" s="636">
        <f t="shared" si="5"/>
        <v>0</v>
      </c>
      <c r="O366" s="636">
        <f>OneLineRR!N457</f>
        <v>0</v>
      </c>
      <c r="P366" s="636" t="e" cm="1">
        <f t="array" ref="P366">INDEX('Unit Mix'!$P$6:$P$62,MATCH(1,('Rent Roll'!G366='Unit Mix'!$E$6:$E$62)*(D366='Unit Mix'!$D$6:$D$62),0))</f>
        <v>#N/A</v>
      </c>
      <c r="Q366" s="150">
        <f>OneLineRR!T457</f>
        <v>0</v>
      </c>
      <c r="R366" s="150">
        <f>OneLineRR!U457</f>
        <v>0</v>
      </c>
      <c r="S366" s="150">
        <f>OneLineRR!V457</f>
        <v>0</v>
      </c>
      <c r="T366" s="150">
        <f>OneLineRR!W457</f>
        <v>0</v>
      </c>
      <c r="U366" s="157" t="str">
        <f>IF(OneLineRR!Q457="","",OneLineRR!Q457)</f>
        <v/>
      </c>
      <c r="V366" s="157" t="str">
        <f>IF(OneLineRR!R457="","",OneLineRR!R457)</f>
        <v/>
      </c>
      <c r="AB366" s="320" t="str">
        <f>IFERROR(U366+(COUNTIF($U$8:U366,U366)-1)/10000,"")</f>
        <v/>
      </c>
      <c r="AC366" s="158"/>
      <c r="AD366" s="119"/>
      <c r="AE366" s="460"/>
      <c r="AG366" s="119"/>
    </row>
    <row r="367" spans="4:33" x14ac:dyDescent="0.25">
      <c r="D367" s="154" t="str">
        <f>OneLineRR!A458</f>
        <v>Hudson View Park</v>
      </c>
      <c r="E367" s="104">
        <f>OneLineRR!J458</f>
        <v>0</v>
      </c>
      <c r="F367" s="104">
        <f>OneLineRR!K458</f>
        <v>0</v>
      </c>
      <c r="G367" s="155" t="e">
        <f>OneLineRR!D458</f>
        <v>#N/A</v>
      </c>
      <c r="H367" s="155" t="e">
        <f>IF(OneLineRR!G458="Yes","Affordable","Market")</f>
        <v>#N/A</v>
      </c>
      <c r="I367" s="104" t="e">
        <f>OneLineRR!I458</f>
        <v>#N/A</v>
      </c>
      <c r="J367" s="156">
        <f>OneLineRR!M458</f>
        <v>0</v>
      </c>
      <c r="K367" s="634">
        <f>OneLineRR!L458</f>
        <v>0</v>
      </c>
      <c r="L367" s="143" t="str">
        <f>OneLineRR!C458</f>
        <v>Occ</v>
      </c>
      <c r="M367" s="636">
        <f>OneLineRR!O458</f>
        <v>0</v>
      </c>
      <c r="N367" s="636">
        <f t="shared" si="5"/>
        <v>0</v>
      </c>
      <c r="O367" s="636">
        <f>OneLineRR!N458</f>
        <v>0</v>
      </c>
      <c r="P367" s="636" t="e" cm="1">
        <f t="array" ref="P367">INDEX('Unit Mix'!$P$6:$P$62,MATCH(1,('Rent Roll'!G367='Unit Mix'!$E$6:$E$62)*(D367='Unit Mix'!$D$6:$D$62),0))</f>
        <v>#N/A</v>
      </c>
      <c r="Q367" s="150">
        <f>OneLineRR!T458</f>
        <v>0</v>
      </c>
      <c r="R367" s="150">
        <f>OneLineRR!U458</f>
        <v>0</v>
      </c>
      <c r="S367" s="150">
        <f>OneLineRR!V458</f>
        <v>0</v>
      </c>
      <c r="T367" s="150">
        <f>OneLineRR!W458</f>
        <v>0</v>
      </c>
      <c r="U367" s="157" t="str">
        <f>IF(OneLineRR!Q458="","",OneLineRR!Q458)</f>
        <v/>
      </c>
      <c r="V367" s="157" t="str">
        <f>IF(OneLineRR!R458="","",OneLineRR!R458)</f>
        <v/>
      </c>
      <c r="AB367" s="320" t="str">
        <f>IFERROR(U367+(COUNTIF($U$8:U367,U367)-1)/10000,"")</f>
        <v/>
      </c>
      <c r="AC367" s="158"/>
      <c r="AD367" s="119"/>
      <c r="AE367" s="460"/>
      <c r="AG367" s="119"/>
    </row>
    <row r="368" spans="4:33" x14ac:dyDescent="0.25">
      <c r="D368" s="154" t="str">
        <f>OneLineRR!A459</f>
        <v>Hudson View Park</v>
      </c>
      <c r="E368" s="104">
        <f>OneLineRR!J459</f>
        <v>0</v>
      </c>
      <c r="F368" s="104">
        <f>OneLineRR!K459</f>
        <v>0</v>
      </c>
      <c r="G368" s="155" t="e">
        <f>OneLineRR!D459</f>
        <v>#N/A</v>
      </c>
      <c r="H368" s="155" t="e">
        <f>IF(OneLineRR!G459="Yes","Affordable","Market")</f>
        <v>#N/A</v>
      </c>
      <c r="I368" s="104" t="e">
        <f>OneLineRR!I459</f>
        <v>#N/A</v>
      </c>
      <c r="J368" s="156">
        <f>OneLineRR!M459</f>
        <v>0</v>
      </c>
      <c r="K368" s="634">
        <f>OneLineRR!L459</f>
        <v>0</v>
      </c>
      <c r="L368" s="143" t="str">
        <f>OneLineRR!C459</f>
        <v>Occ</v>
      </c>
      <c r="M368" s="636">
        <f>OneLineRR!O459</f>
        <v>0</v>
      </c>
      <c r="N368" s="636">
        <f t="shared" si="5"/>
        <v>0</v>
      </c>
      <c r="O368" s="636">
        <f>OneLineRR!N459</f>
        <v>0</v>
      </c>
      <c r="P368" s="636" t="e" cm="1">
        <f t="array" ref="P368">INDEX('Unit Mix'!$P$6:$P$62,MATCH(1,('Rent Roll'!G368='Unit Mix'!$E$6:$E$62)*(D368='Unit Mix'!$D$6:$D$62),0))</f>
        <v>#N/A</v>
      </c>
      <c r="Q368" s="150">
        <f>OneLineRR!T459</f>
        <v>0</v>
      </c>
      <c r="R368" s="150">
        <f>OneLineRR!U459</f>
        <v>0</v>
      </c>
      <c r="S368" s="150">
        <f>OneLineRR!V459</f>
        <v>0</v>
      </c>
      <c r="T368" s="150">
        <f>OneLineRR!W459</f>
        <v>0</v>
      </c>
      <c r="U368" s="157" t="str">
        <f>IF(OneLineRR!Q459="","",OneLineRR!Q459)</f>
        <v/>
      </c>
      <c r="V368" s="157" t="str">
        <f>IF(OneLineRR!R459="","",OneLineRR!R459)</f>
        <v/>
      </c>
      <c r="AB368" s="320" t="str">
        <f>IFERROR(U368+(COUNTIF($U$8:U368,U368)-1)/10000,"")</f>
        <v/>
      </c>
      <c r="AC368" s="158"/>
      <c r="AD368" s="119"/>
      <c r="AE368" s="460"/>
      <c r="AG368" s="119"/>
    </row>
    <row r="369" spans="4:33" x14ac:dyDescent="0.25">
      <c r="D369" s="154" t="str">
        <f>OneLineRR!A460</f>
        <v>Hudson View Park</v>
      </c>
      <c r="E369" s="104">
        <f>OneLineRR!J460</f>
        <v>0</v>
      </c>
      <c r="F369" s="104">
        <f>OneLineRR!K460</f>
        <v>0</v>
      </c>
      <c r="G369" s="155" t="e">
        <f>OneLineRR!D460</f>
        <v>#N/A</v>
      </c>
      <c r="H369" s="155" t="e">
        <f>IF(OneLineRR!G460="Yes","Affordable","Market")</f>
        <v>#N/A</v>
      </c>
      <c r="I369" s="104" t="e">
        <f>OneLineRR!I460</f>
        <v>#N/A</v>
      </c>
      <c r="J369" s="156">
        <f>OneLineRR!M460</f>
        <v>0</v>
      </c>
      <c r="K369" s="634">
        <f>OneLineRR!L460</f>
        <v>0</v>
      </c>
      <c r="L369" s="143" t="str">
        <f>OneLineRR!C460</f>
        <v>Occ</v>
      </c>
      <c r="M369" s="636">
        <f>OneLineRR!O460</f>
        <v>0</v>
      </c>
      <c r="N369" s="636">
        <f t="shared" si="5"/>
        <v>0</v>
      </c>
      <c r="O369" s="636">
        <f>OneLineRR!N460</f>
        <v>0</v>
      </c>
      <c r="P369" s="636" t="e" cm="1">
        <f t="array" ref="P369">INDEX('Unit Mix'!$P$6:$P$62,MATCH(1,('Rent Roll'!G369='Unit Mix'!$E$6:$E$62)*(D369='Unit Mix'!$D$6:$D$62),0))</f>
        <v>#N/A</v>
      </c>
      <c r="Q369" s="150">
        <f>OneLineRR!T460</f>
        <v>0</v>
      </c>
      <c r="R369" s="150">
        <f>OneLineRR!U460</f>
        <v>0</v>
      </c>
      <c r="S369" s="150">
        <f>OneLineRR!V460</f>
        <v>0</v>
      </c>
      <c r="T369" s="150">
        <f>OneLineRR!W460</f>
        <v>0</v>
      </c>
      <c r="U369" s="157" t="str">
        <f>IF(OneLineRR!Q460="","",OneLineRR!Q460)</f>
        <v/>
      </c>
      <c r="V369" s="157" t="str">
        <f>IF(OneLineRR!R460="","",OneLineRR!R460)</f>
        <v/>
      </c>
      <c r="AB369" s="320" t="str">
        <f>IFERROR(U369+(COUNTIF($U$8:U369,U369)-1)/10000,"")</f>
        <v/>
      </c>
      <c r="AC369" s="158"/>
      <c r="AD369" s="119"/>
      <c r="AE369" s="460"/>
      <c r="AG369" s="119"/>
    </row>
    <row r="370" spans="4:33" x14ac:dyDescent="0.25">
      <c r="D370" s="154" t="str">
        <f>OneLineRR!A461</f>
        <v>Hudson View Park</v>
      </c>
      <c r="E370" s="104">
        <f>OneLineRR!J461</f>
        <v>0</v>
      </c>
      <c r="F370" s="104">
        <f>OneLineRR!K461</f>
        <v>0</v>
      </c>
      <c r="G370" s="155" t="e">
        <f>OneLineRR!D461</f>
        <v>#N/A</v>
      </c>
      <c r="H370" s="155" t="e">
        <f>IF(OneLineRR!G461="Yes","Affordable","Market")</f>
        <v>#N/A</v>
      </c>
      <c r="I370" s="104" t="e">
        <f>OneLineRR!I461</f>
        <v>#N/A</v>
      </c>
      <c r="J370" s="156">
        <f>OneLineRR!M461</f>
        <v>0</v>
      </c>
      <c r="K370" s="634">
        <f>OneLineRR!L461</f>
        <v>0</v>
      </c>
      <c r="L370" s="143" t="str">
        <f>OneLineRR!C461</f>
        <v>Occ</v>
      </c>
      <c r="M370" s="636">
        <f>OneLineRR!O461</f>
        <v>0</v>
      </c>
      <c r="N370" s="636">
        <f t="shared" si="5"/>
        <v>0</v>
      </c>
      <c r="O370" s="636">
        <f>OneLineRR!N461</f>
        <v>0</v>
      </c>
      <c r="P370" s="636" t="e" cm="1">
        <f t="array" ref="P370">INDEX('Unit Mix'!$P$6:$P$62,MATCH(1,('Rent Roll'!G370='Unit Mix'!$E$6:$E$62)*(D370='Unit Mix'!$D$6:$D$62),0))</f>
        <v>#N/A</v>
      </c>
      <c r="Q370" s="150">
        <f>OneLineRR!T461</f>
        <v>0</v>
      </c>
      <c r="R370" s="150">
        <f>OneLineRR!U461</f>
        <v>0</v>
      </c>
      <c r="S370" s="150">
        <f>OneLineRR!V461</f>
        <v>0</v>
      </c>
      <c r="T370" s="150">
        <f>OneLineRR!W461</f>
        <v>0</v>
      </c>
      <c r="U370" s="157" t="str">
        <f>IF(OneLineRR!Q461="","",OneLineRR!Q461)</f>
        <v/>
      </c>
      <c r="V370" s="157" t="str">
        <f>IF(OneLineRR!R461="","",OneLineRR!R461)</f>
        <v/>
      </c>
      <c r="AB370" s="320" t="str">
        <f>IFERROR(U370+(COUNTIF($U$8:U370,U370)-1)/10000,"")</f>
        <v/>
      </c>
      <c r="AC370" s="158"/>
      <c r="AD370" s="119"/>
      <c r="AE370" s="460"/>
      <c r="AG370" s="119"/>
    </row>
    <row r="371" spans="4:33" x14ac:dyDescent="0.25">
      <c r="D371" s="154" t="str">
        <f>OneLineRR!A462</f>
        <v>Hudson View Park</v>
      </c>
      <c r="E371" s="104">
        <f>OneLineRR!J462</f>
        <v>0</v>
      </c>
      <c r="F371" s="104">
        <f>OneLineRR!K462</f>
        <v>0</v>
      </c>
      <c r="G371" s="155" t="e">
        <f>OneLineRR!D462</f>
        <v>#N/A</v>
      </c>
      <c r="H371" s="155" t="e">
        <f>IF(OneLineRR!G462="Yes","Affordable","Market")</f>
        <v>#N/A</v>
      </c>
      <c r="I371" s="104" t="e">
        <f>OneLineRR!I462</f>
        <v>#N/A</v>
      </c>
      <c r="J371" s="156">
        <f>OneLineRR!M462</f>
        <v>0</v>
      </c>
      <c r="K371" s="634">
        <f>OneLineRR!L462</f>
        <v>0</v>
      </c>
      <c r="L371" s="143" t="str">
        <f>OneLineRR!C462</f>
        <v>Occ</v>
      </c>
      <c r="M371" s="636">
        <f>OneLineRR!O462</f>
        <v>0</v>
      </c>
      <c r="N371" s="636">
        <f t="shared" si="5"/>
        <v>0</v>
      </c>
      <c r="O371" s="636">
        <f>OneLineRR!N462</f>
        <v>0</v>
      </c>
      <c r="P371" s="636" t="e" cm="1">
        <f t="array" ref="P371">INDEX('Unit Mix'!$P$6:$P$62,MATCH(1,('Rent Roll'!G371='Unit Mix'!$E$6:$E$62)*(D371='Unit Mix'!$D$6:$D$62),0))</f>
        <v>#N/A</v>
      </c>
      <c r="Q371" s="150">
        <f>OneLineRR!T462</f>
        <v>0</v>
      </c>
      <c r="R371" s="150">
        <f>OneLineRR!U462</f>
        <v>0</v>
      </c>
      <c r="S371" s="150">
        <f>OneLineRR!V462</f>
        <v>0</v>
      </c>
      <c r="T371" s="150">
        <f>OneLineRR!W462</f>
        <v>0</v>
      </c>
      <c r="U371" s="157" t="str">
        <f>IF(OneLineRR!Q462="","",OneLineRR!Q462)</f>
        <v/>
      </c>
      <c r="V371" s="157" t="str">
        <f>IF(OneLineRR!R462="","",OneLineRR!R462)</f>
        <v/>
      </c>
      <c r="AB371" s="320" t="str">
        <f>IFERROR(U371+(COUNTIF($U$8:U371,U371)-1)/10000,"")</f>
        <v/>
      </c>
      <c r="AC371" s="158"/>
      <c r="AD371" s="119"/>
      <c r="AE371" s="460"/>
      <c r="AG371" s="119"/>
    </row>
    <row r="372" spans="4:33" x14ac:dyDescent="0.25">
      <c r="D372" s="154" t="str">
        <f>OneLineRR!A463</f>
        <v>Hudson View Park</v>
      </c>
      <c r="E372" s="104">
        <f>OneLineRR!J463</f>
        <v>0</v>
      </c>
      <c r="F372" s="104">
        <f>OneLineRR!K463</f>
        <v>0</v>
      </c>
      <c r="G372" s="155" t="e">
        <f>OneLineRR!D463</f>
        <v>#N/A</v>
      </c>
      <c r="H372" s="155" t="e">
        <f>IF(OneLineRR!G463="Yes","Affordable","Market")</f>
        <v>#N/A</v>
      </c>
      <c r="I372" s="104" t="e">
        <f>OneLineRR!I463</f>
        <v>#N/A</v>
      </c>
      <c r="J372" s="156">
        <f>OneLineRR!M463</f>
        <v>0</v>
      </c>
      <c r="K372" s="634">
        <f>OneLineRR!L463</f>
        <v>0</v>
      </c>
      <c r="L372" s="143" t="str">
        <f>OneLineRR!C463</f>
        <v>Occ</v>
      </c>
      <c r="M372" s="636">
        <f>OneLineRR!O463</f>
        <v>0</v>
      </c>
      <c r="N372" s="636">
        <f t="shared" si="5"/>
        <v>0</v>
      </c>
      <c r="O372" s="636">
        <f>OneLineRR!N463</f>
        <v>0</v>
      </c>
      <c r="P372" s="636" t="e" cm="1">
        <f t="array" ref="P372">INDEX('Unit Mix'!$P$6:$P$62,MATCH(1,('Rent Roll'!G372='Unit Mix'!$E$6:$E$62)*(D372='Unit Mix'!$D$6:$D$62),0))</f>
        <v>#N/A</v>
      </c>
      <c r="Q372" s="150">
        <f>OneLineRR!T463</f>
        <v>0</v>
      </c>
      <c r="R372" s="150">
        <f>OneLineRR!U463</f>
        <v>0</v>
      </c>
      <c r="S372" s="150">
        <f>OneLineRR!V463</f>
        <v>0</v>
      </c>
      <c r="T372" s="150">
        <f>OneLineRR!W463</f>
        <v>0</v>
      </c>
      <c r="U372" s="157" t="str">
        <f>IF(OneLineRR!Q463="","",OneLineRR!Q463)</f>
        <v/>
      </c>
      <c r="V372" s="157" t="str">
        <f>IF(OneLineRR!R463="","",OneLineRR!R463)</f>
        <v/>
      </c>
      <c r="AB372" s="320" t="str">
        <f>IFERROR(U372+(COUNTIF($U$8:U372,U372)-1)/10000,"")</f>
        <v/>
      </c>
      <c r="AC372" s="158"/>
      <c r="AD372" s="119"/>
      <c r="AE372" s="460"/>
      <c r="AG372" s="119"/>
    </row>
    <row r="373" spans="4:33" x14ac:dyDescent="0.25">
      <c r="D373" s="154" t="str">
        <f>OneLineRR!A464</f>
        <v>Hudson View Park</v>
      </c>
      <c r="E373" s="104">
        <f>OneLineRR!J464</f>
        <v>0</v>
      </c>
      <c r="F373" s="104">
        <f>OneLineRR!K464</f>
        <v>0</v>
      </c>
      <c r="G373" s="155" t="e">
        <f>OneLineRR!D464</f>
        <v>#N/A</v>
      </c>
      <c r="H373" s="155" t="e">
        <f>IF(OneLineRR!G464="Yes","Affordable","Market")</f>
        <v>#N/A</v>
      </c>
      <c r="I373" s="104" t="e">
        <f>OneLineRR!I464</f>
        <v>#N/A</v>
      </c>
      <c r="J373" s="156">
        <f>OneLineRR!M464</f>
        <v>0</v>
      </c>
      <c r="K373" s="634">
        <f>OneLineRR!L464</f>
        <v>0</v>
      </c>
      <c r="L373" s="143" t="str">
        <f>OneLineRR!C464</f>
        <v>Occ</v>
      </c>
      <c r="M373" s="636">
        <f>OneLineRR!O464</f>
        <v>0</v>
      </c>
      <c r="N373" s="636">
        <f t="shared" si="5"/>
        <v>0</v>
      </c>
      <c r="O373" s="636">
        <f>OneLineRR!N464</f>
        <v>0</v>
      </c>
      <c r="P373" s="636" t="e" cm="1">
        <f t="array" ref="P373">INDEX('Unit Mix'!$P$6:$P$62,MATCH(1,('Rent Roll'!G373='Unit Mix'!$E$6:$E$62)*(D373='Unit Mix'!$D$6:$D$62),0))</f>
        <v>#N/A</v>
      </c>
      <c r="Q373" s="150">
        <f>OneLineRR!T464</f>
        <v>0</v>
      </c>
      <c r="R373" s="150">
        <f>OneLineRR!U464</f>
        <v>0</v>
      </c>
      <c r="S373" s="150">
        <f>OneLineRR!V464</f>
        <v>0</v>
      </c>
      <c r="T373" s="150">
        <f>OneLineRR!W464</f>
        <v>0</v>
      </c>
      <c r="U373" s="157" t="str">
        <f>IF(OneLineRR!Q464="","",OneLineRR!Q464)</f>
        <v/>
      </c>
      <c r="V373" s="157" t="str">
        <f>IF(OneLineRR!R464="","",OneLineRR!R464)</f>
        <v/>
      </c>
      <c r="AB373" s="320" t="str">
        <f>IFERROR(U373+(COUNTIF($U$8:U373,U373)-1)/10000,"")</f>
        <v/>
      </c>
      <c r="AC373" s="158"/>
      <c r="AD373" s="119"/>
      <c r="AE373" s="460"/>
      <c r="AG373" s="119"/>
    </row>
    <row r="374" spans="4:33" x14ac:dyDescent="0.25">
      <c r="D374" s="154" t="str">
        <f>OneLineRR!A465</f>
        <v>Hudson View Park</v>
      </c>
      <c r="E374" s="104">
        <f>OneLineRR!J465</f>
        <v>0</v>
      </c>
      <c r="F374" s="104">
        <f>OneLineRR!K465</f>
        <v>0</v>
      </c>
      <c r="G374" s="155" t="e">
        <f>OneLineRR!D465</f>
        <v>#N/A</v>
      </c>
      <c r="H374" s="155" t="e">
        <f>IF(OneLineRR!G465="Yes","Affordable","Market")</f>
        <v>#N/A</v>
      </c>
      <c r="I374" s="104" t="e">
        <f>OneLineRR!I465</f>
        <v>#N/A</v>
      </c>
      <c r="J374" s="156">
        <f>OneLineRR!M465</f>
        <v>0</v>
      </c>
      <c r="K374" s="634">
        <f>OneLineRR!L465</f>
        <v>0</v>
      </c>
      <c r="L374" s="143" t="str">
        <f>OneLineRR!C465</f>
        <v>Occ</v>
      </c>
      <c r="M374" s="636">
        <f>OneLineRR!O465</f>
        <v>0</v>
      </c>
      <c r="N374" s="636">
        <f t="shared" si="5"/>
        <v>0</v>
      </c>
      <c r="O374" s="636">
        <f>OneLineRR!N465</f>
        <v>0</v>
      </c>
      <c r="P374" s="636" t="e" cm="1">
        <f t="array" ref="P374">INDEX('Unit Mix'!$P$6:$P$62,MATCH(1,('Rent Roll'!G374='Unit Mix'!$E$6:$E$62)*(D374='Unit Mix'!$D$6:$D$62),0))</f>
        <v>#N/A</v>
      </c>
      <c r="Q374" s="150">
        <f>OneLineRR!T465</f>
        <v>0</v>
      </c>
      <c r="R374" s="150">
        <f>OneLineRR!U465</f>
        <v>0</v>
      </c>
      <c r="S374" s="150">
        <f>OneLineRR!V465</f>
        <v>0</v>
      </c>
      <c r="T374" s="150">
        <f>OneLineRR!W465</f>
        <v>0</v>
      </c>
      <c r="U374" s="157" t="str">
        <f>IF(OneLineRR!Q465="","",OneLineRR!Q465)</f>
        <v/>
      </c>
      <c r="V374" s="157" t="str">
        <f>IF(OneLineRR!R465="","",OneLineRR!R465)</f>
        <v/>
      </c>
      <c r="AB374" s="320" t="str">
        <f>IFERROR(U374+(COUNTIF($U$8:U374,U374)-1)/10000,"")</f>
        <v/>
      </c>
      <c r="AC374" s="158"/>
      <c r="AD374" s="119"/>
      <c r="AE374" s="460"/>
      <c r="AG374" s="119"/>
    </row>
    <row r="375" spans="4:33" x14ac:dyDescent="0.25">
      <c r="D375" s="154" t="str">
        <f>OneLineRR!A466</f>
        <v>Hudson View Park</v>
      </c>
      <c r="E375" s="104">
        <f>OneLineRR!J466</f>
        <v>0</v>
      </c>
      <c r="F375" s="104">
        <f>OneLineRR!K466</f>
        <v>0</v>
      </c>
      <c r="G375" s="155" t="e">
        <f>OneLineRR!D466</f>
        <v>#N/A</v>
      </c>
      <c r="H375" s="155" t="e">
        <f>IF(OneLineRR!G466="Yes","Affordable","Market")</f>
        <v>#N/A</v>
      </c>
      <c r="I375" s="104" t="e">
        <f>OneLineRR!I466</f>
        <v>#N/A</v>
      </c>
      <c r="J375" s="156">
        <f>OneLineRR!M466</f>
        <v>0</v>
      </c>
      <c r="K375" s="634">
        <f>OneLineRR!L466</f>
        <v>0</v>
      </c>
      <c r="L375" s="143" t="str">
        <f>OneLineRR!C466</f>
        <v>Occ</v>
      </c>
      <c r="M375" s="636">
        <f>OneLineRR!O466</f>
        <v>0</v>
      </c>
      <c r="N375" s="636">
        <f t="shared" si="5"/>
        <v>0</v>
      </c>
      <c r="O375" s="636">
        <f>OneLineRR!N466</f>
        <v>0</v>
      </c>
      <c r="P375" s="636" t="e" cm="1">
        <f t="array" ref="P375">INDEX('Unit Mix'!$P$6:$P$62,MATCH(1,('Rent Roll'!G375='Unit Mix'!$E$6:$E$62)*(D375='Unit Mix'!$D$6:$D$62),0))</f>
        <v>#N/A</v>
      </c>
      <c r="Q375" s="150">
        <f>OneLineRR!T466</f>
        <v>0</v>
      </c>
      <c r="R375" s="150">
        <f>OneLineRR!U466</f>
        <v>0</v>
      </c>
      <c r="S375" s="150">
        <f>OneLineRR!V466</f>
        <v>0</v>
      </c>
      <c r="T375" s="150">
        <f>OneLineRR!W466</f>
        <v>0</v>
      </c>
      <c r="U375" s="157" t="str">
        <f>IF(OneLineRR!Q466="","",OneLineRR!Q466)</f>
        <v/>
      </c>
      <c r="V375" s="157" t="str">
        <f>IF(OneLineRR!R466="","",OneLineRR!R466)</f>
        <v/>
      </c>
      <c r="AB375" s="320" t="str">
        <f>IFERROR(U375+(COUNTIF($U$8:U375,U375)-1)/10000,"")</f>
        <v/>
      </c>
      <c r="AC375" s="158"/>
      <c r="AD375" s="119"/>
      <c r="AE375" s="460"/>
      <c r="AG375" s="119"/>
    </row>
    <row r="376" spans="4:33" x14ac:dyDescent="0.25">
      <c r="D376" s="154" t="str">
        <f>OneLineRR!A467</f>
        <v>Hudson View Park</v>
      </c>
      <c r="E376" s="104">
        <f>OneLineRR!J467</f>
        <v>0</v>
      </c>
      <c r="F376" s="104">
        <f>OneLineRR!K467</f>
        <v>0</v>
      </c>
      <c r="G376" s="155" t="e">
        <f>OneLineRR!D467</f>
        <v>#N/A</v>
      </c>
      <c r="H376" s="155" t="e">
        <f>IF(OneLineRR!G467="Yes","Affordable","Market")</f>
        <v>#N/A</v>
      </c>
      <c r="I376" s="104" t="e">
        <f>OneLineRR!I467</f>
        <v>#N/A</v>
      </c>
      <c r="J376" s="156">
        <f>OneLineRR!M467</f>
        <v>0</v>
      </c>
      <c r="K376" s="634">
        <f>OneLineRR!L467</f>
        <v>0</v>
      </c>
      <c r="L376" s="143" t="str">
        <f>OneLineRR!C467</f>
        <v>Occ</v>
      </c>
      <c r="M376" s="636">
        <f>OneLineRR!O467</f>
        <v>0</v>
      </c>
      <c r="N376" s="636">
        <f t="shared" si="5"/>
        <v>0</v>
      </c>
      <c r="O376" s="636">
        <f>OneLineRR!N467</f>
        <v>0</v>
      </c>
      <c r="P376" s="636" t="e" cm="1">
        <f t="array" ref="P376">INDEX('Unit Mix'!$P$6:$P$62,MATCH(1,('Rent Roll'!G376='Unit Mix'!$E$6:$E$62)*(D376='Unit Mix'!$D$6:$D$62),0))</f>
        <v>#N/A</v>
      </c>
      <c r="Q376" s="150">
        <f>OneLineRR!T467</f>
        <v>0</v>
      </c>
      <c r="R376" s="150">
        <f>OneLineRR!U467</f>
        <v>0</v>
      </c>
      <c r="S376" s="150">
        <f>OneLineRR!V467</f>
        <v>0</v>
      </c>
      <c r="T376" s="150">
        <f>OneLineRR!W467</f>
        <v>0</v>
      </c>
      <c r="U376" s="157" t="str">
        <f>IF(OneLineRR!Q467="","",OneLineRR!Q467)</f>
        <v/>
      </c>
      <c r="V376" s="157" t="str">
        <f>IF(OneLineRR!R467="","",OneLineRR!R467)</f>
        <v/>
      </c>
      <c r="AB376" s="320" t="str">
        <f>IFERROR(U376+(COUNTIF($U$8:U376,U376)-1)/10000,"")</f>
        <v/>
      </c>
      <c r="AC376" s="158"/>
      <c r="AD376" s="119"/>
      <c r="AE376" s="460"/>
      <c r="AG376" s="119"/>
    </row>
    <row r="377" spans="4:33" x14ac:dyDescent="0.25">
      <c r="D377" s="154" t="str">
        <f>OneLineRR!A468</f>
        <v>Hudson View Park</v>
      </c>
      <c r="E377" s="104">
        <f>OneLineRR!J468</f>
        <v>0</v>
      </c>
      <c r="F377" s="104">
        <f>OneLineRR!K468</f>
        <v>0</v>
      </c>
      <c r="G377" s="155" t="e">
        <f>OneLineRR!D468</f>
        <v>#N/A</v>
      </c>
      <c r="H377" s="155" t="e">
        <f>IF(OneLineRR!G468="Yes","Affordable","Market")</f>
        <v>#N/A</v>
      </c>
      <c r="I377" s="104" t="e">
        <f>OneLineRR!I468</f>
        <v>#N/A</v>
      </c>
      <c r="J377" s="156">
        <f>OneLineRR!M468</f>
        <v>0</v>
      </c>
      <c r="K377" s="634">
        <f>OneLineRR!L468</f>
        <v>0</v>
      </c>
      <c r="L377" s="143" t="str">
        <f>OneLineRR!C468</f>
        <v>Occ</v>
      </c>
      <c r="M377" s="636">
        <f>OneLineRR!O468</f>
        <v>0</v>
      </c>
      <c r="N377" s="636">
        <f t="shared" si="5"/>
        <v>0</v>
      </c>
      <c r="O377" s="636">
        <f>OneLineRR!N468</f>
        <v>0</v>
      </c>
      <c r="P377" s="636" t="e" cm="1">
        <f t="array" ref="P377">INDEX('Unit Mix'!$P$6:$P$62,MATCH(1,('Rent Roll'!G377='Unit Mix'!$E$6:$E$62)*(D377='Unit Mix'!$D$6:$D$62),0))</f>
        <v>#N/A</v>
      </c>
      <c r="Q377" s="150">
        <f>OneLineRR!T468</f>
        <v>0</v>
      </c>
      <c r="R377" s="150">
        <f>OneLineRR!U468</f>
        <v>0</v>
      </c>
      <c r="S377" s="150">
        <f>OneLineRR!V468</f>
        <v>0</v>
      </c>
      <c r="T377" s="150">
        <f>OneLineRR!W468</f>
        <v>0</v>
      </c>
      <c r="U377" s="157" t="str">
        <f>IF(OneLineRR!Q468="","",OneLineRR!Q468)</f>
        <v/>
      </c>
      <c r="V377" s="157" t="str">
        <f>IF(OneLineRR!R468="","",OneLineRR!R468)</f>
        <v/>
      </c>
      <c r="AB377" s="320" t="str">
        <f>IFERROR(U377+(COUNTIF($U$8:U377,U377)-1)/10000,"")</f>
        <v/>
      </c>
      <c r="AC377" s="158"/>
      <c r="AD377" s="119"/>
      <c r="AE377" s="460"/>
      <c r="AG377" s="119"/>
    </row>
    <row r="378" spans="4:33" x14ac:dyDescent="0.25">
      <c r="D378" s="154" t="str">
        <f>OneLineRR!A469</f>
        <v>Hudson View Park</v>
      </c>
      <c r="E378" s="104">
        <f>OneLineRR!J469</f>
        <v>0</v>
      </c>
      <c r="F378" s="104">
        <f>OneLineRR!K469</f>
        <v>0</v>
      </c>
      <c r="G378" s="155" t="e">
        <f>OneLineRR!D469</f>
        <v>#N/A</v>
      </c>
      <c r="H378" s="155" t="e">
        <f>IF(OneLineRR!G469="Yes","Affordable","Market")</f>
        <v>#N/A</v>
      </c>
      <c r="I378" s="104" t="e">
        <f>OneLineRR!I469</f>
        <v>#N/A</v>
      </c>
      <c r="J378" s="156">
        <f>OneLineRR!M469</f>
        <v>0</v>
      </c>
      <c r="K378" s="634">
        <f>OneLineRR!L469</f>
        <v>0</v>
      </c>
      <c r="L378" s="143" t="str">
        <f>OneLineRR!C469</f>
        <v>Occ</v>
      </c>
      <c r="M378" s="636">
        <f>OneLineRR!O469</f>
        <v>0</v>
      </c>
      <c r="N378" s="636">
        <f t="shared" si="5"/>
        <v>0</v>
      </c>
      <c r="O378" s="636">
        <f>OneLineRR!N469</f>
        <v>0</v>
      </c>
      <c r="P378" s="636" t="e" cm="1">
        <f t="array" ref="P378">INDEX('Unit Mix'!$P$6:$P$62,MATCH(1,('Rent Roll'!G378='Unit Mix'!$E$6:$E$62)*(D378='Unit Mix'!$D$6:$D$62),0))</f>
        <v>#N/A</v>
      </c>
      <c r="Q378" s="150">
        <f>OneLineRR!T469</f>
        <v>0</v>
      </c>
      <c r="R378" s="150">
        <f>OneLineRR!U469</f>
        <v>0</v>
      </c>
      <c r="S378" s="150">
        <f>OneLineRR!V469</f>
        <v>0</v>
      </c>
      <c r="T378" s="150">
        <f>OneLineRR!W469</f>
        <v>0</v>
      </c>
      <c r="U378" s="157" t="str">
        <f>IF(OneLineRR!Q469="","",OneLineRR!Q469)</f>
        <v/>
      </c>
      <c r="V378" s="157" t="str">
        <f>IF(OneLineRR!R469="","",OneLineRR!R469)</f>
        <v/>
      </c>
      <c r="AB378" s="320" t="str">
        <f>IFERROR(U378+(COUNTIF($U$8:U378,U378)-1)/10000,"")</f>
        <v/>
      </c>
      <c r="AC378" s="158"/>
      <c r="AD378" s="119"/>
      <c r="AE378" s="460"/>
      <c r="AG378" s="119"/>
    </row>
    <row r="379" spans="4:33" x14ac:dyDescent="0.25">
      <c r="D379" s="154" t="str">
        <f>OneLineRR!A470</f>
        <v>Hudson View Park</v>
      </c>
      <c r="E379" s="104">
        <f>OneLineRR!J470</f>
        <v>0</v>
      </c>
      <c r="F379" s="104">
        <f>OneLineRR!K470</f>
        <v>0</v>
      </c>
      <c r="G379" s="155" t="e">
        <f>OneLineRR!D470</f>
        <v>#N/A</v>
      </c>
      <c r="H379" s="155" t="e">
        <f>IF(OneLineRR!G470="Yes","Affordable","Market")</f>
        <v>#N/A</v>
      </c>
      <c r="I379" s="104" t="e">
        <f>OneLineRR!I470</f>
        <v>#N/A</v>
      </c>
      <c r="J379" s="156">
        <f>OneLineRR!M470</f>
        <v>0</v>
      </c>
      <c r="K379" s="634">
        <f>OneLineRR!L470</f>
        <v>0</v>
      </c>
      <c r="L379" s="143" t="str">
        <f>OneLineRR!C470</f>
        <v>Occ</v>
      </c>
      <c r="M379" s="636">
        <f>OneLineRR!O470</f>
        <v>0</v>
      </c>
      <c r="N379" s="636">
        <f t="shared" si="5"/>
        <v>0</v>
      </c>
      <c r="O379" s="636">
        <f>OneLineRR!N470</f>
        <v>0</v>
      </c>
      <c r="P379" s="636" t="e" cm="1">
        <f t="array" ref="P379">INDEX('Unit Mix'!$P$6:$P$62,MATCH(1,('Rent Roll'!G379='Unit Mix'!$E$6:$E$62)*(D379='Unit Mix'!$D$6:$D$62),0))</f>
        <v>#N/A</v>
      </c>
      <c r="Q379" s="150">
        <f>OneLineRR!T470</f>
        <v>0</v>
      </c>
      <c r="R379" s="150">
        <f>OneLineRR!U470</f>
        <v>0</v>
      </c>
      <c r="S379" s="150">
        <f>OneLineRR!V470</f>
        <v>0</v>
      </c>
      <c r="T379" s="150">
        <f>OneLineRR!W470</f>
        <v>0</v>
      </c>
      <c r="U379" s="157" t="str">
        <f>IF(OneLineRR!Q470="","",OneLineRR!Q470)</f>
        <v/>
      </c>
      <c r="V379" s="157" t="str">
        <f>IF(OneLineRR!R470="","",OneLineRR!R470)</f>
        <v/>
      </c>
      <c r="AB379" s="320" t="str">
        <f>IFERROR(U379+(COUNTIF($U$8:U379,U379)-1)/10000,"")</f>
        <v/>
      </c>
      <c r="AC379" s="158"/>
      <c r="AD379" s="119"/>
      <c r="AE379" s="460"/>
      <c r="AG379" s="119"/>
    </row>
    <row r="380" spans="4:33" x14ac:dyDescent="0.25">
      <c r="D380" s="154" t="str">
        <f>OneLineRR!A471</f>
        <v>Hudson View Park</v>
      </c>
      <c r="E380" s="104">
        <f>OneLineRR!J471</f>
        <v>0</v>
      </c>
      <c r="F380" s="104">
        <f>OneLineRR!K471</f>
        <v>0</v>
      </c>
      <c r="G380" s="155" t="e">
        <f>OneLineRR!D471</f>
        <v>#N/A</v>
      </c>
      <c r="H380" s="155" t="e">
        <f>IF(OneLineRR!G471="Yes","Affordable","Market")</f>
        <v>#N/A</v>
      </c>
      <c r="I380" s="104" t="e">
        <f>OneLineRR!I471</f>
        <v>#N/A</v>
      </c>
      <c r="J380" s="156">
        <f>OneLineRR!M471</f>
        <v>0</v>
      </c>
      <c r="K380" s="634">
        <f>OneLineRR!L471</f>
        <v>0</v>
      </c>
      <c r="L380" s="143" t="str">
        <f>OneLineRR!C471</f>
        <v>Occ</v>
      </c>
      <c r="M380" s="636">
        <f>OneLineRR!O471</f>
        <v>0</v>
      </c>
      <c r="N380" s="636">
        <f t="shared" si="5"/>
        <v>0</v>
      </c>
      <c r="O380" s="636">
        <f>OneLineRR!N471</f>
        <v>0</v>
      </c>
      <c r="P380" s="636" t="e" cm="1">
        <f t="array" ref="P380">INDEX('Unit Mix'!$P$6:$P$62,MATCH(1,('Rent Roll'!G380='Unit Mix'!$E$6:$E$62)*(D380='Unit Mix'!$D$6:$D$62),0))</f>
        <v>#N/A</v>
      </c>
      <c r="Q380" s="150">
        <f>OneLineRR!T471</f>
        <v>0</v>
      </c>
      <c r="R380" s="150">
        <f>OneLineRR!U471</f>
        <v>0</v>
      </c>
      <c r="S380" s="150">
        <f>OneLineRR!V471</f>
        <v>0</v>
      </c>
      <c r="T380" s="150">
        <f>OneLineRR!W471</f>
        <v>0</v>
      </c>
      <c r="U380" s="157" t="str">
        <f>IF(OneLineRR!Q471="","",OneLineRR!Q471)</f>
        <v/>
      </c>
      <c r="V380" s="157" t="str">
        <f>IF(OneLineRR!R471="","",OneLineRR!R471)</f>
        <v/>
      </c>
      <c r="AB380" s="320" t="str">
        <f>IFERROR(U380+(COUNTIF($U$8:U380,U380)-1)/10000,"")</f>
        <v/>
      </c>
      <c r="AC380" s="158"/>
      <c r="AD380" s="119"/>
      <c r="AE380" s="460"/>
      <c r="AG380" s="119"/>
    </row>
    <row r="381" spans="4:33" x14ac:dyDescent="0.25">
      <c r="D381" s="154" t="str">
        <f>OneLineRR!A472</f>
        <v>Hudson View Park</v>
      </c>
      <c r="E381" s="104">
        <f>OneLineRR!J472</f>
        <v>0</v>
      </c>
      <c r="F381" s="104">
        <f>OneLineRR!K472</f>
        <v>0</v>
      </c>
      <c r="G381" s="155" t="e">
        <f>OneLineRR!D472</f>
        <v>#N/A</v>
      </c>
      <c r="H381" s="155" t="e">
        <f>IF(OneLineRR!G472="Yes","Affordable","Market")</f>
        <v>#N/A</v>
      </c>
      <c r="I381" s="104" t="e">
        <f>OneLineRR!I472</f>
        <v>#N/A</v>
      </c>
      <c r="J381" s="156">
        <f>OneLineRR!M472</f>
        <v>0</v>
      </c>
      <c r="K381" s="634">
        <f>OneLineRR!L472</f>
        <v>0</v>
      </c>
      <c r="L381" s="143" t="str">
        <f>OneLineRR!C472</f>
        <v>Occ</v>
      </c>
      <c r="M381" s="636">
        <f>OneLineRR!O472</f>
        <v>0</v>
      </c>
      <c r="N381" s="636">
        <f t="shared" si="5"/>
        <v>0</v>
      </c>
      <c r="O381" s="636">
        <f>OneLineRR!N472</f>
        <v>0</v>
      </c>
      <c r="P381" s="636" t="e" cm="1">
        <f t="array" ref="P381">INDEX('Unit Mix'!$P$6:$P$62,MATCH(1,('Rent Roll'!G381='Unit Mix'!$E$6:$E$62)*(D381='Unit Mix'!$D$6:$D$62),0))</f>
        <v>#N/A</v>
      </c>
      <c r="Q381" s="150">
        <f>OneLineRR!T472</f>
        <v>0</v>
      </c>
      <c r="R381" s="150">
        <f>OneLineRR!U472</f>
        <v>0</v>
      </c>
      <c r="S381" s="150">
        <f>OneLineRR!V472</f>
        <v>0</v>
      </c>
      <c r="T381" s="150">
        <f>OneLineRR!W472</f>
        <v>0</v>
      </c>
      <c r="U381" s="157" t="str">
        <f>IF(OneLineRR!Q472="","",OneLineRR!Q472)</f>
        <v/>
      </c>
      <c r="V381" s="157" t="str">
        <f>IF(OneLineRR!R472="","",OneLineRR!R472)</f>
        <v/>
      </c>
      <c r="AB381" s="320" t="str">
        <f>IFERROR(U381+(COUNTIF($U$8:U381,U381)-1)/10000,"")</f>
        <v/>
      </c>
      <c r="AC381" s="158"/>
      <c r="AD381" s="119"/>
      <c r="AE381" s="460"/>
      <c r="AG381" s="119"/>
    </row>
    <row r="382" spans="4:33" x14ac:dyDescent="0.25">
      <c r="D382" s="154" t="str">
        <f>OneLineRR!A473</f>
        <v>Hudson View Park</v>
      </c>
      <c r="E382" s="104">
        <f>OneLineRR!J473</f>
        <v>0</v>
      </c>
      <c r="F382" s="104">
        <f>OneLineRR!K473</f>
        <v>0</v>
      </c>
      <c r="G382" s="155" t="e">
        <f>OneLineRR!D473</f>
        <v>#N/A</v>
      </c>
      <c r="H382" s="155" t="e">
        <f>IF(OneLineRR!G473="Yes","Affordable","Market")</f>
        <v>#N/A</v>
      </c>
      <c r="I382" s="104" t="e">
        <f>OneLineRR!I473</f>
        <v>#N/A</v>
      </c>
      <c r="J382" s="156">
        <f>OneLineRR!M473</f>
        <v>0</v>
      </c>
      <c r="K382" s="634">
        <f>OneLineRR!L473</f>
        <v>0</v>
      </c>
      <c r="L382" s="143" t="str">
        <f>OneLineRR!C473</f>
        <v>Occ</v>
      </c>
      <c r="M382" s="636">
        <f>OneLineRR!O473</f>
        <v>0</v>
      </c>
      <c r="N382" s="636">
        <f t="shared" si="5"/>
        <v>0</v>
      </c>
      <c r="O382" s="636">
        <f>OneLineRR!N473</f>
        <v>0</v>
      </c>
      <c r="P382" s="636" t="e" cm="1">
        <f t="array" ref="P382">INDEX('Unit Mix'!$P$6:$P$62,MATCH(1,('Rent Roll'!G382='Unit Mix'!$E$6:$E$62)*(D382='Unit Mix'!$D$6:$D$62),0))</f>
        <v>#N/A</v>
      </c>
      <c r="Q382" s="150">
        <f>OneLineRR!T473</f>
        <v>0</v>
      </c>
      <c r="R382" s="150">
        <f>OneLineRR!U473</f>
        <v>0</v>
      </c>
      <c r="S382" s="150">
        <f>OneLineRR!V473</f>
        <v>0</v>
      </c>
      <c r="T382" s="150">
        <f>OneLineRR!W473</f>
        <v>0</v>
      </c>
      <c r="U382" s="157" t="str">
        <f>IF(OneLineRR!Q473="","",OneLineRR!Q473)</f>
        <v/>
      </c>
      <c r="V382" s="157" t="str">
        <f>IF(OneLineRR!R473="","",OneLineRR!R473)</f>
        <v/>
      </c>
      <c r="AB382" s="320" t="str">
        <f>IFERROR(U382+(COUNTIF($U$8:U382,U382)-1)/10000,"")</f>
        <v/>
      </c>
      <c r="AC382" s="158"/>
      <c r="AD382" s="119"/>
      <c r="AE382" s="460"/>
      <c r="AG382" s="119"/>
    </row>
    <row r="383" spans="4:33" x14ac:dyDescent="0.25">
      <c r="D383" s="154" t="str">
        <f>OneLineRR!A474</f>
        <v>Hudson View Park</v>
      </c>
      <c r="E383" s="104">
        <f>OneLineRR!J474</f>
        <v>0</v>
      </c>
      <c r="F383" s="104">
        <f>OneLineRR!K474</f>
        <v>0</v>
      </c>
      <c r="G383" s="155" t="e">
        <f>OneLineRR!D474</f>
        <v>#N/A</v>
      </c>
      <c r="H383" s="155" t="e">
        <f>IF(OneLineRR!G474="Yes","Affordable","Market")</f>
        <v>#N/A</v>
      </c>
      <c r="I383" s="104" t="e">
        <f>OneLineRR!I474</f>
        <v>#N/A</v>
      </c>
      <c r="J383" s="156">
        <f>OneLineRR!M474</f>
        <v>0</v>
      </c>
      <c r="K383" s="634">
        <f>OneLineRR!L474</f>
        <v>0</v>
      </c>
      <c r="L383" s="143" t="str">
        <f>OneLineRR!C474</f>
        <v>Occ</v>
      </c>
      <c r="M383" s="636">
        <f>OneLineRR!O474</f>
        <v>0</v>
      </c>
      <c r="N383" s="636">
        <f t="shared" si="5"/>
        <v>0</v>
      </c>
      <c r="O383" s="636">
        <f>OneLineRR!N474</f>
        <v>0</v>
      </c>
      <c r="P383" s="636" t="e" cm="1">
        <f t="array" ref="P383">INDEX('Unit Mix'!$P$6:$P$62,MATCH(1,('Rent Roll'!G383='Unit Mix'!$E$6:$E$62)*(D383='Unit Mix'!$D$6:$D$62),0))</f>
        <v>#N/A</v>
      </c>
      <c r="Q383" s="150">
        <f>OneLineRR!T474</f>
        <v>0</v>
      </c>
      <c r="R383" s="150">
        <f>OneLineRR!U474</f>
        <v>0</v>
      </c>
      <c r="S383" s="150">
        <f>OneLineRR!V474</f>
        <v>0</v>
      </c>
      <c r="T383" s="150">
        <f>OneLineRR!W474</f>
        <v>0</v>
      </c>
      <c r="U383" s="157" t="str">
        <f>IF(OneLineRR!Q474="","",OneLineRR!Q474)</f>
        <v/>
      </c>
      <c r="V383" s="157" t="str">
        <f>IF(OneLineRR!R474="","",OneLineRR!R474)</f>
        <v/>
      </c>
      <c r="AB383" s="320" t="str">
        <f>IFERROR(U383+(COUNTIF($U$8:U383,U383)-1)/10000,"")</f>
        <v/>
      </c>
      <c r="AC383" s="158"/>
      <c r="AD383" s="119"/>
      <c r="AE383" s="460"/>
      <c r="AG383" s="119"/>
    </row>
    <row r="384" spans="4:33" x14ac:dyDescent="0.25">
      <c r="D384" s="154" t="str">
        <f>OneLineRR!A475</f>
        <v>Hudson View Park</v>
      </c>
      <c r="E384" s="104">
        <f>OneLineRR!J475</f>
        <v>0</v>
      </c>
      <c r="F384" s="104">
        <f>OneLineRR!K475</f>
        <v>0</v>
      </c>
      <c r="G384" s="155" t="e">
        <f>OneLineRR!D475</f>
        <v>#N/A</v>
      </c>
      <c r="H384" s="155" t="e">
        <f>IF(OneLineRR!G475="Yes","Affordable","Market")</f>
        <v>#N/A</v>
      </c>
      <c r="I384" s="104" t="e">
        <f>OneLineRR!I475</f>
        <v>#N/A</v>
      </c>
      <c r="J384" s="156">
        <f>OneLineRR!M475</f>
        <v>0</v>
      </c>
      <c r="K384" s="634">
        <f>OneLineRR!L475</f>
        <v>0</v>
      </c>
      <c r="L384" s="143" t="str">
        <f>OneLineRR!C475</f>
        <v>Occ</v>
      </c>
      <c r="M384" s="636">
        <f>OneLineRR!O475</f>
        <v>0</v>
      </c>
      <c r="N384" s="636">
        <f t="shared" si="5"/>
        <v>0</v>
      </c>
      <c r="O384" s="636">
        <f>OneLineRR!N475</f>
        <v>0</v>
      </c>
      <c r="P384" s="636" t="e" cm="1">
        <f t="array" ref="P384">INDEX('Unit Mix'!$P$6:$P$62,MATCH(1,('Rent Roll'!G384='Unit Mix'!$E$6:$E$62)*(D384='Unit Mix'!$D$6:$D$62),0))</f>
        <v>#N/A</v>
      </c>
      <c r="Q384" s="150">
        <f>OneLineRR!T475</f>
        <v>0</v>
      </c>
      <c r="R384" s="150">
        <f>OneLineRR!U475</f>
        <v>0</v>
      </c>
      <c r="S384" s="150">
        <f>OneLineRR!V475</f>
        <v>0</v>
      </c>
      <c r="T384" s="150">
        <f>OneLineRR!W475</f>
        <v>0</v>
      </c>
      <c r="U384" s="157" t="str">
        <f>IF(OneLineRR!Q475="","",OneLineRR!Q475)</f>
        <v/>
      </c>
      <c r="V384" s="157" t="str">
        <f>IF(OneLineRR!R475="","",OneLineRR!R475)</f>
        <v/>
      </c>
      <c r="AB384" s="320" t="str">
        <f>IFERROR(U384+(COUNTIF($U$8:U384,U384)-1)/10000,"")</f>
        <v/>
      </c>
      <c r="AC384" s="158"/>
      <c r="AD384" s="119"/>
      <c r="AE384" s="460"/>
      <c r="AG384" s="119"/>
    </row>
    <row r="385" spans="4:33" x14ac:dyDescent="0.25">
      <c r="D385" s="154" t="str">
        <f>OneLineRR!A476</f>
        <v>Hudson View Park</v>
      </c>
      <c r="E385" s="104">
        <f>OneLineRR!J476</f>
        <v>0</v>
      </c>
      <c r="F385" s="104">
        <f>OneLineRR!K476</f>
        <v>0</v>
      </c>
      <c r="G385" s="155" t="e">
        <f>OneLineRR!D476</f>
        <v>#N/A</v>
      </c>
      <c r="H385" s="155" t="e">
        <f>IF(OneLineRR!G476="Yes","Affordable","Market")</f>
        <v>#N/A</v>
      </c>
      <c r="I385" s="104" t="e">
        <f>OneLineRR!I476</f>
        <v>#N/A</v>
      </c>
      <c r="J385" s="156">
        <f>OneLineRR!M476</f>
        <v>0</v>
      </c>
      <c r="K385" s="634">
        <f>OneLineRR!L476</f>
        <v>0</v>
      </c>
      <c r="L385" s="143" t="str">
        <f>OneLineRR!C476</f>
        <v>Occ</v>
      </c>
      <c r="M385" s="636">
        <f>OneLineRR!O476</f>
        <v>0</v>
      </c>
      <c r="N385" s="636">
        <f t="shared" si="5"/>
        <v>0</v>
      </c>
      <c r="O385" s="636">
        <f>OneLineRR!N476</f>
        <v>0</v>
      </c>
      <c r="P385" s="636" t="e" cm="1">
        <f t="array" ref="P385">INDEX('Unit Mix'!$P$6:$P$62,MATCH(1,('Rent Roll'!G385='Unit Mix'!$E$6:$E$62)*(D385='Unit Mix'!$D$6:$D$62),0))</f>
        <v>#N/A</v>
      </c>
      <c r="Q385" s="150">
        <f>OneLineRR!T476</f>
        <v>0</v>
      </c>
      <c r="R385" s="150">
        <f>OneLineRR!U476</f>
        <v>0</v>
      </c>
      <c r="S385" s="150">
        <f>OneLineRR!V476</f>
        <v>0</v>
      </c>
      <c r="T385" s="150">
        <f>OneLineRR!W476</f>
        <v>0</v>
      </c>
      <c r="U385" s="157" t="str">
        <f>IF(OneLineRR!Q476="","",OneLineRR!Q476)</f>
        <v/>
      </c>
      <c r="V385" s="157" t="str">
        <f>IF(OneLineRR!R476="","",OneLineRR!R476)</f>
        <v/>
      </c>
      <c r="AB385" s="320" t="str">
        <f>IFERROR(U385+(COUNTIF($U$8:U385,U385)-1)/10000,"")</f>
        <v/>
      </c>
      <c r="AC385" s="158"/>
      <c r="AD385" s="119"/>
      <c r="AE385" s="460"/>
      <c r="AG385" s="119"/>
    </row>
    <row r="386" spans="4:33" x14ac:dyDescent="0.25">
      <c r="D386" s="154" t="str">
        <f>OneLineRR!A477</f>
        <v>Hudson View Park</v>
      </c>
      <c r="E386" s="104">
        <f>OneLineRR!J477</f>
        <v>0</v>
      </c>
      <c r="F386" s="104">
        <f>OneLineRR!K477</f>
        <v>0</v>
      </c>
      <c r="G386" s="155" t="e">
        <f>OneLineRR!D477</f>
        <v>#N/A</v>
      </c>
      <c r="H386" s="155" t="e">
        <f>IF(OneLineRR!G477="Yes","Affordable","Market")</f>
        <v>#N/A</v>
      </c>
      <c r="I386" s="104" t="e">
        <f>OneLineRR!I477</f>
        <v>#N/A</v>
      </c>
      <c r="J386" s="156">
        <f>OneLineRR!M477</f>
        <v>0</v>
      </c>
      <c r="K386" s="634">
        <f>OneLineRR!L477</f>
        <v>0</v>
      </c>
      <c r="L386" s="143" t="str">
        <f>OneLineRR!C477</f>
        <v>Occ</v>
      </c>
      <c r="M386" s="636">
        <f>OneLineRR!O477</f>
        <v>0</v>
      </c>
      <c r="N386" s="636">
        <f t="shared" si="5"/>
        <v>0</v>
      </c>
      <c r="O386" s="636">
        <f>OneLineRR!N477</f>
        <v>0</v>
      </c>
      <c r="P386" s="636" t="e" cm="1">
        <f t="array" ref="P386">INDEX('Unit Mix'!$P$6:$P$62,MATCH(1,('Rent Roll'!G386='Unit Mix'!$E$6:$E$62)*(D386='Unit Mix'!$D$6:$D$62),0))</f>
        <v>#N/A</v>
      </c>
      <c r="Q386" s="150">
        <f>OneLineRR!T477</f>
        <v>0</v>
      </c>
      <c r="R386" s="150">
        <f>OneLineRR!U477</f>
        <v>0</v>
      </c>
      <c r="S386" s="150">
        <f>OneLineRR!V477</f>
        <v>0</v>
      </c>
      <c r="T386" s="150">
        <f>OneLineRR!W477</f>
        <v>0</v>
      </c>
      <c r="U386" s="157" t="str">
        <f>IF(OneLineRR!Q477="","",OneLineRR!Q477)</f>
        <v/>
      </c>
      <c r="V386" s="157" t="str">
        <f>IF(OneLineRR!R477="","",OneLineRR!R477)</f>
        <v/>
      </c>
      <c r="AB386" s="320" t="str">
        <f>IFERROR(U386+(COUNTIF($U$8:U386,U386)-1)/10000,"")</f>
        <v/>
      </c>
      <c r="AC386" s="158"/>
      <c r="AD386" s="119"/>
      <c r="AE386" s="460"/>
      <c r="AG386" s="119"/>
    </row>
    <row r="387" spans="4:33" x14ac:dyDescent="0.25">
      <c r="D387" s="154" t="str">
        <f>OneLineRR!A478</f>
        <v>Hudson View Park</v>
      </c>
      <c r="E387" s="104">
        <f>OneLineRR!J478</f>
        <v>0</v>
      </c>
      <c r="F387" s="104">
        <f>OneLineRR!K478</f>
        <v>0</v>
      </c>
      <c r="G387" s="155" t="e">
        <f>OneLineRR!D478</f>
        <v>#N/A</v>
      </c>
      <c r="H387" s="155" t="e">
        <f>IF(OneLineRR!G478="Yes","Affordable","Market")</f>
        <v>#N/A</v>
      </c>
      <c r="I387" s="104" t="e">
        <f>OneLineRR!I478</f>
        <v>#N/A</v>
      </c>
      <c r="J387" s="156">
        <f>OneLineRR!M478</f>
        <v>0</v>
      </c>
      <c r="K387" s="634">
        <f>OneLineRR!L478</f>
        <v>0</v>
      </c>
      <c r="L387" s="143" t="str">
        <f>OneLineRR!C478</f>
        <v>Occ</v>
      </c>
      <c r="M387" s="636">
        <f>OneLineRR!O478</f>
        <v>0</v>
      </c>
      <c r="N387" s="636">
        <f t="shared" si="5"/>
        <v>0</v>
      </c>
      <c r="O387" s="636">
        <f>OneLineRR!N478</f>
        <v>0</v>
      </c>
      <c r="P387" s="636" t="e" cm="1">
        <f t="array" ref="P387">INDEX('Unit Mix'!$P$6:$P$62,MATCH(1,('Rent Roll'!G387='Unit Mix'!$E$6:$E$62)*(D387='Unit Mix'!$D$6:$D$62),0))</f>
        <v>#N/A</v>
      </c>
      <c r="Q387" s="150">
        <f>OneLineRR!T478</f>
        <v>0</v>
      </c>
      <c r="R387" s="150">
        <f>OneLineRR!U478</f>
        <v>0</v>
      </c>
      <c r="S387" s="150">
        <f>OneLineRR!V478</f>
        <v>0</v>
      </c>
      <c r="T387" s="150">
        <f>OneLineRR!W478</f>
        <v>0</v>
      </c>
      <c r="U387" s="157" t="str">
        <f>IF(OneLineRR!Q478="","",OneLineRR!Q478)</f>
        <v/>
      </c>
      <c r="V387" s="157" t="str">
        <f>IF(OneLineRR!R478="","",OneLineRR!R478)</f>
        <v/>
      </c>
      <c r="AB387" s="320" t="str">
        <f>IFERROR(U387+(COUNTIF($U$8:U387,U387)-1)/10000,"")</f>
        <v/>
      </c>
      <c r="AC387" s="158"/>
      <c r="AD387" s="119"/>
      <c r="AE387" s="460"/>
      <c r="AG387" s="119"/>
    </row>
    <row r="388" spans="4:33" x14ac:dyDescent="0.25">
      <c r="D388" s="154" t="str">
        <f>OneLineRR!A479</f>
        <v>Hudson View Park</v>
      </c>
      <c r="E388" s="104">
        <f>OneLineRR!J479</f>
        <v>0</v>
      </c>
      <c r="F388" s="104">
        <f>OneLineRR!K479</f>
        <v>0</v>
      </c>
      <c r="G388" s="155" t="e">
        <f>OneLineRR!D479</f>
        <v>#N/A</v>
      </c>
      <c r="H388" s="155" t="e">
        <f>IF(OneLineRR!G479="Yes","Affordable","Market")</f>
        <v>#N/A</v>
      </c>
      <c r="I388" s="104" t="e">
        <f>OneLineRR!I479</f>
        <v>#N/A</v>
      </c>
      <c r="J388" s="156">
        <f>OneLineRR!M479</f>
        <v>0</v>
      </c>
      <c r="K388" s="634">
        <f>OneLineRR!L479</f>
        <v>0</v>
      </c>
      <c r="L388" s="143" t="str">
        <f>OneLineRR!C479</f>
        <v>Occ</v>
      </c>
      <c r="M388" s="636">
        <f>OneLineRR!O479</f>
        <v>0</v>
      </c>
      <c r="N388" s="636">
        <f t="shared" si="5"/>
        <v>0</v>
      </c>
      <c r="O388" s="636">
        <f>OneLineRR!N479</f>
        <v>0</v>
      </c>
      <c r="P388" s="636" t="e" cm="1">
        <f t="array" ref="P388">INDEX('Unit Mix'!$P$6:$P$62,MATCH(1,('Rent Roll'!G388='Unit Mix'!$E$6:$E$62)*(D388='Unit Mix'!$D$6:$D$62),0))</f>
        <v>#N/A</v>
      </c>
      <c r="Q388" s="150">
        <f>OneLineRR!T479</f>
        <v>0</v>
      </c>
      <c r="R388" s="150">
        <f>OneLineRR!U479</f>
        <v>0</v>
      </c>
      <c r="S388" s="150">
        <f>OneLineRR!V479</f>
        <v>0</v>
      </c>
      <c r="T388" s="150">
        <f>OneLineRR!W479</f>
        <v>0</v>
      </c>
      <c r="U388" s="157" t="str">
        <f>IF(OneLineRR!Q479="","",OneLineRR!Q479)</f>
        <v/>
      </c>
      <c r="V388" s="157" t="str">
        <f>IF(OneLineRR!R479="","",OneLineRR!R479)</f>
        <v/>
      </c>
      <c r="AB388" s="320" t="str">
        <f>IFERROR(U388+(COUNTIF($U$8:U388,U388)-1)/10000,"")</f>
        <v/>
      </c>
      <c r="AC388" s="158"/>
      <c r="AD388" s="119"/>
      <c r="AE388" s="460"/>
      <c r="AG388" s="119"/>
    </row>
    <row r="389" spans="4:33" x14ac:dyDescent="0.25">
      <c r="D389" s="154" t="str">
        <f>OneLineRR!A480</f>
        <v>Hudson View Park</v>
      </c>
      <c r="E389" s="104">
        <f>OneLineRR!J480</f>
        <v>0</v>
      </c>
      <c r="F389" s="104">
        <f>OneLineRR!K480</f>
        <v>0</v>
      </c>
      <c r="G389" s="155" t="e">
        <f>OneLineRR!D480</f>
        <v>#N/A</v>
      </c>
      <c r="H389" s="155" t="e">
        <f>IF(OneLineRR!G480="Yes","Affordable","Market")</f>
        <v>#N/A</v>
      </c>
      <c r="I389" s="104" t="e">
        <f>OneLineRR!I480</f>
        <v>#N/A</v>
      </c>
      <c r="J389" s="156">
        <f>OneLineRR!M480</f>
        <v>0</v>
      </c>
      <c r="K389" s="634">
        <f>OneLineRR!L480</f>
        <v>0</v>
      </c>
      <c r="L389" s="143" t="str">
        <f>OneLineRR!C480</f>
        <v>Occ</v>
      </c>
      <c r="M389" s="636">
        <f>OneLineRR!O480</f>
        <v>0</v>
      </c>
      <c r="N389" s="636">
        <f t="shared" si="5"/>
        <v>0</v>
      </c>
      <c r="O389" s="636">
        <f>OneLineRR!N480</f>
        <v>0</v>
      </c>
      <c r="P389" s="636" t="e" cm="1">
        <f t="array" ref="P389">INDEX('Unit Mix'!$P$6:$P$62,MATCH(1,('Rent Roll'!G389='Unit Mix'!$E$6:$E$62)*(D389='Unit Mix'!$D$6:$D$62),0))</f>
        <v>#N/A</v>
      </c>
      <c r="Q389" s="150">
        <f>OneLineRR!T480</f>
        <v>0</v>
      </c>
      <c r="R389" s="150">
        <f>OneLineRR!U480</f>
        <v>0</v>
      </c>
      <c r="S389" s="150">
        <f>OneLineRR!V480</f>
        <v>0</v>
      </c>
      <c r="T389" s="150">
        <f>OneLineRR!W480</f>
        <v>0</v>
      </c>
      <c r="U389" s="157" t="str">
        <f>IF(OneLineRR!Q480="","",OneLineRR!Q480)</f>
        <v/>
      </c>
      <c r="V389" s="157" t="str">
        <f>IF(OneLineRR!R480="","",OneLineRR!R480)</f>
        <v/>
      </c>
      <c r="AB389" s="320" t="str">
        <f>IFERROR(U389+(COUNTIF($U$8:U389,U389)-1)/10000,"")</f>
        <v/>
      </c>
      <c r="AC389" s="158"/>
      <c r="AD389" s="119"/>
      <c r="AE389" s="460"/>
      <c r="AG389" s="119"/>
    </row>
    <row r="390" spans="4:33" x14ac:dyDescent="0.25">
      <c r="D390" s="154" t="str">
        <f>OneLineRR!A481</f>
        <v>Hudson View Park</v>
      </c>
      <c r="E390" s="104">
        <f>OneLineRR!J481</f>
        <v>0</v>
      </c>
      <c r="F390" s="104">
        <f>OneLineRR!K481</f>
        <v>0</v>
      </c>
      <c r="G390" s="155" t="e">
        <f>OneLineRR!D481</f>
        <v>#N/A</v>
      </c>
      <c r="H390" s="155" t="e">
        <f>IF(OneLineRR!G481="Yes","Affordable","Market")</f>
        <v>#N/A</v>
      </c>
      <c r="I390" s="104" t="e">
        <f>OneLineRR!I481</f>
        <v>#N/A</v>
      </c>
      <c r="J390" s="156">
        <f>OneLineRR!M481</f>
        <v>0</v>
      </c>
      <c r="K390" s="634">
        <f>OneLineRR!L481</f>
        <v>0</v>
      </c>
      <c r="L390" s="143" t="str">
        <f>OneLineRR!C481</f>
        <v>Occ</v>
      </c>
      <c r="M390" s="636">
        <f>OneLineRR!O481</f>
        <v>0</v>
      </c>
      <c r="N390" s="636">
        <f t="shared" si="5"/>
        <v>0</v>
      </c>
      <c r="O390" s="636">
        <f>OneLineRR!N481</f>
        <v>0</v>
      </c>
      <c r="P390" s="636" t="e" cm="1">
        <f t="array" ref="P390">INDEX('Unit Mix'!$P$6:$P$62,MATCH(1,('Rent Roll'!G390='Unit Mix'!$E$6:$E$62)*(D390='Unit Mix'!$D$6:$D$62),0))</f>
        <v>#N/A</v>
      </c>
      <c r="Q390" s="150">
        <f>OneLineRR!T481</f>
        <v>0</v>
      </c>
      <c r="R390" s="150">
        <f>OneLineRR!U481</f>
        <v>0</v>
      </c>
      <c r="S390" s="150">
        <f>OneLineRR!V481</f>
        <v>0</v>
      </c>
      <c r="T390" s="150">
        <f>OneLineRR!W481</f>
        <v>0</v>
      </c>
      <c r="U390" s="157" t="str">
        <f>IF(OneLineRR!Q481="","",OneLineRR!Q481)</f>
        <v/>
      </c>
      <c r="V390" s="157" t="str">
        <f>IF(OneLineRR!R481="","",OneLineRR!R481)</f>
        <v/>
      </c>
      <c r="AB390" s="320" t="str">
        <f>IFERROR(U390+(COUNTIF($U$8:U390,U390)-1)/10000,"")</f>
        <v/>
      </c>
      <c r="AC390" s="158"/>
      <c r="AD390" s="119"/>
      <c r="AE390" s="460"/>
      <c r="AG390" s="119"/>
    </row>
    <row r="391" spans="4:33" x14ac:dyDescent="0.25">
      <c r="D391" s="154" t="str">
        <f>OneLineRR!A482</f>
        <v>Hudson View Park</v>
      </c>
      <c r="E391" s="104">
        <f>OneLineRR!J482</f>
        <v>0</v>
      </c>
      <c r="F391" s="104">
        <f>OneLineRR!K482</f>
        <v>0</v>
      </c>
      <c r="G391" s="155" t="e">
        <f>OneLineRR!D482</f>
        <v>#N/A</v>
      </c>
      <c r="H391" s="155" t="e">
        <f>IF(OneLineRR!G482="Yes","Affordable","Market")</f>
        <v>#N/A</v>
      </c>
      <c r="I391" s="104" t="e">
        <f>OneLineRR!I482</f>
        <v>#N/A</v>
      </c>
      <c r="J391" s="156">
        <f>OneLineRR!M482</f>
        <v>0</v>
      </c>
      <c r="K391" s="634">
        <f>OneLineRR!L482</f>
        <v>0</v>
      </c>
      <c r="L391" s="143" t="str">
        <f>OneLineRR!C482</f>
        <v>Occ</v>
      </c>
      <c r="M391" s="636">
        <f>OneLineRR!O482</f>
        <v>0</v>
      </c>
      <c r="N391" s="636">
        <f t="shared" si="5"/>
        <v>0</v>
      </c>
      <c r="O391" s="636">
        <f>OneLineRR!N482</f>
        <v>0</v>
      </c>
      <c r="P391" s="636" t="e" cm="1">
        <f t="array" ref="P391">INDEX('Unit Mix'!$P$6:$P$62,MATCH(1,('Rent Roll'!G391='Unit Mix'!$E$6:$E$62)*(D391='Unit Mix'!$D$6:$D$62),0))</f>
        <v>#N/A</v>
      </c>
      <c r="Q391" s="150">
        <f>OneLineRR!T482</f>
        <v>0</v>
      </c>
      <c r="R391" s="150">
        <f>OneLineRR!U482</f>
        <v>0</v>
      </c>
      <c r="S391" s="150">
        <f>OneLineRR!V482</f>
        <v>0</v>
      </c>
      <c r="T391" s="150">
        <f>OneLineRR!W482</f>
        <v>0</v>
      </c>
      <c r="U391" s="157" t="str">
        <f>IF(OneLineRR!Q482="","",OneLineRR!Q482)</f>
        <v/>
      </c>
      <c r="V391" s="157" t="str">
        <f>IF(OneLineRR!R482="","",OneLineRR!R482)</f>
        <v/>
      </c>
      <c r="AB391" s="320" t="str">
        <f>IFERROR(U391+(COUNTIF($U$8:U391,U391)-1)/10000,"")</f>
        <v/>
      </c>
      <c r="AC391" s="158"/>
      <c r="AD391" s="119"/>
      <c r="AE391" s="460"/>
      <c r="AG391" s="119"/>
    </row>
    <row r="392" spans="4:33" x14ac:dyDescent="0.25">
      <c r="D392" s="154" t="str">
        <f>OneLineRR!A483</f>
        <v>Hudson View Park</v>
      </c>
      <c r="E392" s="104">
        <f>OneLineRR!J483</f>
        <v>0</v>
      </c>
      <c r="F392" s="104">
        <f>OneLineRR!K483</f>
        <v>0</v>
      </c>
      <c r="G392" s="155" t="e">
        <f>OneLineRR!D483</f>
        <v>#N/A</v>
      </c>
      <c r="H392" s="155" t="e">
        <f>IF(OneLineRR!G483="Yes","Affordable","Market")</f>
        <v>#N/A</v>
      </c>
      <c r="I392" s="104" t="e">
        <f>OneLineRR!I483</f>
        <v>#N/A</v>
      </c>
      <c r="J392" s="156">
        <f>OneLineRR!M483</f>
        <v>0</v>
      </c>
      <c r="K392" s="634">
        <f>OneLineRR!L483</f>
        <v>0</v>
      </c>
      <c r="L392" s="143" t="str">
        <f>OneLineRR!C483</f>
        <v>Occ</v>
      </c>
      <c r="M392" s="636">
        <f>OneLineRR!O483</f>
        <v>0</v>
      </c>
      <c r="N392" s="636">
        <f t="shared" si="5"/>
        <v>0</v>
      </c>
      <c r="O392" s="636">
        <f>OneLineRR!N483</f>
        <v>0</v>
      </c>
      <c r="P392" s="636" t="e" cm="1">
        <f t="array" ref="P392">INDEX('Unit Mix'!$P$6:$P$62,MATCH(1,('Rent Roll'!G392='Unit Mix'!$E$6:$E$62)*(D392='Unit Mix'!$D$6:$D$62),0))</f>
        <v>#N/A</v>
      </c>
      <c r="Q392" s="150">
        <f>OneLineRR!T483</f>
        <v>0</v>
      </c>
      <c r="R392" s="150">
        <f>OneLineRR!U483</f>
        <v>0</v>
      </c>
      <c r="S392" s="150">
        <f>OneLineRR!V483</f>
        <v>0</v>
      </c>
      <c r="T392" s="150">
        <f>OneLineRR!W483</f>
        <v>0</v>
      </c>
      <c r="U392" s="157" t="str">
        <f>IF(OneLineRR!Q483="","",OneLineRR!Q483)</f>
        <v/>
      </c>
      <c r="V392" s="157" t="str">
        <f>IF(OneLineRR!R483="","",OneLineRR!R483)</f>
        <v/>
      </c>
      <c r="AB392" s="320" t="str">
        <f>IFERROR(U392+(COUNTIF($U$8:U392,U392)-1)/10000,"")</f>
        <v/>
      </c>
      <c r="AC392" s="158"/>
      <c r="AD392" s="119"/>
      <c r="AE392" s="460"/>
      <c r="AG392" s="119"/>
    </row>
    <row r="393" spans="4:33" x14ac:dyDescent="0.25">
      <c r="D393" s="154" t="str">
        <f>OneLineRR!A484</f>
        <v>Hudson View Park</v>
      </c>
      <c r="E393" s="104">
        <f>OneLineRR!J484</f>
        <v>0</v>
      </c>
      <c r="F393" s="104">
        <f>OneLineRR!K484</f>
        <v>0</v>
      </c>
      <c r="G393" s="155" t="e">
        <f>OneLineRR!D484</f>
        <v>#N/A</v>
      </c>
      <c r="H393" s="155" t="e">
        <f>IF(OneLineRR!G484="Yes","Affordable","Market")</f>
        <v>#N/A</v>
      </c>
      <c r="I393" s="104" t="e">
        <f>OneLineRR!I484</f>
        <v>#N/A</v>
      </c>
      <c r="J393" s="156">
        <f>OneLineRR!M484</f>
        <v>0</v>
      </c>
      <c r="K393" s="634">
        <f>OneLineRR!L484</f>
        <v>0</v>
      </c>
      <c r="L393" s="143" t="str">
        <f>OneLineRR!C484</f>
        <v>Occ</v>
      </c>
      <c r="M393" s="636">
        <f>OneLineRR!O484</f>
        <v>0</v>
      </c>
      <c r="N393" s="636">
        <f t="shared" ref="N393:N456" si="6">IF(L393="Vac",P393,0)</f>
        <v>0</v>
      </c>
      <c r="O393" s="636">
        <f>OneLineRR!N484</f>
        <v>0</v>
      </c>
      <c r="P393" s="636" t="e" cm="1">
        <f t="array" ref="P393">INDEX('Unit Mix'!$P$6:$P$62,MATCH(1,('Rent Roll'!G393='Unit Mix'!$E$6:$E$62)*(D393='Unit Mix'!$D$6:$D$62),0))</f>
        <v>#N/A</v>
      </c>
      <c r="Q393" s="150">
        <f>OneLineRR!T484</f>
        <v>0</v>
      </c>
      <c r="R393" s="150">
        <f>OneLineRR!U484</f>
        <v>0</v>
      </c>
      <c r="S393" s="150">
        <f>OneLineRR!V484</f>
        <v>0</v>
      </c>
      <c r="T393" s="150">
        <f>OneLineRR!W484</f>
        <v>0</v>
      </c>
      <c r="U393" s="157" t="str">
        <f>IF(OneLineRR!Q484="","",OneLineRR!Q484)</f>
        <v/>
      </c>
      <c r="V393" s="157" t="str">
        <f>IF(OneLineRR!R484="","",OneLineRR!R484)</f>
        <v/>
      </c>
      <c r="AB393" s="320" t="str">
        <f>IFERROR(U393+(COUNTIF($U$8:U393,U393)-1)/10000,"")</f>
        <v/>
      </c>
      <c r="AC393" s="158"/>
      <c r="AD393" s="119"/>
      <c r="AE393" s="460"/>
      <c r="AG393" s="119"/>
    </row>
    <row r="394" spans="4:33" x14ac:dyDescent="0.25">
      <c r="D394" s="154" t="str">
        <f>OneLineRR!A485</f>
        <v>Hudson View Park</v>
      </c>
      <c r="E394" s="104">
        <f>OneLineRR!J485</f>
        <v>0</v>
      </c>
      <c r="F394" s="104">
        <f>OneLineRR!K485</f>
        <v>0</v>
      </c>
      <c r="G394" s="155" t="e">
        <f>OneLineRR!D485</f>
        <v>#N/A</v>
      </c>
      <c r="H394" s="155" t="e">
        <f>IF(OneLineRR!G485="Yes","Affordable","Market")</f>
        <v>#N/A</v>
      </c>
      <c r="I394" s="104" t="e">
        <f>OneLineRR!I485</f>
        <v>#N/A</v>
      </c>
      <c r="J394" s="156">
        <f>OneLineRR!M485</f>
        <v>0</v>
      </c>
      <c r="K394" s="634">
        <f>OneLineRR!L485</f>
        <v>0</v>
      </c>
      <c r="L394" s="143" t="str">
        <f>OneLineRR!C485</f>
        <v>Occ</v>
      </c>
      <c r="M394" s="636">
        <f>OneLineRR!O485</f>
        <v>0</v>
      </c>
      <c r="N394" s="636">
        <f t="shared" si="6"/>
        <v>0</v>
      </c>
      <c r="O394" s="636">
        <f>OneLineRR!N485</f>
        <v>0</v>
      </c>
      <c r="P394" s="636" t="e" cm="1">
        <f t="array" ref="P394">INDEX('Unit Mix'!$P$6:$P$62,MATCH(1,('Rent Roll'!G394='Unit Mix'!$E$6:$E$62)*(D394='Unit Mix'!$D$6:$D$62),0))</f>
        <v>#N/A</v>
      </c>
      <c r="Q394" s="150">
        <f>OneLineRR!T485</f>
        <v>0</v>
      </c>
      <c r="R394" s="150">
        <f>OneLineRR!U485</f>
        <v>0</v>
      </c>
      <c r="S394" s="150">
        <f>OneLineRR!V485</f>
        <v>0</v>
      </c>
      <c r="T394" s="150">
        <f>OneLineRR!W485</f>
        <v>0</v>
      </c>
      <c r="U394" s="157" t="str">
        <f>IF(OneLineRR!Q485="","",OneLineRR!Q485)</f>
        <v/>
      </c>
      <c r="V394" s="157" t="str">
        <f>IF(OneLineRR!R485="","",OneLineRR!R485)</f>
        <v/>
      </c>
      <c r="AB394" s="320" t="str">
        <f>IFERROR(U394+(COUNTIF($U$8:U394,U394)-1)/10000,"")</f>
        <v/>
      </c>
      <c r="AC394" s="158"/>
      <c r="AD394" s="119"/>
      <c r="AE394" s="460"/>
      <c r="AG394" s="119"/>
    </row>
    <row r="395" spans="4:33" x14ac:dyDescent="0.25">
      <c r="D395" s="154" t="str">
        <f>OneLineRR!A486</f>
        <v>Hudson View Park</v>
      </c>
      <c r="E395" s="104">
        <f>OneLineRR!J486</f>
        <v>0</v>
      </c>
      <c r="F395" s="104">
        <f>OneLineRR!K486</f>
        <v>0</v>
      </c>
      <c r="G395" s="155" t="e">
        <f>OneLineRR!D486</f>
        <v>#N/A</v>
      </c>
      <c r="H395" s="155" t="e">
        <f>IF(OneLineRR!G486="Yes","Affordable","Market")</f>
        <v>#N/A</v>
      </c>
      <c r="I395" s="104" t="e">
        <f>OneLineRR!I486</f>
        <v>#N/A</v>
      </c>
      <c r="J395" s="156">
        <f>OneLineRR!M486</f>
        <v>0</v>
      </c>
      <c r="K395" s="634">
        <f>OneLineRR!L486</f>
        <v>0</v>
      </c>
      <c r="L395" s="143" t="str">
        <f>OneLineRR!C486</f>
        <v>Occ</v>
      </c>
      <c r="M395" s="636">
        <f>OneLineRR!O486</f>
        <v>0</v>
      </c>
      <c r="N395" s="636">
        <f t="shared" si="6"/>
        <v>0</v>
      </c>
      <c r="O395" s="636">
        <f>OneLineRR!N486</f>
        <v>0</v>
      </c>
      <c r="P395" s="636" t="e" cm="1">
        <f t="array" ref="P395">INDEX('Unit Mix'!$P$6:$P$62,MATCH(1,('Rent Roll'!G395='Unit Mix'!$E$6:$E$62)*(D395='Unit Mix'!$D$6:$D$62),0))</f>
        <v>#N/A</v>
      </c>
      <c r="Q395" s="150">
        <f>OneLineRR!T486</f>
        <v>0</v>
      </c>
      <c r="R395" s="150">
        <f>OneLineRR!U486</f>
        <v>0</v>
      </c>
      <c r="S395" s="150">
        <f>OneLineRR!V486</f>
        <v>0</v>
      </c>
      <c r="T395" s="150">
        <f>OneLineRR!W486</f>
        <v>0</v>
      </c>
      <c r="U395" s="157" t="str">
        <f>IF(OneLineRR!Q486="","",OneLineRR!Q486)</f>
        <v/>
      </c>
      <c r="V395" s="157" t="str">
        <f>IF(OneLineRR!R486="","",OneLineRR!R486)</f>
        <v/>
      </c>
      <c r="AB395" s="320" t="str">
        <f>IFERROR(U395+(COUNTIF($U$8:U395,U395)-1)/10000,"")</f>
        <v/>
      </c>
      <c r="AC395" s="158"/>
      <c r="AD395" s="119"/>
      <c r="AE395" s="460"/>
      <c r="AG395" s="119"/>
    </row>
    <row r="396" spans="4:33" x14ac:dyDescent="0.25">
      <c r="D396" s="154" t="str">
        <f>OneLineRR!A487</f>
        <v>Hudson View Park</v>
      </c>
      <c r="E396" s="104">
        <f>OneLineRR!J487</f>
        <v>0</v>
      </c>
      <c r="F396" s="104">
        <f>OneLineRR!K487</f>
        <v>0</v>
      </c>
      <c r="G396" s="155" t="e">
        <f>OneLineRR!D487</f>
        <v>#N/A</v>
      </c>
      <c r="H396" s="155" t="e">
        <f>IF(OneLineRR!G487="Yes","Affordable","Market")</f>
        <v>#N/A</v>
      </c>
      <c r="I396" s="104" t="e">
        <f>OneLineRR!I487</f>
        <v>#N/A</v>
      </c>
      <c r="J396" s="156">
        <f>OneLineRR!M487</f>
        <v>0</v>
      </c>
      <c r="K396" s="634">
        <f>OneLineRR!L487</f>
        <v>0</v>
      </c>
      <c r="L396" s="143" t="str">
        <f>OneLineRR!C487</f>
        <v>Occ</v>
      </c>
      <c r="M396" s="636">
        <f>OneLineRR!O487</f>
        <v>0</v>
      </c>
      <c r="N396" s="636">
        <f t="shared" si="6"/>
        <v>0</v>
      </c>
      <c r="O396" s="636">
        <f>OneLineRR!N487</f>
        <v>0</v>
      </c>
      <c r="P396" s="636" t="e" cm="1">
        <f t="array" ref="P396">INDEX('Unit Mix'!$P$6:$P$62,MATCH(1,('Rent Roll'!G396='Unit Mix'!$E$6:$E$62)*(D396='Unit Mix'!$D$6:$D$62),0))</f>
        <v>#N/A</v>
      </c>
      <c r="Q396" s="150">
        <f>OneLineRR!T487</f>
        <v>0</v>
      </c>
      <c r="R396" s="150">
        <f>OneLineRR!U487</f>
        <v>0</v>
      </c>
      <c r="S396" s="150">
        <f>OneLineRR!V487</f>
        <v>0</v>
      </c>
      <c r="T396" s="150">
        <f>OneLineRR!W487</f>
        <v>0</v>
      </c>
      <c r="U396" s="157" t="str">
        <f>IF(OneLineRR!Q487="","",OneLineRR!Q487)</f>
        <v/>
      </c>
      <c r="V396" s="157" t="str">
        <f>IF(OneLineRR!R487="","",OneLineRR!R487)</f>
        <v/>
      </c>
      <c r="AB396" s="320" t="str">
        <f>IFERROR(U396+(COUNTIF($U$8:U396,U396)-1)/10000,"")</f>
        <v/>
      </c>
      <c r="AC396" s="158"/>
      <c r="AD396" s="119"/>
      <c r="AE396" s="460"/>
      <c r="AG396" s="119"/>
    </row>
    <row r="397" spans="4:33" x14ac:dyDescent="0.25">
      <c r="D397" s="154" t="str">
        <f>OneLineRR!A488</f>
        <v>Hudson View Park</v>
      </c>
      <c r="E397" s="104">
        <f>OneLineRR!J488</f>
        <v>0</v>
      </c>
      <c r="F397" s="104">
        <f>OneLineRR!K488</f>
        <v>0</v>
      </c>
      <c r="G397" s="155" t="e">
        <f>OneLineRR!D488</f>
        <v>#N/A</v>
      </c>
      <c r="H397" s="155" t="e">
        <f>IF(OneLineRR!G488="Yes","Affordable","Market")</f>
        <v>#N/A</v>
      </c>
      <c r="I397" s="104" t="e">
        <f>OneLineRR!I488</f>
        <v>#N/A</v>
      </c>
      <c r="J397" s="156">
        <f>OneLineRR!M488</f>
        <v>0</v>
      </c>
      <c r="K397" s="634">
        <f>OneLineRR!L488</f>
        <v>0</v>
      </c>
      <c r="L397" s="143" t="str">
        <f>OneLineRR!C488</f>
        <v>Occ</v>
      </c>
      <c r="M397" s="636">
        <f>OneLineRR!O488</f>
        <v>0</v>
      </c>
      <c r="N397" s="636">
        <f t="shared" si="6"/>
        <v>0</v>
      </c>
      <c r="O397" s="636">
        <f>OneLineRR!N488</f>
        <v>0</v>
      </c>
      <c r="P397" s="636" t="e" cm="1">
        <f t="array" ref="P397">INDEX('Unit Mix'!$P$6:$P$62,MATCH(1,('Rent Roll'!G397='Unit Mix'!$E$6:$E$62)*(D397='Unit Mix'!$D$6:$D$62),0))</f>
        <v>#N/A</v>
      </c>
      <c r="Q397" s="150">
        <f>OneLineRR!T488</f>
        <v>0</v>
      </c>
      <c r="R397" s="150">
        <f>OneLineRR!U488</f>
        <v>0</v>
      </c>
      <c r="S397" s="150">
        <f>OneLineRR!V488</f>
        <v>0</v>
      </c>
      <c r="T397" s="150">
        <f>OneLineRR!W488</f>
        <v>0</v>
      </c>
      <c r="U397" s="157" t="str">
        <f>IF(OneLineRR!Q488="","",OneLineRR!Q488)</f>
        <v/>
      </c>
      <c r="V397" s="157" t="str">
        <f>IF(OneLineRR!R488="","",OneLineRR!R488)</f>
        <v/>
      </c>
      <c r="AB397" s="320" t="str">
        <f>IFERROR(U397+(COUNTIF($U$8:U397,U397)-1)/10000,"")</f>
        <v/>
      </c>
      <c r="AC397" s="158"/>
      <c r="AD397" s="119"/>
      <c r="AE397" s="460"/>
      <c r="AG397" s="119"/>
    </row>
    <row r="398" spans="4:33" x14ac:dyDescent="0.25">
      <c r="D398" s="154" t="str">
        <f>OneLineRR!A489</f>
        <v>Hudson View Park</v>
      </c>
      <c r="E398" s="104">
        <f>OneLineRR!J489</f>
        <v>0</v>
      </c>
      <c r="F398" s="104">
        <f>OneLineRR!K489</f>
        <v>0</v>
      </c>
      <c r="G398" s="155" t="e">
        <f>OneLineRR!D489</f>
        <v>#N/A</v>
      </c>
      <c r="H398" s="155" t="e">
        <f>IF(OneLineRR!G489="Yes","Affordable","Market")</f>
        <v>#N/A</v>
      </c>
      <c r="I398" s="104" t="e">
        <f>OneLineRR!I489</f>
        <v>#N/A</v>
      </c>
      <c r="J398" s="156">
        <f>OneLineRR!M489</f>
        <v>0</v>
      </c>
      <c r="K398" s="634">
        <f>OneLineRR!L489</f>
        <v>0</v>
      </c>
      <c r="L398" s="143" t="str">
        <f>OneLineRR!C489</f>
        <v>Occ</v>
      </c>
      <c r="M398" s="636">
        <f>OneLineRR!O489</f>
        <v>0</v>
      </c>
      <c r="N398" s="636">
        <f t="shared" si="6"/>
        <v>0</v>
      </c>
      <c r="O398" s="636">
        <f>OneLineRR!N489</f>
        <v>0</v>
      </c>
      <c r="P398" s="636" t="e" cm="1">
        <f t="array" ref="P398">INDEX('Unit Mix'!$P$6:$P$62,MATCH(1,('Rent Roll'!G398='Unit Mix'!$E$6:$E$62)*(D398='Unit Mix'!$D$6:$D$62),0))</f>
        <v>#N/A</v>
      </c>
      <c r="Q398" s="150">
        <f>OneLineRR!T489</f>
        <v>0</v>
      </c>
      <c r="R398" s="150">
        <f>OneLineRR!U489</f>
        <v>0</v>
      </c>
      <c r="S398" s="150">
        <f>OneLineRR!V489</f>
        <v>0</v>
      </c>
      <c r="T398" s="150">
        <f>OneLineRR!W489</f>
        <v>0</v>
      </c>
      <c r="U398" s="157" t="str">
        <f>IF(OneLineRR!Q489="","",OneLineRR!Q489)</f>
        <v/>
      </c>
      <c r="V398" s="157" t="str">
        <f>IF(OneLineRR!R489="","",OneLineRR!R489)</f>
        <v/>
      </c>
      <c r="AB398" s="320" t="str">
        <f>IFERROR(U398+(COUNTIF($U$8:U398,U398)-1)/10000,"")</f>
        <v/>
      </c>
      <c r="AC398" s="158"/>
      <c r="AD398" s="119"/>
      <c r="AE398" s="460"/>
      <c r="AG398" s="119"/>
    </row>
    <row r="399" spans="4:33" x14ac:dyDescent="0.25">
      <c r="D399" s="154" t="str">
        <f>OneLineRR!A490</f>
        <v>Hudson View Park</v>
      </c>
      <c r="E399" s="104">
        <f>OneLineRR!J490</f>
        <v>0</v>
      </c>
      <c r="F399" s="104">
        <f>OneLineRR!K490</f>
        <v>0</v>
      </c>
      <c r="G399" s="155" t="e">
        <f>OneLineRR!D490</f>
        <v>#N/A</v>
      </c>
      <c r="H399" s="155" t="e">
        <f>IF(OneLineRR!G490="Yes","Affordable","Market")</f>
        <v>#N/A</v>
      </c>
      <c r="I399" s="104" t="e">
        <f>OneLineRR!I490</f>
        <v>#N/A</v>
      </c>
      <c r="J399" s="156">
        <f>OneLineRR!M490</f>
        <v>0</v>
      </c>
      <c r="K399" s="634">
        <f>OneLineRR!L490</f>
        <v>0</v>
      </c>
      <c r="L399" s="143" t="str">
        <f>OneLineRR!C490</f>
        <v>Occ</v>
      </c>
      <c r="M399" s="636">
        <f>OneLineRR!O490</f>
        <v>0</v>
      </c>
      <c r="N399" s="636">
        <f t="shared" si="6"/>
        <v>0</v>
      </c>
      <c r="O399" s="636">
        <f>OneLineRR!N490</f>
        <v>0</v>
      </c>
      <c r="P399" s="636" t="e" cm="1">
        <f t="array" ref="P399">INDEX('Unit Mix'!$P$6:$P$62,MATCH(1,('Rent Roll'!G399='Unit Mix'!$E$6:$E$62)*(D399='Unit Mix'!$D$6:$D$62),0))</f>
        <v>#N/A</v>
      </c>
      <c r="Q399" s="150">
        <f>OneLineRR!T490</f>
        <v>0</v>
      </c>
      <c r="R399" s="150">
        <f>OneLineRR!U490</f>
        <v>0</v>
      </c>
      <c r="S399" s="150">
        <f>OneLineRR!V490</f>
        <v>0</v>
      </c>
      <c r="T399" s="150">
        <f>OneLineRR!W490</f>
        <v>0</v>
      </c>
      <c r="U399" s="157" t="str">
        <f>IF(OneLineRR!Q490="","",OneLineRR!Q490)</f>
        <v/>
      </c>
      <c r="V399" s="157" t="str">
        <f>IF(OneLineRR!R490="","",OneLineRR!R490)</f>
        <v/>
      </c>
      <c r="AB399" s="320" t="str">
        <f>IFERROR(U399+(COUNTIF($U$8:U399,U399)-1)/10000,"")</f>
        <v/>
      </c>
      <c r="AC399" s="158"/>
      <c r="AD399" s="119"/>
      <c r="AE399" s="460"/>
      <c r="AG399" s="119"/>
    </row>
    <row r="400" spans="4:33" x14ac:dyDescent="0.25">
      <c r="D400" s="154" t="str">
        <f>OneLineRR!A491</f>
        <v>Hudson View Park</v>
      </c>
      <c r="E400" s="104">
        <f>OneLineRR!J491</f>
        <v>0</v>
      </c>
      <c r="F400" s="104">
        <f>OneLineRR!K491</f>
        <v>0</v>
      </c>
      <c r="G400" s="155" t="e">
        <f>OneLineRR!D491</f>
        <v>#N/A</v>
      </c>
      <c r="H400" s="155" t="e">
        <f>IF(OneLineRR!G491="Yes","Affordable","Market")</f>
        <v>#N/A</v>
      </c>
      <c r="I400" s="104" t="e">
        <f>OneLineRR!I491</f>
        <v>#N/A</v>
      </c>
      <c r="J400" s="156">
        <f>OneLineRR!M491</f>
        <v>0</v>
      </c>
      <c r="K400" s="634">
        <f>OneLineRR!L491</f>
        <v>0</v>
      </c>
      <c r="L400" s="143" t="str">
        <f>OneLineRR!C491</f>
        <v>Occ</v>
      </c>
      <c r="M400" s="636">
        <f>OneLineRR!O491</f>
        <v>0</v>
      </c>
      <c r="N400" s="636">
        <f t="shared" si="6"/>
        <v>0</v>
      </c>
      <c r="O400" s="636">
        <f>OneLineRR!N491</f>
        <v>0</v>
      </c>
      <c r="P400" s="636" t="e" cm="1">
        <f t="array" ref="P400">INDEX('Unit Mix'!$P$6:$P$62,MATCH(1,('Rent Roll'!G400='Unit Mix'!$E$6:$E$62)*(D400='Unit Mix'!$D$6:$D$62),0))</f>
        <v>#N/A</v>
      </c>
      <c r="Q400" s="150">
        <f>OneLineRR!T491</f>
        <v>0</v>
      </c>
      <c r="R400" s="150">
        <f>OneLineRR!U491</f>
        <v>0</v>
      </c>
      <c r="S400" s="150">
        <f>OneLineRR!V491</f>
        <v>0</v>
      </c>
      <c r="T400" s="150">
        <f>OneLineRR!W491</f>
        <v>0</v>
      </c>
      <c r="U400" s="157" t="str">
        <f>IF(OneLineRR!Q491="","",OneLineRR!Q491)</f>
        <v/>
      </c>
      <c r="V400" s="157" t="str">
        <f>IF(OneLineRR!R491="","",OneLineRR!R491)</f>
        <v/>
      </c>
      <c r="AB400" s="320" t="str">
        <f>IFERROR(U400+(COUNTIF($U$8:U400,U400)-1)/10000,"")</f>
        <v/>
      </c>
      <c r="AC400" s="158"/>
      <c r="AD400" s="119"/>
      <c r="AE400" s="460"/>
      <c r="AG400" s="119"/>
    </row>
    <row r="401" spans="4:33" x14ac:dyDescent="0.25">
      <c r="D401" s="154" t="str">
        <f>OneLineRR!A492</f>
        <v>Hudson View Park</v>
      </c>
      <c r="E401" s="104">
        <f>OneLineRR!J492</f>
        <v>0</v>
      </c>
      <c r="F401" s="104">
        <f>OneLineRR!K492</f>
        <v>0</v>
      </c>
      <c r="G401" s="155" t="e">
        <f>OneLineRR!D492</f>
        <v>#N/A</v>
      </c>
      <c r="H401" s="155" t="e">
        <f>IF(OneLineRR!G492="Yes","Affordable","Market")</f>
        <v>#N/A</v>
      </c>
      <c r="I401" s="104" t="e">
        <f>OneLineRR!I492</f>
        <v>#N/A</v>
      </c>
      <c r="J401" s="156">
        <f>OneLineRR!M492</f>
        <v>0</v>
      </c>
      <c r="K401" s="634">
        <f>OneLineRR!L492</f>
        <v>0</v>
      </c>
      <c r="L401" s="143" t="str">
        <f>OneLineRR!C492</f>
        <v>Occ</v>
      </c>
      <c r="M401" s="636">
        <f>OneLineRR!O492</f>
        <v>0</v>
      </c>
      <c r="N401" s="636">
        <f t="shared" si="6"/>
        <v>0</v>
      </c>
      <c r="O401" s="636">
        <f>OneLineRR!N492</f>
        <v>0</v>
      </c>
      <c r="P401" s="636" t="e" cm="1">
        <f t="array" ref="P401">INDEX('Unit Mix'!$P$6:$P$62,MATCH(1,('Rent Roll'!G401='Unit Mix'!$E$6:$E$62)*(D401='Unit Mix'!$D$6:$D$62),0))</f>
        <v>#N/A</v>
      </c>
      <c r="Q401" s="150">
        <f>OneLineRR!T492</f>
        <v>0</v>
      </c>
      <c r="R401" s="150">
        <f>OneLineRR!U492</f>
        <v>0</v>
      </c>
      <c r="S401" s="150">
        <f>OneLineRR!V492</f>
        <v>0</v>
      </c>
      <c r="T401" s="150">
        <f>OneLineRR!W492</f>
        <v>0</v>
      </c>
      <c r="U401" s="157" t="str">
        <f>IF(OneLineRR!Q492="","",OneLineRR!Q492)</f>
        <v/>
      </c>
      <c r="V401" s="157" t="str">
        <f>IF(OneLineRR!R492="","",OneLineRR!R492)</f>
        <v/>
      </c>
      <c r="AB401" s="320" t="str">
        <f>IFERROR(U401+(COUNTIF($U$8:U401,U401)-1)/10000,"")</f>
        <v/>
      </c>
      <c r="AC401" s="158"/>
      <c r="AD401" s="119"/>
      <c r="AE401" s="460"/>
      <c r="AG401" s="119"/>
    </row>
    <row r="402" spans="4:33" x14ac:dyDescent="0.25">
      <c r="D402" s="154" t="str">
        <f>OneLineRR!A493</f>
        <v>Hudson View Park</v>
      </c>
      <c r="E402" s="104">
        <f>OneLineRR!J493</f>
        <v>0</v>
      </c>
      <c r="F402" s="104">
        <f>OneLineRR!K493</f>
        <v>0</v>
      </c>
      <c r="G402" s="155" t="e">
        <f>OneLineRR!D493</f>
        <v>#N/A</v>
      </c>
      <c r="H402" s="155" t="e">
        <f>IF(OneLineRR!G493="Yes","Affordable","Market")</f>
        <v>#N/A</v>
      </c>
      <c r="I402" s="104" t="e">
        <f>OneLineRR!I493</f>
        <v>#N/A</v>
      </c>
      <c r="J402" s="156">
        <f>OneLineRR!M493</f>
        <v>0</v>
      </c>
      <c r="K402" s="634">
        <f>OneLineRR!L493</f>
        <v>0</v>
      </c>
      <c r="L402" s="143" t="str">
        <f>OneLineRR!C493</f>
        <v>Occ</v>
      </c>
      <c r="M402" s="636">
        <f>OneLineRR!O493</f>
        <v>0</v>
      </c>
      <c r="N402" s="636">
        <f t="shared" si="6"/>
        <v>0</v>
      </c>
      <c r="O402" s="636">
        <f>OneLineRR!N493</f>
        <v>0</v>
      </c>
      <c r="P402" s="636" t="e" cm="1">
        <f t="array" ref="P402">INDEX('Unit Mix'!$P$6:$P$62,MATCH(1,('Rent Roll'!G402='Unit Mix'!$E$6:$E$62)*(D402='Unit Mix'!$D$6:$D$62),0))</f>
        <v>#N/A</v>
      </c>
      <c r="Q402" s="150">
        <f>OneLineRR!T493</f>
        <v>0</v>
      </c>
      <c r="R402" s="150">
        <f>OneLineRR!U493</f>
        <v>0</v>
      </c>
      <c r="S402" s="150">
        <f>OneLineRR!V493</f>
        <v>0</v>
      </c>
      <c r="T402" s="150">
        <f>OneLineRR!W493</f>
        <v>0</v>
      </c>
      <c r="U402" s="157" t="str">
        <f>IF(OneLineRR!Q493="","",OneLineRR!Q493)</f>
        <v/>
      </c>
      <c r="V402" s="157" t="str">
        <f>IF(OneLineRR!R493="","",OneLineRR!R493)</f>
        <v/>
      </c>
      <c r="AB402" s="320" t="str">
        <f>IFERROR(U402+(COUNTIF($U$8:U402,U402)-1)/10000,"")</f>
        <v/>
      </c>
      <c r="AC402" s="158"/>
      <c r="AD402" s="119"/>
      <c r="AE402" s="460"/>
      <c r="AG402" s="119"/>
    </row>
    <row r="403" spans="4:33" x14ac:dyDescent="0.25">
      <c r="D403" s="154" t="str">
        <f>OneLineRR!A494</f>
        <v>Hudson View Park</v>
      </c>
      <c r="E403" s="104">
        <f>OneLineRR!J494</f>
        <v>0</v>
      </c>
      <c r="F403" s="104">
        <f>OneLineRR!K494</f>
        <v>0</v>
      </c>
      <c r="G403" s="155" t="e">
        <f>OneLineRR!D494</f>
        <v>#N/A</v>
      </c>
      <c r="H403" s="155" t="e">
        <f>IF(OneLineRR!G494="Yes","Affordable","Market")</f>
        <v>#N/A</v>
      </c>
      <c r="I403" s="104" t="e">
        <f>OneLineRR!I494</f>
        <v>#N/A</v>
      </c>
      <c r="J403" s="156">
        <f>OneLineRR!M494</f>
        <v>0</v>
      </c>
      <c r="K403" s="634">
        <f>OneLineRR!L494</f>
        <v>0</v>
      </c>
      <c r="L403" s="143" t="str">
        <f>OneLineRR!C494</f>
        <v>Occ</v>
      </c>
      <c r="M403" s="636">
        <f>OneLineRR!O494</f>
        <v>0</v>
      </c>
      <c r="N403" s="636">
        <f t="shared" si="6"/>
        <v>0</v>
      </c>
      <c r="O403" s="636">
        <f>OneLineRR!N494</f>
        <v>0</v>
      </c>
      <c r="P403" s="636" t="e" cm="1">
        <f t="array" ref="P403">INDEX('Unit Mix'!$P$6:$P$62,MATCH(1,('Rent Roll'!G403='Unit Mix'!$E$6:$E$62)*(D403='Unit Mix'!$D$6:$D$62),0))</f>
        <v>#N/A</v>
      </c>
      <c r="Q403" s="150">
        <f>OneLineRR!T494</f>
        <v>0</v>
      </c>
      <c r="R403" s="150">
        <f>OneLineRR!U494</f>
        <v>0</v>
      </c>
      <c r="S403" s="150">
        <f>OneLineRR!V494</f>
        <v>0</v>
      </c>
      <c r="T403" s="150">
        <f>OneLineRR!W494</f>
        <v>0</v>
      </c>
      <c r="U403" s="157" t="str">
        <f>IF(OneLineRR!Q494="","",OneLineRR!Q494)</f>
        <v/>
      </c>
      <c r="V403" s="157" t="str">
        <f>IF(OneLineRR!R494="","",OneLineRR!R494)</f>
        <v/>
      </c>
      <c r="AB403" s="320" t="str">
        <f>IFERROR(U403+(COUNTIF($U$8:U403,U403)-1)/10000,"")</f>
        <v/>
      </c>
      <c r="AC403" s="158"/>
      <c r="AD403" s="119"/>
      <c r="AE403" s="460"/>
      <c r="AG403" s="119"/>
    </row>
    <row r="404" spans="4:33" x14ac:dyDescent="0.25">
      <c r="D404" s="154" t="str">
        <f>OneLineRR!A495</f>
        <v>Hudson View Park</v>
      </c>
      <c r="E404" s="104">
        <f>OneLineRR!J495</f>
        <v>0</v>
      </c>
      <c r="F404" s="104">
        <f>OneLineRR!K495</f>
        <v>0</v>
      </c>
      <c r="G404" s="155" t="e">
        <f>OneLineRR!D495</f>
        <v>#N/A</v>
      </c>
      <c r="H404" s="155" t="e">
        <f>IF(OneLineRR!G495="Yes","Affordable","Market")</f>
        <v>#N/A</v>
      </c>
      <c r="I404" s="104" t="e">
        <f>OneLineRR!I495</f>
        <v>#N/A</v>
      </c>
      <c r="J404" s="156">
        <f>OneLineRR!M495</f>
        <v>0</v>
      </c>
      <c r="K404" s="634">
        <f>OneLineRR!L495</f>
        <v>0</v>
      </c>
      <c r="L404" s="143" t="str">
        <f>OneLineRR!C495</f>
        <v>Occ</v>
      </c>
      <c r="M404" s="636">
        <f>OneLineRR!O495</f>
        <v>0</v>
      </c>
      <c r="N404" s="636">
        <f t="shared" si="6"/>
        <v>0</v>
      </c>
      <c r="O404" s="636">
        <f>OneLineRR!N495</f>
        <v>0</v>
      </c>
      <c r="P404" s="636" t="e" cm="1">
        <f t="array" ref="P404">INDEX('Unit Mix'!$P$6:$P$62,MATCH(1,('Rent Roll'!G404='Unit Mix'!$E$6:$E$62)*(D404='Unit Mix'!$D$6:$D$62),0))</f>
        <v>#N/A</v>
      </c>
      <c r="Q404" s="150">
        <f>OneLineRR!T495</f>
        <v>0</v>
      </c>
      <c r="R404" s="150">
        <f>OneLineRR!U495</f>
        <v>0</v>
      </c>
      <c r="S404" s="150">
        <f>OneLineRR!V495</f>
        <v>0</v>
      </c>
      <c r="T404" s="150">
        <f>OneLineRR!W495</f>
        <v>0</v>
      </c>
      <c r="U404" s="157" t="str">
        <f>IF(OneLineRR!Q495="","",OneLineRR!Q495)</f>
        <v/>
      </c>
      <c r="V404" s="157" t="str">
        <f>IF(OneLineRR!R495="","",OneLineRR!R495)</f>
        <v/>
      </c>
      <c r="AB404" s="320" t="str">
        <f>IFERROR(U404+(COUNTIF($U$8:U404,U404)-1)/10000,"")</f>
        <v/>
      </c>
      <c r="AC404" s="158"/>
      <c r="AD404" s="119"/>
      <c r="AE404" s="460"/>
      <c r="AG404" s="119"/>
    </row>
    <row r="405" spans="4:33" x14ac:dyDescent="0.25">
      <c r="D405" s="154" t="str">
        <f>OneLineRR!A496</f>
        <v>Hudson View Park</v>
      </c>
      <c r="E405" s="104">
        <f>OneLineRR!J496</f>
        <v>0</v>
      </c>
      <c r="F405" s="104">
        <f>OneLineRR!K496</f>
        <v>0</v>
      </c>
      <c r="G405" s="155" t="e">
        <f>OneLineRR!D496</f>
        <v>#N/A</v>
      </c>
      <c r="H405" s="155" t="e">
        <f>IF(OneLineRR!G496="Yes","Affordable","Market")</f>
        <v>#N/A</v>
      </c>
      <c r="I405" s="104" t="e">
        <f>OneLineRR!I496</f>
        <v>#N/A</v>
      </c>
      <c r="J405" s="156">
        <f>OneLineRR!M496</f>
        <v>0</v>
      </c>
      <c r="K405" s="634">
        <f>OneLineRR!L496</f>
        <v>0</v>
      </c>
      <c r="L405" s="143" t="str">
        <f>OneLineRR!C496</f>
        <v>Occ</v>
      </c>
      <c r="M405" s="636">
        <f>OneLineRR!O496</f>
        <v>0</v>
      </c>
      <c r="N405" s="636">
        <f t="shared" si="6"/>
        <v>0</v>
      </c>
      <c r="O405" s="636">
        <f>OneLineRR!N496</f>
        <v>0</v>
      </c>
      <c r="P405" s="636" t="e" cm="1">
        <f t="array" ref="P405">INDEX('Unit Mix'!$P$6:$P$62,MATCH(1,('Rent Roll'!G405='Unit Mix'!$E$6:$E$62)*(D405='Unit Mix'!$D$6:$D$62),0))</f>
        <v>#N/A</v>
      </c>
      <c r="Q405" s="150">
        <f>OneLineRR!T496</f>
        <v>0</v>
      </c>
      <c r="R405" s="150">
        <f>OneLineRR!U496</f>
        <v>0</v>
      </c>
      <c r="S405" s="150">
        <f>OneLineRR!V496</f>
        <v>0</v>
      </c>
      <c r="T405" s="150">
        <f>OneLineRR!W496</f>
        <v>0</v>
      </c>
      <c r="U405" s="157" t="str">
        <f>IF(OneLineRR!Q496="","",OneLineRR!Q496)</f>
        <v/>
      </c>
      <c r="V405" s="157" t="str">
        <f>IF(OneLineRR!R496="","",OneLineRR!R496)</f>
        <v/>
      </c>
      <c r="AB405" s="320" t="str">
        <f>IFERROR(U405+(COUNTIF($U$8:U405,U405)-1)/10000,"")</f>
        <v/>
      </c>
      <c r="AC405" s="158"/>
      <c r="AD405" s="119"/>
      <c r="AE405" s="460"/>
      <c r="AG405" s="119"/>
    </row>
    <row r="406" spans="4:33" x14ac:dyDescent="0.25">
      <c r="D406" s="154" t="str">
        <f>OneLineRR!A497</f>
        <v>Hudson View Park</v>
      </c>
      <c r="E406" s="104">
        <f>OneLineRR!J497</f>
        <v>0</v>
      </c>
      <c r="F406" s="104">
        <f>OneLineRR!K497</f>
        <v>0</v>
      </c>
      <c r="G406" s="155" t="e">
        <f>OneLineRR!D497</f>
        <v>#N/A</v>
      </c>
      <c r="H406" s="155" t="e">
        <f>IF(OneLineRR!G497="Yes","Affordable","Market")</f>
        <v>#N/A</v>
      </c>
      <c r="I406" s="104" t="e">
        <f>OneLineRR!I497</f>
        <v>#N/A</v>
      </c>
      <c r="J406" s="156">
        <f>OneLineRR!M497</f>
        <v>0</v>
      </c>
      <c r="K406" s="634">
        <f>OneLineRR!L497</f>
        <v>0</v>
      </c>
      <c r="L406" s="143" t="str">
        <f>OneLineRR!C497</f>
        <v>Occ</v>
      </c>
      <c r="M406" s="636">
        <f>OneLineRR!O497</f>
        <v>0</v>
      </c>
      <c r="N406" s="636">
        <f t="shared" si="6"/>
        <v>0</v>
      </c>
      <c r="O406" s="636">
        <f>OneLineRR!N497</f>
        <v>0</v>
      </c>
      <c r="P406" s="636" t="e" cm="1">
        <f t="array" ref="P406">INDEX('Unit Mix'!$P$6:$P$62,MATCH(1,('Rent Roll'!G406='Unit Mix'!$E$6:$E$62)*(D406='Unit Mix'!$D$6:$D$62),0))</f>
        <v>#N/A</v>
      </c>
      <c r="Q406" s="150">
        <f>OneLineRR!T497</f>
        <v>0</v>
      </c>
      <c r="R406" s="150">
        <f>OneLineRR!U497</f>
        <v>0</v>
      </c>
      <c r="S406" s="150">
        <f>OneLineRR!V497</f>
        <v>0</v>
      </c>
      <c r="T406" s="150">
        <f>OneLineRR!W497</f>
        <v>0</v>
      </c>
      <c r="U406" s="157" t="str">
        <f>IF(OneLineRR!Q497="","",OneLineRR!Q497)</f>
        <v/>
      </c>
      <c r="V406" s="157" t="str">
        <f>IF(OneLineRR!R497="","",OneLineRR!R497)</f>
        <v/>
      </c>
      <c r="AB406" s="320" t="str">
        <f>IFERROR(U406+(COUNTIF($U$8:U406,U406)-1)/10000,"")</f>
        <v/>
      </c>
      <c r="AC406" s="158"/>
      <c r="AD406" s="119"/>
      <c r="AE406" s="460"/>
      <c r="AG406" s="119"/>
    </row>
    <row r="407" spans="4:33" x14ac:dyDescent="0.25">
      <c r="D407" s="154" t="str">
        <f>OneLineRR!A498</f>
        <v>Hudson View Park</v>
      </c>
      <c r="E407" s="104">
        <f>OneLineRR!J498</f>
        <v>0</v>
      </c>
      <c r="F407" s="104">
        <f>OneLineRR!K498</f>
        <v>0</v>
      </c>
      <c r="G407" s="155" t="e">
        <f>OneLineRR!D498</f>
        <v>#N/A</v>
      </c>
      <c r="H407" s="155" t="e">
        <f>IF(OneLineRR!G498="Yes","Affordable","Market")</f>
        <v>#N/A</v>
      </c>
      <c r="I407" s="104" t="e">
        <f>OneLineRR!I498</f>
        <v>#N/A</v>
      </c>
      <c r="J407" s="156">
        <f>OneLineRR!M498</f>
        <v>0</v>
      </c>
      <c r="K407" s="634">
        <f>OneLineRR!L498</f>
        <v>0</v>
      </c>
      <c r="L407" s="143" t="str">
        <f>OneLineRR!C498</f>
        <v>Occ</v>
      </c>
      <c r="M407" s="636">
        <f>OneLineRR!O498</f>
        <v>0</v>
      </c>
      <c r="N407" s="636">
        <f t="shared" si="6"/>
        <v>0</v>
      </c>
      <c r="O407" s="636">
        <f>OneLineRR!N498</f>
        <v>0</v>
      </c>
      <c r="P407" s="636" t="e" cm="1">
        <f t="array" ref="P407">INDEX('Unit Mix'!$P$6:$P$62,MATCH(1,('Rent Roll'!G407='Unit Mix'!$E$6:$E$62)*(D407='Unit Mix'!$D$6:$D$62),0))</f>
        <v>#N/A</v>
      </c>
      <c r="Q407" s="150">
        <f>OneLineRR!T498</f>
        <v>0</v>
      </c>
      <c r="R407" s="150">
        <f>OneLineRR!U498</f>
        <v>0</v>
      </c>
      <c r="S407" s="150">
        <f>OneLineRR!V498</f>
        <v>0</v>
      </c>
      <c r="T407" s="150">
        <f>OneLineRR!W498</f>
        <v>0</v>
      </c>
      <c r="U407" s="157" t="str">
        <f>IF(OneLineRR!Q498="","",OneLineRR!Q498)</f>
        <v/>
      </c>
      <c r="V407" s="157" t="str">
        <f>IF(OneLineRR!R498="","",OneLineRR!R498)</f>
        <v/>
      </c>
      <c r="AB407" s="320" t="str">
        <f>IFERROR(U407+(COUNTIF($U$8:U407,U407)-1)/10000,"")</f>
        <v/>
      </c>
      <c r="AC407" s="158"/>
      <c r="AD407" s="119"/>
      <c r="AE407" s="460"/>
      <c r="AG407" s="119"/>
    </row>
    <row r="408" spans="4:33" x14ac:dyDescent="0.25">
      <c r="D408" s="154" t="str">
        <f>OneLineRR!A499</f>
        <v>Hudson View Park</v>
      </c>
      <c r="E408" s="104">
        <f>OneLineRR!J499</f>
        <v>0</v>
      </c>
      <c r="F408" s="104">
        <f>OneLineRR!K499</f>
        <v>0</v>
      </c>
      <c r="G408" s="155" t="e">
        <f>OneLineRR!D499</f>
        <v>#N/A</v>
      </c>
      <c r="H408" s="155" t="e">
        <f>IF(OneLineRR!G499="Yes","Affordable","Market")</f>
        <v>#N/A</v>
      </c>
      <c r="I408" s="104" t="e">
        <f>OneLineRR!I499</f>
        <v>#N/A</v>
      </c>
      <c r="J408" s="156">
        <f>OneLineRR!M499</f>
        <v>0</v>
      </c>
      <c r="K408" s="634">
        <f>OneLineRR!L499</f>
        <v>0</v>
      </c>
      <c r="L408" s="143" t="str">
        <f>OneLineRR!C499</f>
        <v>Occ</v>
      </c>
      <c r="M408" s="636">
        <f>OneLineRR!O499</f>
        <v>0</v>
      </c>
      <c r="N408" s="636">
        <f t="shared" si="6"/>
        <v>0</v>
      </c>
      <c r="O408" s="636">
        <f>OneLineRR!N499</f>
        <v>0</v>
      </c>
      <c r="P408" s="636" t="e" cm="1">
        <f t="array" ref="P408">INDEX('Unit Mix'!$P$6:$P$62,MATCH(1,('Rent Roll'!G408='Unit Mix'!$E$6:$E$62)*(D408='Unit Mix'!$D$6:$D$62),0))</f>
        <v>#N/A</v>
      </c>
      <c r="Q408" s="150">
        <f>OneLineRR!T499</f>
        <v>0</v>
      </c>
      <c r="R408" s="150">
        <f>OneLineRR!U499</f>
        <v>0</v>
      </c>
      <c r="S408" s="150">
        <f>OneLineRR!V499</f>
        <v>0</v>
      </c>
      <c r="T408" s="150">
        <f>OneLineRR!W499</f>
        <v>0</v>
      </c>
      <c r="U408" s="157" t="str">
        <f>IF(OneLineRR!Q499="","",OneLineRR!Q499)</f>
        <v/>
      </c>
      <c r="V408" s="157" t="str">
        <f>IF(OneLineRR!R499="","",OneLineRR!R499)</f>
        <v/>
      </c>
      <c r="AB408" s="320" t="str">
        <f>IFERROR(U408+(COUNTIF($U$8:U408,U408)-1)/10000,"")</f>
        <v/>
      </c>
      <c r="AC408" s="158"/>
      <c r="AD408" s="119"/>
      <c r="AE408" s="460"/>
      <c r="AG408" s="119"/>
    </row>
    <row r="409" spans="4:33" x14ac:dyDescent="0.25">
      <c r="D409" s="154" t="str">
        <f>OneLineRR!A500</f>
        <v>Hudson View Park</v>
      </c>
      <c r="E409" s="104">
        <f>OneLineRR!J500</f>
        <v>0</v>
      </c>
      <c r="F409" s="104">
        <f>OneLineRR!K500</f>
        <v>0</v>
      </c>
      <c r="G409" s="155" t="e">
        <f>OneLineRR!D500</f>
        <v>#N/A</v>
      </c>
      <c r="H409" s="155" t="e">
        <f>IF(OneLineRR!G500="Yes","Affordable","Market")</f>
        <v>#N/A</v>
      </c>
      <c r="I409" s="104" t="e">
        <f>OneLineRR!I500</f>
        <v>#N/A</v>
      </c>
      <c r="J409" s="156">
        <f>OneLineRR!M500</f>
        <v>0</v>
      </c>
      <c r="K409" s="634">
        <f>OneLineRR!L500</f>
        <v>0</v>
      </c>
      <c r="L409" s="143" t="str">
        <f>OneLineRR!C500</f>
        <v>Occ</v>
      </c>
      <c r="M409" s="636">
        <f>OneLineRR!O500</f>
        <v>0</v>
      </c>
      <c r="N409" s="636">
        <f t="shared" si="6"/>
        <v>0</v>
      </c>
      <c r="O409" s="636">
        <f>OneLineRR!N500</f>
        <v>0</v>
      </c>
      <c r="P409" s="636" t="e" cm="1">
        <f t="array" ref="P409">INDEX('Unit Mix'!$P$6:$P$62,MATCH(1,('Rent Roll'!G409='Unit Mix'!$E$6:$E$62)*(D409='Unit Mix'!$D$6:$D$62),0))</f>
        <v>#N/A</v>
      </c>
      <c r="Q409" s="150">
        <f>OneLineRR!T500</f>
        <v>0</v>
      </c>
      <c r="R409" s="150">
        <f>OneLineRR!U500</f>
        <v>0</v>
      </c>
      <c r="S409" s="150">
        <f>OneLineRR!V500</f>
        <v>0</v>
      </c>
      <c r="T409" s="150">
        <f>OneLineRR!W500</f>
        <v>0</v>
      </c>
      <c r="U409" s="157" t="str">
        <f>IF(OneLineRR!Q500="","",OneLineRR!Q500)</f>
        <v/>
      </c>
      <c r="V409" s="157" t="str">
        <f>IF(OneLineRR!R500="","",OneLineRR!R500)</f>
        <v/>
      </c>
      <c r="AB409" s="320" t="str">
        <f>IFERROR(U409+(COUNTIF($U$8:U409,U409)-1)/10000,"")</f>
        <v/>
      </c>
      <c r="AC409" s="158"/>
      <c r="AD409" s="119"/>
      <c r="AE409" s="460"/>
      <c r="AG409" s="119"/>
    </row>
    <row r="410" spans="4:33" x14ac:dyDescent="0.25">
      <c r="D410" s="154" t="str">
        <f>OneLineRR!A501</f>
        <v>Hudson View Park</v>
      </c>
      <c r="E410" s="104">
        <f>OneLineRR!J501</f>
        <v>0</v>
      </c>
      <c r="F410" s="104">
        <f>OneLineRR!K501</f>
        <v>0</v>
      </c>
      <c r="G410" s="155" t="e">
        <f>OneLineRR!D501</f>
        <v>#N/A</v>
      </c>
      <c r="H410" s="155" t="e">
        <f>IF(OneLineRR!G501="Yes","Affordable","Market")</f>
        <v>#N/A</v>
      </c>
      <c r="I410" s="104" t="e">
        <f>OneLineRR!I501</f>
        <v>#N/A</v>
      </c>
      <c r="J410" s="156">
        <f>OneLineRR!M501</f>
        <v>0</v>
      </c>
      <c r="K410" s="634">
        <f>OneLineRR!L501</f>
        <v>0</v>
      </c>
      <c r="L410" s="143" t="str">
        <f>OneLineRR!C501</f>
        <v>Occ</v>
      </c>
      <c r="M410" s="636">
        <f>OneLineRR!O501</f>
        <v>0</v>
      </c>
      <c r="N410" s="636">
        <f t="shared" si="6"/>
        <v>0</v>
      </c>
      <c r="O410" s="636">
        <f>OneLineRR!N501</f>
        <v>0</v>
      </c>
      <c r="P410" s="636" t="e" cm="1">
        <f t="array" ref="P410">INDEX('Unit Mix'!$P$6:$P$62,MATCH(1,('Rent Roll'!G410='Unit Mix'!$E$6:$E$62)*(D410='Unit Mix'!$D$6:$D$62),0))</f>
        <v>#N/A</v>
      </c>
      <c r="Q410" s="150">
        <f>OneLineRR!T501</f>
        <v>0</v>
      </c>
      <c r="R410" s="150">
        <f>OneLineRR!U501</f>
        <v>0</v>
      </c>
      <c r="S410" s="150">
        <f>OneLineRR!V501</f>
        <v>0</v>
      </c>
      <c r="T410" s="150">
        <f>OneLineRR!W501</f>
        <v>0</v>
      </c>
      <c r="U410" s="157" t="str">
        <f>IF(OneLineRR!Q501="","",OneLineRR!Q501)</f>
        <v/>
      </c>
      <c r="V410" s="157" t="str">
        <f>IF(OneLineRR!R501="","",OneLineRR!R501)</f>
        <v/>
      </c>
      <c r="AB410" s="320" t="str">
        <f>IFERROR(U410+(COUNTIF($U$8:U410,U410)-1)/10000,"")</f>
        <v/>
      </c>
      <c r="AC410" s="158"/>
      <c r="AD410" s="119"/>
      <c r="AE410" s="460"/>
      <c r="AG410" s="119"/>
    </row>
    <row r="411" spans="4:33" x14ac:dyDescent="0.25">
      <c r="D411" s="154" t="str">
        <f>OneLineRR!A502</f>
        <v>Hudson View Park</v>
      </c>
      <c r="E411" s="104">
        <f>OneLineRR!J502</f>
        <v>0</v>
      </c>
      <c r="F411" s="104">
        <f>OneLineRR!K502</f>
        <v>0</v>
      </c>
      <c r="G411" s="155" t="e">
        <f>OneLineRR!D502</f>
        <v>#N/A</v>
      </c>
      <c r="H411" s="155" t="e">
        <f>IF(OneLineRR!G502="Yes","Affordable","Market")</f>
        <v>#N/A</v>
      </c>
      <c r="I411" s="104" t="e">
        <f>OneLineRR!I502</f>
        <v>#N/A</v>
      </c>
      <c r="J411" s="156">
        <f>OneLineRR!M502</f>
        <v>0</v>
      </c>
      <c r="K411" s="634">
        <f>OneLineRR!L502</f>
        <v>0</v>
      </c>
      <c r="L411" s="143" t="str">
        <f>OneLineRR!C502</f>
        <v>Occ</v>
      </c>
      <c r="M411" s="636">
        <f>OneLineRR!O502</f>
        <v>0</v>
      </c>
      <c r="N411" s="636">
        <f t="shared" si="6"/>
        <v>0</v>
      </c>
      <c r="O411" s="636">
        <f>OneLineRR!N502</f>
        <v>0</v>
      </c>
      <c r="P411" s="636" t="e" cm="1">
        <f t="array" ref="P411">INDEX('Unit Mix'!$P$6:$P$62,MATCH(1,('Rent Roll'!G411='Unit Mix'!$E$6:$E$62)*(D411='Unit Mix'!$D$6:$D$62),0))</f>
        <v>#N/A</v>
      </c>
      <c r="Q411" s="150">
        <f>OneLineRR!T502</f>
        <v>0</v>
      </c>
      <c r="R411" s="150">
        <f>OneLineRR!U502</f>
        <v>0</v>
      </c>
      <c r="S411" s="150">
        <f>OneLineRR!V502</f>
        <v>0</v>
      </c>
      <c r="T411" s="150">
        <f>OneLineRR!W502</f>
        <v>0</v>
      </c>
      <c r="U411" s="157" t="str">
        <f>IF(OneLineRR!Q502="","",OneLineRR!Q502)</f>
        <v/>
      </c>
      <c r="V411" s="157" t="str">
        <f>IF(OneLineRR!R502="","",OneLineRR!R502)</f>
        <v/>
      </c>
      <c r="AB411" s="320" t="str">
        <f>IFERROR(U411+(COUNTIF($U$8:U411,U411)-1)/10000,"")</f>
        <v/>
      </c>
      <c r="AC411" s="158"/>
      <c r="AD411" s="119"/>
      <c r="AE411" s="460"/>
      <c r="AG411" s="119"/>
    </row>
    <row r="412" spans="4:33" x14ac:dyDescent="0.25">
      <c r="D412" s="154" t="str">
        <f>OneLineRR!A503</f>
        <v>Hudson View Park</v>
      </c>
      <c r="E412" s="104">
        <f>OneLineRR!J503</f>
        <v>0</v>
      </c>
      <c r="F412" s="104">
        <f>OneLineRR!K503</f>
        <v>0</v>
      </c>
      <c r="G412" s="155" t="e">
        <f>OneLineRR!D503</f>
        <v>#N/A</v>
      </c>
      <c r="H412" s="155" t="e">
        <f>IF(OneLineRR!G503="Yes","Affordable","Market")</f>
        <v>#N/A</v>
      </c>
      <c r="I412" s="104" t="e">
        <f>OneLineRR!I503</f>
        <v>#N/A</v>
      </c>
      <c r="J412" s="156">
        <f>OneLineRR!M503</f>
        <v>0</v>
      </c>
      <c r="K412" s="634">
        <f>OneLineRR!L503</f>
        <v>0</v>
      </c>
      <c r="L412" s="143" t="str">
        <f>OneLineRR!C503</f>
        <v>Occ</v>
      </c>
      <c r="M412" s="636">
        <f>OneLineRR!O503</f>
        <v>0</v>
      </c>
      <c r="N412" s="636">
        <f t="shared" si="6"/>
        <v>0</v>
      </c>
      <c r="O412" s="636">
        <f>OneLineRR!N503</f>
        <v>0</v>
      </c>
      <c r="P412" s="636" t="e" cm="1">
        <f t="array" ref="P412">INDEX('Unit Mix'!$P$6:$P$62,MATCH(1,('Rent Roll'!G412='Unit Mix'!$E$6:$E$62)*(D412='Unit Mix'!$D$6:$D$62),0))</f>
        <v>#N/A</v>
      </c>
      <c r="Q412" s="150">
        <f>OneLineRR!T503</f>
        <v>0</v>
      </c>
      <c r="R412" s="150">
        <f>OneLineRR!U503</f>
        <v>0</v>
      </c>
      <c r="S412" s="150">
        <f>OneLineRR!V503</f>
        <v>0</v>
      </c>
      <c r="T412" s="150">
        <f>OneLineRR!W503</f>
        <v>0</v>
      </c>
      <c r="U412" s="157" t="str">
        <f>IF(OneLineRR!Q503="","",OneLineRR!Q503)</f>
        <v/>
      </c>
      <c r="V412" s="157" t="str">
        <f>IF(OneLineRR!R503="","",OneLineRR!R503)</f>
        <v/>
      </c>
      <c r="AB412" s="320" t="str">
        <f>IFERROR(U412+(COUNTIF($U$8:U412,U412)-1)/10000,"")</f>
        <v/>
      </c>
      <c r="AC412" s="158"/>
      <c r="AD412" s="119"/>
      <c r="AE412" s="460"/>
      <c r="AG412" s="119"/>
    </row>
    <row r="413" spans="4:33" x14ac:dyDescent="0.25">
      <c r="D413" s="154" t="str">
        <f>OneLineRR!A504</f>
        <v>Hudson View Park</v>
      </c>
      <c r="E413" s="104">
        <f>OneLineRR!J504</f>
        <v>0</v>
      </c>
      <c r="F413" s="104">
        <f>OneLineRR!K504</f>
        <v>0</v>
      </c>
      <c r="G413" s="155" t="e">
        <f>OneLineRR!D504</f>
        <v>#N/A</v>
      </c>
      <c r="H413" s="155" t="e">
        <f>IF(OneLineRR!G504="Yes","Affordable","Market")</f>
        <v>#N/A</v>
      </c>
      <c r="I413" s="104" t="e">
        <f>OneLineRR!I504</f>
        <v>#N/A</v>
      </c>
      <c r="J413" s="156">
        <f>OneLineRR!M504</f>
        <v>0</v>
      </c>
      <c r="K413" s="634">
        <f>OneLineRR!L504</f>
        <v>0</v>
      </c>
      <c r="L413" s="143" t="str">
        <f>OneLineRR!C504</f>
        <v>Occ</v>
      </c>
      <c r="M413" s="636">
        <f>OneLineRR!O504</f>
        <v>0</v>
      </c>
      <c r="N413" s="636">
        <f t="shared" si="6"/>
        <v>0</v>
      </c>
      <c r="O413" s="636">
        <f>OneLineRR!N504</f>
        <v>0</v>
      </c>
      <c r="P413" s="636" t="e" cm="1">
        <f t="array" ref="P413">INDEX('Unit Mix'!$P$6:$P$62,MATCH(1,('Rent Roll'!G413='Unit Mix'!$E$6:$E$62)*(D413='Unit Mix'!$D$6:$D$62),0))</f>
        <v>#N/A</v>
      </c>
      <c r="Q413" s="150">
        <f>OneLineRR!T504</f>
        <v>0</v>
      </c>
      <c r="R413" s="150">
        <f>OneLineRR!U504</f>
        <v>0</v>
      </c>
      <c r="S413" s="150">
        <f>OneLineRR!V504</f>
        <v>0</v>
      </c>
      <c r="T413" s="150">
        <f>OneLineRR!W504</f>
        <v>0</v>
      </c>
      <c r="U413" s="157" t="str">
        <f>IF(OneLineRR!Q504="","",OneLineRR!Q504)</f>
        <v/>
      </c>
      <c r="V413" s="157" t="str">
        <f>IF(OneLineRR!R504="","",OneLineRR!R504)</f>
        <v/>
      </c>
      <c r="AB413" s="320" t="str">
        <f>IFERROR(U413+(COUNTIF($U$8:U413,U413)-1)/10000,"")</f>
        <v/>
      </c>
      <c r="AC413" s="158"/>
      <c r="AD413" s="119"/>
      <c r="AE413" s="460"/>
      <c r="AG413" s="119"/>
    </row>
    <row r="414" spans="4:33" x14ac:dyDescent="0.25">
      <c r="D414" s="154" t="str">
        <f>OneLineRR!A505</f>
        <v>Hudson View Park</v>
      </c>
      <c r="E414" s="104">
        <f>OneLineRR!J505</f>
        <v>0</v>
      </c>
      <c r="F414" s="104">
        <f>OneLineRR!K505</f>
        <v>0</v>
      </c>
      <c r="G414" s="155" t="e">
        <f>OneLineRR!D505</f>
        <v>#N/A</v>
      </c>
      <c r="H414" s="155" t="e">
        <f>IF(OneLineRR!G505="Yes","Affordable","Market")</f>
        <v>#N/A</v>
      </c>
      <c r="I414" s="104" t="e">
        <f>OneLineRR!I505</f>
        <v>#N/A</v>
      </c>
      <c r="J414" s="156">
        <f>OneLineRR!M505</f>
        <v>0</v>
      </c>
      <c r="K414" s="634">
        <f>OneLineRR!L505</f>
        <v>0</v>
      </c>
      <c r="L414" s="143" t="str">
        <f>OneLineRR!C505</f>
        <v>Occ</v>
      </c>
      <c r="M414" s="636">
        <f>OneLineRR!O505</f>
        <v>0</v>
      </c>
      <c r="N414" s="636">
        <f t="shared" si="6"/>
        <v>0</v>
      </c>
      <c r="O414" s="636">
        <f>OneLineRR!N505</f>
        <v>0</v>
      </c>
      <c r="P414" s="636" t="e" cm="1">
        <f t="array" ref="P414">INDEX('Unit Mix'!$P$6:$P$62,MATCH(1,('Rent Roll'!G414='Unit Mix'!$E$6:$E$62)*(D414='Unit Mix'!$D$6:$D$62),0))</f>
        <v>#N/A</v>
      </c>
      <c r="Q414" s="150">
        <f>OneLineRR!T505</f>
        <v>0</v>
      </c>
      <c r="R414" s="150">
        <f>OneLineRR!U505</f>
        <v>0</v>
      </c>
      <c r="S414" s="150">
        <f>OneLineRR!V505</f>
        <v>0</v>
      </c>
      <c r="T414" s="150">
        <f>OneLineRR!W505</f>
        <v>0</v>
      </c>
      <c r="U414" s="157" t="str">
        <f>IF(OneLineRR!Q505="","",OneLineRR!Q505)</f>
        <v/>
      </c>
      <c r="V414" s="157" t="str">
        <f>IF(OneLineRR!R505="","",OneLineRR!R505)</f>
        <v/>
      </c>
      <c r="AB414" s="320" t="str">
        <f>IFERROR(U414+(COUNTIF($U$8:U414,U414)-1)/10000,"")</f>
        <v/>
      </c>
      <c r="AC414" s="158"/>
      <c r="AD414" s="119"/>
      <c r="AE414" s="460"/>
      <c r="AG414" s="119"/>
    </row>
    <row r="415" spans="4:33" x14ac:dyDescent="0.25">
      <c r="D415" s="154" t="str">
        <f>OneLineRR!A506</f>
        <v>Hudson View Park</v>
      </c>
      <c r="E415" s="104">
        <f>OneLineRR!J506</f>
        <v>0</v>
      </c>
      <c r="F415" s="104">
        <f>OneLineRR!K506</f>
        <v>0</v>
      </c>
      <c r="G415" s="155" t="e">
        <f>OneLineRR!D506</f>
        <v>#N/A</v>
      </c>
      <c r="H415" s="155" t="e">
        <f>IF(OneLineRR!G506="Yes","Affordable","Market")</f>
        <v>#N/A</v>
      </c>
      <c r="I415" s="104" t="e">
        <f>OneLineRR!I506</f>
        <v>#N/A</v>
      </c>
      <c r="J415" s="156">
        <f>OneLineRR!M506</f>
        <v>0</v>
      </c>
      <c r="K415" s="634">
        <f>OneLineRR!L506</f>
        <v>0</v>
      </c>
      <c r="L415" s="143" t="str">
        <f>OneLineRR!C506</f>
        <v>Occ</v>
      </c>
      <c r="M415" s="636">
        <f>OneLineRR!O506</f>
        <v>0</v>
      </c>
      <c r="N415" s="636">
        <f t="shared" si="6"/>
        <v>0</v>
      </c>
      <c r="O415" s="636">
        <f>OneLineRR!N506</f>
        <v>0</v>
      </c>
      <c r="P415" s="636" t="e" cm="1">
        <f t="array" ref="P415">INDEX('Unit Mix'!$P$6:$P$62,MATCH(1,('Rent Roll'!G415='Unit Mix'!$E$6:$E$62)*(D415='Unit Mix'!$D$6:$D$62),0))</f>
        <v>#N/A</v>
      </c>
      <c r="Q415" s="150">
        <f>OneLineRR!T506</f>
        <v>0</v>
      </c>
      <c r="R415" s="150">
        <f>OneLineRR!U506</f>
        <v>0</v>
      </c>
      <c r="S415" s="150">
        <f>OneLineRR!V506</f>
        <v>0</v>
      </c>
      <c r="T415" s="150">
        <f>OneLineRR!W506</f>
        <v>0</v>
      </c>
      <c r="U415" s="157" t="str">
        <f>IF(OneLineRR!Q506="","",OneLineRR!Q506)</f>
        <v/>
      </c>
      <c r="V415" s="157" t="str">
        <f>IF(OneLineRR!R506="","",OneLineRR!R506)</f>
        <v/>
      </c>
      <c r="AB415" s="320" t="str">
        <f>IFERROR(U415+(COUNTIF($U$8:U415,U415)-1)/10000,"")</f>
        <v/>
      </c>
      <c r="AC415" s="158"/>
      <c r="AD415" s="119"/>
      <c r="AE415" s="460"/>
      <c r="AG415" s="119"/>
    </row>
    <row r="416" spans="4:33" x14ac:dyDescent="0.25">
      <c r="D416" s="154" t="str">
        <f>OneLineRR!A507</f>
        <v>Hudson View Park</v>
      </c>
      <c r="E416" s="104">
        <f>OneLineRR!J507</f>
        <v>0</v>
      </c>
      <c r="F416" s="104">
        <f>OneLineRR!K507</f>
        <v>0</v>
      </c>
      <c r="G416" s="155" t="e">
        <f>OneLineRR!D507</f>
        <v>#N/A</v>
      </c>
      <c r="H416" s="155" t="e">
        <f>IF(OneLineRR!G507="Yes","Affordable","Market")</f>
        <v>#N/A</v>
      </c>
      <c r="I416" s="104" t="e">
        <f>OneLineRR!I507</f>
        <v>#N/A</v>
      </c>
      <c r="J416" s="156">
        <f>OneLineRR!M507</f>
        <v>0</v>
      </c>
      <c r="K416" s="634">
        <f>OneLineRR!L507</f>
        <v>0</v>
      </c>
      <c r="L416" s="143" t="str">
        <f>OneLineRR!C507</f>
        <v>Occ</v>
      </c>
      <c r="M416" s="636">
        <f>OneLineRR!O507</f>
        <v>0</v>
      </c>
      <c r="N416" s="636">
        <f t="shared" si="6"/>
        <v>0</v>
      </c>
      <c r="O416" s="636">
        <f>OneLineRR!N507</f>
        <v>0</v>
      </c>
      <c r="P416" s="636" t="e" cm="1">
        <f t="array" ref="P416">INDEX('Unit Mix'!$P$6:$P$62,MATCH(1,('Rent Roll'!G416='Unit Mix'!$E$6:$E$62)*(D416='Unit Mix'!$D$6:$D$62),0))</f>
        <v>#N/A</v>
      </c>
      <c r="Q416" s="150">
        <f>OneLineRR!T507</f>
        <v>0</v>
      </c>
      <c r="R416" s="150">
        <f>OneLineRR!U507</f>
        <v>0</v>
      </c>
      <c r="S416" s="150">
        <f>OneLineRR!V507</f>
        <v>0</v>
      </c>
      <c r="T416" s="150">
        <f>OneLineRR!W507</f>
        <v>0</v>
      </c>
      <c r="U416" s="157" t="str">
        <f>IF(OneLineRR!Q507="","",OneLineRR!Q507)</f>
        <v/>
      </c>
      <c r="V416" s="157" t="str">
        <f>IF(OneLineRR!R507="","",OneLineRR!R507)</f>
        <v/>
      </c>
      <c r="AB416" s="320" t="str">
        <f>IFERROR(U416+(COUNTIF($U$8:U416,U416)-1)/10000,"")</f>
        <v/>
      </c>
      <c r="AC416" s="158"/>
      <c r="AD416" s="119"/>
      <c r="AE416" s="460"/>
      <c r="AG416" s="119"/>
    </row>
    <row r="417" spans="4:33" x14ac:dyDescent="0.25">
      <c r="D417" s="154" t="str">
        <f>OneLineRR!A508</f>
        <v>Hudson View Park</v>
      </c>
      <c r="E417" s="104">
        <f>OneLineRR!J508</f>
        <v>0</v>
      </c>
      <c r="F417" s="104">
        <f>OneLineRR!K508</f>
        <v>0</v>
      </c>
      <c r="G417" s="155" t="e">
        <f>OneLineRR!D508</f>
        <v>#N/A</v>
      </c>
      <c r="H417" s="155" t="e">
        <f>IF(OneLineRR!G508="Yes","Affordable","Market")</f>
        <v>#N/A</v>
      </c>
      <c r="I417" s="104" t="e">
        <f>OneLineRR!I508</f>
        <v>#N/A</v>
      </c>
      <c r="J417" s="156">
        <f>OneLineRR!M508</f>
        <v>0</v>
      </c>
      <c r="K417" s="634">
        <f>OneLineRR!L508</f>
        <v>0</v>
      </c>
      <c r="L417" s="143" t="str">
        <f>OneLineRR!C508</f>
        <v>Occ</v>
      </c>
      <c r="M417" s="636">
        <f>OneLineRR!O508</f>
        <v>0</v>
      </c>
      <c r="N417" s="636">
        <f t="shared" si="6"/>
        <v>0</v>
      </c>
      <c r="O417" s="636">
        <f>OneLineRR!N508</f>
        <v>0</v>
      </c>
      <c r="P417" s="636" t="e" cm="1">
        <f t="array" ref="P417">INDEX('Unit Mix'!$P$6:$P$62,MATCH(1,('Rent Roll'!G417='Unit Mix'!$E$6:$E$62)*(D417='Unit Mix'!$D$6:$D$62),0))</f>
        <v>#N/A</v>
      </c>
      <c r="Q417" s="150">
        <f>OneLineRR!T508</f>
        <v>0</v>
      </c>
      <c r="R417" s="150">
        <f>OneLineRR!U508</f>
        <v>0</v>
      </c>
      <c r="S417" s="150">
        <f>OneLineRR!V508</f>
        <v>0</v>
      </c>
      <c r="T417" s="150">
        <f>OneLineRR!W508</f>
        <v>0</v>
      </c>
      <c r="U417" s="157" t="str">
        <f>IF(OneLineRR!Q508="","",OneLineRR!Q508)</f>
        <v/>
      </c>
      <c r="V417" s="157" t="str">
        <f>IF(OneLineRR!R508="","",OneLineRR!R508)</f>
        <v/>
      </c>
      <c r="AB417" s="320" t="str">
        <f>IFERROR(U417+(COUNTIF($U$8:U417,U417)-1)/10000,"")</f>
        <v/>
      </c>
      <c r="AC417" s="158"/>
      <c r="AD417" s="119"/>
      <c r="AE417" s="460"/>
      <c r="AG417" s="119"/>
    </row>
    <row r="418" spans="4:33" x14ac:dyDescent="0.25">
      <c r="D418" s="154" t="str">
        <f>OneLineRR!A509</f>
        <v>Hudson View Park</v>
      </c>
      <c r="E418" s="104">
        <f>OneLineRR!J509</f>
        <v>0</v>
      </c>
      <c r="F418" s="104">
        <f>OneLineRR!K509</f>
        <v>0</v>
      </c>
      <c r="G418" s="155" t="e">
        <f>OneLineRR!D509</f>
        <v>#N/A</v>
      </c>
      <c r="H418" s="155" t="e">
        <f>IF(OneLineRR!G509="Yes","Affordable","Market")</f>
        <v>#N/A</v>
      </c>
      <c r="I418" s="104" t="e">
        <f>OneLineRR!I509</f>
        <v>#N/A</v>
      </c>
      <c r="J418" s="156">
        <f>OneLineRR!M509</f>
        <v>0</v>
      </c>
      <c r="K418" s="634">
        <f>OneLineRR!L509</f>
        <v>0</v>
      </c>
      <c r="L418" s="143" t="str">
        <f>OneLineRR!C509</f>
        <v>Occ</v>
      </c>
      <c r="M418" s="636">
        <f>OneLineRR!O509</f>
        <v>0</v>
      </c>
      <c r="N418" s="636">
        <f t="shared" si="6"/>
        <v>0</v>
      </c>
      <c r="O418" s="636">
        <f>OneLineRR!N509</f>
        <v>0</v>
      </c>
      <c r="P418" s="636" t="e" cm="1">
        <f t="array" ref="P418">INDEX('Unit Mix'!$P$6:$P$62,MATCH(1,('Rent Roll'!G418='Unit Mix'!$E$6:$E$62)*(D418='Unit Mix'!$D$6:$D$62),0))</f>
        <v>#N/A</v>
      </c>
      <c r="Q418" s="150">
        <f>OneLineRR!T509</f>
        <v>0</v>
      </c>
      <c r="R418" s="150">
        <f>OneLineRR!U509</f>
        <v>0</v>
      </c>
      <c r="S418" s="150">
        <f>OneLineRR!V509</f>
        <v>0</v>
      </c>
      <c r="T418" s="150">
        <f>OneLineRR!W509</f>
        <v>0</v>
      </c>
      <c r="U418" s="157" t="str">
        <f>IF(OneLineRR!Q509="","",OneLineRR!Q509)</f>
        <v/>
      </c>
      <c r="V418" s="157" t="str">
        <f>IF(OneLineRR!R509="","",OneLineRR!R509)</f>
        <v/>
      </c>
      <c r="AB418" s="320" t="str">
        <f>IFERROR(U418+(COUNTIF($U$8:U418,U418)-1)/10000,"")</f>
        <v/>
      </c>
      <c r="AC418" s="158"/>
      <c r="AD418" s="119"/>
      <c r="AE418" s="460"/>
      <c r="AG418" s="119"/>
    </row>
    <row r="419" spans="4:33" x14ac:dyDescent="0.25">
      <c r="D419" s="154" t="str">
        <f>OneLineRR!A510</f>
        <v>Hudson View Park</v>
      </c>
      <c r="E419" s="104">
        <f>OneLineRR!J510</f>
        <v>0</v>
      </c>
      <c r="F419" s="104">
        <f>OneLineRR!K510</f>
        <v>0</v>
      </c>
      <c r="G419" s="155" t="e">
        <f>OneLineRR!D510</f>
        <v>#N/A</v>
      </c>
      <c r="H419" s="155" t="e">
        <f>IF(OneLineRR!G510="Yes","Affordable","Market")</f>
        <v>#N/A</v>
      </c>
      <c r="I419" s="104" t="e">
        <f>OneLineRR!I510</f>
        <v>#N/A</v>
      </c>
      <c r="J419" s="156">
        <f>OneLineRR!M510</f>
        <v>0</v>
      </c>
      <c r="K419" s="634">
        <f>OneLineRR!L510</f>
        <v>0</v>
      </c>
      <c r="L419" s="143" t="str">
        <f>OneLineRR!C510</f>
        <v>Occ</v>
      </c>
      <c r="M419" s="636">
        <f>OneLineRR!O510</f>
        <v>0</v>
      </c>
      <c r="N419" s="636">
        <f t="shared" si="6"/>
        <v>0</v>
      </c>
      <c r="O419" s="636">
        <f>OneLineRR!N510</f>
        <v>0</v>
      </c>
      <c r="P419" s="636" t="e" cm="1">
        <f t="array" ref="P419">INDEX('Unit Mix'!$P$6:$P$62,MATCH(1,('Rent Roll'!G419='Unit Mix'!$E$6:$E$62)*(D419='Unit Mix'!$D$6:$D$62),0))</f>
        <v>#N/A</v>
      </c>
      <c r="Q419" s="150">
        <f>OneLineRR!T510</f>
        <v>0</v>
      </c>
      <c r="R419" s="150">
        <f>OneLineRR!U510</f>
        <v>0</v>
      </c>
      <c r="S419" s="150">
        <f>OneLineRR!V510</f>
        <v>0</v>
      </c>
      <c r="T419" s="150">
        <f>OneLineRR!W510</f>
        <v>0</v>
      </c>
      <c r="U419" s="157" t="str">
        <f>IF(OneLineRR!Q510="","",OneLineRR!Q510)</f>
        <v/>
      </c>
      <c r="V419" s="157" t="str">
        <f>IF(OneLineRR!R510="","",OneLineRR!R510)</f>
        <v/>
      </c>
      <c r="AB419" s="320" t="str">
        <f>IFERROR(U419+(COUNTIF($U$8:U419,U419)-1)/10000,"")</f>
        <v/>
      </c>
      <c r="AC419" s="158"/>
      <c r="AD419" s="119"/>
      <c r="AE419" s="460"/>
      <c r="AG419" s="119"/>
    </row>
    <row r="420" spans="4:33" x14ac:dyDescent="0.25">
      <c r="D420" s="154" t="str">
        <f>OneLineRR!A511</f>
        <v>Hudson View Park</v>
      </c>
      <c r="E420" s="104">
        <f>OneLineRR!J511</f>
        <v>0</v>
      </c>
      <c r="F420" s="104">
        <f>OneLineRR!K511</f>
        <v>0</v>
      </c>
      <c r="G420" s="155" t="e">
        <f>OneLineRR!D511</f>
        <v>#N/A</v>
      </c>
      <c r="H420" s="155" t="e">
        <f>IF(OneLineRR!G511="Yes","Affordable","Market")</f>
        <v>#N/A</v>
      </c>
      <c r="I420" s="104" t="e">
        <f>OneLineRR!I511</f>
        <v>#N/A</v>
      </c>
      <c r="J420" s="156">
        <f>OneLineRR!M511</f>
        <v>0</v>
      </c>
      <c r="K420" s="634">
        <f>OneLineRR!L511</f>
        <v>0</v>
      </c>
      <c r="L420" s="143" t="str">
        <f>OneLineRR!C511</f>
        <v>Occ</v>
      </c>
      <c r="M420" s="636">
        <f>OneLineRR!O511</f>
        <v>0</v>
      </c>
      <c r="N420" s="636">
        <f t="shared" si="6"/>
        <v>0</v>
      </c>
      <c r="O420" s="636">
        <f>OneLineRR!N511</f>
        <v>0</v>
      </c>
      <c r="P420" s="636" t="e" cm="1">
        <f t="array" ref="P420">INDEX('Unit Mix'!$P$6:$P$62,MATCH(1,('Rent Roll'!G420='Unit Mix'!$E$6:$E$62)*(D420='Unit Mix'!$D$6:$D$62),0))</f>
        <v>#N/A</v>
      </c>
      <c r="Q420" s="150">
        <f>OneLineRR!T511</f>
        <v>0</v>
      </c>
      <c r="R420" s="150">
        <f>OneLineRR!U511</f>
        <v>0</v>
      </c>
      <c r="S420" s="150">
        <f>OneLineRR!V511</f>
        <v>0</v>
      </c>
      <c r="T420" s="150">
        <f>OneLineRR!W511</f>
        <v>0</v>
      </c>
      <c r="U420" s="157" t="str">
        <f>IF(OneLineRR!Q511="","",OneLineRR!Q511)</f>
        <v/>
      </c>
      <c r="V420" s="157" t="str">
        <f>IF(OneLineRR!R511="","",OneLineRR!R511)</f>
        <v/>
      </c>
      <c r="AB420" s="320" t="str">
        <f>IFERROR(U420+(COUNTIF($U$8:U420,U420)-1)/10000,"")</f>
        <v/>
      </c>
      <c r="AC420" s="158"/>
      <c r="AD420" s="119"/>
      <c r="AE420" s="460"/>
      <c r="AG420" s="119"/>
    </row>
    <row r="421" spans="4:33" x14ac:dyDescent="0.25">
      <c r="D421" s="154" t="str">
        <f>OneLineRR!A512</f>
        <v>Hudson View Park</v>
      </c>
      <c r="E421" s="104">
        <f>OneLineRR!J512</f>
        <v>0</v>
      </c>
      <c r="F421" s="104">
        <f>OneLineRR!K512</f>
        <v>0</v>
      </c>
      <c r="G421" s="155" t="e">
        <f>OneLineRR!D512</f>
        <v>#N/A</v>
      </c>
      <c r="H421" s="155" t="e">
        <f>IF(OneLineRR!G512="Yes","Affordable","Market")</f>
        <v>#N/A</v>
      </c>
      <c r="I421" s="104" t="e">
        <f>OneLineRR!I512</f>
        <v>#N/A</v>
      </c>
      <c r="J421" s="156">
        <f>OneLineRR!M512</f>
        <v>0</v>
      </c>
      <c r="K421" s="634">
        <f>OneLineRR!L512</f>
        <v>0</v>
      </c>
      <c r="L421" s="143" t="str">
        <f>OneLineRR!C512</f>
        <v>Occ</v>
      </c>
      <c r="M421" s="636">
        <f>OneLineRR!O512</f>
        <v>0</v>
      </c>
      <c r="N421" s="636">
        <f t="shared" si="6"/>
        <v>0</v>
      </c>
      <c r="O421" s="636">
        <f>OneLineRR!N512</f>
        <v>0</v>
      </c>
      <c r="P421" s="636" t="e" cm="1">
        <f t="array" ref="P421">INDEX('Unit Mix'!$P$6:$P$62,MATCH(1,('Rent Roll'!G421='Unit Mix'!$E$6:$E$62)*(D421='Unit Mix'!$D$6:$D$62),0))</f>
        <v>#N/A</v>
      </c>
      <c r="Q421" s="150">
        <f>OneLineRR!T512</f>
        <v>0</v>
      </c>
      <c r="R421" s="150">
        <f>OneLineRR!U512</f>
        <v>0</v>
      </c>
      <c r="S421" s="150">
        <f>OneLineRR!V512</f>
        <v>0</v>
      </c>
      <c r="T421" s="150">
        <f>OneLineRR!W512</f>
        <v>0</v>
      </c>
      <c r="U421" s="157" t="str">
        <f>IF(OneLineRR!Q512="","",OneLineRR!Q512)</f>
        <v/>
      </c>
      <c r="V421" s="157" t="str">
        <f>IF(OneLineRR!R512="","",OneLineRR!R512)</f>
        <v/>
      </c>
      <c r="AB421" s="320" t="str">
        <f>IFERROR(U421+(COUNTIF($U$8:U421,U421)-1)/10000,"")</f>
        <v/>
      </c>
      <c r="AC421" s="158"/>
      <c r="AD421" s="119"/>
      <c r="AE421" s="460"/>
      <c r="AG421" s="119"/>
    </row>
    <row r="422" spans="4:33" x14ac:dyDescent="0.25">
      <c r="D422" s="154" t="str">
        <f>OneLineRR!A513</f>
        <v>Hudson View Park</v>
      </c>
      <c r="E422" s="104">
        <f>OneLineRR!J513</f>
        <v>0</v>
      </c>
      <c r="F422" s="104">
        <f>OneLineRR!K513</f>
        <v>0</v>
      </c>
      <c r="G422" s="155" t="e">
        <f>OneLineRR!D513</f>
        <v>#N/A</v>
      </c>
      <c r="H422" s="155" t="e">
        <f>IF(OneLineRR!G513="Yes","Affordable","Market")</f>
        <v>#N/A</v>
      </c>
      <c r="I422" s="104" t="e">
        <f>OneLineRR!I513</f>
        <v>#N/A</v>
      </c>
      <c r="J422" s="156">
        <f>OneLineRR!M513</f>
        <v>0</v>
      </c>
      <c r="K422" s="634">
        <f>OneLineRR!L513</f>
        <v>0</v>
      </c>
      <c r="L422" s="143" t="str">
        <f>OneLineRR!C513</f>
        <v>Occ</v>
      </c>
      <c r="M422" s="636">
        <f>OneLineRR!O513</f>
        <v>0</v>
      </c>
      <c r="N422" s="636">
        <f t="shared" si="6"/>
        <v>0</v>
      </c>
      <c r="O422" s="636">
        <f>OneLineRR!N513</f>
        <v>0</v>
      </c>
      <c r="P422" s="636" t="e" cm="1">
        <f t="array" ref="P422">INDEX('Unit Mix'!$P$6:$P$62,MATCH(1,('Rent Roll'!G422='Unit Mix'!$E$6:$E$62)*(D422='Unit Mix'!$D$6:$D$62),0))</f>
        <v>#N/A</v>
      </c>
      <c r="Q422" s="150">
        <f>OneLineRR!T513</f>
        <v>0</v>
      </c>
      <c r="R422" s="150">
        <f>OneLineRR!U513</f>
        <v>0</v>
      </c>
      <c r="S422" s="150">
        <f>OneLineRR!V513</f>
        <v>0</v>
      </c>
      <c r="T422" s="150">
        <f>OneLineRR!W513</f>
        <v>0</v>
      </c>
      <c r="U422" s="157" t="str">
        <f>IF(OneLineRR!Q513="","",OneLineRR!Q513)</f>
        <v/>
      </c>
      <c r="V422" s="157" t="str">
        <f>IF(OneLineRR!R513="","",OneLineRR!R513)</f>
        <v/>
      </c>
      <c r="AB422" s="320" t="str">
        <f>IFERROR(U422+(COUNTIF($U$8:U422,U422)-1)/10000,"")</f>
        <v/>
      </c>
      <c r="AC422" s="158"/>
      <c r="AD422" s="119"/>
      <c r="AE422" s="460"/>
      <c r="AG422" s="119"/>
    </row>
    <row r="423" spans="4:33" x14ac:dyDescent="0.25">
      <c r="D423" s="154" t="str">
        <f>OneLineRR!A514</f>
        <v>Hudson View Park</v>
      </c>
      <c r="E423" s="104">
        <f>OneLineRR!J514</f>
        <v>0</v>
      </c>
      <c r="F423" s="104">
        <f>OneLineRR!K514</f>
        <v>0</v>
      </c>
      <c r="G423" s="155" t="e">
        <f>OneLineRR!D514</f>
        <v>#N/A</v>
      </c>
      <c r="H423" s="155" t="e">
        <f>IF(OneLineRR!G514="Yes","Affordable","Market")</f>
        <v>#N/A</v>
      </c>
      <c r="I423" s="104" t="e">
        <f>OneLineRR!I514</f>
        <v>#N/A</v>
      </c>
      <c r="J423" s="156">
        <f>OneLineRR!M514</f>
        <v>0</v>
      </c>
      <c r="K423" s="634">
        <f>OneLineRR!L514</f>
        <v>0</v>
      </c>
      <c r="L423" s="143" t="str">
        <f>OneLineRR!C514</f>
        <v>Occ</v>
      </c>
      <c r="M423" s="636">
        <f>OneLineRR!O514</f>
        <v>0</v>
      </c>
      <c r="N423" s="636">
        <f t="shared" si="6"/>
        <v>0</v>
      </c>
      <c r="O423" s="636">
        <f>OneLineRR!N514</f>
        <v>0</v>
      </c>
      <c r="P423" s="636" t="e" cm="1">
        <f t="array" ref="P423">INDEX('Unit Mix'!$P$6:$P$62,MATCH(1,('Rent Roll'!G423='Unit Mix'!$E$6:$E$62)*(D423='Unit Mix'!$D$6:$D$62),0))</f>
        <v>#N/A</v>
      </c>
      <c r="Q423" s="150">
        <f>OneLineRR!T514</f>
        <v>0</v>
      </c>
      <c r="R423" s="150">
        <f>OneLineRR!U514</f>
        <v>0</v>
      </c>
      <c r="S423" s="150">
        <f>OneLineRR!V514</f>
        <v>0</v>
      </c>
      <c r="T423" s="150">
        <f>OneLineRR!W514</f>
        <v>0</v>
      </c>
      <c r="U423" s="157" t="str">
        <f>IF(OneLineRR!Q514="","",OneLineRR!Q514)</f>
        <v/>
      </c>
      <c r="V423" s="157" t="str">
        <f>IF(OneLineRR!R514="","",OneLineRR!R514)</f>
        <v/>
      </c>
      <c r="AB423" s="320" t="str">
        <f>IFERROR(U423+(COUNTIF($U$8:U423,U423)-1)/10000,"")</f>
        <v/>
      </c>
      <c r="AC423" s="158"/>
      <c r="AD423" s="119"/>
      <c r="AE423" s="460"/>
      <c r="AG423" s="119"/>
    </row>
    <row r="424" spans="4:33" x14ac:dyDescent="0.25">
      <c r="D424" s="154" t="str">
        <f>OneLineRR!A515</f>
        <v>Hudson View Park</v>
      </c>
      <c r="E424" s="104">
        <f>OneLineRR!J515</f>
        <v>0</v>
      </c>
      <c r="F424" s="104">
        <f>OneLineRR!K515</f>
        <v>0</v>
      </c>
      <c r="G424" s="155" t="e">
        <f>OneLineRR!D515</f>
        <v>#N/A</v>
      </c>
      <c r="H424" s="155" t="e">
        <f>IF(OneLineRR!G515="Yes","Affordable","Market")</f>
        <v>#N/A</v>
      </c>
      <c r="I424" s="104" t="e">
        <f>OneLineRR!I515</f>
        <v>#N/A</v>
      </c>
      <c r="J424" s="156">
        <f>OneLineRR!M515</f>
        <v>0</v>
      </c>
      <c r="K424" s="634">
        <f>OneLineRR!L515</f>
        <v>0</v>
      </c>
      <c r="L424" s="143" t="str">
        <f>OneLineRR!C515</f>
        <v>Occ</v>
      </c>
      <c r="M424" s="636">
        <f>OneLineRR!O515</f>
        <v>0</v>
      </c>
      <c r="N424" s="636">
        <f t="shared" si="6"/>
        <v>0</v>
      </c>
      <c r="O424" s="636">
        <f>OneLineRR!N515</f>
        <v>0</v>
      </c>
      <c r="P424" s="636" t="e" cm="1">
        <f t="array" ref="P424">INDEX('Unit Mix'!$P$6:$P$62,MATCH(1,('Rent Roll'!G424='Unit Mix'!$E$6:$E$62)*(D424='Unit Mix'!$D$6:$D$62),0))</f>
        <v>#N/A</v>
      </c>
      <c r="Q424" s="150">
        <f>OneLineRR!T515</f>
        <v>0</v>
      </c>
      <c r="R424" s="150">
        <f>OneLineRR!U515</f>
        <v>0</v>
      </c>
      <c r="S424" s="150">
        <f>OneLineRR!V515</f>
        <v>0</v>
      </c>
      <c r="T424" s="150">
        <f>OneLineRR!W515</f>
        <v>0</v>
      </c>
      <c r="U424" s="157" t="str">
        <f>IF(OneLineRR!Q515="","",OneLineRR!Q515)</f>
        <v/>
      </c>
      <c r="V424" s="157" t="str">
        <f>IF(OneLineRR!R515="","",OneLineRR!R515)</f>
        <v/>
      </c>
      <c r="AB424" s="320" t="str">
        <f>IFERROR(U424+(COUNTIF($U$8:U424,U424)-1)/10000,"")</f>
        <v/>
      </c>
      <c r="AC424" s="158"/>
      <c r="AD424" s="119"/>
      <c r="AE424" s="460"/>
      <c r="AG424" s="119"/>
    </row>
    <row r="425" spans="4:33" x14ac:dyDescent="0.25">
      <c r="D425" s="154" t="str">
        <f>OneLineRR!A516</f>
        <v>Hudson View Park</v>
      </c>
      <c r="E425" s="104">
        <f>OneLineRR!J516</f>
        <v>0</v>
      </c>
      <c r="F425" s="104">
        <f>OneLineRR!K516</f>
        <v>0</v>
      </c>
      <c r="G425" s="155" t="e">
        <f>OneLineRR!D516</f>
        <v>#N/A</v>
      </c>
      <c r="H425" s="155" t="e">
        <f>IF(OneLineRR!G516="Yes","Affordable","Market")</f>
        <v>#N/A</v>
      </c>
      <c r="I425" s="104" t="e">
        <f>OneLineRR!I516</f>
        <v>#N/A</v>
      </c>
      <c r="J425" s="156">
        <f>OneLineRR!M516</f>
        <v>0</v>
      </c>
      <c r="K425" s="634">
        <f>OneLineRR!L516</f>
        <v>0</v>
      </c>
      <c r="L425" s="143" t="str">
        <f>OneLineRR!C516</f>
        <v>Occ</v>
      </c>
      <c r="M425" s="636">
        <f>OneLineRR!O516</f>
        <v>0</v>
      </c>
      <c r="N425" s="636">
        <f t="shared" si="6"/>
        <v>0</v>
      </c>
      <c r="O425" s="636">
        <f>OneLineRR!N516</f>
        <v>0</v>
      </c>
      <c r="P425" s="636" t="e" cm="1">
        <f t="array" ref="P425">INDEX('Unit Mix'!$P$6:$P$62,MATCH(1,('Rent Roll'!G425='Unit Mix'!$E$6:$E$62)*(D425='Unit Mix'!$D$6:$D$62),0))</f>
        <v>#N/A</v>
      </c>
      <c r="Q425" s="150">
        <f>OneLineRR!T516</f>
        <v>0</v>
      </c>
      <c r="R425" s="150">
        <f>OneLineRR!U516</f>
        <v>0</v>
      </c>
      <c r="S425" s="150">
        <f>OneLineRR!V516</f>
        <v>0</v>
      </c>
      <c r="T425" s="150">
        <f>OneLineRR!W516</f>
        <v>0</v>
      </c>
      <c r="U425" s="157" t="str">
        <f>IF(OneLineRR!Q516="","",OneLineRR!Q516)</f>
        <v/>
      </c>
      <c r="V425" s="157" t="str">
        <f>IF(OneLineRR!R516="","",OneLineRR!R516)</f>
        <v/>
      </c>
      <c r="AB425" s="320" t="str">
        <f>IFERROR(U425+(COUNTIF($U$8:U425,U425)-1)/10000,"")</f>
        <v/>
      </c>
      <c r="AC425" s="158"/>
      <c r="AD425" s="119"/>
      <c r="AE425" s="460"/>
      <c r="AG425" s="119"/>
    </row>
    <row r="426" spans="4:33" x14ac:dyDescent="0.25">
      <c r="D426" s="154" t="str">
        <f>OneLineRR!A517</f>
        <v>Hudson View Park</v>
      </c>
      <c r="E426" s="104">
        <f>OneLineRR!J517</f>
        <v>0</v>
      </c>
      <c r="F426" s="104">
        <f>OneLineRR!K517</f>
        <v>0</v>
      </c>
      <c r="G426" s="155" t="e">
        <f>OneLineRR!D517</f>
        <v>#N/A</v>
      </c>
      <c r="H426" s="155" t="e">
        <f>IF(OneLineRR!G517="Yes","Affordable","Market")</f>
        <v>#N/A</v>
      </c>
      <c r="I426" s="104" t="e">
        <f>OneLineRR!I517</f>
        <v>#N/A</v>
      </c>
      <c r="J426" s="156">
        <f>OneLineRR!M517</f>
        <v>0</v>
      </c>
      <c r="K426" s="634">
        <f>OneLineRR!L517</f>
        <v>0</v>
      </c>
      <c r="L426" s="143" t="str">
        <f>OneLineRR!C517</f>
        <v>Occ</v>
      </c>
      <c r="M426" s="636">
        <f>OneLineRR!O517</f>
        <v>0</v>
      </c>
      <c r="N426" s="636">
        <f t="shared" si="6"/>
        <v>0</v>
      </c>
      <c r="O426" s="636">
        <f>OneLineRR!N517</f>
        <v>0</v>
      </c>
      <c r="P426" s="636" t="e" cm="1">
        <f t="array" ref="P426">INDEX('Unit Mix'!$P$6:$P$62,MATCH(1,('Rent Roll'!G426='Unit Mix'!$E$6:$E$62)*(D426='Unit Mix'!$D$6:$D$62),0))</f>
        <v>#N/A</v>
      </c>
      <c r="Q426" s="150">
        <f>OneLineRR!T517</f>
        <v>0</v>
      </c>
      <c r="R426" s="150">
        <f>OneLineRR!U517</f>
        <v>0</v>
      </c>
      <c r="S426" s="150">
        <f>OneLineRR!V517</f>
        <v>0</v>
      </c>
      <c r="T426" s="150">
        <f>OneLineRR!W517</f>
        <v>0</v>
      </c>
      <c r="U426" s="157" t="str">
        <f>IF(OneLineRR!Q517="","",OneLineRR!Q517)</f>
        <v/>
      </c>
      <c r="V426" s="157" t="str">
        <f>IF(OneLineRR!R517="","",OneLineRR!R517)</f>
        <v/>
      </c>
      <c r="AB426" s="320" t="str">
        <f>IFERROR(U426+(COUNTIF($U$8:U426,U426)-1)/10000,"")</f>
        <v/>
      </c>
      <c r="AC426" s="158"/>
      <c r="AD426" s="119"/>
      <c r="AE426" s="460"/>
      <c r="AG426" s="119"/>
    </row>
    <row r="427" spans="4:33" x14ac:dyDescent="0.25">
      <c r="D427" s="154" t="str">
        <f>OneLineRR!A518</f>
        <v>Hudson View Park</v>
      </c>
      <c r="E427" s="104">
        <f>OneLineRR!J518</f>
        <v>0</v>
      </c>
      <c r="F427" s="104">
        <f>OneLineRR!K518</f>
        <v>0</v>
      </c>
      <c r="G427" s="155" t="e">
        <f>OneLineRR!D518</f>
        <v>#N/A</v>
      </c>
      <c r="H427" s="155" t="e">
        <f>IF(OneLineRR!G518="Yes","Affordable","Market")</f>
        <v>#N/A</v>
      </c>
      <c r="I427" s="104" t="e">
        <f>OneLineRR!I518</f>
        <v>#N/A</v>
      </c>
      <c r="J427" s="156">
        <f>OneLineRR!M518</f>
        <v>0</v>
      </c>
      <c r="K427" s="634">
        <f>OneLineRR!L518</f>
        <v>0</v>
      </c>
      <c r="L427" s="143" t="str">
        <f>OneLineRR!C518</f>
        <v>Occ</v>
      </c>
      <c r="M427" s="636">
        <f>OneLineRR!O518</f>
        <v>0</v>
      </c>
      <c r="N427" s="636">
        <f t="shared" si="6"/>
        <v>0</v>
      </c>
      <c r="O427" s="636">
        <f>OneLineRR!N518</f>
        <v>0</v>
      </c>
      <c r="P427" s="636" t="e" cm="1">
        <f t="array" ref="P427">INDEX('Unit Mix'!$P$6:$P$62,MATCH(1,('Rent Roll'!G427='Unit Mix'!$E$6:$E$62)*(D427='Unit Mix'!$D$6:$D$62),0))</f>
        <v>#N/A</v>
      </c>
      <c r="Q427" s="150">
        <f>OneLineRR!T518</f>
        <v>0</v>
      </c>
      <c r="R427" s="150">
        <f>OneLineRR!U518</f>
        <v>0</v>
      </c>
      <c r="S427" s="150">
        <f>OneLineRR!V518</f>
        <v>0</v>
      </c>
      <c r="T427" s="150">
        <f>OneLineRR!W518</f>
        <v>0</v>
      </c>
      <c r="U427" s="157" t="str">
        <f>IF(OneLineRR!Q518="","",OneLineRR!Q518)</f>
        <v/>
      </c>
      <c r="V427" s="157" t="str">
        <f>IF(OneLineRR!R518="","",OneLineRR!R518)</f>
        <v/>
      </c>
      <c r="AB427" s="320" t="str">
        <f>IFERROR(U427+(COUNTIF($U$8:U427,U427)-1)/10000,"")</f>
        <v/>
      </c>
      <c r="AC427" s="158"/>
      <c r="AD427" s="119"/>
      <c r="AE427" s="460"/>
      <c r="AG427" s="119"/>
    </row>
    <row r="428" spans="4:33" x14ac:dyDescent="0.25">
      <c r="D428" s="154" t="str">
        <f>OneLineRR!A519</f>
        <v>Hudson View Park</v>
      </c>
      <c r="E428" s="104">
        <f>OneLineRR!J519</f>
        <v>0</v>
      </c>
      <c r="F428" s="104">
        <f>OneLineRR!K519</f>
        <v>0</v>
      </c>
      <c r="G428" s="155" t="e">
        <f>OneLineRR!D519</f>
        <v>#N/A</v>
      </c>
      <c r="H428" s="155" t="e">
        <f>IF(OneLineRR!G519="Yes","Affordable","Market")</f>
        <v>#N/A</v>
      </c>
      <c r="I428" s="104" t="e">
        <f>OneLineRR!I519</f>
        <v>#N/A</v>
      </c>
      <c r="J428" s="156">
        <f>OneLineRR!M519</f>
        <v>0</v>
      </c>
      <c r="K428" s="634">
        <f>OneLineRR!L519</f>
        <v>0</v>
      </c>
      <c r="L428" s="143" t="str">
        <f>OneLineRR!C519</f>
        <v>Occ</v>
      </c>
      <c r="M428" s="636">
        <f>OneLineRR!O519</f>
        <v>0</v>
      </c>
      <c r="N428" s="636">
        <f t="shared" si="6"/>
        <v>0</v>
      </c>
      <c r="O428" s="636">
        <f>OneLineRR!N519</f>
        <v>0</v>
      </c>
      <c r="P428" s="636" t="e" cm="1">
        <f t="array" ref="P428">INDEX('Unit Mix'!$P$6:$P$62,MATCH(1,('Rent Roll'!G428='Unit Mix'!$E$6:$E$62)*(D428='Unit Mix'!$D$6:$D$62),0))</f>
        <v>#N/A</v>
      </c>
      <c r="Q428" s="150">
        <f>OneLineRR!T519</f>
        <v>0</v>
      </c>
      <c r="R428" s="150">
        <f>OneLineRR!U519</f>
        <v>0</v>
      </c>
      <c r="S428" s="150">
        <f>OneLineRR!V519</f>
        <v>0</v>
      </c>
      <c r="T428" s="150">
        <f>OneLineRR!W519</f>
        <v>0</v>
      </c>
      <c r="U428" s="157" t="str">
        <f>IF(OneLineRR!Q519="","",OneLineRR!Q519)</f>
        <v/>
      </c>
      <c r="V428" s="157" t="str">
        <f>IF(OneLineRR!R519="","",OneLineRR!R519)</f>
        <v/>
      </c>
      <c r="AB428" s="320" t="str">
        <f>IFERROR(U428+(COUNTIF($U$8:U428,U428)-1)/10000,"")</f>
        <v/>
      </c>
      <c r="AC428" s="158"/>
      <c r="AD428" s="119"/>
      <c r="AE428" s="460"/>
      <c r="AG428" s="119"/>
    </row>
    <row r="429" spans="4:33" x14ac:dyDescent="0.25">
      <c r="D429" s="154" t="str">
        <f>OneLineRR!A520</f>
        <v>Hudson View Park</v>
      </c>
      <c r="E429" s="104">
        <f>OneLineRR!J520</f>
        <v>0</v>
      </c>
      <c r="F429" s="104">
        <f>OneLineRR!K520</f>
        <v>0</v>
      </c>
      <c r="G429" s="155" t="e">
        <f>OneLineRR!D520</f>
        <v>#N/A</v>
      </c>
      <c r="H429" s="155" t="e">
        <f>IF(OneLineRR!G520="Yes","Affordable","Market")</f>
        <v>#N/A</v>
      </c>
      <c r="I429" s="104" t="e">
        <f>OneLineRR!I520</f>
        <v>#N/A</v>
      </c>
      <c r="J429" s="156">
        <f>OneLineRR!M520</f>
        <v>0</v>
      </c>
      <c r="K429" s="634">
        <f>OneLineRR!L520</f>
        <v>0</v>
      </c>
      <c r="L429" s="143" t="str">
        <f>OneLineRR!C520</f>
        <v>Occ</v>
      </c>
      <c r="M429" s="636">
        <f>OneLineRR!O520</f>
        <v>0</v>
      </c>
      <c r="N429" s="636">
        <f t="shared" si="6"/>
        <v>0</v>
      </c>
      <c r="O429" s="636">
        <f>OneLineRR!N520</f>
        <v>0</v>
      </c>
      <c r="P429" s="636" t="e" cm="1">
        <f t="array" ref="P429">INDEX('Unit Mix'!$P$6:$P$62,MATCH(1,('Rent Roll'!G429='Unit Mix'!$E$6:$E$62)*(D429='Unit Mix'!$D$6:$D$62),0))</f>
        <v>#N/A</v>
      </c>
      <c r="Q429" s="150">
        <f>OneLineRR!T520</f>
        <v>0</v>
      </c>
      <c r="R429" s="150">
        <f>OneLineRR!U520</f>
        <v>0</v>
      </c>
      <c r="S429" s="150">
        <f>OneLineRR!V520</f>
        <v>0</v>
      </c>
      <c r="T429" s="150">
        <f>OneLineRR!W520</f>
        <v>0</v>
      </c>
      <c r="U429" s="157" t="str">
        <f>IF(OneLineRR!Q520="","",OneLineRR!Q520)</f>
        <v/>
      </c>
      <c r="V429" s="157" t="str">
        <f>IF(OneLineRR!R520="","",OneLineRR!R520)</f>
        <v/>
      </c>
      <c r="AB429" s="320" t="str">
        <f>IFERROR(U429+(COUNTIF($U$8:U429,U429)-1)/10000,"")</f>
        <v/>
      </c>
      <c r="AC429" s="158"/>
      <c r="AD429" s="119"/>
      <c r="AE429" s="460"/>
      <c r="AG429" s="119"/>
    </row>
    <row r="430" spans="4:33" x14ac:dyDescent="0.25">
      <c r="D430" s="154" t="str">
        <f>OneLineRR!A521</f>
        <v>Hudson View Park</v>
      </c>
      <c r="E430" s="104">
        <f>OneLineRR!J521</f>
        <v>0</v>
      </c>
      <c r="F430" s="104">
        <f>OneLineRR!K521</f>
        <v>0</v>
      </c>
      <c r="G430" s="155" t="e">
        <f>OneLineRR!D521</f>
        <v>#N/A</v>
      </c>
      <c r="H430" s="155" t="e">
        <f>IF(OneLineRR!G521="Yes","Affordable","Market")</f>
        <v>#N/A</v>
      </c>
      <c r="I430" s="104" t="e">
        <f>OneLineRR!I521</f>
        <v>#N/A</v>
      </c>
      <c r="J430" s="156">
        <f>OneLineRR!M521</f>
        <v>0</v>
      </c>
      <c r="K430" s="634">
        <f>OneLineRR!L521</f>
        <v>0</v>
      </c>
      <c r="L430" s="143" t="str">
        <f>OneLineRR!C521</f>
        <v>Occ</v>
      </c>
      <c r="M430" s="636">
        <f>OneLineRR!O521</f>
        <v>0</v>
      </c>
      <c r="N430" s="636">
        <f t="shared" si="6"/>
        <v>0</v>
      </c>
      <c r="O430" s="636">
        <f>OneLineRR!N521</f>
        <v>0</v>
      </c>
      <c r="P430" s="636" t="e" cm="1">
        <f t="array" ref="P430">INDEX('Unit Mix'!$P$6:$P$62,MATCH(1,('Rent Roll'!G430='Unit Mix'!$E$6:$E$62)*(D430='Unit Mix'!$D$6:$D$62),0))</f>
        <v>#N/A</v>
      </c>
      <c r="Q430" s="150">
        <f>OneLineRR!T521</f>
        <v>0</v>
      </c>
      <c r="R430" s="150">
        <f>OneLineRR!U521</f>
        <v>0</v>
      </c>
      <c r="S430" s="150">
        <f>OneLineRR!V521</f>
        <v>0</v>
      </c>
      <c r="T430" s="150">
        <f>OneLineRR!W521</f>
        <v>0</v>
      </c>
      <c r="U430" s="157" t="str">
        <f>IF(OneLineRR!Q521="","",OneLineRR!Q521)</f>
        <v/>
      </c>
      <c r="V430" s="157" t="str">
        <f>IF(OneLineRR!R521="","",OneLineRR!R521)</f>
        <v/>
      </c>
      <c r="AB430" s="320" t="str">
        <f>IFERROR(U430+(COUNTIF($U$8:U430,U430)-1)/10000,"")</f>
        <v/>
      </c>
      <c r="AC430" s="158"/>
      <c r="AD430" s="119"/>
      <c r="AE430" s="460"/>
      <c r="AG430" s="119"/>
    </row>
    <row r="431" spans="4:33" x14ac:dyDescent="0.25">
      <c r="D431" s="154" t="str">
        <f>OneLineRR!A522</f>
        <v>Hudson View Park</v>
      </c>
      <c r="E431" s="104">
        <f>OneLineRR!J522</f>
        <v>0</v>
      </c>
      <c r="F431" s="104">
        <f>OneLineRR!K522</f>
        <v>0</v>
      </c>
      <c r="G431" s="155" t="e">
        <f>OneLineRR!D522</f>
        <v>#N/A</v>
      </c>
      <c r="H431" s="155" t="e">
        <f>IF(OneLineRR!G522="Yes","Affordable","Market")</f>
        <v>#N/A</v>
      </c>
      <c r="I431" s="104" t="e">
        <f>OneLineRR!I522</f>
        <v>#N/A</v>
      </c>
      <c r="J431" s="156">
        <f>OneLineRR!M522</f>
        <v>0</v>
      </c>
      <c r="K431" s="634">
        <f>OneLineRR!L522</f>
        <v>0</v>
      </c>
      <c r="L431" s="143" t="str">
        <f>OneLineRR!C522</f>
        <v>Occ</v>
      </c>
      <c r="M431" s="636">
        <f>OneLineRR!O522</f>
        <v>0</v>
      </c>
      <c r="N431" s="636">
        <f t="shared" si="6"/>
        <v>0</v>
      </c>
      <c r="O431" s="636">
        <f>OneLineRR!N522</f>
        <v>0</v>
      </c>
      <c r="P431" s="636" t="e" cm="1">
        <f t="array" ref="P431">INDEX('Unit Mix'!$P$6:$P$62,MATCH(1,('Rent Roll'!G431='Unit Mix'!$E$6:$E$62)*(D431='Unit Mix'!$D$6:$D$62),0))</f>
        <v>#N/A</v>
      </c>
      <c r="Q431" s="150">
        <f>OneLineRR!T522</f>
        <v>0</v>
      </c>
      <c r="R431" s="150">
        <f>OneLineRR!U522</f>
        <v>0</v>
      </c>
      <c r="S431" s="150">
        <f>OneLineRR!V522</f>
        <v>0</v>
      </c>
      <c r="T431" s="150">
        <f>OneLineRR!W522</f>
        <v>0</v>
      </c>
      <c r="U431" s="157" t="str">
        <f>IF(OneLineRR!Q522="","",OneLineRR!Q522)</f>
        <v/>
      </c>
      <c r="V431" s="157" t="str">
        <f>IF(OneLineRR!R522="","",OneLineRR!R522)</f>
        <v/>
      </c>
      <c r="AB431" s="320" t="str">
        <f>IFERROR(U431+(COUNTIF($U$8:U431,U431)-1)/10000,"")</f>
        <v/>
      </c>
      <c r="AC431" s="158"/>
      <c r="AD431" s="119"/>
      <c r="AE431" s="460"/>
      <c r="AG431" s="119"/>
    </row>
    <row r="432" spans="4:33" x14ac:dyDescent="0.25">
      <c r="D432" s="154" t="str">
        <f>OneLineRR!A523</f>
        <v>Hudson View Park</v>
      </c>
      <c r="E432" s="104">
        <f>OneLineRR!J523</f>
        <v>0</v>
      </c>
      <c r="F432" s="104">
        <f>OneLineRR!K523</f>
        <v>0</v>
      </c>
      <c r="G432" s="155" t="e">
        <f>OneLineRR!D523</f>
        <v>#N/A</v>
      </c>
      <c r="H432" s="155" t="e">
        <f>IF(OneLineRR!G523="Yes","Affordable","Market")</f>
        <v>#N/A</v>
      </c>
      <c r="I432" s="104" t="e">
        <f>OneLineRR!I523</f>
        <v>#N/A</v>
      </c>
      <c r="J432" s="156">
        <f>OneLineRR!M523</f>
        <v>0</v>
      </c>
      <c r="K432" s="634">
        <f>OneLineRR!L523</f>
        <v>0</v>
      </c>
      <c r="L432" s="143" t="str">
        <f>OneLineRR!C523</f>
        <v>Occ</v>
      </c>
      <c r="M432" s="636">
        <f>OneLineRR!O523</f>
        <v>0</v>
      </c>
      <c r="N432" s="636">
        <f t="shared" si="6"/>
        <v>0</v>
      </c>
      <c r="O432" s="636">
        <f>OneLineRR!N523</f>
        <v>0</v>
      </c>
      <c r="P432" s="636" t="e" cm="1">
        <f t="array" ref="P432">INDEX('Unit Mix'!$P$6:$P$62,MATCH(1,('Rent Roll'!G432='Unit Mix'!$E$6:$E$62)*(D432='Unit Mix'!$D$6:$D$62),0))</f>
        <v>#N/A</v>
      </c>
      <c r="Q432" s="150">
        <f>OneLineRR!T523</f>
        <v>0</v>
      </c>
      <c r="R432" s="150">
        <f>OneLineRR!U523</f>
        <v>0</v>
      </c>
      <c r="S432" s="150">
        <f>OneLineRR!V523</f>
        <v>0</v>
      </c>
      <c r="T432" s="150">
        <f>OneLineRR!W523</f>
        <v>0</v>
      </c>
      <c r="U432" s="157" t="str">
        <f>IF(OneLineRR!Q523="","",OneLineRR!Q523)</f>
        <v/>
      </c>
      <c r="V432" s="157" t="str">
        <f>IF(OneLineRR!R523="","",OneLineRR!R523)</f>
        <v/>
      </c>
      <c r="AB432" s="320" t="str">
        <f>IFERROR(U432+(COUNTIF($U$8:U432,U432)-1)/10000,"")</f>
        <v/>
      </c>
      <c r="AC432" s="158"/>
      <c r="AD432" s="119"/>
      <c r="AE432" s="460"/>
      <c r="AG432" s="119"/>
    </row>
    <row r="433" spans="4:33" x14ac:dyDescent="0.25">
      <c r="D433" s="154" t="str">
        <f>OneLineRR!A524</f>
        <v>Hudson View Park</v>
      </c>
      <c r="E433" s="104">
        <f>OneLineRR!J524</f>
        <v>0</v>
      </c>
      <c r="F433" s="104">
        <f>OneLineRR!K524</f>
        <v>0</v>
      </c>
      <c r="G433" s="155" t="e">
        <f>OneLineRR!D524</f>
        <v>#N/A</v>
      </c>
      <c r="H433" s="155" t="e">
        <f>IF(OneLineRR!G524="Yes","Affordable","Market")</f>
        <v>#N/A</v>
      </c>
      <c r="I433" s="104" t="e">
        <f>OneLineRR!I524</f>
        <v>#N/A</v>
      </c>
      <c r="J433" s="156">
        <f>OneLineRR!M524</f>
        <v>0</v>
      </c>
      <c r="K433" s="634">
        <f>OneLineRR!L524</f>
        <v>0</v>
      </c>
      <c r="L433" s="143" t="str">
        <f>OneLineRR!C524</f>
        <v>Occ</v>
      </c>
      <c r="M433" s="636">
        <f>OneLineRR!O524</f>
        <v>0</v>
      </c>
      <c r="N433" s="636">
        <f t="shared" si="6"/>
        <v>0</v>
      </c>
      <c r="O433" s="636">
        <f>OneLineRR!N524</f>
        <v>0</v>
      </c>
      <c r="P433" s="636" t="e" cm="1">
        <f t="array" ref="P433">INDEX('Unit Mix'!$P$6:$P$62,MATCH(1,('Rent Roll'!G433='Unit Mix'!$E$6:$E$62)*(D433='Unit Mix'!$D$6:$D$62),0))</f>
        <v>#N/A</v>
      </c>
      <c r="Q433" s="150">
        <f>OneLineRR!T524</f>
        <v>0</v>
      </c>
      <c r="R433" s="150">
        <f>OneLineRR!U524</f>
        <v>0</v>
      </c>
      <c r="S433" s="150">
        <f>OneLineRR!V524</f>
        <v>0</v>
      </c>
      <c r="T433" s="150">
        <f>OneLineRR!W524</f>
        <v>0</v>
      </c>
      <c r="U433" s="157" t="str">
        <f>IF(OneLineRR!Q524="","",OneLineRR!Q524)</f>
        <v/>
      </c>
      <c r="V433" s="157" t="str">
        <f>IF(OneLineRR!R524="","",OneLineRR!R524)</f>
        <v/>
      </c>
      <c r="AB433" s="320" t="str">
        <f>IFERROR(U433+(COUNTIF($U$8:U433,U433)-1)/10000,"")</f>
        <v/>
      </c>
      <c r="AC433" s="158"/>
      <c r="AD433" s="119"/>
      <c r="AE433" s="460"/>
      <c r="AG433" s="119"/>
    </row>
    <row r="434" spans="4:33" x14ac:dyDescent="0.25">
      <c r="D434" s="154" t="str">
        <f>OneLineRR!A525</f>
        <v>Hudson View Park</v>
      </c>
      <c r="E434" s="104">
        <f>OneLineRR!J525</f>
        <v>0</v>
      </c>
      <c r="F434" s="104">
        <f>OneLineRR!K525</f>
        <v>0</v>
      </c>
      <c r="G434" s="155" t="e">
        <f>OneLineRR!D525</f>
        <v>#N/A</v>
      </c>
      <c r="H434" s="155" t="e">
        <f>IF(OneLineRR!G525="Yes","Affordable","Market")</f>
        <v>#N/A</v>
      </c>
      <c r="I434" s="104" t="e">
        <f>OneLineRR!I525</f>
        <v>#N/A</v>
      </c>
      <c r="J434" s="156">
        <f>OneLineRR!M525</f>
        <v>0</v>
      </c>
      <c r="K434" s="634">
        <f>OneLineRR!L525</f>
        <v>0</v>
      </c>
      <c r="L434" s="143" t="str">
        <f>OneLineRR!C525</f>
        <v>Occ</v>
      </c>
      <c r="M434" s="636">
        <f>OneLineRR!O525</f>
        <v>0</v>
      </c>
      <c r="N434" s="636">
        <f t="shared" si="6"/>
        <v>0</v>
      </c>
      <c r="O434" s="636">
        <f>OneLineRR!N525</f>
        <v>0</v>
      </c>
      <c r="P434" s="636" t="e" cm="1">
        <f t="array" ref="P434">INDEX('Unit Mix'!$P$6:$P$62,MATCH(1,('Rent Roll'!G434='Unit Mix'!$E$6:$E$62)*(D434='Unit Mix'!$D$6:$D$62),0))</f>
        <v>#N/A</v>
      </c>
      <c r="Q434" s="150">
        <f>OneLineRR!T525</f>
        <v>0</v>
      </c>
      <c r="R434" s="150">
        <f>OneLineRR!U525</f>
        <v>0</v>
      </c>
      <c r="S434" s="150">
        <f>OneLineRR!V525</f>
        <v>0</v>
      </c>
      <c r="T434" s="150">
        <f>OneLineRR!W525</f>
        <v>0</v>
      </c>
      <c r="U434" s="157" t="str">
        <f>IF(OneLineRR!Q525="","",OneLineRR!Q525)</f>
        <v/>
      </c>
      <c r="V434" s="157" t="str">
        <f>IF(OneLineRR!R525="","",OneLineRR!R525)</f>
        <v/>
      </c>
      <c r="AB434" s="320" t="str">
        <f>IFERROR(U434+(COUNTIF($U$8:U434,U434)-1)/10000,"")</f>
        <v/>
      </c>
      <c r="AC434" s="158"/>
      <c r="AD434" s="119"/>
      <c r="AE434" s="460"/>
      <c r="AG434" s="119"/>
    </row>
    <row r="435" spans="4:33" x14ac:dyDescent="0.25">
      <c r="D435" s="154" t="str">
        <f>OneLineRR!A526</f>
        <v>Hudson View Park</v>
      </c>
      <c r="E435" s="104">
        <f>OneLineRR!J526</f>
        <v>0</v>
      </c>
      <c r="F435" s="104">
        <f>OneLineRR!K526</f>
        <v>0</v>
      </c>
      <c r="G435" s="155" t="e">
        <f>OneLineRR!D526</f>
        <v>#N/A</v>
      </c>
      <c r="H435" s="155" t="e">
        <f>IF(OneLineRR!G526="Yes","Affordable","Market")</f>
        <v>#N/A</v>
      </c>
      <c r="I435" s="104" t="e">
        <f>OneLineRR!I526</f>
        <v>#N/A</v>
      </c>
      <c r="J435" s="156">
        <f>OneLineRR!M526</f>
        <v>0</v>
      </c>
      <c r="K435" s="634">
        <f>OneLineRR!L526</f>
        <v>0</v>
      </c>
      <c r="L435" s="143" t="str">
        <f>OneLineRR!C526</f>
        <v>Occ</v>
      </c>
      <c r="M435" s="636">
        <f>OneLineRR!O526</f>
        <v>0</v>
      </c>
      <c r="N435" s="636">
        <f t="shared" si="6"/>
        <v>0</v>
      </c>
      <c r="O435" s="636">
        <f>OneLineRR!N526</f>
        <v>0</v>
      </c>
      <c r="P435" s="636" t="e" cm="1">
        <f t="array" ref="P435">INDEX('Unit Mix'!$P$6:$P$62,MATCH(1,('Rent Roll'!G435='Unit Mix'!$E$6:$E$62)*(D435='Unit Mix'!$D$6:$D$62),0))</f>
        <v>#N/A</v>
      </c>
      <c r="Q435" s="150">
        <f>OneLineRR!T526</f>
        <v>0</v>
      </c>
      <c r="R435" s="150">
        <f>OneLineRR!U526</f>
        <v>0</v>
      </c>
      <c r="S435" s="150">
        <f>OneLineRR!V526</f>
        <v>0</v>
      </c>
      <c r="T435" s="150">
        <f>OneLineRR!W526</f>
        <v>0</v>
      </c>
      <c r="U435" s="157" t="str">
        <f>IF(OneLineRR!Q526="","",OneLineRR!Q526)</f>
        <v/>
      </c>
      <c r="V435" s="157" t="str">
        <f>IF(OneLineRR!R526="","",OneLineRR!R526)</f>
        <v/>
      </c>
      <c r="AB435" s="320" t="str">
        <f>IFERROR(U435+(COUNTIF($U$8:U435,U435)-1)/10000,"")</f>
        <v/>
      </c>
      <c r="AC435" s="158"/>
      <c r="AD435" s="119"/>
      <c r="AE435" s="460"/>
      <c r="AG435" s="119"/>
    </row>
    <row r="436" spans="4:33" x14ac:dyDescent="0.25">
      <c r="D436" s="154" t="str">
        <f>OneLineRR!A527</f>
        <v>Hudson View Park</v>
      </c>
      <c r="E436" s="104">
        <f>OneLineRR!J527</f>
        <v>0</v>
      </c>
      <c r="F436" s="104">
        <f>OneLineRR!K527</f>
        <v>0</v>
      </c>
      <c r="G436" s="155" t="e">
        <f>OneLineRR!D527</f>
        <v>#N/A</v>
      </c>
      <c r="H436" s="155" t="e">
        <f>IF(OneLineRR!G527="Yes","Affordable","Market")</f>
        <v>#N/A</v>
      </c>
      <c r="I436" s="104" t="e">
        <f>OneLineRR!I527</f>
        <v>#N/A</v>
      </c>
      <c r="J436" s="156">
        <f>OneLineRR!M527</f>
        <v>0</v>
      </c>
      <c r="K436" s="634">
        <f>OneLineRR!L527</f>
        <v>0</v>
      </c>
      <c r="L436" s="143" t="str">
        <f>OneLineRR!C527</f>
        <v>Occ</v>
      </c>
      <c r="M436" s="636">
        <f>OneLineRR!O527</f>
        <v>0</v>
      </c>
      <c r="N436" s="636">
        <f t="shared" si="6"/>
        <v>0</v>
      </c>
      <c r="O436" s="636">
        <f>OneLineRR!N527</f>
        <v>0</v>
      </c>
      <c r="P436" s="636" t="e" cm="1">
        <f t="array" ref="P436">INDEX('Unit Mix'!$P$6:$P$62,MATCH(1,('Rent Roll'!G436='Unit Mix'!$E$6:$E$62)*(D436='Unit Mix'!$D$6:$D$62),0))</f>
        <v>#N/A</v>
      </c>
      <c r="Q436" s="150">
        <f>OneLineRR!T527</f>
        <v>0</v>
      </c>
      <c r="R436" s="150">
        <f>OneLineRR!U527</f>
        <v>0</v>
      </c>
      <c r="S436" s="150">
        <f>OneLineRR!V527</f>
        <v>0</v>
      </c>
      <c r="T436" s="150">
        <f>OneLineRR!W527</f>
        <v>0</v>
      </c>
      <c r="U436" s="157" t="str">
        <f>IF(OneLineRR!Q527="","",OneLineRR!Q527)</f>
        <v/>
      </c>
      <c r="V436" s="157" t="str">
        <f>IF(OneLineRR!R527="","",OneLineRR!R527)</f>
        <v/>
      </c>
      <c r="AB436" s="320" t="str">
        <f>IFERROR(U436+(COUNTIF($U$8:U436,U436)-1)/10000,"")</f>
        <v/>
      </c>
      <c r="AC436" s="158"/>
      <c r="AD436" s="119"/>
      <c r="AE436" s="460"/>
      <c r="AG436" s="119"/>
    </row>
    <row r="437" spans="4:33" x14ac:dyDescent="0.25">
      <c r="D437" s="154" t="str">
        <f>OneLineRR!A528</f>
        <v>Hudson View Park</v>
      </c>
      <c r="E437" s="104">
        <f>OneLineRR!J528</f>
        <v>0</v>
      </c>
      <c r="F437" s="104">
        <f>OneLineRR!K528</f>
        <v>0</v>
      </c>
      <c r="G437" s="155" t="e">
        <f>OneLineRR!D528</f>
        <v>#N/A</v>
      </c>
      <c r="H437" s="155" t="e">
        <f>IF(OneLineRR!G528="Yes","Affordable","Market")</f>
        <v>#N/A</v>
      </c>
      <c r="I437" s="104" t="e">
        <f>OneLineRR!I528</f>
        <v>#N/A</v>
      </c>
      <c r="J437" s="156">
        <f>OneLineRR!M528</f>
        <v>0</v>
      </c>
      <c r="K437" s="634">
        <f>OneLineRR!L528</f>
        <v>0</v>
      </c>
      <c r="L437" s="143" t="str">
        <f>OneLineRR!C528</f>
        <v>Occ</v>
      </c>
      <c r="M437" s="636">
        <f>OneLineRR!O528</f>
        <v>0</v>
      </c>
      <c r="N437" s="636">
        <f t="shared" si="6"/>
        <v>0</v>
      </c>
      <c r="O437" s="636">
        <f>OneLineRR!N528</f>
        <v>0</v>
      </c>
      <c r="P437" s="636" t="e" cm="1">
        <f t="array" ref="P437">INDEX('Unit Mix'!$P$6:$P$62,MATCH(1,('Rent Roll'!G437='Unit Mix'!$E$6:$E$62)*(D437='Unit Mix'!$D$6:$D$62),0))</f>
        <v>#N/A</v>
      </c>
      <c r="Q437" s="150">
        <f>OneLineRR!T528</f>
        <v>0</v>
      </c>
      <c r="R437" s="150">
        <f>OneLineRR!U528</f>
        <v>0</v>
      </c>
      <c r="S437" s="150">
        <f>OneLineRR!V528</f>
        <v>0</v>
      </c>
      <c r="T437" s="150">
        <f>OneLineRR!W528</f>
        <v>0</v>
      </c>
      <c r="U437" s="157" t="str">
        <f>IF(OneLineRR!Q528="","",OneLineRR!Q528)</f>
        <v/>
      </c>
      <c r="V437" s="157" t="str">
        <f>IF(OneLineRR!R528="","",OneLineRR!R528)</f>
        <v/>
      </c>
      <c r="AB437" s="320" t="str">
        <f>IFERROR(U437+(COUNTIF($U$8:U437,U437)-1)/10000,"")</f>
        <v/>
      </c>
      <c r="AC437" s="158"/>
      <c r="AD437" s="119"/>
      <c r="AE437" s="460"/>
      <c r="AG437" s="119"/>
    </row>
    <row r="438" spans="4:33" x14ac:dyDescent="0.25">
      <c r="D438" s="154" t="str">
        <f>OneLineRR!A529</f>
        <v>Hudson View Park</v>
      </c>
      <c r="E438" s="104">
        <f>OneLineRR!J529</f>
        <v>0</v>
      </c>
      <c r="F438" s="104">
        <f>OneLineRR!K529</f>
        <v>0</v>
      </c>
      <c r="G438" s="155" t="e">
        <f>OneLineRR!D529</f>
        <v>#N/A</v>
      </c>
      <c r="H438" s="155" t="e">
        <f>IF(OneLineRR!G529="Yes","Affordable","Market")</f>
        <v>#N/A</v>
      </c>
      <c r="I438" s="104" t="e">
        <f>OneLineRR!I529</f>
        <v>#N/A</v>
      </c>
      <c r="J438" s="156">
        <f>OneLineRR!M529</f>
        <v>0</v>
      </c>
      <c r="K438" s="634">
        <f>OneLineRR!L529</f>
        <v>0</v>
      </c>
      <c r="L438" s="143" t="str">
        <f>OneLineRR!C529</f>
        <v>Occ</v>
      </c>
      <c r="M438" s="636">
        <f>OneLineRR!O529</f>
        <v>0</v>
      </c>
      <c r="N438" s="636">
        <f t="shared" si="6"/>
        <v>0</v>
      </c>
      <c r="O438" s="636">
        <f>OneLineRR!N529</f>
        <v>0</v>
      </c>
      <c r="P438" s="636" t="e" cm="1">
        <f t="array" ref="P438">INDEX('Unit Mix'!$P$6:$P$62,MATCH(1,('Rent Roll'!G438='Unit Mix'!$E$6:$E$62)*(D438='Unit Mix'!$D$6:$D$62),0))</f>
        <v>#N/A</v>
      </c>
      <c r="Q438" s="150">
        <f>OneLineRR!T529</f>
        <v>0</v>
      </c>
      <c r="R438" s="150">
        <f>OneLineRR!U529</f>
        <v>0</v>
      </c>
      <c r="S438" s="150">
        <f>OneLineRR!V529</f>
        <v>0</v>
      </c>
      <c r="T438" s="150">
        <f>OneLineRR!W529</f>
        <v>0</v>
      </c>
      <c r="U438" s="157" t="str">
        <f>IF(OneLineRR!Q529="","",OneLineRR!Q529)</f>
        <v/>
      </c>
      <c r="V438" s="157" t="str">
        <f>IF(OneLineRR!R529="","",OneLineRR!R529)</f>
        <v/>
      </c>
      <c r="AB438" s="320" t="str">
        <f>IFERROR(U438+(COUNTIF($U$8:U438,U438)-1)/10000,"")</f>
        <v/>
      </c>
      <c r="AC438" s="158"/>
      <c r="AD438" s="119"/>
      <c r="AE438" s="460"/>
      <c r="AG438" s="119"/>
    </row>
    <row r="439" spans="4:33" x14ac:dyDescent="0.25">
      <c r="D439" s="154" t="str">
        <f>OneLineRR!A530</f>
        <v>Hudson View Park</v>
      </c>
      <c r="E439" s="104">
        <f>OneLineRR!J530</f>
        <v>0</v>
      </c>
      <c r="F439" s="104">
        <f>OneLineRR!K530</f>
        <v>0</v>
      </c>
      <c r="G439" s="155" t="e">
        <f>OneLineRR!D530</f>
        <v>#N/A</v>
      </c>
      <c r="H439" s="155" t="e">
        <f>IF(OneLineRR!G530="Yes","Affordable","Market")</f>
        <v>#N/A</v>
      </c>
      <c r="I439" s="104" t="e">
        <f>OneLineRR!I530</f>
        <v>#N/A</v>
      </c>
      <c r="J439" s="156">
        <f>OneLineRR!M530</f>
        <v>0</v>
      </c>
      <c r="K439" s="634">
        <f>OneLineRR!L530</f>
        <v>0</v>
      </c>
      <c r="L439" s="143" t="str">
        <f>OneLineRR!C530</f>
        <v>Occ</v>
      </c>
      <c r="M439" s="636">
        <f>OneLineRR!O530</f>
        <v>0</v>
      </c>
      <c r="N439" s="636">
        <f t="shared" si="6"/>
        <v>0</v>
      </c>
      <c r="O439" s="636">
        <f>OneLineRR!N530</f>
        <v>0</v>
      </c>
      <c r="P439" s="636" t="e" cm="1">
        <f t="array" ref="P439">INDEX('Unit Mix'!$P$6:$P$62,MATCH(1,('Rent Roll'!G439='Unit Mix'!$E$6:$E$62)*(D439='Unit Mix'!$D$6:$D$62),0))</f>
        <v>#N/A</v>
      </c>
      <c r="Q439" s="150">
        <f>OneLineRR!T530</f>
        <v>0</v>
      </c>
      <c r="R439" s="150">
        <f>OneLineRR!U530</f>
        <v>0</v>
      </c>
      <c r="S439" s="150">
        <f>OneLineRR!V530</f>
        <v>0</v>
      </c>
      <c r="T439" s="150">
        <f>OneLineRR!W530</f>
        <v>0</v>
      </c>
      <c r="U439" s="157" t="str">
        <f>IF(OneLineRR!Q530="","",OneLineRR!Q530)</f>
        <v/>
      </c>
      <c r="V439" s="157" t="str">
        <f>IF(OneLineRR!R530="","",OneLineRR!R530)</f>
        <v/>
      </c>
      <c r="AB439" s="320" t="str">
        <f>IFERROR(U439+(COUNTIF($U$8:U439,U439)-1)/10000,"")</f>
        <v/>
      </c>
      <c r="AC439" s="158"/>
      <c r="AD439" s="119"/>
      <c r="AE439" s="460"/>
      <c r="AG439" s="119"/>
    </row>
    <row r="440" spans="4:33" x14ac:dyDescent="0.25">
      <c r="D440" s="154" t="str">
        <f>OneLineRR!A531</f>
        <v>Hudson View Park</v>
      </c>
      <c r="E440" s="104">
        <f>OneLineRR!J531</f>
        <v>0</v>
      </c>
      <c r="F440" s="104">
        <f>OneLineRR!K531</f>
        <v>0</v>
      </c>
      <c r="G440" s="155" t="e">
        <f>OneLineRR!D531</f>
        <v>#N/A</v>
      </c>
      <c r="H440" s="155" t="e">
        <f>IF(OneLineRR!G531="Yes","Affordable","Market")</f>
        <v>#N/A</v>
      </c>
      <c r="I440" s="104" t="e">
        <f>OneLineRR!I531</f>
        <v>#N/A</v>
      </c>
      <c r="J440" s="156">
        <f>OneLineRR!M531</f>
        <v>0</v>
      </c>
      <c r="K440" s="634">
        <f>OneLineRR!L531</f>
        <v>0</v>
      </c>
      <c r="L440" s="143" t="str">
        <f>OneLineRR!C531</f>
        <v>Occ</v>
      </c>
      <c r="M440" s="636">
        <f>OneLineRR!O531</f>
        <v>0</v>
      </c>
      <c r="N440" s="636">
        <f t="shared" si="6"/>
        <v>0</v>
      </c>
      <c r="O440" s="636">
        <f>OneLineRR!N531</f>
        <v>0</v>
      </c>
      <c r="P440" s="636" t="e" cm="1">
        <f t="array" ref="P440">INDEX('Unit Mix'!$P$6:$P$62,MATCH(1,('Rent Roll'!G440='Unit Mix'!$E$6:$E$62)*(D440='Unit Mix'!$D$6:$D$62),0))</f>
        <v>#N/A</v>
      </c>
      <c r="Q440" s="150">
        <f>OneLineRR!T531</f>
        <v>0</v>
      </c>
      <c r="R440" s="150">
        <f>OneLineRR!U531</f>
        <v>0</v>
      </c>
      <c r="S440" s="150">
        <f>OneLineRR!V531</f>
        <v>0</v>
      </c>
      <c r="T440" s="150">
        <f>OneLineRR!W531</f>
        <v>0</v>
      </c>
      <c r="U440" s="157" t="str">
        <f>IF(OneLineRR!Q531="","",OneLineRR!Q531)</f>
        <v/>
      </c>
      <c r="V440" s="157" t="str">
        <f>IF(OneLineRR!R531="","",OneLineRR!R531)</f>
        <v/>
      </c>
      <c r="AB440" s="320" t="str">
        <f>IFERROR(U440+(COUNTIF($U$8:U440,U440)-1)/10000,"")</f>
        <v/>
      </c>
      <c r="AC440" s="158"/>
      <c r="AD440" s="119"/>
      <c r="AE440" s="460"/>
      <c r="AG440" s="119"/>
    </row>
    <row r="441" spans="4:33" x14ac:dyDescent="0.25">
      <c r="D441" s="154" t="str">
        <f>OneLineRR!A532</f>
        <v>Hudson View Park</v>
      </c>
      <c r="E441" s="104">
        <f>OneLineRR!J532</f>
        <v>0</v>
      </c>
      <c r="F441" s="104">
        <f>OneLineRR!K532</f>
        <v>0</v>
      </c>
      <c r="G441" s="155" t="e">
        <f>OneLineRR!D532</f>
        <v>#N/A</v>
      </c>
      <c r="H441" s="155" t="e">
        <f>IF(OneLineRR!G532="Yes","Affordable","Market")</f>
        <v>#N/A</v>
      </c>
      <c r="I441" s="104" t="e">
        <f>OneLineRR!I532</f>
        <v>#N/A</v>
      </c>
      <c r="J441" s="156">
        <f>OneLineRR!M532</f>
        <v>0</v>
      </c>
      <c r="K441" s="634">
        <f>OneLineRR!L532</f>
        <v>0</v>
      </c>
      <c r="L441" s="143" t="str">
        <f>OneLineRR!C532</f>
        <v>Occ</v>
      </c>
      <c r="M441" s="636">
        <f>OneLineRR!O532</f>
        <v>0</v>
      </c>
      <c r="N441" s="636">
        <f t="shared" si="6"/>
        <v>0</v>
      </c>
      <c r="O441" s="636">
        <f>OneLineRR!N532</f>
        <v>0</v>
      </c>
      <c r="P441" s="636" t="e" cm="1">
        <f t="array" ref="P441">INDEX('Unit Mix'!$P$6:$P$62,MATCH(1,('Rent Roll'!G441='Unit Mix'!$E$6:$E$62)*(D441='Unit Mix'!$D$6:$D$62),0))</f>
        <v>#N/A</v>
      </c>
      <c r="Q441" s="150">
        <f>OneLineRR!T532</f>
        <v>0</v>
      </c>
      <c r="R441" s="150">
        <f>OneLineRR!U532</f>
        <v>0</v>
      </c>
      <c r="S441" s="150">
        <f>OneLineRR!V532</f>
        <v>0</v>
      </c>
      <c r="T441" s="150">
        <f>OneLineRR!W532</f>
        <v>0</v>
      </c>
      <c r="U441" s="157" t="str">
        <f>IF(OneLineRR!Q532="","",OneLineRR!Q532)</f>
        <v/>
      </c>
      <c r="V441" s="157" t="str">
        <f>IF(OneLineRR!R532="","",OneLineRR!R532)</f>
        <v/>
      </c>
      <c r="AB441" s="320" t="str">
        <f>IFERROR(U441+(COUNTIF($U$8:U441,U441)-1)/10000,"")</f>
        <v/>
      </c>
      <c r="AC441" s="158"/>
      <c r="AD441" s="119"/>
      <c r="AE441" s="460"/>
      <c r="AG441" s="119"/>
    </row>
    <row r="442" spans="4:33" x14ac:dyDescent="0.25">
      <c r="D442" s="154" t="str">
        <f>OneLineRR!A533</f>
        <v>Hudson View Park</v>
      </c>
      <c r="E442" s="104">
        <f>OneLineRR!J533</f>
        <v>0</v>
      </c>
      <c r="F442" s="104">
        <f>OneLineRR!K533</f>
        <v>0</v>
      </c>
      <c r="G442" s="155" t="e">
        <f>OneLineRR!D533</f>
        <v>#N/A</v>
      </c>
      <c r="H442" s="155" t="e">
        <f>IF(OneLineRR!G533="Yes","Affordable","Market")</f>
        <v>#N/A</v>
      </c>
      <c r="I442" s="104" t="e">
        <f>OneLineRR!I533</f>
        <v>#N/A</v>
      </c>
      <c r="J442" s="156">
        <f>OneLineRR!M533</f>
        <v>0</v>
      </c>
      <c r="K442" s="634">
        <f>OneLineRR!L533</f>
        <v>0</v>
      </c>
      <c r="L442" s="143" t="str">
        <f>OneLineRR!C533</f>
        <v>Occ</v>
      </c>
      <c r="M442" s="636">
        <f>OneLineRR!O533</f>
        <v>0</v>
      </c>
      <c r="N442" s="636">
        <f t="shared" si="6"/>
        <v>0</v>
      </c>
      <c r="O442" s="636">
        <f>OneLineRR!N533</f>
        <v>0</v>
      </c>
      <c r="P442" s="636" t="e" cm="1">
        <f t="array" ref="P442">INDEX('Unit Mix'!$P$6:$P$62,MATCH(1,('Rent Roll'!G442='Unit Mix'!$E$6:$E$62)*(D442='Unit Mix'!$D$6:$D$62),0))</f>
        <v>#N/A</v>
      </c>
      <c r="Q442" s="150">
        <f>OneLineRR!T533</f>
        <v>0</v>
      </c>
      <c r="R442" s="150">
        <f>OneLineRR!U533</f>
        <v>0</v>
      </c>
      <c r="S442" s="150">
        <f>OneLineRR!V533</f>
        <v>0</v>
      </c>
      <c r="T442" s="150">
        <f>OneLineRR!W533</f>
        <v>0</v>
      </c>
      <c r="U442" s="157" t="str">
        <f>IF(OneLineRR!Q533="","",OneLineRR!Q533)</f>
        <v/>
      </c>
      <c r="V442" s="157" t="str">
        <f>IF(OneLineRR!R533="","",OneLineRR!R533)</f>
        <v/>
      </c>
      <c r="AB442" s="320" t="str">
        <f>IFERROR(U442+(COUNTIF($U$8:U442,U442)-1)/10000,"")</f>
        <v/>
      </c>
      <c r="AC442" s="158"/>
      <c r="AD442" s="119"/>
      <c r="AE442" s="460"/>
      <c r="AG442" s="119"/>
    </row>
    <row r="443" spans="4:33" x14ac:dyDescent="0.25">
      <c r="D443" s="154" t="str">
        <f>OneLineRR!A534</f>
        <v>Hudson View Park</v>
      </c>
      <c r="E443" s="104">
        <f>OneLineRR!J534</f>
        <v>0</v>
      </c>
      <c r="F443" s="104">
        <f>OneLineRR!K534</f>
        <v>0</v>
      </c>
      <c r="G443" s="155" t="e">
        <f>OneLineRR!D534</f>
        <v>#N/A</v>
      </c>
      <c r="H443" s="155" t="e">
        <f>IF(OneLineRR!G534="Yes","Affordable","Market")</f>
        <v>#N/A</v>
      </c>
      <c r="I443" s="104" t="e">
        <f>OneLineRR!I534</f>
        <v>#N/A</v>
      </c>
      <c r="J443" s="156">
        <f>OneLineRR!M534</f>
        <v>0</v>
      </c>
      <c r="K443" s="634">
        <f>OneLineRR!L534</f>
        <v>0</v>
      </c>
      <c r="L443" s="143" t="str">
        <f>OneLineRR!C534</f>
        <v>Occ</v>
      </c>
      <c r="M443" s="636">
        <f>OneLineRR!O534</f>
        <v>0</v>
      </c>
      <c r="N443" s="636">
        <f t="shared" si="6"/>
        <v>0</v>
      </c>
      <c r="O443" s="636">
        <f>OneLineRR!N534</f>
        <v>0</v>
      </c>
      <c r="P443" s="636" t="e" cm="1">
        <f t="array" ref="P443">INDEX('Unit Mix'!$P$6:$P$62,MATCH(1,('Rent Roll'!G443='Unit Mix'!$E$6:$E$62)*(D443='Unit Mix'!$D$6:$D$62),0))</f>
        <v>#N/A</v>
      </c>
      <c r="Q443" s="150">
        <f>OneLineRR!T534</f>
        <v>0</v>
      </c>
      <c r="R443" s="150">
        <f>OneLineRR!U534</f>
        <v>0</v>
      </c>
      <c r="S443" s="150">
        <f>OneLineRR!V534</f>
        <v>0</v>
      </c>
      <c r="T443" s="150">
        <f>OneLineRR!W534</f>
        <v>0</v>
      </c>
      <c r="U443" s="157" t="str">
        <f>IF(OneLineRR!Q534="","",OneLineRR!Q534)</f>
        <v/>
      </c>
      <c r="V443" s="157" t="str">
        <f>IF(OneLineRR!R534="","",OneLineRR!R534)</f>
        <v/>
      </c>
      <c r="AB443" s="320" t="str">
        <f>IFERROR(U443+(COUNTIF($U$8:U443,U443)-1)/10000,"")</f>
        <v/>
      </c>
      <c r="AC443" s="158"/>
      <c r="AD443" s="119"/>
      <c r="AE443" s="460"/>
      <c r="AG443" s="119"/>
    </row>
    <row r="444" spans="4:33" x14ac:dyDescent="0.25">
      <c r="D444" s="154" t="str">
        <f>OneLineRR!A535</f>
        <v>Hudson View Park</v>
      </c>
      <c r="E444" s="104">
        <f>OneLineRR!J535</f>
        <v>0</v>
      </c>
      <c r="F444" s="104">
        <f>OneLineRR!K535</f>
        <v>0</v>
      </c>
      <c r="G444" s="155" t="e">
        <f>OneLineRR!D535</f>
        <v>#N/A</v>
      </c>
      <c r="H444" s="155" t="e">
        <f>IF(OneLineRR!G535="Yes","Affordable","Market")</f>
        <v>#N/A</v>
      </c>
      <c r="I444" s="104" t="e">
        <f>OneLineRR!I535</f>
        <v>#N/A</v>
      </c>
      <c r="J444" s="156">
        <f>OneLineRR!M535</f>
        <v>0</v>
      </c>
      <c r="K444" s="634">
        <f>OneLineRR!L535</f>
        <v>0</v>
      </c>
      <c r="L444" s="143" t="str">
        <f>OneLineRR!C535</f>
        <v>Occ</v>
      </c>
      <c r="M444" s="636">
        <f>OneLineRR!O535</f>
        <v>0</v>
      </c>
      <c r="N444" s="636">
        <f t="shared" si="6"/>
        <v>0</v>
      </c>
      <c r="O444" s="636">
        <f>OneLineRR!N535</f>
        <v>0</v>
      </c>
      <c r="P444" s="636" t="e" cm="1">
        <f t="array" ref="P444">INDEX('Unit Mix'!$P$6:$P$62,MATCH(1,('Rent Roll'!G444='Unit Mix'!$E$6:$E$62)*(D444='Unit Mix'!$D$6:$D$62),0))</f>
        <v>#N/A</v>
      </c>
      <c r="Q444" s="150">
        <f>OneLineRR!T535</f>
        <v>0</v>
      </c>
      <c r="R444" s="150">
        <f>OneLineRR!U535</f>
        <v>0</v>
      </c>
      <c r="S444" s="150">
        <f>OneLineRR!V535</f>
        <v>0</v>
      </c>
      <c r="T444" s="150">
        <f>OneLineRR!W535</f>
        <v>0</v>
      </c>
      <c r="U444" s="157" t="str">
        <f>IF(OneLineRR!Q535="","",OneLineRR!Q535)</f>
        <v/>
      </c>
      <c r="V444" s="157" t="str">
        <f>IF(OneLineRR!R535="","",OneLineRR!R535)</f>
        <v/>
      </c>
      <c r="AB444" s="320" t="str">
        <f>IFERROR(U444+(COUNTIF($U$8:U444,U444)-1)/10000,"")</f>
        <v/>
      </c>
      <c r="AC444" s="158"/>
      <c r="AD444" s="119"/>
      <c r="AE444" s="460"/>
      <c r="AG444" s="119"/>
    </row>
    <row r="445" spans="4:33" x14ac:dyDescent="0.25">
      <c r="D445" s="154" t="str">
        <f>OneLineRR!A536</f>
        <v>Hudson View Park</v>
      </c>
      <c r="E445" s="104">
        <f>OneLineRR!J536</f>
        <v>0</v>
      </c>
      <c r="F445" s="104">
        <f>OneLineRR!K536</f>
        <v>0</v>
      </c>
      <c r="G445" s="155" t="e">
        <f>OneLineRR!D536</f>
        <v>#N/A</v>
      </c>
      <c r="H445" s="155" t="e">
        <f>IF(OneLineRR!G536="Yes","Affordable","Market")</f>
        <v>#N/A</v>
      </c>
      <c r="I445" s="104" t="e">
        <f>OneLineRR!I536</f>
        <v>#N/A</v>
      </c>
      <c r="J445" s="156">
        <f>OneLineRR!M536</f>
        <v>0</v>
      </c>
      <c r="K445" s="634">
        <f>OneLineRR!L536</f>
        <v>0</v>
      </c>
      <c r="L445" s="143" t="str">
        <f>OneLineRR!C536</f>
        <v>Occ</v>
      </c>
      <c r="M445" s="636">
        <f>OneLineRR!O536</f>
        <v>0</v>
      </c>
      <c r="N445" s="636">
        <f t="shared" si="6"/>
        <v>0</v>
      </c>
      <c r="O445" s="636">
        <f>OneLineRR!N536</f>
        <v>0</v>
      </c>
      <c r="P445" s="636" t="e" cm="1">
        <f t="array" ref="P445">INDEX('Unit Mix'!$P$6:$P$62,MATCH(1,('Rent Roll'!G445='Unit Mix'!$E$6:$E$62)*(D445='Unit Mix'!$D$6:$D$62),0))</f>
        <v>#N/A</v>
      </c>
      <c r="Q445" s="150">
        <f>OneLineRR!T536</f>
        <v>0</v>
      </c>
      <c r="R445" s="150">
        <f>OneLineRR!U536</f>
        <v>0</v>
      </c>
      <c r="S445" s="150">
        <f>OneLineRR!V536</f>
        <v>0</v>
      </c>
      <c r="T445" s="150">
        <f>OneLineRR!W536</f>
        <v>0</v>
      </c>
      <c r="U445" s="157" t="str">
        <f>IF(OneLineRR!Q536="","",OneLineRR!Q536)</f>
        <v/>
      </c>
      <c r="V445" s="157" t="str">
        <f>IF(OneLineRR!R536="","",OneLineRR!R536)</f>
        <v/>
      </c>
      <c r="AB445" s="320" t="str">
        <f>IFERROR(U445+(COUNTIF($U$8:U445,U445)-1)/10000,"")</f>
        <v/>
      </c>
      <c r="AC445" s="158"/>
      <c r="AD445" s="119"/>
      <c r="AE445" s="460"/>
      <c r="AG445" s="119"/>
    </row>
    <row r="446" spans="4:33" x14ac:dyDescent="0.25">
      <c r="D446" s="154" t="str">
        <f>OneLineRR!A537</f>
        <v>Hudson View Park</v>
      </c>
      <c r="E446" s="104">
        <f>OneLineRR!J537</f>
        <v>0</v>
      </c>
      <c r="F446" s="104">
        <f>OneLineRR!K537</f>
        <v>0</v>
      </c>
      <c r="G446" s="155" t="e">
        <f>OneLineRR!D537</f>
        <v>#N/A</v>
      </c>
      <c r="H446" s="155" t="e">
        <f>IF(OneLineRR!G537="Yes","Affordable","Market")</f>
        <v>#N/A</v>
      </c>
      <c r="I446" s="104" t="e">
        <f>OneLineRR!I537</f>
        <v>#N/A</v>
      </c>
      <c r="J446" s="156">
        <f>OneLineRR!M537</f>
        <v>0</v>
      </c>
      <c r="K446" s="634">
        <f>OneLineRR!L537</f>
        <v>0</v>
      </c>
      <c r="L446" s="143" t="str">
        <f>OneLineRR!C537</f>
        <v>Occ</v>
      </c>
      <c r="M446" s="636">
        <f>OneLineRR!O537</f>
        <v>0</v>
      </c>
      <c r="N446" s="636">
        <f t="shared" si="6"/>
        <v>0</v>
      </c>
      <c r="O446" s="636">
        <f>OneLineRR!N537</f>
        <v>0</v>
      </c>
      <c r="P446" s="636" t="e" cm="1">
        <f t="array" ref="P446">INDEX('Unit Mix'!$P$6:$P$62,MATCH(1,('Rent Roll'!G446='Unit Mix'!$E$6:$E$62)*(D446='Unit Mix'!$D$6:$D$62),0))</f>
        <v>#N/A</v>
      </c>
      <c r="Q446" s="150">
        <f>OneLineRR!T537</f>
        <v>0</v>
      </c>
      <c r="R446" s="150">
        <f>OneLineRR!U537</f>
        <v>0</v>
      </c>
      <c r="S446" s="150">
        <f>OneLineRR!V537</f>
        <v>0</v>
      </c>
      <c r="T446" s="150">
        <f>OneLineRR!W537</f>
        <v>0</v>
      </c>
      <c r="U446" s="157" t="str">
        <f>IF(OneLineRR!Q537="","",OneLineRR!Q537)</f>
        <v/>
      </c>
      <c r="V446" s="157" t="str">
        <f>IF(OneLineRR!R537="","",OneLineRR!R537)</f>
        <v/>
      </c>
      <c r="AB446" s="320" t="str">
        <f>IFERROR(U446+(COUNTIF($U$8:U446,U446)-1)/10000,"")</f>
        <v/>
      </c>
      <c r="AC446" s="158"/>
      <c r="AD446" s="119"/>
      <c r="AE446" s="460"/>
      <c r="AG446" s="119"/>
    </row>
    <row r="447" spans="4:33" x14ac:dyDescent="0.25">
      <c r="D447" s="154" t="str">
        <f>OneLineRR!A538</f>
        <v>Hudson View Park</v>
      </c>
      <c r="E447" s="104">
        <f>OneLineRR!J538</f>
        <v>0</v>
      </c>
      <c r="F447" s="104">
        <f>OneLineRR!K538</f>
        <v>0</v>
      </c>
      <c r="G447" s="155" t="e">
        <f>OneLineRR!D538</f>
        <v>#N/A</v>
      </c>
      <c r="H447" s="155" t="e">
        <f>IF(OneLineRR!G538="Yes","Affordable","Market")</f>
        <v>#N/A</v>
      </c>
      <c r="I447" s="104" t="e">
        <f>OneLineRR!I538</f>
        <v>#N/A</v>
      </c>
      <c r="J447" s="156">
        <f>OneLineRR!M538</f>
        <v>0</v>
      </c>
      <c r="K447" s="634">
        <f>OneLineRR!L538</f>
        <v>0</v>
      </c>
      <c r="L447" s="143" t="str">
        <f>OneLineRR!C538</f>
        <v>Occ</v>
      </c>
      <c r="M447" s="636">
        <f>OneLineRR!O538</f>
        <v>0</v>
      </c>
      <c r="N447" s="636">
        <f t="shared" si="6"/>
        <v>0</v>
      </c>
      <c r="O447" s="636">
        <f>OneLineRR!N538</f>
        <v>0</v>
      </c>
      <c r="P447" s="636" t="e" cm="1">
        <f t="array" ref="P447">INDEX('Unit Mix'!$P$6:$P$62,MATCH(1,('Rent Roll'!G447='Unit Mix'!$E$6:$E$62)*(D447='Unit Mix'!$D$6:$D$62),0))</f>
        <v>#N/A</v>
      </c>
      <c r="Q447" s="150">
        <f>OneLineRR!T538</f>
        <v>0</v>
      </c>
      <c r="R447" s="150">
        <f>OneLineRR!U538</f>
        <v>0</v>
      </c>
      <c r="S447" s="150">
        <f>OneLineRR!V538</f>
        <v>0</v>
      </c>
      <c r="T447" s="150">
        <f>OneLineRR!W538</f>
        <v>0</v>
      </c>
      <c r="U447" s="157" t="str">
        <f>IF(OneLineRR!Q538="","",OneLineRR!Q538)</f>
        <v/>
      </c>
      <c r="V447" s="157" t="str">
        <f>IF(OneLineRR!R538="","",OneLineRR!R538)</f>
        <v/>
      </c>
      <c r="AB447" s="320" t="str">
        <f>IFERROR(U447+(COUNTIF($U$8:U447,U447)-1)/10000,"")</f>
        <v/>
      </c>
      <c r="AC447" s="158"/>
      <c r="AD447" s="119"/>
      <c r="AE447" s="460"/>
      <c r="AG447" s="119"/>
    </row>
    <row r="448" spans="4:33" x14ac:dyDescent="0.25">
      <c r="D448" s="154" t="str">
        <f>OneLineRR!A539</f>
        <v>Hudson View Park</v>
      </c>
      <c r="E448" s="104">
        <f>OneLineRR!J539</f>
        <v>0</v>
      </c>
      <c r="F448" s="104">
        <f>OneLineRR!K539</f>
        <v>0</v>
      </c>
      <c r="G448" s="155" t="e">
        <f>OneLineRR!D539</f>
        <v>#N/A</v>
      </c>
      <c r="H448" s="155" t="e">
        <f>IF(OneLineRR!G539="Yes","Affordable","Market")</f>
        <v>#N/A</v>
      </c>
      <c r="I448" s="104" t="e">
        <f>OneLineRR!I539</f>
        <v>#N/A</v>
      </c>
      <c r="J448" s="156">
        <f>OneLineRR!M539</f>
        <v>0</v>
      </c>
      <c r="K448" s="634">
        <f>OneLineRR!L539</f>
        <v>0</v>
      </c>
      <c r="L448" s="143" t="str">
        <f>OneLineRR!C539</f>
        <v>Occ</v>
      </c>
      <c r="M448" s="636">
        <f>OneLineRR!O539</f>
        <v>0</v>
      </c>
      <c r="N448" s="636">
        <f t="shared" si="6"/>
        <v>0</v>
      </c>
      <c r="O448" s="636">
        <f>OneLineRR!N539</f>
        <v>0</v>
      </c>
      <c r="P448" s="636" t="e" cm="1">
        <f t="array" ref="P448">INDEX('Unit Mix'!$P$6:$P$62,MATCH(1,('Rent Roll'!G448='Unit Mix'!$E$6:$E$62)*(D448='Unit Mix'!$D$6:$D$62),0))</f>
        <v>#N/A</v>
      </c>
      <c r="Q448" s="150">
        <f>OneLineRR!T539</f>
        <v>0</v>
      </c>
      <c r="R448" s="150">
        <f>OneLineRR!U539</f>
        <v>0</v>
      </c>
      <c r="S448" s="150">
        <f>OneLineRR!V539</f>
        <v>0</v>
      </c>
      <c r="T448" s="150">
        <f>OneLineRR!W539</f>
        <v>0</v>
      </c>
      <c r="U448" s="157" t="str">
        <f>IF(OneLineRR!Q539="","",OneLineRR!Q539)</f>
        <v/>
      </c>
      <c r="V448" s="157" t="str">
        <f>IF(OneLineRR!R539="","",OneLineRR!R539)</f>
        <v/>
      </c>
      <c r="AB448" s="320" t="str">
        <f>IFERROR(U448+(COUNTIF($U$8:U448,U448)-1)/10000,"")</f>
        <v/>
      </c>
      <c r="AC448" s="158"/>
      <c r="AD448" s="119"/>
      <c r="AE448" s="460"/>
      <c r="AG448" s="119"/>
    </row>
    <row r="449" spans="4:33" x14ac:dyDescent="0.25">
      <c r="D449" s="154" t="str">
        <f>OneLineRR!A540</f>
        <v>Hudson View Park</v>
      </c>
      <c r="E449" s="104">
        <f>OneLineRR!J540</f>
        <v>0</v>
      </c>
      <c r="F449" s="104">
        <f>OneLineRR!K540</f>
        <v>0</v>
      </c>
      <c r="G449" s="155" t="e">
        <f>OneLineRR!D540</f>
        <v>#N/A</v>
      </c>
      <c r="H449" s="155" t="e">
        <f>IF(OneLineRR!G540="Yes","Affordable","Market")</f>
        <v>#N/A</v>
      </c>
      <c r="I449" s="104" t="e">
        <f>OneLineRR!I540</f>
        <v>#N/A</v>
      </c>
      <c r="J449" s="156">
        <f>OneLineRR!M540</f>
        <v>0</v>
      </c>
      <c r="K449" s="634">
        <f>OneLineRR!L540</f>
        <v>0</v>
      </c>
      <c r="L449" s="143" t="str">
        <f>OneLineRR!C540</f>
        <v>Occ</v>
      </c>
      <c r="M449" s="636">
        <f>OneLineRR!O540</f>
        <v>0</v>
      </c>
      <c r="N449" s="636">
        <f t="shared" si="6"/>
        <v>0</v>
      </c>
      <c r="O449" s="636">
        <f>OneLineRR!N540</f>
        <v>0</v>
      </c>
      <c r="P449" s="636" t="e" cm="1">
        <f t="array" ref="P449">INDEX('Unit Mix'!$P$6:$P$62,MATCH(1,('Rent Roll'!G449='Unit Mix'!$E$6:$E$62)*(D449='Unit Mix'!$D$6:$D$62),0))</f>
        <v>#N/A</v>
      </c>
      <c r="Q449" s="150">
        <f>OneLineRR!T540</f>
        <v>0</v>
      </c>
      <c r="R449" s="150">
        <f>OneLineRR!U540</f>
        <v>0</v>
      </c>
      <c r="S449" s="150">
        <f>OneLineRR!V540</f>
        <v>0</v>
      </c>
      <c r="T449" s="150">
        <f>OneLineRR!W540</f>
        <v>0</v>
      </c>
      <c r="U449" s="157" t="str">
        <f>IF(OneLineRR!Q540="","",OneLineRR!Q540)</f>
        <v/>
      </c>
      <c r="V449" s="157" t="str">
        <f>IF(OneLineRR!R540="","",OneLineRR!R540)</f>
        <v/>
      </c>
      <c r="AB449" s="320" t="str">
        <f>IFERROR(U449+(COUNTIF($U$8:U449,U449)-1)/10000,"")</f>
        <v/>
      </c>
      <c r="AC449" s="158"/>
      <c r="AD449" s="119"/>
      <c r="AE449" s="460"/>
      <c r="AG449" s="119"/>
    </row>
    <row r="450" spans="4:33" x14ac:dyDescent="0.25">
      <c r="D450" s="154" t="str">
        <f>OneLineRR!A541</f>
        <v>Hudson View Park</v>
      </c>
      <c r="E450" s="104">
        <f>OneLineRR!J541</f>
        <v>0</v>
      </c>
      <c r="F450" s="104">
        <f>OneLineRR!K541</f>
        <v>0</v>
      </c>
      <c r="G450" s="155" t="e">
        <f>OneLineRR!D541</f>
        <v>#N/A</v>
      </c>
      <c r="H450" s="155" t="e">
        <f>IF(OneLineRR!G541="Yes","Affordable","Market")</f>
        <v>#N/A</v>
      </c>
      <c r="I450" s="104" t="e">
        <f>OneLineRR!I541</f>
        <v>#N/A</v>
      </c>
      <c r="J450" s="156">
        <f>OneLineRR!M541</f>
        <v>0</v>
      </c>
      <c r="K450" s="634">
        <f>OneLineRR!L541</f>
        <v>0</v>
      </c>
      <c r="L450" s="143" t="str">
        <f>OneLineRR!C541</f>
        <v>Occ</v>
      </c>
      <c r="M450" s="636">
        <f>OneLineRR!O541</f>
        <v>0</v>
      </c>
      <c r="N450" s="636">
        <f t="shared" si="6"/>
        <v>0</v>
      </c>
      <c r="O450" s="636">
        <f>OneLineRR!N541</f>
        <v>0</v>
      </c>
      <c r="P450" s="636" t="e" cm="1">
        <f t="array" ref="P450">INDEX('Unit Mix'!$P$6:$P$62,MATCH(1,('Rent Roll'!G450='Unit Mix'!$E$6:$E$62)*(D450='Unit Mix'!$D$6:$D$62),0))</f>
        <v>#N/A</v>
      </c>
      <c r="Q450" s="150">
        <f>OneLineRR!T541</f>
        <v>0</v>
      </c>
      <c r="R450" s="150">
        <f>OneLineRR!U541</f>
        <v>0</v>
      </c>
      <c r="S450" s="150">
        <f>OneLineRR!V541</f>
        <v>0</v>
      </c>
      <c r="T450" s="150">
        <f>OneLineRR!W541</f>
        <v>0</v>
      </c>
      <c r="U450" s="157" t="str">
        <f>IF(OneLineRR!Q541="","",OneLineRR!Q541)</f>
        <v/>
      </c>
      <c r="V450" s="157" t="str">
        <f>IF(OneLineRR!R541="","",OneLineRR!R541)</f>
        <v/>
      </c>
      <c r="AB450" s="320" t="str">
        <f>IFERROR(U450+(COUNTIF($U$8:U450,U450)-1)/10000,"")</f>
        <v/>
      </c>
      <c r="AC450" s="158"/>
      <c r="AD450" s="119"/>
      <c r="AE450" s="460"/>
      <c r="AG450" s="119"/>
    </row>
    <row r="451" spans="4:33" x14ac:dyDescent="0.25">
      <c r="D451" s="154" t="str">
        <f>OneLineRR!A542</f>
        <v>Hudson View Park</v>
      </c>
      <c r="E451" s="104">
        <f>OneLineRR!J542</f>
        <v>0</v>
      </c>
      <c r="F451" s="104">
        <f>OneLineRR!K542</f>
        <v>0</v>
      </c>
      <c r="G451" s="155" t="e">
        <f>OneLineRR!D542</f>
        <v>#N/A</v>
      </c>
      <c r="H451" s="155" t="e">
        <f>IF(OneLineRR!G542="Yes","Affordable","Market")</f>
        <v>#N/A</v>
      </c>
      <c r="I451" s="104" t="e">
        <f>OneLineRR!I542</f>
        <v>#N/A</v>
      </c>
      <c r="J451" s="156">
        <f>OneLineRR!M542</f>
        <v>0</v>
      </c>
      <c r="K451" s="634">
        <f>OneLineRR!L542</f>
        <v>0</v>
      </c>
      <c r="L451" s="143" t="str">
        <f>OneLineRR!C542</f>
        <v>Occ</v>
      </c>
      <c r="M451" s="636">
        <f>OneLineRR!O542</f>
        <v>0</v>
      </c>
      <c r="N451" s="636">
        <f t="shared" si="6"/>
        <v>0</v>
      </c>
      <c r="O451" s="636">
        <f>OneLineRR!N542</f>
        <v>0</v>
      </c>
      <c r="P451" s="636" t="e" cm="1">
        <f t="array" ref="P451">INDEX('Unit Mix'!$P$6:$P$62,MATCH(1,('Rent Roll'!G451='Unit Mix'!$E$6:$E$62)*(D451='Unit Mix'!$D$6:$D$62),0))</f>
        <v>#N/A</v>
      </c>
      <c r="Q451" s="150">
        <f>OneLineRR!T542</f>
        <v>0</v>
      </c>
      <c r="R451" s="150">
        <f>OneLineRR!U542</f>
        <v>0</v>
      </c>
      <c r="S451" s="150">
        <f>OneLineRR!V542</f>
        <v>0</v>
      </c>
      <c r="T451" s="150">
        <f>OneLineRR!W542</f>
        <v>0</v>
      </c>
      <c r="U451" s="157" t="str">
        <f>IF(OneLineRR!Q542="","",OneLineRR!Q542)</f>
        <v/>
      </c>
      <c r="V451" s="157" t="str">
        <f>IF(OneLineRR!R542="","",OneLineRR!R542)</f>
        <v/>
      </c>
      <c r="AB451" s="320" t="str">
        <f>IFERROR(U451+(COUNTIF($U$8:U451,U451)-1)/10000,"")</f>
        <v/>
      </c>
      <c r="AC451" s="158"/>
      <c r="AD451" s="119"/>
      <c r="AE451" s="460"/>
      <c r="AG451" s="119"/>
    </row>
    <row r="452" spans="4:33" x14ac:dyDescent="0.25">
      <c r="D452" s="154" t="str">
        <f>OneLineRR!A543</f>
        <v>Hudson View Park</v>
      </c>
      <c r="E452" s="104">
        <f>OneLineRR!J543</f>
        <v>0</v>
      </c>
      <c r="F452" s="104">
        <f>OneLineRR!K543</f>
        <v>0</v>
      </c>
      <c r="G452" s="155" t="e">
        <f>OneLineRR!D543</f>
        <v>#N/A</v>
      </c>
      <c r="H452" s="155" t="e">
        <f>IF(OneLineRR!G543="Yes","Affordable","Market")</f>
        <v>#N/A</v>
      </c>
      <c r="I452" s="104" t="e">
        <f>OneLineRR!I543</f>
        <v>#N/A</v>
      </c>
      <c r="J452" s="156">
        <f>OneLineRR!M543</f>
        <v>0</v>
      </c>
      <c r="K452" s="634">
        <f>OneLineRR!L543</f>
        <v>0</v>
      </c>
      <c r="L452" s="143" t="str">
        <f>OneLineRR!C543</f>
        <v>Occ</v>
      </c>
      <c r="M452" s="636">
        <f>OneLineRR!O543</f>
        <v>0</v>
      </c>
      <c r="N452" s="636">
        <f t="shared" si="6"/>
        <v>0</v>
      </c>
      <c r="O452" s="636">
        <f>OneLineRR!N543</f>
        <v>0</v>
      </c>
      <c r="P452" s="636" t="e" cm="1">
        <f t="array" ref="P452">INDEX('Unit Mix'!$P$6:$P$62,MATCH(1,('Rent Roll'!G452='Unit Mix'!$E$6:$E$62)*(D452='Unit Mix'!$D$6:$D$62),0))</f>
        <v>#N/A</v>
      </c>
      <c r="Q452" s="150">
        <f>OneLineRR!T543</f>
        <v>0</v>
      </c>
      <c r="R452" s="150">
        <f>OneLineRR!U543</f>
        <v>0</v>
      </c>
      <c r="S452" s="150">
        <f>OneLineRR!V543</f>
        <v>0</v>
      </c>
      <c r="T452" s="150">
        <f>OneLineRR!W543</f>
        <v>0</v>
      </c>
      <c r="U452" s="157" t="str">
        <f>IF(OneLineRR!Q543="","",OneLineRR!Q543)</f>
        <v/>
      </c>
      <c r="V452" s="157" t="str">
        <f>IF(OneLineRR!R543="","",OneLineRR!R543)</f>
        <v/>
      </c>
      <c r="AB452" s="320" t="str">
        <f>IFERROR(U452+(COUNTIF($U$8:U452,U452)-1)/10000,"")</f>
        <v/>
      </c>
      <c r="AC452" s="158"/>
      <c r="AD452" s="119"/>
      <c r="AE452" s="460"/>
      <c r="AG452" s="119"/>
    </row>
    <row r="453" spans="4:33" x14ac:dyDescent="0.25">
      <c r="D453" s="154" t="str">
        <f>OneLineRR!A544</f>
        <v>Hudson View Park</v>
      </c>
      <c r="E453" s="104">
        <f>OneLineRR!J544</f>
        <v>0</v>
      </c>
      <c r="F453" s="104">
        <f>OneLineRR!K544</f>
        <v>0</v>
      </c>
      <c r="G453" s="155" t="e">
        <f>OneLineRR!D544</f>
        <v>#N/A</v>
      </c>
      <c r="H453" s="155" t="e">
        <f>IF(OneLineRR!G544="Yes","Affordable","Market")</f>
        <v>#N/A</v>
      </c>
      <c r="I453" s="104" t="e">
        <f>OneLineRR!I544</f>
        <v>#N/A</v>
      </c>
      <c r="J453" s="156">
        <f>OneLineRR!M544</f>
        <v>0</v>
      </c>
      <c r="K453" s="634">
        <f>OneLineRR!L544</f>
        <v>0</v>
      </c>
      <c r="L453" s="143" t="str">
        <f>OneLineRR!C544</f>
        <v>Occ</v>
      </c>
      <c r="M453" s="636">
        <f>OneLineRR!O544</f>
        <v>0</v>
      </c>
      <c r="N453" s="636">
        <f t="shared" si="6"/>
        <v>0</v>
      </c>
      <c r="O453" s="636">
        <f>OneLineRR!N544</f>
        <v>0</v>
      </c>
      <c r="P453" s="636" t="e" cm="1">
        <f t="array" ref="P453">INDEX('Unit Mix'!$P$6:$P$62,MATCH(1,('Rent Roll'!G453='Unit Mix'!$E$6:$E$62)*(D453='Unit Mix'!$D$6:$D$62),0))</f>
        <v>#N/A</v>
      </c>
      <c r="Q453" s="150">
        <f>OneLineRR!T544</f>
        <v>0</v>
      </c>
      <c r="R453" s="150">
        <f>OneLineRR!U544</f>
        <v>0</v>
      </c>
      <c r="S453" s="150">
        <f>OneLineRR!V544</f>
        <v>0</v>
      </c>
      <c r="T453" s="150">
        <f>OneLineRR!W544</f>
        <v>0</v>
      </c>
      <c r="U453" s="157" t="str">
        <f>IF(OneLineRR!Q544="","",OneLineRR!Q544)</f>
        <v/>
      </c>
      <c r="V453" s="157" t="str">
        <f>IF(OneLineRR!R544="","",OneLineRR!R544)</f>
        <v/>
      </c>
      <c r="AB453" s="320" t="str">
        <f>IFERROR(U453+(COUNTIF($U$8:U453,U453)-1)/10000,"")</f>
        <v/>
      </c>
      <c r="AC453" s="158"/>
      <c r="AD453" s="119"/>
      <c r="AE453" s="460"/>
      <c r="AG453" s="119"/>
    </row>
    <row r="454" spans="4:33" x14ac:dyDescent="0.25">
      <c r="D454" s="154" t="str">
        <f>OneLineRR!A545</f>
        <v>Hudson View Park</v>
      </c>
      <c r="E454" s="104">
        <f>OneLineRR!J545</f>
        <v>0</v>
      </c>
      <c r="F454" s="104">
        <f>OneLineRR!K545</f>
        <v>0</v>
      </c>
      <c r="G454" s="155" t="e">
        <f>OneLineRR!D545</f>
        <v>#N/A</v>
      </c>
      <c r="H454" s="155" t="e">
        <f>IF(OneLineRR!G545="Yes","Affordable","Market")</f>
        <v>#N/A</v>
      </c>
      <c r="I454" s="104" t="e">
        <f>OneLineRR!I545</f>
        <v>#N/A</v>
      </c>
      <c r="J454" s="156">
        <f>OneLineRR!M545</f>
        <v>0</v>
      </c>
      <c r="K454" s="634">
        <f>OneLineRR!L545</f>
        <v>0</v>
      </c>
      <c r="L454" s="143" t="str">
        <f>OneLineRR!C545</f>
        <v>Occ</v>
      </c>
      <c r="M454" s="636">
        <f>OneLineRR!O545</f>
        <v>0</v>
      </c>
      <c r="N454" s="636">
        <f t="shared" si="6"/>
        <v>0</v>
      </c>
      <c r="O454" s="636">
        <f>OneLineRR!N545</f>
        <v>0</v>
      </c>
      <c r="P454" s="636" t="e" cm="1">
        <f t="array" ref="P454">INDEX('Unit Mix'!$P$6:$P$62,MATCH(1,('Rent Roll'!G454='Unit Mix'!$E$6:$E$62)*(D454='Unit Mix'!$D$6:$D$62),0))</f>
        <v>#N/A</v>
      </c>
      <c r="Q454" s="150">
        <f>OneLineRR!T545</f>
        <v>0</v>
      </c>
      <c r="R454" s="150">
        <f>OneLineRR!U545</f>
        <v>0</v>
      </c>
      <c r="S454" s="150">
        <f>OneLineRR!V545</f>
        <v>0</v>
      </c>
      <c r="T454" s="150">
        <f>OneLineRR!W545</f>
        <v>0</v>
      </c>
      <c r="U454" s="157" t="str">
        <f>IF(OneLineRR!Q545="","",OneLineRR!Q545)</f>
        <v/>
      </c>
      <c r="V454" s="157" t="str">
        <f>IF(OneLineRR!R545="","",OneLineRR!R545)</f>
        <v/>
      </c>
      <c r="AB454" s="320" t="str">
        <f>IFERROR(U454+(COUNTIF($U$8:U454,U454)-1)/10000,"")</f>
        <v/>
      </c>
      <c r="AC454" s="158"/>
      <c r="AD454" s="119"/>
      <c r="AE454" s="460"/>
      <c r="AG454" s="119"/>
    </row>
    <row r="455" spans="4:33" x14ac:dyDescent="0.25">
      <c r="D455" s="154" t="str">
        <f>OneLineRR!A546</f>
        <v>Hudson View Park</v>
      </c>
      <c r="E455" s="104">
        <f>OneLineRR!J546</f>
        <v>0</v>
      </c>
      <c r="F455" s="104">
        <f>OneLineRR!K546</f>
        <v>0</v>
      </c>
      <c r="G455" s="155" t="e">
        <f>OneLineRR!D546</f>
        <v>#N/A</v>
      </c>
      <c r="H455" s="155" t="e">
        <f>IF(OneLineRR!G546="Yes","Affordable","Market")</f>
        <v>#N/A</v>
      </c>
      <c r="I455" s="104" t="e">
        <f>OneLineRR!I546</f>
        <v>#N/A</v>
      </c>
      <c r="J455" s="156">
        <f>OneLineRR!M546</f>
        <v>0</v>
      </c>
      <c r="K455" s="634">
        <f>OneLineRR!L546</f>
        <v>0</v>
      </c>
      <c r="L455" s="143" t="str">
        <f>OneLineRR!C546</f>
        <v>Occ</v>
      </c>
      <c r="M455" s="636">
        <f>OneLineRR!O546</f>
        <v>0</v>
      </c>
      <c r="N455" s="636">
        <f t="shared" si="6"/>
        <v>0</v>
      </c>
      <c r="O455" s="636">
        <f>OneLineRR!N546</f>
        <v>0</v>
      </c>
      <c r="P455" s="636" t="e" cm="1">
        <f t="array" ref="P455">INDEX('Unit Mix'!$P$6:$P$62,MATCH(1,('Rent Roll'!G455='Unit Mix'!$E$6:$E$62)*(D455='Unit Mix'!$D$6:$D$62),0))</f>
        <v>#N/A</v>
      </c>
      <c r="Q455" s="150">
        <f>OneLineRR!T546</f>
        <v>0</v>
      </c>
      <c r="R455" s="150">
        <f>OneLineRR!U546</f>
        <v>0</v>
      </c>
      <c r="S455" s="150">
        <f>OneLineRR!V546</f>
        <v>0</v>
      </c>
      <c r="T455" s="150">
        <f>OneLineRR!W546</f>
        <v>0</v>
      </c>
      <c r="U455" s="157" t="str">
        <f>IF(OneLineRR!Q546="","",OneLineRR!Q546)</f>
        <v/>
      </c>
      <c r="V455" s="157" t="str">
        <f>IF(OneLineRR!R546="","",OneLineRR!R546)</f>
        <v/>
      </c>
      <c r="AB455" s="320" t="str">
        <f>IFERROR(U455+(COUNTIF($U$8:U455,U455)-1)/10000,"")</f>
        <v/>
      </c>
      <c r="AC455" s="158"/>
      <c r="AD455" s="119"/>
      <c r="AE455" s="460"/>
      <c r="AG455" s="119"/>
    </row>
    <row r="456" spans="4:33" x14ac:dyDescent="0.25">
      <c r="D456" s="154" t="str">
        <f>OneLineRR!A547</f>
        <v>Hudson View Park</v>
      </c>
      <c r="E456" s="104">
        <f>OneLineRR!J547</f>
        <v>0</v>
      </c>
      <c r="F456" s="104">
        <f>OneLineRR!K547</f>
        <v>0</v>
      </c>
      <c r="G456" s="155" t="e">
        <f>OneLineRR!D547</f>
        <v>#N/A</v>
      </c>
      <c r="H456" s="155" t="e">
        <f>IF(OneLineRR!G547="Yes","Affordable","Market")</f>
        <v>#N/A</v>
      </c>
      <c r="I456" s="104" t="e">
        <f>OneLineRR!I547</f>
        <v>#N/A</v>
      </c>
      <c r="J456" s="156">
        <f>OneLineRR!M547</f>
        <v>0</v>
      </c>
      <c r="K456" s="634">
        <f>OneLineRR!L547</f>
        <v>0</v>
      </c>
      <c r="L456" s="143" t="str">
        <f>OneLineRR!C547</f>
        <v>Occ</v>
      </c>
      <c r="M456" s="636">
        <f>OneLineRR!O547</f>
        <v>0</v>
      </c>
      <c r="N456" s="636">
        <f t="shared" si="6"/>
        <v>0</v>
      </c>
      <c r="O456" s="636">
        <f>OneLineRR!N547</f>
        <v>0</v>
      </c>
      <c r="P456" s="636" t="e" cm="1">
        <f t="array" ref="P456">INDEX('Unit Mix'!$P$6:$P$62,MATCH(1,('Rent Roll'!G456='Unit Mix'!$E$6:$E$62)*(D456='Unit Mix'!$D$6:$D$62),0))</f>
        <v>#N/A</v>
      </c>
      <c r="Q456" s="150">
        <f>OneLineRR!T547</f>
        <v>0</v>
      </c>
      <c r="R456" s="150">
        <f>OneLineRR!U547</f>
        <v>0</v>
      </c>
      <c r="S456" s="150">
        <f>OneLineRR!V547</f>
        <v>0</v>
      </c>
      <c r="T456" s="150">
        <f>OneLineRR!W547</f>
        <v>0</v>
      </c>
      <c r="U456" s="157" t="str">
        <f>IF(OneLineRR!Q547="","",OneLineRR!Q547)</f>
        <v/>
      </c>
      <c r="V456" s="157" t="str">
        <f>IF(OneLineRR!R547="","",OneLineRR!R547)</f>
        <v/>
      </c>
      <c r="AB456" s="320" t="str">
        <f>IFERROR(U456+(COUNTIF($U$8:U456,U456)-1)/10000,"")</f>
        <v/>
      </c>
      <c r="AC456" s="158"/>
      <c r="AD456" s="119"/>
      <c r="AE456" s="460"/>
      <c r="AG456" s="119"/>
    </row>
    <row r="457" spans="4:33" x14ac:dyDescent="0.25">
      <c r="D457" s="154" t="str">
        <f>OneLineRR!A548</f>
        <v>Hudson View Park</v>
      </c>
      <c r="E457" s="104">
        <f>OneLineRR!J548</f>
        <v>0</v>
      </c>
      <c r="F457" s="104">
        <f>OneLineRR!K548</f>
        <v>0</v>
      </c>
      <c r="G457" s="155" t="e">
        <f>OneLineRR!D548</f>
        <v>#N/A</v>
      </c>
      <c r="H457" s="155" t="e">
        <f>IF(OneLineRR!G548="Yes","Affordable","Market")</f>
        <v>#N/A</v>
      </c>
      <c r="I457" s="104" t="e">
        <f>OneLineRR!I548</f>
        <v>#N/A</v>
      </c>
      <c r="J457" s="156">
        <f>OneLineRR!M548</f>
        <v>0</v>
      </c>
      <c r="K457" s="634">
        <f>OneLineRR!L548</f>
        <v>0</v>
      </c>
      <c r="L457" s="143" t="str">
        <f>OneLineRR!C548</f>
        <v>Occ</v>
      </c>
      <c r="M457" s="636">
        <f>OneLineRR!O548</f>
        <v>0</v>
      </c>
      <c r="N457" s="636">
        <f t="shared" ref="N457:N515" si="7">IF(L457="Vac",P457,0)</f>
        <v>0</v>
      </c>
      <c r="O457" s="636">
        <f>OneLineRR!N548</f>
        <v>0</v>
      </c>
      <c r="P457" s="636" t="e" cm="1">
        <f t="array" ref="P457">INDEX('Unit Mix'!$P$6:$P$62,MATCH(1,('Rent Roll'!G457='Unit Mix'!$E$6:$E$62)*(D457='Unit Mix'!$D$6:$D$62),0))</f>
        <v>#N/A</v>
      </c>
      <c r="Q457" s="150">
        <f>OneLineRR!T548</f>
        <v>0</v>
      </c>
      <c r="R457" s="150">
        <f>OneLineRR!U548</f>
        <v>0</v>
      </c>
      <c r="S457" s="150">
        <f>OneLineRR!V548</f>
        <v>0</v>
      </c>
      <c r="T457" s="150">
        <f>OneLineRR!W548</f>
        <v>0</v>
      </c>
      <c r="U457" s="157" t="str">
        <f>IF(OneLineRR!Q548="","",OneLineRR!Q548)</f>
        <v/>
      </c>
      <c r="V457" s="157" t="str">
        <f>IF(OneLineRR!R548="","",OneLineRR!R548)</f>
        <v/>
      </c>
      <c r="AB457" s="320" t="str">
        <f>IFERROR(U457+(COUNTIF($U$8:U457,U457)-1)/10000,"")</f>
        <v/>
      </c>
      <c r="AC457" s="158"/>
      <c r="AD457" s="119"/>
      <c r="AE457" s="460"/>
      <c r="AG457" s="119"/>
    </row>
    <row r="458" spans="4:33" x14ac:dyDescent="0.25">
      <c r="D458" s="154" t="str">
        <f>OneLineRR!A549</f>
        <v>Hudson View Park</v>
      </c>
      <c r="E458" s="104">
        <f>OneLineRR!J549</f>
        <v>0</v>
      </c>
      <c r="F458" s="104">
        <f>OneLineRR!K549</f>
        <v>0</v>
      </c>
      <c r="G458" s="155" t="e">
        <f>OneLineRR!D549</f>
        <v>#N/A</v>
      </c>
      <c r="H458" s="155" t="e">
        <f>IF(OneLineRR!G549="Yes","Affordable","Market")</f>
        <v>#N/A</v>
      </c>
      <c r="I458" s="104" t="e">
        <f>OneLineRR!I549</f>
        <v>#N/A</v>
      </c>
      <c r="J458" s="156">
        <f>OneLineRR!M549</f>
        <v>0</v>
      </c>
      <c r="K458" s="634">
        <f>OneLineRR!L549</f>
        <v>0</v>
      </c>
      <c r="L458" s="143" t="str">
        <f>OneLineRR!C549</f>
        <v>Occ</v>
      </c>
      <c r="M458" s="636">
        <f>OneLineRR!O549</f>
        <v>0</v>
      </c>
      <c r="N458" s="636">
        <f t="shared" si="7"/>
        <v>0</v>
      </c>
      <c r="O458" s="636">
        <f>OneLineRR!N549</f>
        <v>0</v>
      </c>
      <c r="P458" s="636" t="e" cm="1">
        <f t="array" ref="P458">INDEX('Unit Mix'!$P$6:$P$62,MATCH(1,('Rent Roll'!G458='Unit Mix'!$E$6:$E$62)*(D458='Unit Mix'!$D$6:$D$62),0))</f>
        <v>#N/A</v>
      </c>
      <c r="Q458" s="150">
        <f>OneLineRR!T549</f>
        <v>0</v>
      </c>
      <c r="R458" s="150">
        <f>OneLineRR!U549</f>
        <v>0</v>
      </c>
      <c r="S458" s="150">
        <f>OneLineRR!V549</f>
        <v>0</v>
      </c>
      <c r="T458" s="150">
        <f>OneLineRR!W549</f>
        <v>0</v>
      </c>
      <c r="U458" s="157" t="str">
        <f>IF(OneLineRR!Q549="","",OneLineRR!Q549)</f>
        <v/>
      </c>
      <c r="V458" s="157" t="str">
        <f>IF(OneLineRR!R549="","",OneLineRR!R549)</f>
        <v/>
      </c>
      <c r="AB458" s="320" t="str">
        <f>IFERROR(U458+(COUNTIF($U$8:U458,U458)-1)/10000,"")</f>
        <v/>
      </c>
      <c r="AC458" s="158"/>
      <c r="AD458" s="119"/>
      <c r="AE458" s="460"/>
      <c r="AG458" s="119"/>
    </row>
    <row r="459" spans="4:33" x14ac:dyDescent="0.25">
      <c r="D459" s="154" t="str">
        <f>OneLineRR!A550</f>
        <v>Hudson View Park</v>
      </c>
      <c r="E459" s="104">
        <f>OneLineRR!J550</f>
        <v>0</v>
      </c>
      <c r="F459" s="104">
        <f>OneLineRR!K550</f>
        <v>0</v>
      </c>
      <c r="G459" s="155" t="e">
        <f>OneLineRR!D550</f>
        <v>#N/A</v>
      </c>
      <c r="H459" s="155" t="e">
        <f>IF(OneLineRR!G550="Yes","Affordable","Market")</f>
        <v>#N/A</v>
      </c>
      <c r="I459" s="104" t="e">
        <f>OneLineRR!I550</f>
        <v>#N/A</v>
      </c>
      <c r="J459" s="156">
        <f>OneLineRR!M550</f>
        <v>0</v>
      </c>
      <c r="K459" s="634">
        <f>OneLineRR!L550</f>
        <v>0</v>
      </c>
      <c r="L459" s="143" t="str">
        <f>OneLineRR!C550</f>
        <v>Occ</v>
      </c>
      <c r="M459" s="636">
        <f>OneLineRR!O550</f>
        <v>0</v>
      </c>
      <c r="N459" s="636">
        <f t="shared" si="7"/>
        <v>0</v>
      </c>
      <c r="O459" s="636">
        <f>OneLineRR!N550</f>
        <v>0</v>
      </c>
      <c r="P459" s="636" t="e" cm="1">
        <f t="array" ref="P459">INDEX('Unit Mix'!$P$6:$P$62,MATCH(1,('Rent Roll'!G459='Unit Mix'!$E$6:$E$62)*(D459='Unit Mix'!$D$6:$D$62),0))</f>
        <v>#N/A</v>
      </c>
      <c r="Q459" s="150">
        <f>OneLineRR!T550</f>
        <v>0</v>
      </c>
      <c r="R459" s="150">
        <f>OneLineRR!U550</f>
        <v>0</v>
      </c>
      <c r="S459" s="150">
        <f>OneLineRR!V550</f>
        <v>0</v>
      </c>
      <c r="T459" s="150">
        <f>OneLineRR!W550</f>
        <v>0</v>
      </c>
      <c r="U459" s="157" t="str">
        <f>IF(OneLineRR!Q550="","",OneLineRR!Q550)</f>
        <v/>
      </c>
      <c r="V459" s="157" t="str">
        <f>IF(OneLineRR!R550="","",OneLineRR!R550)</f>
        <v/>
      </c>
      <c r="AB459" s="320" t="str">
        <f>IFERROR(U459+(COUNTIF($U$8:U459,U459)-1)/10000,"")</f>
        <v/>
      </c>
      <c r="AC459" s="158"/>
      <c r="AD459" s="119"/>
      <c r="AE459" s="460"/>
      <c r="AG459" s="119"/>
    </row>
    <row r="460" spans="4:33" x14ac:dyDescent="0.25">
      <c r="D460" s="154" t="str">
        <f>OneLineRR!A551</f>
        <v>Hudson View Park</v>
      </c>
      <c r="E460" s="104">
        <f>OneLineRR!J551</f>
        <v>0</v>
      </c>
      <c r="F460" s="104">
        <f>OneLineRR!K551</f>
        <v>0</v>
      </c>
      <c r="G460" s="155" t="e">
        <f>OneLineRR!D551</f>
        <v>#N/A</v>
      </c>
      <c r="H460" s="155" t="e">
        <f>IF(OneLineRR!G551="Yes","Affordable","Market")</f>
        <v>#N/A</v>
      </c>
      <c r="I460" s="104" t="e">
        <f>OneLineRR!I551</f>
        <v>#N/A</v>
      </c>
      <c r="J460" s="156">
        <f>OneLineRR!M551</f>
        <v>0</v>
      </c>
      <c r="K460" s="634">
        <f>OneLineRR!L551</f>
        <v>0</v>
      </c>
      <c r="L460" s="143" t="str">
        <f>OneLineRR!C551</f>
        <v>Occ</v>
      </c>
      <c r="M460" s="636">
        <f>OneLineRR!O551</f>
        <v>0</v>
      </c>
      <c r="N460" s="636">
        <f t="shared" si="7"/>
        <v>0</v>
      </c>
      <c r="O460" s="636">
        <f>OneLineRR!N551</f>
        <v>0</v>
      </c>
      <c r="P460" s="636" t="e" cm="1">
        <f t="array" ref="P460">INDEX('Unit Mix'!$P$6:$P$62,MATCH(1,('Rent Roll'!G460='Unit Mix'!$E$6:$E$62)*(D460='Unit Mix'!$D$6:$D$62),0))</f>
        <v>#N/A</v>
      </c>
      <c r="Q460" s="150">
        <f>OneLineRR!T551</f>
        <v>0</v>
      </c>
      <c r="R460" s="150">
        <f>OneLineRR!U551</f>
        <v>0</v>
      </c>
      <c r="S460" s="150">
        <f>OneLineRR!V551</f>
        <v>0</v>
      </c>
      <c r="T460" s="150">
        <f>OneLineRR!W551</f>
        <v>0</v>
      </c>
      <c r="U460" s="157" t="str">
        <f>IF(OneLineRR!Q551="","",OneLineRR!Q551)</f>
        <v/>
      </c>
      <c r="V460" s="157" t="str">
        <f>IF(OneLineRR!R551="","",OneLineRR!R551)</f>
        <v/>
      </c>
      <c r="AB460" s="320" t="str">
        <f>IFERROR(U460+(COUNTIF($U$8:U460,U460)-1)/10000,"")</f>
        <v/>
      </c>
      <c r="AC460" s="158"/>
      <c r="AD460" s="119"/>
      <c r="AE460" s="460"/>
      <c r="AG460" s="119"/>
    </row>
    <row r="461" spans="4:33" x14ac:dyDescent="0.25">
      <c r="D461" s="154" t="str">
        <f>OneLineRR!A552</f>
        <v>Hudson View Park</v>
      </c>
      <c r="E461" s="104">
        <f>OneLineRR!J552</f>
        <v>0</v>
      </c>
      <c r="F461" s="104">
        <f>OneLineRR!K552</f>
        <v>0</v>
      </c>
      <c r="G461" s="155" t="e">
        <f>OneLineRR!D552</f>
        <v>#N/A</v>
      </c>
      <c r="H461" s="155" t="e">
        <f>IF(OneLineRR!G552="Yes","Affordable","Market")</f>
        <v>#N/A</v>
      </c>
      <c r="I461" s="104" t="e">
        <f>OneLineRR!I552</f>
        <v>#N/A</v>
      </c>
      <c r="J461" s="156">
        <f>OneLineRR!M552</f>
        <v>0</v>
      </c>
      <c r="K461" s="634">
        <f>OneLineRR!L552</f>
        <v>0</v>
      </c>
      <c r="L461" s="143" t="str">
        <f>OneLineRR!C552</f>
        <v>Occ</v>
      </c>
      <c r="M461" s="636">
        <f>OneLineRR!O552</f>
        <v>0</v>
      </c>
      <c r="N461" s="636">
        <f t="shared" si="7"/>
        <v>0</v>
      </c>
      <c r="O461" s="636">
        <f>OneLineRR!N552</f>
        <v>0</v>
      </c>
      <c r="P461" s="636" t="e" cm="1">
        <f t="array" ref="P461">INDEX('Unit Mix'!$P$6:$P$62,MATCH(1,('Rent Roll'!G461='Unit Mix'!$E$6:$E$62)*(D461='Unit Mix'!$D$6:$D$62),0))</f>
        <v>#N/A</v>
      </c>
      <c r="Q461" s="150">
        <f>OneLineRR!T552</f>
        <v>0</v>
      </c>
      <c r="R461" s="150">
        <f>OneLineRR!U552</f>
        <v>0</v>
      </c>
      <c r="S461" s="150">
        <f>OneLineRR!V552</f>
        <v>0</v>
      </c>
      <c r="T461" s="150">
        <f>OneLineRR!W552</f>
        <v>0</v>
      </c>
      <c r="U461" s="157" t="str">
        <f>IF(OneLineRR!Q552="","",OneLineRR!Q552)</f>
        <v/>
      </c>
      <c r="V461" s="157" t="str">
        <f>IF(OneLineRR!R552="","",OneLineRR!R552)</f>
        <v/>
      </c>
      <c r="AB461" s="320" t="str">
        <f>IFERROR(U461+(COUNTIF($U$8:U461,U461)-1)/10000,"")</f>
        <v/>
      </c>
      <c r="AC461" s="158"/>
      <c r="AD461" s="119"/>
      <c r="AE461" s="460"/>
      <c r="AG461" s="119"/>
    </row>
    <row r="462" spans="4:33" x14ac:dyDescent="0.25">
      <c r="D462" s="154" t="str">
        <f>OneLineRR!A553</f>
        <v>Hudson View Park</v>
      </c>
      <c r="E462" s="104">
        <f>OneLineRR!J553</f>
        <v>0</v>
      </c>
      <c r="F462" s="104">
        <f>OneLineRR!K553</f>
        <v>0</v>
      </c>
      <c r="G462" s="155" t="e">
        <f>OneLineRR!D553</f>
        <v>#N/A</v>
      </c>
      <c r="H462" s="155" t="e">
        <f>IF(OneLineRR!G553="Yes","Affordable","Market")</f>
        <v>#N/A</v>
      </c>
      <c r="I462" s="104" t="e">
        <f>OneLineRR!I553</f>
        <v>#N/A</v>
      </c>
      <c r="J462" s="156">
        <f>OneLineRR!M553</f>
        <v>0</v>
      </c>
      <c r="K462" s="634">
        <f>OneLineRR!L553</f>
        <v>0</v>
      </c>
      <c r="L462" s="143" t="str">
        <f>OneLineRR!C553</f>
        <v>Occ</v>
      </c>
      <c r="M462" s="636">
        <f>OneLineRR!O553</f>
        <v>0</v>
      </c>
      <c r="N462" s="636">
        <f t="shared" si="7"/>
        <v>0</v>
      </c>
      <c r="O462" s="636">
        <f>OneLineRR!N553</f>
        <v>0</v>
      </c>
      <c r="P462" s="636" t="e" cm="1">
        <f t="array" ref="P462">INDEX('Unit Mix'!$P$6:$P$62,MATCH(1,('Rent Roll'!G462='Unit Mix'!$E$6:$E$62)*(D462='Unit Mix'!$D$6:$D$62),0))</f>
        <v>#N/A</v>
      </c>
      <c r="Q462" s="150">
        <f>OneLineRR!T553</f>
        <v>0</v>
      </c>
      <c r="R462" s="150">
        <f>OneLineRR!U553</f>
        <v>0</v>
      </c>
      <c r="S462" s="150">
        <f>OneLineRR!V553</f>
        <v>0</v>
      </c>
      <c r="T462" s="150">
        <f>OneLineRR!W553</f>
        <v>0</v>
      </c>
      <c r="U462" s="157" t="str">
        <f>IF(OneLineRR!Q553="","",OneLineRR!Q553)</f>
        <v/>
      </c>
      <c r="V462" s="157" t="str">
        <f>IF(OneLineRR!R553="","",OneLineRR!R553)</f>
        <v/>
      </c>
      <c r="AB462" s="320" t="str">
        <f>IFERROR(U462+(COUNTIF($U$8:U462,U462)-1)/10000,"")</f>
        <v/>
      </c>
      <c r="AC462" s="158"/>
      <c r="AD462" s="119"/>
      <c r="AE462" s="460"/>
      <c r="AG462" s="119"/>
    </row>
    <row r="463" spans="4:33" x14ac:dyDescent="0.25">
      <c r="D463" s="154" t="str">
        <f>OneLineRR!A554</f>
        <v>Hudson View Park</v>
      </c>
      <c r="E463" s="104">
        <f>OneLineRR!J554</f>
        <v>0</v>
      </c>
      <c r="F463" s="104">
        <f>OneLineRR!K554</f>
        <v>0</v>
      </c>
      <c r="G463" s="155" t="e">
        <f>OneLineRR!D554</f>
        <v>#N/A</v>
      </c>
      <c r="H463" s="155" t="e">
        <f>IF(OneLineRR!G554="Yes","Affordable","Market")</f>
        <v>#N/A</v>
      </c>
      <c r="I463" s="104" t="e">
        <f>OneLineRR!I554</f>
        <v>#N/A</v>
      </c>
      <c r="J463" s="156">
        <f>OneLineRR!M554</f>
        <v>0</v>
      </c>
      <c r="K463" s="634">
        <f>OneLineRR!L554</f>
        <v>0</v>
      </c>
      <c r="L463" s="143" t="str">
        <f>OneLineRR!C554</f>
        <v>Occ</v>
      </c>
      <c r="M463" s="636">
        <f>OneLineRR!O554</f>
        <v>0</v>
      </c>
      <c r="N463" s="636">
        <f t="shared" si="7"/>
        <v>0</v>
      </c>
      <c r="O463" s="636">
        <f>OneLineRR!N554</f>
        <v>0</v>
      </c>
      <c r="P463" s="636" t="e" cm="1">
        <f t="array" ref="P463">INDEX('Unit Mix'!$P$6:$P$62,MATCH(1,('Rent Roll'!G463='Unit Mix'!$E$6:$E$62)*(D463='Unit Mix'!$D$6:$D$62),0))</f>
        <v>#N/A</v>
      </c>
      <c r="Q463" s="150">
        <f>OneLineRR!T554</f>
        <v>0</v>
      </c>
      <c r="R463" s="150">
        <f>OneLineRR!U554</f>
        <v>0</v>
      </c>
      <c r="S463" s="150">
        <f>OneLineRR!V554</f>
        <v>0</v>
      </c>
      <c r="T463" s="150">
        <f>OneLineRR!W554</f>
        <v>0</v>
      </c>
      <c r="U463" s="157" t="str">
        <f>IF(OneLineRR!Q554="","",OneLineRR!Q554)</f>
        <v/>
      </c>
      <c r="V463" s="157" t="str">
        <f>IF(OneLineRR!R554="","",OneLineRR!R554)</f>
        <v/>
      </c>
      <c r="AB463" s="320" t="str">
        <f>IFERROR(U463+(COUNTIF($U$8:U463,U463)-1)/10000,"")</f>
        <v/>
      </c>
      <c r="AC463" s="158"/>
      <c r="AD463" s="119"/>
      <c r="AE463" s="460"/>
      <c r="AG463" s="119"/>
    </row>
    <row r="464" spans="4:33" x14ac:dyDescent="0.25">
      <c r="D464" s="154" t="str">
        <f>OneLineRR!A555</f>
        <v>Hudson View Park</v>
      </c>
      <c r="E464" s="104">
        <f>OneLineRR!J555</f>
        <v>0</v>
      </c>
      <c r="F464" s="104">
        <f>OneLineRR!K555</f>
        <v>0</v>
      </c>
      <c r="G464" s="155" t="e">
        <f>OneLineRR!D555</f>
        <v>#N/A</v>
      </c>
      <c r="H464" s="155" t="e">
        <f>IF(OneLineRR!G555="Yes","Affordable","Market")</f>
        <v>#N/A</v>
      </c>
      <c r="I464" s="104" t="e">
        <f>OneLineRR!I555</f>
        <v>#N/A</v>
      </c>
      <c r="J464" s="156">
        <f>OneLineRR!M555</f>
        <v>0</v>
      </c>
      <c r="K464" s="634">
        <f>OneLineRR!L555</f>
        <v>0</v>
      </c>
      <c r="L464" s="143" t="str">
        <f>OneLineRR!C555</f>
        <v>Occ</v>
      </c>
      <c r="M464" s="636">
        <f>OneLineRR!O555</f>
        <v>0</v>
      </c>
      <c r="N464" s="636">
        <f t="shared" si="7"/>
        <v>0</v>
      </c>
      <c r="O464" s="636">
        <f>OneLineRR!N555</f>
        <v>0</v>
      </c>
      <c r="P464" s="636" t="e" cm="1">
        <f t="array" ref="P464">INDEX('Unit Mix'!$P$6:$P$62,MATCH(1,('Rent Roll'!G464='Unit Mix'!$E$6:$E$62)*(D464='Unit Mix'!$D$6:$D$62),0))</f>
        <v>#N/A</v>
      </c>
      <c r="Q464" s="150">
        <f>OneLineRR!T555</f>
        <v>0</v>
      </c>
      <c r="R464" s="150">
        <f>OneLineRR!U555</f>
        <v>0</v>
      </c>
      <c r="S464" s="150">
        <f>OneLineRR!V555</f>
        <v>0</v>
      </c>
      <c r="T464" s="150">
        <f>OneLineRR!W555</f>
        <v>0</v>
      </c>
      <c r="U464" s="157" t="str">
        <f>IF(OneLineRR!Q555="","",OneLineRR!Q555)</f>
        <v/>
      </c>
      <c r="V464" s="157" t="str">
        <f>IF(OneLineRR!R555="","",OneLineRR!R555)</f>
        <v/>
      </c>
      <c r="AB464" s="320" t="str">
        <f>IFERROR(U464+(COUNTIF($U$8:U464,U464)-1)/10000,"")</f>
        <v/>
      </c>
      <c r="AC464" s="158"/>
      <c r="AD464" s="119"/>
      <c r="AE464" s="460"/>
      <c r="AG464" s="119"/>
    </row>
    <row r="465" spans="4:33" x14ac:dyDescent="0.25">
      <c r="D465" s="154" t="str">
        <f>OneLineRR!A556</f>
        <v>Hudson View Park</v>
      </c>
      <c r="E465" s="104">
        <f>OneLineRR!J556</f>
        <v>0</v>
      </c>
      <c r="F465" s="104">
        <f>OneLineRR!K556</f>
        <v>0</v>
      </c>
      <c r="G465" s="155" t="e">
        <f>OneLineRR!D556</f>
        <v>#N/A</v>
      </c>
      <c r="H465" s="155" t="e">
        <f>IF(OneLineRR!G556="Yes","Affordable","Market")</f>
        <v>#N/A</v>
      </c>
      <c r="I465" s="104" t="e">
        <f>OneLineRR!I556</f>
        <v>#N/A</v>
      </c>
      <c r="J465" s="156">
        <f>OneLineRR!M556</f>
        <v>0</v>
      </c>
      <c r="K465" s="634">
        <f>OneLineRR!L556</f>
        <v>0</v>
      </c>
      <c r="L465" s="143" t="str">
        <f>OneLineRR!C556</f>
        <v>Occ</v>
      </c>
      <c r="M465" s="636">
        <f>OneLineRR!O556</f>
        <v>0</v>
      </c>
      <c r="N465" s="636">
        <f t="shared" si="7"/>
        <v>0</v>
      </c>
      <c r="O465" s="636">
        <f>OneLineRR!N556</f>
        <v>0</v>
      </c>
      <c r="P465" s="636" t="e" cm="1">
        <f t="array" ref="P465">INDEX('Unit Mix'!$P$6:$P$62,MATCH(1,('Rent Roll'!G465='Unit Mix'!$E$6:$E$62)*(D465='Unit Mix'!$D$6:$D$62),0))</f>
        <v>#N/A</v>
      </c>
      <c r="Q465" s="150">
        <f>OneLineRR!T556</f>
        <v>0</v>
      </c>
      <c r="R465" s="150">
        <f>OneLineRR!U556</f>
        <v>0</v>
      </c>
      <c r="S465" s="150">
        <f>OneLineRR!V556</f>
        <v>0</v>
      </c>
      <c r="T465" s="150">
        <f>OneLineRR!W556</f>
        <v>0</v>
      </c>
      <c r="U465" s="157" t="str">
        <f>IF(OneLineRR!Q556="","",OneLineRR!Q556)</f>
        <v/>
      </c>
      <c r="V465" s="157" t="str">
        <f>IF(OneLineRR!R556="","",OneLineRR!R556)</f>
        <v/>
      </c>
      <c r="AB465" s="320" t="str">
        <f>IFERROR(U465+(COUNTIF($U$8:U465,U465)-1)/10000,"")</f>
        <v/>
      </c>
      <c r="AC465" s="158"/>
      <c r="AD465" s="119"/>
      <c r="AE465" s="460"/>
      <c r="AG465" s="119"/>
    </row>
    <row r="466" spans="4:33" x14ac:dyDescent="0.25">
      <c r="D466" s="154" t="str">
        <f>OneLineRR!A557</f>
        <v>Hudson View Park</v>
      </c>
      <c r="E466" s="104">
        <f>OneLineRR!J557</f>
        <v>0</v>
      </c>
      <c r="F466" s="104">
        <f>OneLineRR!K557</f>
        <v>0</v>
      </c>
      <c r="G466" s="155" t="e">
        <f>OneLineRR!D557</f>
        <v>#N/A</v>
      </c>
      <c r="H466" s="155" t="e">
        <f>IF(OneLineRR!G557="Yes","Affordable","Market")</f>
        <v>#N/A</v>
      </c>
      <c r="I466" s="104" t="e">
        <f>OneLineRR!I557</f>
        <v>#N/A</v>
      </c>
      <c r="J466" s="156">
        <f>OneLineRR!M557</f>
        <v>0</v>
      </c>
      <c r="K466" s="634">
        <f>OneLineRR!L557</f>
        <v>0</v>
      </c>
      <c r="L466" s="143" t="str">
        <f>OneLineRR!C557</f>
        <v>Occ</v>
      </c>
      <c r="M466" s="636">
        <f>OneLineRR!O557</f>
        <v>0</v>
      </c>
      <c r="N466" s="636">
        <f t="shared" si="7"/>
        <v>0</v>
      </c>
      <c r="O466" s="636">
        <f>OneLineRR!N557</f>
        <v>0</v>
      </c>
      <c r="P466" s="636" t="e" cm="1">
        <f t="array" ref="P466">INDEX('Unit Mix'!$P$6:$P$62,MATCH(1,('Rent Roll'!G466='Unit Mix'!$E$6:$E$62)*(D466='Unit Mix'!$D$6:$D$62),0))</f>
        <v>#N/A</v>
      </c>
      <c r="Q466" s="150">
        <f>OneLineRR!T557</f>
        <v>0</v>
      </c>
      <c r="R466" s="150">
        <f>OneLineRR!U557</f>
        <v>0</v>
      </c>
      <c r="S466" s="150">
        <f>OneLineRR!V557</f>
        <v>0</v>
      </c>
      <c r="T466" s="150">
        <f>OneLineRR!W557</f>
        <v>0</v>
      </c>
      <c r="U466" s="157" t="str">
        <f>IF(OneLineRR!Q557="","",OneLineRR!Q557)</f>
        <v/>
      </c>
      <c r="V466" s="157" t="str">
        <f>IF(OneLineRR!R557="","",OneLineRR!R557)</f>
        <v/>
      </c>
      <c r="AB466" s="320" t="str">
        <f>IFERROR(U466+(COUNTIF($U$8:U466,U466)-1)/10000,"")</f>
        <v/>
      </c>
      <c r="AC466" s="158"/>
      <c r="AD466" s="119"/>
      <c r="AE466" s="460"/>
      <c r="AG466" s="119"/>
    </row>
    <row r="467" spans="4:33" x14ac:dyDescent="0.25">
      <c r="D467" s="154" t="str">
        <f>OneLineRR!A558</f>
        <v>Hudson View Park</v>
      </c>
      <c r="E467" s="104">
        <f>OneLineRR!J558</f>
        <v>0</v>
      </c>
      <c r="F467" s="104">
        <f>OneLineRR!K558</f>
        <v>0</v>
      </c>
      <c r="G467" s="155" t="e">
        <f>OneLineRR!D558</f>
        <v>#N/A</v>
      </c>
      <c r="H467" s="155" t="e">
        <f>IF(OneLineRR!G558="Yes","Affordable","Market")</f>
        <v>#N/A</v>
      </c>
      <c r="I467" s="104" t="e">
        <f>OneLineRR!I558</f>
        <v>#N/A</v>
      </c>
      <c r="J467" s="156">
        <f>OneLineRR!M558</f>
        <v>0</v>
      </c>
      <c r="K467" s="634">
        <f>OneLineRR!L558</f>
        <v>0</v>
      </c>
      <c r="L467" s="143" t="str">
        <f>OneLineRR!C558</f>
        <v>Occ</v>
      </c>
      <c r="M467" s="636">
        <f>OneLineRR!O558</f>
        <v>0</v>
      </c>
      <c r="N467" s="636">
        <f t="shared" si="7"/>
        <v>0</v>
      </c>
      <c r="O467" s="636">
        <f>OneLineRR!N558</f>
        <v>0</v>
      </c>
      <c r="P467" s="636" t="e" cm="1">
        <f t="array" ref="P467">INDEX('Unit Mix'!$P$6:$P$62,MATCH(1,('Rent Roll'!G467='Unit Mix'!$E$6:$E$62)*(D467='Unit Mix'!$D$6:$D$62),0))</f>
        <v>#N/A</v>
      </c>
      <c r="Q467" s="150">
        <f>OneLineRR!T558</f>
        <v>0</v>
      </c>
      <c r="R467" s="150">
        <f>OneLineRR!U558</f>
        <v>0</v>
      </c>
      <c r="S467" s="150">
        <f>OneLineRR!V558</f>
        <v>0</v>
      </c>
      <c r="T467" s="150">
        <f>OneLineRR!W558</f>
        <v>0</v>
      </c>
      <c r="U467" s="157" t="str">
        <f>IF(OneLineRR!Q558="","",OneLineRR!Q558)</f>
        <v/>
      </c>
      <c r="V467" s="157" t="str">
        <f>IF(OneLineRR!R558="","",OneLineRR!R558)</f>
        <v/>
      </c>
      <c r="AB467" s="320" t="str">
        <f>IFERROR(U467+(COUNTIF($U$8:U467,U467)-1)/10000,"")</f>
        <v/>
      </c>
      <c r="AC467" s="158"/>
      <c r="AD467" s="119"/>
      <c r="AE467" s="460"/>
      <c r="AG467" s="119"/>
    </row>
    <row r="468" spans="4:33" x14ac:dyDescent="0.25">
      <c r="D468" s="154" t="str">
        <f>OneLineRR!A559</f>
        <v>Hudson View Park</v>
      </c>
      <c r="E468" s="104">
        <f>OneLineRR!J559</f>
        <v>0</v>
      </c>
      <c r="F468" s="104">
        <f>OneLineRR!K559</f>
        <v>0</v>
      </c>
      <c r="G468" s="155" t="e">
        <f>OneLineRR!D559</f>
        <v>#N/A</v>
      </c>
      <c r="H468" s="155" t="e">
        <f>IF(OneLineRR!G559="Yes","Affordable","Market")</f>
        <v>#N/A</v>
      </c>
      <c r="I468" s="104" t="e">
        <f>OneLineRR!I559</f>
        <v>#N/A</v>
      </c>
      <c r="J468" s="156">
        <f>OneLineRR!M559</f>
        <v>0</v>
      </c>
      <c r="K468" s="634">
        <f>OneLineRR!L559</f>
        <v>0</v>
      </c>
      <c r="L468" s="143" t="str">
        <f>OneLineRR!C559</f>
        <v>Occ</v>
      </c>
      <c r="M468" s="636">
        <f>OneLineRR!O559</f>
        <v>0</v>
      </c>
      <c r="N468" s="636">
        <f t="shared" si="7"/>
        <v>0</v>
      </c>
      <c r="O468" s="636">
        <f>OneLineRR!N559</f>
        <v>0</v>
      </c>
      <c r="P468" s="636" t="e" cm="1">
        <f t="array" ref="P468">INDEX('Unit Mix'!$P$6:$P$62,MATCH(1,('Rent Roll'!G468='Unit Mix'!$E$6:$E$62)*(D468='Unit Mix'!$D$6:$D$62),0))</f>
        <v>#N/A</v>
      </c>
      <c r="Q468" s="150">
        <f>OneLineRR!T559</f>
        <v>0</v>
      </c>
      <c r="R468" s="150">
        <f>OneLineRR!U559</f>
        <v>0</v>
      </c>
      <c r="S468" s="150">
        <f>OneLineRR!V559</f>
        <v>0</v>
      </c>
      <c r="T468" s="150">
        <f>OneLineRR!W559</f>
        <v>0</v>
      </c>
      <c r="U468" s="157" t="str">
        <f>IF(OneLineRR!Q559="","",OneLineRR!Q559)</f>
        <v/>
      </c>
      <c r="V468" s="157" t="str">
        <f>IF(OneLineRR!R559="","",OneLineRR!R559)</f>
        <v/>
      </c>
      <c r="AB468" s="320" t="str">
        <f>IFERROR(U468+(COUNTIF($U$8:U468,U468)-1)/10000,"")</f>
        <v/>
      </c>
      <c r="AC468" s="158"/>
      <c r="AD468" s="119"/>
      <c r="AE468" s="460"/>
      <c r="AG468" s="119"/>
    </row>
    <row r="469" spans="4:33" x14ac:dyDescent="0.25">
      <c r="D469" s="154" t="str">
        <f>OneLineRR!A560</f>
        <v>Hudson View Park</v>
      </c>
      <c r="E469" s="104">
        <f>OneLineRR!J560</f>
        <v>0</v>
      </c>
      <c r="F469" s="104">
        <f>OneLineRR!K560</f>
        <v>0</v>
      </c>
      <c r="G469" s="155" t="e">
        <f>OneLineRR!D560</f>
        <v>#N/A</v>
      </c>
      <c r="H469" s="155" t="e">
        <f>IF(OneLineRR!G560="Yes","Affordable","Market")</f>
        <v>#N/A</v>
      </c>
      <c r="I469" s="104" t="e">
        <f>OneLineRR!I560</f>
        <v>#N/A</v>
      </c>
      <c r="J469" s="156">
        <f>OneLineRR!M560</f>
        <v>0</v>
      </c>
      <c r="K469" s="634">
        <f>OneLineRR!L560</f>
        <v>0</v>
      </c>
      <c r="L469" s="143" t="str">
        <f>OneLineRR!C560</f>
        <v>Occ</v>
      </c>
      <c r="M469" s="636">
        <f>OneLineRR!O560</f>
        <v>0</v>
      </c>
      <c r="N469" s="636">
        <f t="shared" si="7"/>
        <v>0</v>
      </c>
      <c r="O469" s="636">
        <f>OneLineRR!N560</f>
        <v>0</v>
      </c>
      <c r="P469" s="636" t="e" cm="1">
        <f t="array" ref="P469">INDEX('Unit Mix'!$P$6:$P$62,MATCH(1,('Rent Roll'!G469='Unit Mix'!$E$6:$E$62)*(D469='Unit Mix'!$D$6:$D$62),0))</f>
        <v>#N/A</v>
      </c>
      <c r="Q469" s="150">
        <f>OneLineRR!T560</f>
        <v>0</v>
      </c>
      <c r="R469" s="150">
        <f>OneLineRR!U560</f>
        <v>0</v>
      </c>
      <c r="S469" s="150">
        <f>OneLineRR!V560</f>
        <v>0</v>
      </c>
      <c r="T469" s="150">
        <f>OneLineRR!W560</f>
        <v>0</v>
      </c>
      <c r="U469" s="157" t="str">
        <f>IF(OneLineRR!Q560="","",OneLineRR!Q560)</f>
        <v/>
      </c>
      <c r="V469" s="157" t="str">
        <f>IF(OneLineRR!R560="","",OneLineRR!R560)</f>
        <v/>
      </c>
      <c r="AB469" s="320" t="str">
        <f>IFERROR(U469+(COUNTIF($U$8:U469,U469)-1)/10000,"")</f>
        <v/>
      </c>
      <c r="AC469" s="158"/>
      <c r="AD469" s="119"/>
      <c r="AE469" s="460"/>
      <c r="AG469" s="119"/>
    </row>
    <row r="470" spans="4:33" x14ac:dyDescent="0.25">
      <c r="D470" s="154" t="str">
        <f>OneLineRR!A561</f>
        <v>Hudson View Park</v>
      </c>
      <c r="E470" s="104">
        <f>OneLineRR!J561</f>
        <v>0</v>
      </c>
      <c r="F470" s="104">
        <f>OneLineRR!K561</f>
        <v>0</v>
      </c>
      <c r="G470" s="155" t="e">
        <f>OneLineRR!D561</f>
        <v>#N/A</v>
      </c>
      <c r="H470" s="155" t="e">
        <f>IF(OneLineRR!G561="Yes","Affordable","Market")</f>
        <v>#N/A</v>
      </c>
      <c r="I470" s="104" t="e">
        <f>OneLineRR!I561</f>
        <v>#N/A</v>
      </c>
      <c r="J470" s="156">
        <f>OneLineRR!M561</f>
        <v>0</v>
      </c>
      <c r="K470" s="634">
        <f>OneLineRR!L561</f>
        <v>0</v>
      </c>
      <c r="L470" s="143" t="str">
        <f>OneLineRR!C561</f>
        <v>Occ</v>
      </c>
      <c r="M470" s="636">
        <f>OneLineRR!O561</f>
        <v>0</v>
      </c>
      <c r="N470" s="636">
        <f t="shared" si="7"/>
        <v>0</v>
      </c>
      <c r="O470" s="636">
        <f>OneLineRR!N561</f>
        <v>0</v>
      </c>
      <c r="P470" s="636" t="e" cm="1">
        <f t="array" ref="P470">INDEX('Unit Mix'!$P$6:$P$62,MATCH(1,('Rent Roll'!G470='Unit Mix'!$E$6:$E$62)*(D470='Unit Mix'!$D$6:$D$62),0))</f>
        <v>#N/A</v>
      </c>
      <c r="Q470" s="150">
        <f>OneLineRR!T561</f>
        <v>0</v>
      </c>
      <c r="R470" s="150">
        <f>OneLineRR!U561</f>
        <v>0</v>
      </c>
      <c r="S470" s="150">
        <f>OneLineRR!V561</f>
        <v>0</v>
      </c>
      <c r="T470" s="150">
        <f>OneLineRR!W561</f>
        <v>0</v>
      </c>
      <c r="U470" s="157" t="str">
        <f>IF(OneLineRR!Q561="","",OneLineRR!Q561)</f>
        <v/>
      </c>
      <c r="V470" s="157" t="str">
        <f>IF(OneLineRR!R561="","",OneLineRR!R561)</f>
        <v/>
      </c>
      <c r="AB470" s="320" t="str">
        <f>IFERROR(U470+(COUNTIF($U$8:U470,U470)-1)/10000,"")</f>
        <v/>
      </c>
      <c r="AC470" s="158"/>
      <c r="AD470" s="119"/>
      <c r="AE470" s="460"/>
      <c r="AG470" s="119"/>
    </row>
    <row r="471" spans="4:33" x14ac:dyDescent="0.25">
      <c r="D471" s="154" t="str">
        <f>OneLineRR!A562</f>
        <v>Hudson View Park</v>
      </c>
      <c r="E471" s="104">
        <f>OneLineRR!J562</f>
        <v>0</v>
      </c>
      <c r="F471" s="104">
        <f>OneLineRR!K562</f>
        <v>0</v>
      </c>
      <c r="G471" s="155" t="e">
        <f>OneLineRR!D562</f>
        <v>#N/A</v>
      </c>
      <c r="H471" s="155" t="e">
        <f>IF(OneLineRR!G562="Yes","Affordable","Market")</f>
        <v>#N/A</v>
      </c>
      <c r="I471" s="104" t="e">
        <f>OneLineRR!I562</f>
        <v>#N/A</v>
      </c>
      <c r="J471" s="156">
        <f>OneLineRR!M562</f>
        <v>0</v>
      </c>
      <c r="K471" s="634">
        <f>OneLineRR!L562</f>
        <v>0</v>
      </c>
      <c r="L471" s="143" t="str">
        <f>OneLineRR!C562</f>
        <v>Occ</v>
      </c>
      <c r="M471" s="636">
        <f>OneLineRR!O562</f>
        <v>0</v>
      </c>
      <c r="N471" s="636">
        <f t="shared" si="7"/>
        <v>0</v>
      </c>
      <c r="O471" s="636">
        <f>OneLineRR!N562</f>
        <v>0</v>
      </c>
      <c r="P471" s="636" t="e" cm="1">
        <f t="array" ref="P471">INDEX('Unit Mix'!$P$6:$P$62,MATCH(1,('Rent Roll'!G471='Unit Mix'!$E$6:$E$62)*(D471='Unit Mix'!$D$6:$D$62),0))</f>
        <v>#N/A</v>
      </c>
      <c r="Q471" s="150">
        <f>OneLineRR!T562</f>
        <v>0</v>
      </c>
      <c r="R471" s="150">
        <f>OneLineRR!U562</f>
        <v>0</v>
      </c>
      <c r="S471" s="150">
        <f>OneLineRR!V562</f>
        <v>0</v>
      </c>
      <c r="T471" s="150">
        <f>OneLineRR!W562</f>
        <v>0</v>
      </c>
      <c r="U471" s="157" t="str">
        <f>IF(OneLineRR!Q562="","",OneLineRR!Q562)</f>
        <v/>
      </c>
      <c r="V471" s="157" t="str">
        <f>IF(OneLineRR!R562="","",OneLineRR!R562)</f>
        <v/>
      </c>
      <c r="AB471" s="320" t="str">
        <f>IFERROR(U471+(COUNTIF($U$8:U471,U471)-1)/10000,"")</f>
        <v/>
      </c>
      <c r="AC471" s="158"/>
      <c r="AD471" s="119"/>
      <c r="AE471" s="460"/>
      <c r="AG471" s="119"/>
    </row>
    <row r="472" spans="4:33" x14ac:dyDescent="0.25">
      <c r="D472" s="154" t="str">
        <f>OneLineRR!A563</f>
        <v>Hudson View Park</v>
      </c>
      <c r="E472" s="104">
        <f>OneLineRR!J563</f>
        <v>0</v>
      </c>
      <c r="F472" s="104">
        <f>OneLineRR!K563</f>
        <v>0</v>
      </c>
      <c r="G472" s="155" t="e">
        <f>OneLineRR!D563</f>
        <v>#N/A</v>
      </c>
      <c r="H472" s="155" t="e">
        <f>IF(OneLineRR!G563="Yes","Affordable","Market")</f>
        <v>#N/A</v>
      </c>
      <c r="I472" s="104" t="e">
        <f>OneLineRR!I563</f>
        <v>#N/A</v>
      </c>
      <c r="J472" s="156">
        <f>OneLineRR!M563</f>
        <v>0</v>
      </c>
      <c r="K472" s="634">
        <f>OneLineRR!L563</f>
        <v>0</v>
      </c>
      <c r="L472" s="143" t="str">
        <f>OneLineRR!C563</f>
        <v>Occ</v>
      </c>
      <c r="M472" s="636">
        <f>OneLineRR!O563</f>
        <v>0</v>
      </c>
      <c r="N472" s="636">
        <f t="shared" si="7"/>
        <v>0</v>
      </c>
      <c r="O472" s="636">
        <f>OneLineRR!N563</f>
        <v>0</v>
      </c>
      <c r="P472" s="636" t="e" cm="1">
        <f t="array" ref="P472">INDEX('Unit Mix'!$P$6:$P$62,MATCH(1,('Rent Roll'!G472='Unit Mix'!$E$6:$E$62)*(D472='Unit Mix'!$D$6:$D$62),0))</f>
        <v>#N/A</v>
      </c>
      <c r="Q472" s="150">
        <f>OneLineRR!T563</f>
        <v>0</v>
      </c>
      <c r="R472" s="150">
        <f>OneLineRR!U563</f>
        <v>0</v>
      </c>
      <c r="S472" s="150">
        <f>OneLineRR!V563</f>
        <v>0</v>
      </c>
      <c r="T472" s="150">
        <f>OneLineRR!W563</f>
        <v>0</v>
      </c>
      <c r="U472" s="157" t="str">
        <f>IF(OneLineRR!Q563="","",OneLineRR!Q563)</f>
        <v/>
      </c>
      <c r="V472" s="157" t="str">
        <f>IF(OneLineRR!R563="","",OneLineRR!R563)</f>
        <v/>
      </c>
      <c r="AB472" s="320" t="str">
        <f>IFERROR(U472+(COUNTIF($U$8:U472,U472)-1)/10000,"")</f>
        <v/>
      </c>
      <c r="AC472" s="158"/>
      <c r="AD472" s="119"/>
      <c r="AE472" s="460"/>
      <c r="AG472" s="119"/>
    </row>
    <row r="473" spans="4:33" x14ac:dyDescent="0.25">
      <c r="D473" s="154" t="str">
        <f>OneLineRR!A564</f>
        <v>Hudson View Park</v>
      </c>
      <c r="E473" s="104">
        <f>OneLineRR!J564</f>
        <v>0</v>
      </c>
      <c r="F473" s="104">
        <f>OneLineRR!K564</f>
        <v>0</v>
      </c>
      <c r="G473" s="155" t="e">
        <f>OneLineRR!D564</f>
        <v>#N/A</v>
      </c>
      <c r="H473" s="155" t="e">
        <f>IF(OneLineRR!G564="Yes","Affordable","Market")</f>
        <v>#N/A</v>
      </c>
      <c r="I473" s="104" t="e">
        <f>OneLineRR!I564</f>
        <v>#N/A</v>
      </c>
      <c r="J473" s="156">
        <f>OneLineRR!M564</f>
        <v>0</v>
      </c>
      <c r="K473" s="634">
        <f>OneLineRR!L564</f>
        <v>0</v>
      </c>
      <c r="L473" s="143" t="str">
        <f>OneLineRR!C564</f>
        <v>Occ</v>
      </c>
      <c r="M473" s="636">
        <f>OneLineRR!O564</f>
        <v>0</v>
      </c>
      <c r="N473" s="636">
        <f t="shared" si="7"/>
        <v>0</v>
      </c>
      <c r="O473" s="636">
        <f>OneLineRR!N564</f>
        <v>0</v>
      </c>
      <c r="P473" s="636" t="e" cm="1">
        <f t="array" ref="P473">INDEX('Unit Mix'!$P$6:$P$62,MATCH(1,('Rent Roll'!G473='Unit Mix'!$E$6:$E$62)*(D473='Unit Mix'!$D$6:$D$62),0))</f>
        <v>#N/A</v>
      </c>
      <c r="Q473" s="150">
        <f>OneLineRR!T564</f>
        <v>0</v>
      </c>
      <c r="R473" s="150">
        <f>OneLineRR!U564</f>
        <v>0</v>
      </c>
      <c r="S473" s="150">
        <f>OneLineRR!V564</f>
        <v>0</v>
      </c>
      <c r="T473" s="150">
        <f>OneLineRR!W564</f>
        <v>0</v>
      </c>
      <c r="U473" s="157" t="str">
        <f>IF(OneLineRR!Q564="","",OneLineRR!Q564)</f>
        <v/>
      </c>
      <c r="V473" s="157" t="str">
        <f>IF(OneLineRR!R564="","",OneLineRR!R564)</f>
        <v/>
      </c>
      <c r="AB473" s="320" t="str">
        <f>IFERROR(U473+(COUNTIF($U$8:U473,U473)-1)/10000,"")</f>
        <v/>
      </c>
      <c r="AC473" s="158"/>
      <c r="AD473" s="119"/>
      <c r="AE473" s="460"/>
      <c r="AG473" s="119"/>
    </row>
    <row r="474" spans="4:33" x14ac:dyDescent="0.25">
      <c r="D474" s="154" t="str">
        <f>OneLineRR!A565</f>
        <v>Hudson View Park</v>
      </c>
      <c r="E474" s="104">
        <f>OneLineRR!J565</f>
        <v>0</v>
      </c>
      <c r="F474" s="104">
        <f>OneLineRR!K565</f>
        <v>0</v>
      </c>
      <c r="G474" s="155" t="e">
        <f>OneLineRR!D565</f>
        <v>#N/A</v>
      </c>
      <c r="H474" s="155" t="e">
        <f>IF(OneLineRR!G565="Yes","Affordable","Market")</f>
        <v>#N/A</v>
      </c>
      <c r="I474" s="104" t="e">
        <f>OneLineRR!I565</f>
        <v>#N/A</v>
      </c>
      <c r="J474" s="156">
        <f>OneLineRR!M565</f>
        <v>0</v>
      </c>
      <c r="K474" s="634">
        <f>OneLineRR!L565</f>
        <v>0</v>
      </c>
      <c r="L474" s="143" t="str">
        <f>OneLineRR!C565</f>
        <v>Occ</v>
      </c>
      <c r="M474" s="636">
        <f>OneLineRR!O565</f>
        <v>0</v>
      </c>
      <c r="N474" s="636">
        <f t="shared" si="7"/>
        <v>0</v>
      </c>
      <c r="O474" s="636">
        <f>OneLineRR!N565</f>
        <v>0</v>
      </c>
      <c r="P474" s="636" t="e" cm="1">
        <f t="array" ref="P474">INDEX('Unit Mix'!$P$6:$P$62,MATCH(1,('Rent Roll'!G474='Unit Mix'!$E$6:$E$62)*(D474='Unit Mix'!$D$6:$D$62),0))</f>
        <v>#N/A</v>
      </c>
      <c r="Q474" s="150">
        <f>OneLineRR!T565</f>
        <v>0</v>
      </c>
      <c r="R474" s="150">
        <f>OneLineRR!U565</f>
        <v>0</v>
      </c>
      <c r="S474" s="150">
        <f>OneLineRR!V565</f>
        <v>0</v>
      </c>
      <c r="T474" s="150">
        <f>OneLineRR!W565</f>
        <v>0</v>
      </c>
      <c r="U474" s="157" t="str">
        <f>IF(OneLineRR!Q565="","",OneLineRR!Q565)</f>
        <v/>
      </c>
      <c r="V474" s="157" t="str">
        <f>IF(OneLineRR!R565="","",OneLineRR!R565)</f>
        <v/>
      </c>
      <c r="AB474" s="320" t="str">
        <f>IFERROR(U474+(COUNTIF($U$8:U474,U474)-1)/10000,"")</f>
        <v/>
      </c>
      <c r="AC474" s="158"/>
      <c r="AD474" s="119"/>
      <c r="AE474" s="460"/>
      <c r="AG474" s="119"/>
    </row>
    <row r="475" spans="4:33" x14ac:dyDescent="0.25">
      <c r="D475" s="154" t="str">
        <f>OneLineRR!A566</f>
        <v>Hudson View Park</v>
      </c>
      <c r="E475" s="104">
        <f>OneLineRR!J566</f>
        <v>0</v>
      </c>
      <c r="F475" s="104">
        <f>OneLineRR!K566</f>
        <v>0</v>
      </c>
      <c r="G475" s="155" t="e">
        <f>OneLineRR!D566</f>
        <v>#N/A</v>
      </c>
      <c r="H475" s="155" t="e">
        <f>IF(OneLineRR!G566="Yes","Affordable","Market")</f>
        <v>#N/A</v>
      </c>
      <c r="I475" s="104" t="e">
        <f>OneLineRR!I566</f>
        <v>#N/A</v>
      </c>
      <c r="J475" s="156">
        <f>OneLineRR!M566</f>
        <v>0</v>
      </c>
      <c r="K475" s="634">
        <f>OneLineRR!L566</f>
        <v>0</v>
      </c>
      <c r="L475" s="143" t="str">
        <f>OneLineRR!C566</f>
        <v>Occ</v>
      </c>
      <c r="M475" s="636">
        <f>OneLineRR!O566</f>
        <v>0</v>
      </c>
      <c r="N475" s="636">
        <f t="shared" si="7"/>
        <v>0</v>
      </c>
      <c r="O475" s="636">
        <f>OneLineRR!N566</f>
        <v>0</v>
      </c>
      <c r="P475" s="636" t="e" cm="1">
        <f t="array" ref="P475">INDEX('Unit Mix'!$P$6:$P$62,MATCH(1,('Rent Roll'!G475='Unit Mix'!$E$6:$E$62)*(D475='Unit Mix'!$D$6:$D$62),0))</f>
        <v>#N/A</v>
      </c>
      <c r="Q475" s="150">
        <f>OneLineRR!T566</f>
        <v>0</v>
      </c>
      <c r="R475" s="150">
        <f>OneLineRR!U566</f>
        <v>0</v>
      </c>
      <c r="S475" s="150">
        <f>OneLineRR!V566</f>
        <v>0</v>
      </c>
      <c r="T475" s="150">
        <f>OneLineRR!W566</f>
        <v>0</v>
      </c>
      <c r="U475" s="157" t="str">
        <f>IF(OneLineRR!Q566="","",OneLineRR!Q566)</f>
        <v/>
      </c>
      <c r="V475" s="157" t="str">
        <f>IF(OneLineRR!R566="","",OneLineRR!R566)</f>
        <v/>
      </c>
      <c r="AB475" s="320" t="str">
        <f>IFERROR(U475+(COUNTIF($U$8:U475,U475)-1)/10000,"")</f>
        <v/>
      </c>
      <c r="AC475" s="158"/>
      <c r="AD475" s="119"/>
      <c r="AE475" s="460"/>
      <c r="AG475" s="119"/>
    </row>
    <row r="476" spans="4:33" x14ac:dyDescent="0.25">
      <c r="D476" s="154" t="str">
        <f>OneLineRR!A567</f>
        <v>Hudson View Park</v>
      </c>
      <c r="E476" s="104">
        <f>OneLineRR!J567</f>
        <v>0</v>
      </c>
      <c r="F476" s="104">
        <f>OneLineRR!K567</f>
        <v>0</v>
      </c>
      <c r="G476" s="155" t="e">
        <f>OneLineRR!D567</f>
        <v>#N/A</v>
      </c>
      <c r="H476" s="155" t="e">
        <f>IF(OneLineRR!G567="Yes","Affordable","Market")</f>
        <v>#N/A</v>
      </c>
      <c r="I476" s="104" t="e">
        <f>OneLineRR!I567</f>
        <v>#N/A</v>
      </c>
      <c r="J476" s="156">
        <f>OneLineRR!M567</f>
        <v>0</v>
      </c>
      <c r="K476" s="634">
        <f>OneLineRR!L567</f>
        <v>0</v>
      </c>
      <c r="L476" s="143" t="str">
        <f>OneLineRR!C567</f>
        <v>Occ</v>
      </c>
      <c r="M476" s="636">
        <f>OneLineRR!O567</f>
        <v>0</v>
      </c>
      <c r="N476" s="636">
        <f t="shared" si="7"/>
        <v>0</v>
      </c>
      <c r="O476" s="636">
        <f>OneLineRR!N567</f>
        <v>0</v>
      </c>
      <c r="P476" s="636" t="e" cm="1">
        <f t="array" ref="P476">INDEX('Unit Mix'!$P$6:$P$62,MATCH(1,('Rent Roll'!G476='Unit Mix'!$E$6:$E$62)*(D476='Unit Mix'!$D$6:$D$62),0))</f>
        <v>#N/A</v>
      </c>
      <c r="Q476" s="150">
        <f>OneLineRR!T567</f>
        <v>0</v>
      </c>
      <c r="R476" s="150">
        <f>OneLineRR!U567</f>
        <v>0</v>
      </c>
      <c r="S476" s="150">
        <f>OneLineRR!V567</f>
        <v>0</v>
      </c>
      <c r="T476" s="150">
        <f>OneLineRR!W567</f>
        <v>0</v>
      </c>
      <c r="U476" s="157" t="str">
        <f>IF(OneLineRR!Q567="","",OneLineRR!Q567)</f>
        <v/>
      </c>
      <c r="V476" s="157" t="str">
        <f>IF(OneLineRR!R567="","",OneLineRR!R567)</f>
        <v/>
      </c>
      <c r="AB476" s="320" t="str">
        <f>IFERROR(U476+(COUNTIF($U$8:U476,U476)-1)/10000,"")</f>
        <v/>
      </c>
      <c r="AC476" s="158"/>
      <c r="AD476" s="119"/>
      <c r="AE476" s="460"/>
      <c r="AG476" s="119"/>
    </row>
    <row r="477" spans="4:33" x14ac:dyDescent="0.25">
      <c r="D477" s="154" t="str">
        <f>OneLineRR!A568</f>
        <v>Hudson View Park</v>
      </c>
      <c r="E477" s="104">
        <f>OneLineRR!J568</f>
        <v>0</v>
      </c>
      <c r="F477" s="104">
        <f>OneLineRR!K568</f>
        <v>0</v>
      </c>
      <c r="G477" s="155" t="e">
        <f>OneLineRR!D568</f>
        <v>#N/A</v>
      </c>
      <c r="H477" s="155" t="e">
        <f>IF(OneLineRR!G568="Yes","Affordable","Market")</f>
        <v>#N/A</v>
      </c>
      <c r="I477" s="104" t="e">
        <f>OneLineRR!I568</f>
        <v>#N/A</v>
      </c>
      <c r="J477" s="156">
        <f>OneLineRR!M568</f>
        <v>0</v>
      </c>
      <c r="K477" s="634">
        <f>OneLineRR!L568</f>
        <v>0</v>
      </c>
      <c r="L477" s="143" t="str">
        <f>OneLineRR!C568</f>
        <v>Occ</v>
      </c>
      <c r="M477" s="636">
        <f>OneLineRR!O568</f>
        <v>0</v>
      </c>
      <c r="N477" s="636">
        <f t="shared" si="7"/>
        <v>0</v>
      </c>
      <c r="O477" s="636">
        <f>OneLineRR!N568</f>
        <v>0</v>
      </c>
      <c r="P477" s="636" t="e" cm="1">
        <f t="array" ref="P477">INDEX('Unit Mix'!$P$6:$P$62,MATCH(1,('Rent Roll'!G477='Unit Mix'!$E$6:$E$62)*(D477='Unit Mix'!$D$6:$D$62),0))</f>
        <v>#N/A</v>
      </c>
      <c r="Q477" s="150">
        <f>OneLineRR!T568</f>
        <v>0</v>
      </c>
      <c r="R477" s="150">
        <f>OneLineRR!U568</f>
        <v>0</v>
      </c>
      <c r="S477" s="150">
        <f>OneLineRR!V568</f>
        <v>0</v>
      </c>
      <c r="T477" s="150">
        <f>OneLineRR!W568</f>
        <v>0</v>
      </c>
      <c r="U477" s="157" t="str">
        <f>IF(OneLineRR!Q568="","",OneLineRR!Q568)</f>
        <v/>
      </c>
      <c r="V477" s="157" t="str">
        <f>IF(OneLineRR!R568="","",OneLineRR!R568)</f>
        <v/>
      </c>
      <c r="AB477" s="320" t="str">
        <f>IFERROR(U477+(COUNTIF($U$8:U477,U477)-1)/10000,"")</f>
        <v/>
      </c>
      <c r="AC477" s="158"/>
      <c r="AD477" s="119"/>
      <c r="AE477" s="460"/>
      <c r="AG477" s="119"/>
    </row>
    <row r="478" spans="4:33" x14ac:dyDescent="0.25">
      <c r="D478" s="154" t="str">
        <f>OneLineRR!A569</f>
        <v>Hudson View Park</v>
      </c>
      <c r="E478" s="104">
        <f>OneLineRR!J569</f>
        <v>0</v>
      </c>
      <c r="F478" s="104">
        <f>OneLineRR!K569</f>
        <v>0</v>
      </c>
      <c r="G478" s="155" t="e">
        <f>OneLineRR!D569</f>
        <v>#N/A</v>
      </c>
      <c r="H478" s="155" t="e">
        <f>IF(OneLineRR!G569="Yes","Affordable","Market")</f>
        <v>#N/A</v>
      </c>
      <c r="I478" s="104" t="e">
        <f>OneLineRR!I569</f>
        <v>#N/A</v>
      </c>
      <c r="J478" s="156">
        <f>OneLineRR!M569</f>
        <v>0</v>
      </c>
      <c r="K478" s="634">
        <f>OneLineRR!L569</f>
        <v>0</v>
      </c>
      <c r="L478" s="143" t="str">
        <f>OneLineRR!C569</f>
        <v>Occ</v>
      </c>
      <c r="M478" s="636">
        <f>OneLineRR!O569</f>
        <v>0</v>
      </c>
      <c r="N478" s="636">
        <f t="shared" si="7"/>
        <v>0</v>
      </c>
      <c r="O478" s="636">
        <f>OneLineRR!N569</f>
        <v>0</v>
      </c>
      <c r="P478" s="636" t="e" cm="1">
        <f t="array" ref="P478">INDEX('Unit Mix'!$P$6:$P$62,MATCH(1,('Rent Roll'!G478='Unit Mix'!$E$6:$E$62)*(D478='Unit Mix'!$D$6:$D$62),0))</f>
        <v>#N/A</v>
      </c>
      <c r="Q478" s="150">
        <f>OneLineRR!T569</f>
        <v>0</v>
      </c>
      <c r="R478" s="150">
        <f>OneLineRR!U569</f>
        <v>0</v>
      </c>
      <c r="S478" s="150">
        <f>OneLineRR!V569</f>
        <v>0</v>
      </c>
      <c r="T478" s="150">
        <f>OneLineRR!W569</f>
        <v>0</v>
      </c>
      <c r="U478" s="157" t="str">
        <f>IF(OneLineRR!Q569="","",OneLineRR!Q569)</f>
        <v/>
      </c>
      <c r="V478" s="157" t="str">
        <f>IF(OneLineRR!R569="","",OneLineRR!R569)</f>
        <v/>
      </c>
      <c r="AB478" s="320" t="str">
        <f>IFERROR(U478+(COUNTIF($U$8:U478,U478)-1)/10000,"")</f>
        <v/>
      </c>
      <c r="AC478" s="158"/>
      <c r="AD478" s="119"/>
      <c r="AE478" s="460"/>
      <c r="AG478" s="119"/>
    </row>
    <row r="479" spans="4:33" x14ac:dyDescent="0.25">
      <c r="D479" s="154" t="str">
        <f>OneLineRR!A570</f>
        <v>Hudson View Park</v>
      </c>
      <c r="E479" s="104">
        <f>OneLineRR!J570</f>
        <v>0</v>
      </c>
      <c r="F479" s="104">
        <f>OneLineRR!K570</f>
        <v>0</v>
      </c>
      <c r="G479" s="155" t="e">
        <f>OneLineRR!D570</f>
        <v>#N/A</v>
      </c>
      <c r="H479" s="155" t="e">
        <f>IF(OneLineRR!G570="Yes","Affordable","Market")</f>
        <v>#N/A</v>
      </c>
      <c r="I479" s="104" t="e">
        <f>OneLineRR!I570</f>
        <v>#N/A</v>
      </c>
      <c r="J479" s="156">
        <f>OneLineRR!M570</f>
        <v>0</v>
      </c>
      <c r="K479" s="634">
        <f>OneLineRR!L570</f>
        <v>0</v>
      </c>
      <c r="L479" s="143" t="str">
        <f>OneLineRR!C570</f>
        <v>Occ</v>
      </c>
      <c r="M479" s="636">
        <f>OneLineRR!O570</f>
        <v>0</v>
      </c>
      <c r="N479" s="636">
        <f t="shared" si="7"/>
        <v>0</v>
      </c>
      <c r="O479" s="636">
        <f>OneLineRR!N570</f>
        <v>0</v>
      </c>
      <c r="P479" s="636" t="e" cm="1">
        <f t="array" ref="P479">INDEX('Unit Mix'!$P$6:$P$62,MATCH(1,('Rent Roll'!G479='Unit Mix'!$E$6:$E$62)*(D479='Unit Mix'!$D$6:$D$62),0))</f>
        <v>#N/A</v>
      </c>
      <c r="Q479" s="150">
        <f>OneLineRR!T570</f>
        <v>0</v>
      </c>
      <c r="R479" s="150">
        <f>OneLineRR!U570</f>
        <v>0</v>
      </c>
      <c r="S479" s="150">
        <f>OneLineRR!V570</f>
        <v>0</v>
      </c>
      <c r="T479" s="150">
        <f>OneLineRR!W570</f>
        <v>0</v>
      </c>
      <c r="U479" s="157" t="str">
        <f>IF(OneLineRR!Q570="","",OneLineRR!Q570)</f>
        <v/>
      </c>
      <c r="V479" s="157" t="str">
        <f>IF(OneLineRR!R570="","",OneLineRR!R570)</f>
        <v/>
      </c>
      <c r="AB479" s="320" t="str">
        <f>IFERROR(U479+(COUNTIF($U$8:U479,U479)-1)/10000,"")</f>
        <v/>
      </c>
      <c r="AC479" s="158"/>
      <c r="AD479" s="119"/>
      <c r="AE479" s="460"/>
      <c r="AG479" s="119"/>
    </row>
    <row r="480" spans="4:33" x14ac:dyDescent="0.25">
      <c r="D480" s="154" t="str">
        <f>OneLineRR!A571</f>
        <v>Hudson View Park</v>
      </c>
      <c r="E480" s="104">
        <f>OneLineRR!J571</f>
        <v>0</v>
      </c>
      <c r="F480" s="104">
        <f>OneLineRR!K571</f>
        <v>0</v>
      </c>
      <c r="G480" s="155" t="e">
        <f>OneLineRR!D571</f>
        <v>#N/A</v>
      </c>
      <c r="H480" s="155" t="e">
        <f>IF(OneLineRR!G571="Yes","Affordable","Market")</f>
        <v>#N/A</v>
      </c>
      <c r="I480" s="104" t="e">
        <f>OneLineRR!I571</f>
        <v>#N/A</v>
      </c>
      <c r="J480" s="156">
        <f>OneLineRR!M571</f>
        <v>0</v>
      </c>
      <c r="K480" s="634">
        <f>OneLineRR!L571</f>
        <v>0</v>
      </c>
      <c r="L480" s="143" t="str">
        <f>OneLineRR!C571</f>
        <v>Occ</v>
      </c>
      <c r="M480" s="636">
        <f>OneLineRR!O571</f>
        <v>0</v>
      </c>
      <c r="N480" s="636">
        <f t="shared" si="7"/>
        <v>0</v>
      </c>
      <c r="O480" s="636">
        <f>OneLineRR!N571</f>
        <v>0</v>
      </c>
      <c r="P480" s="636" t="e" cm="1">
        <f t="array" ref="P480">INDEX('Unit Mix'!$P$6:$P$62,MATCH(1,('Rent Roll'!G480='Unit Mix'!$E$6:$E$62)*(D480='Unit Mix'!$D$6:$D$62),0))</f>
        <v>#N/A</v>
      </c>
      <c r="Q480" s="150">
        <f>OneLineRR!T571</f>
        <v>0</v>
      </c>
      <c r="R480" s="150">
        <f>OneLineRR!U571</f>
        <v>0</v>
      </c>
      <c r="S480" s="150">
        <f>OneLineRR!V571</f>
        <v>0</v>
      </c>
      <c r="T480" s="150">
        <f>OneLineRR!W571</f>
        <v>0</v>
      </c>
      <c r="U480" s="157" t="str">
        <f>IF(OneLineRR!Q571="","",OneLineRR!Q571)</f>
        <v/>
      </c>
      <c r="V480" s="157" t="str">
        <f>IF(OneLineRR!R571="","",OneLineRR!R571)</f>
        <v/>
      </c>
      <c r="AB480" s="320" t="str">
        <f>IFERROR(U480+(COUNTIF($U$8:U480,U480)-1)/10000,"")</f>
        <v/>
      </c>
      <c r="AC480" s="158"/>
      <c r="AD480" s="119"/>
      <c r="AE480" s="460"/>
      <c r="AG480" s="119"/>
    </row>
    <row r="481" spans="4:33" x14ac:dyDescent="0.25">
      <c r="D481" s="154" t="str">
        <f>OneLineRR!A572</f>
        <v>Hudson View Park</v>
      </c>
      <c r="E481" s="104">
        <f>OneLineRR!J572</f>
        <v>0</v>
      </c>
      <c r="F481" s="104">
        <f>OneLineRR!K572</f>
        <v>0</v>
      </c>
      <c r="G481" s="155" t="e">
        <f>OneLineRR!D572</f>
        <v>#N/A</v>
      </c>
      <c r="H481" s="155" t="e">
        <f>IF(OneLineRR!G572="Yes","Affordable","Market")</f>
        <v>#N/A</v>
      </c>
      <c r="I481" s="104" t="e">
        <f>OneLineRR!I572</f>
        <v>#N/A</v>
      </c>
      <c r="J481" s="156">
        <f>OneLineRR!M572</f>
        <v>0</v>
      </c>
      <c r="K481" s="634">
        <f>OneLineRR!L572</f>
        <v>0</v>
      </c>
      <c r="L481" s="143" t="str">
        <f>OneLineRR!C572</f>
        <v>Occ</v>
      </c>
      <c r="M481" s="636">
        <f>OneLineRR!O572</f>
        <v>0</v>
      </c>
      <c r="N481" s="636">
        <f t="shared" si="7"/>
        <v>0</v>
      </c>
      <c r="O481" s="636">
        <f>OneLineRR!N572</f>
        <v>0</v>
      </c>
      <c r="P481" s="636" t="e" cm="1">
        <f t="array" ref="P481">INDEX('Unit Mix'!$P$6:$P$62,MATCH(1,('Rent Roll'!G481='Unit Mix'!$E$6:$E$62)*(D481='Unit Mix'!$D$6:$D$62),0))</f>
        <v>#N/A</v>
      </c>
      <c r="Q481" s="150">
        <f>OneLineRR!T572</f>
        <v>0</v>
      </c>
      <c r="R481" s="150">
        <f>OneLineRR!U572</f>
        <v>0</v>
      </c>
      <c r="S481" s="150">
        <f>OneLineRR!V572</f>
        <v>0</v>
      </c>
      <c r="T481" s="150">
        <f>OneLineRR!W572</f>
        <v>0</v>
      </c>
      <c r="U481" s="157" t="str">
        <f>IF(OneLineRR!Q572="","",OneLineRR!Q572)</f>
        <v/>
      </c>
      <c r="V481" s="157" t="str">
        <f>IF(OneLineRR!R572="","",OneLineRR!R572)</f>
        <v/>
      </c>
      <c r="AB481" s="320" t="str">
        <f>IFERROR(U481+(COUNTIF($U$8:U481,U481)-1)/10000,"")</f>
        <v/>
      </c>
      <c r="AC481" s="158"/>
      <c r="AD481" s="119"/>
      <c r="AE481" s="460"/>
      <c r="AG481" s="119"/>
    </row>
    <row r="482" spans="4:33" x14ac:dyDescent="0.25">
      <c r="D482" s="154" t="str">
        <f>OneLineRR!A573</f>
        <v>Hudson View Park</v>
      </c>
      <c r="E482" s="104">
        <f>OneLineRR!J573</f>
        <v>0</v>
      </c>
      <c r="F482" s="104">
        <f>OneLineRR!K573</f>
        <v>0</v>
      </c>
      <c r="G482" s="155" t="e">
        <f>OneLineRR!D573</f>
        <v>#N/A</v>
      </c>
      <c r="H482" s="155" t="e">
        <f>IF(OneLineRR!G573="Yes","Affordable","Market")</f>
        <v>#N/A</v>
      </c>
      <c r="I482" s="104" t="e">
        <f>OneLineRR!I573</f>
        <v>#N/A</v>
      </c>
      <c r="J482" s="156">
        <f>OneLineRR!M573</f>
        <v>0</v>
      </c>
      <c r="K482" s="634">
        <f>OneLineRR!L573</f>
        <v>0</v>
      </c>
      <c r="L482" s="143" t="str">
        <f>OneLineRR!C573</f>
        <v>Occ</v>
      </c>
      <c r="M482" s="636">
        <f>OneLineRR!O573</f>
        <v>0</v>
      </c>
      <c r="N482" s="636">
        <f t="shared" si="7"/>
        <v>0</v>
      </c>
      <c r="O482" s="636">
        <f>OneLineRR!N573</f>
        <v>0</v>
      </c>
      <c r="P482" s="636" t="e" cm="1">
        <f t="array" ref="P482">INDEX('Unit Mix'!$P$6:$P$62,MATCH(1,('Rent Roll'!G482='Unit Mix'!$E$6:$E$62)*(D482='Unit Mix'!$D$6:$D$62),0))</f>
        <v>#N/A</v>
      </c>
      <c r="Q482" s="150">
        <f>OneLineRR!T573</f>
        <v>0</v>
      </c>
      <c r="R482" s="150">
        <f>OneLineRR!U573</f>
        <v>0</v>
      </c>
      <c r="S482" s="150">
        <f>OneLineRR!V573</f>
        <v>0</v>
      </c>
      <c r="T482" s="150">
        <f>OneLineRR!W573</f>
        <v>0</v>
      </c>
      <c r="U482" s="157" t="str">
        <f>IF(OneLineRR!Q573="","",OneLineRR!Q573)</f>
        <v/>
      </c>
      <c r="V482" s="157" t="str">
        <f>IF(OneLineRR!R573="","",OneLineRR!R573)</f>
        <v/>
      </c>
      <c r="AB482" s="320" t="str">
        <f>IFERROR(U482+(COUNTIF($U$8:U482,U482)-1)/10000,"")</f>
        <v/>
      </c>
      <c r="AC482" s="158"/>
      <c r="AD482" s="119"/>
      <c r="AE482" s="460"/>
      <c r="AG482" s="119"/>
    </row>
    <row r="483" spans="4:33" x14ac:dyDescent="0.25">
      <c r="D483" s="154" t="str">
        <f>OneLineRR!A574</f>
        <v>Hudson View Park</v>
      </c>
      <c r="E483" s="104">
        <f>OneLineRR!J574</f>
        <v>0</v>
      </c>
      <c r="F483" s="104">
        <f>OneLineRR!K574</f>
        <v>0</v>
      </c>
      <c r="G483" s="155" t="e">
        <f>OneLineRR!D574</f>
        <v>#N/A</v>
      </c>
      <c r="H483" s="155" t="e">
        <f>IF(OneLineRR!G574="Yes","Affordable","Market")</f>
        <v>#N/A</v>
      </c>
      <c r="I483" s="104" t="e">
        <f>OneLineRR!I574</f>
        <v>#N/A</v>
      </c>
      <c r="J483" s="156">
        <f>OneLineRR!M574</f>
        <v>0</v>
      </c>
      <c r="K483" s="634">
        <f>OneLineRR!L574</f>
        <v>0</v>
      </c>
      <c r="L483" s="143" t="str">
        <f>OneLineRR!C574</f>
        <v>Occ</v>
      </c>
      <c r="M483" s="636">
        <f>OneLineRR!O574</f>
        <v>0</v>
      </c>
      <c r="N483" s="636">
        <f t="shared" si="7"/>
        <v>0</v>
      </c>
      <c r="O483" s="636">
        <f>OneLineRR!N574</f>
        <v>0</v>
      </c>
      <c r="P483" s="636" t="e" cm="1">
        <f t="array" ref="P483">INDEX('Unit Mix'!$P$6:$P$62,MATCH(1,('Rent Roll'!G483='Unit Mix'!$E$6:$E$62)*(D483='Unit Mix'!$D$6:$D$62),0))</f>
        <v>#N/A</v>
      </c>
      <c r="Q483" s="150">
        <f>OneLineRR!T574</f>
        <v>0</v>
      </c>
      <c r="R483" s="150">
        <f>OneLineRR!U574</f>
        <v>0</v>
      </c>
      <c r="S483" s="150">
        <f>OneLineRR!V574</f>
        <v>0</v>
      </c>
      <c r="T483" s="150">
        <f>OneLineRR!W574</f>
        <v>0</v>
      </c>
      <c r="U483" s="157" t="str">
        <f>IF(OneLineRR!Q574="","",OneLineRR!Q574)</f>
        <v/>
      </c>
      <c r="V483" s="157" t="str">
        <f>IF(OneLineRR!R574="","",OneLineRR!R574)</f>
        <v/>
      </c>
      <c r="AB483" s="320" t="str">
        <f>IFERROR(U483+(COUNTIF($U$8:U483,U483)-1)/10000,"")</f>
        <v/>
      </c>
      <c r="AC483" s="158"/>
      <c r="AD483" s="119"/>
      <c r="AE483" s="460"/>
      <c r="AG483" s="119"/>
    </row>
    <row r="484" spans="4:33" x14ac:dyDescent="0.25">
      <c r="D484" s="154" t="str">
        <f>OneLineRR!A575</f>
        <v>Hudson View Park</v>
      </c>
      <c r="E484" s="104">
        <f>OneLineRR!J575</f>
        <v>0</v>
      </c>
      <c r="F484" s="104">
        <f>OneLineRR!K575</f>
        <v>0</v>
      </c>
      <c r="G484" s="155" t="e">
        <f>OneLineRR!D575</f>
        <v>#N/A</v>
      </c>
      <c r="H484" s="155" t="e">
        <f>IF(OneLineRR!G575="Yes","Affordable","Market")</f>
        <v>#N/A</v>
      </c>
      <c r="I484" s="104" t="e">
        <f>OneLineRR!I575</f>
        <v>#N/A</v>
      </c>
      <c r="J484" s="156">
        <f>OneLineRR!M575</f>
        <v>0</v>
      </c>
      <c r="K484" s="634">
        <f>OneLineRR!L575</f>
        <v>0</v>
      </c>
      <c r="L484" s="143" t="str">
        <f>OneLineRR!C575</f>
        <v>Occ</v>
      </c>
      <c r="M484" s="636">
        <f>OneLineRR!O575</f>
        <v>0</v>
      </c>
      <c r="N484" s="636">
        <f t="shared" si="7"/>
        <v>0</v>
      </c>
      <c r="O484" s="636">
        <f>OneLineRR!N575</f>
        <v>0</v>
      </c>
      <c r="P484" s="636" t="e" cm="1">
        <f t="array" ref="P484">INDEX('Unit Mix'!$P$6:$P$62,MATCH(1,('Rent Roll'!G484='Unit Mix'!$E$6:$E$62)*(D484='Unit Mix'!$D$6:$D$62),0))</f>
        <v>#N/A</v>
      </c>
      <c r="Q484" s="150">
        <f>OneLineRR!T575</f>
        <v>0</v>
      </c>
      <c r="R484" s="150">
        <f>OneLineRR!U575</f>
        <v>0</v>
      </c>
      <c r="S484" s="150">
        <f>OneLineRR!V575</f>
        <v>0</v>
      </c>
      <c r="T484" s="150">
        <f>OneLineRR!W575</f>
        <v>0</v>
      </c>
      <c r="U484" s="157" t="str">
        <f>IF(OneLineRR!Q575="","",OneLineRR!Q575)</f>
        <v/>
      </c>
      <c r="V484" s="157" t="str">
        <f>IF(OneLineRR!R575="","",OneLineRR!R575)</f>
        <v/>
      </c>
      <c r="AB484" s="320" t="str">
        <f>IFERROR(U484+(COUNTIF($U$8:U484,U484)-1)/10000,"")</f>
        <v/>
      </c>
      <c r="AC484" s="158"/>
      <c r="AD484" s="119"/>
      <c r="AE484" s="460"/>
      <c r="AG484" s="119"/>
    </row>
    <row r="485" spans="4:33" x14ac:dyDescent="0.25">
      <c r="D485" s="154" t="str">
        <f>OneLineRR!A576</f>
        <v>Hudson View Park</v>
      </c>
      <c r="E485" s="104">
        <f>OneLineRR!J576</f>
        <v>0</v>
      </c>
      <c r="F485" s="104">
        <f>OneLineRR!K576</f>
        <v>0</v>
      </c>
      <c r="G485" s="155" t="e">
        <f>OneLineRR!D576</f>
        <v>#N/A</v>
      </c>
      <c r="H485" s="155" t="e">
        <f>IF(OneLineRR!G576="Yes","Affordable","Market")</f>
        <v>#N/A</v>
      </c>
      <c r="I485" s="104" t="e">
        <f>OneLineRR!I576</f>
        <v>#N/A</v>
      </c>
      <c r="J485" s="156">
        <f>OneLineRR!M576</f>
        <v>0</v>
      </c>
      <c r="K485" s="634">
        <f>OneLineRR!L576</f>
        <v>0</v>
      </c>
      <c r="L485" s="143" t="str">
        <f>OneLineRR!C576</f>
        <v>Occ</v>
      </c>
      <c r="M485" s="636">
        <f>OneLineRR!O576</f>
        <v>0</v>
      </c>
      <c r="N485" s="636">
        <f t="shared" si="7"/>
        <v>0</v>
      </c>
      <c r="O485" s="636">
        <f>OneLineRR!N576</f>
        <v>0</v>
      </c>
      <c r="P485" s="636" t="e" cm="1">
        <f t="array" ref="P485">INDEX('Unit Mix'!$P$6:$P$62,MATCH(1,('Rent Roll'!G485='Unit Mix'!$E$6:$E$62)*(D485='Unit Mix'!$D$6:$D$62),0))</f>
        <v>#N/A</v>
      </c>
      <c r="Q485" s="150">
        <f>OneLineRR!T576</f>
        <v>0</v>
      </c>
      <c r="R485" s="150">
        <f>OneLineRR!U576</f>
        <v>0</v>
      </c>
      <c r="S485" s="150">
        <f>OneLineRR!V576</f>
        <v>0</v>
      </c>
      <c r="T485" s="150">
        <f>OneLineRR!W576</f>
        <v>0</v>
      </c>
      <c r="U485" s="157" t="str">
        <f>IF(OneLineRR!Q576="","",OneLineRR!Q576)</f>
        <v/>
      </c>
      <c r="V485" s="157" t="str">
        <f>IF(OneLineRR!R576="","",OneLineRR!R576)</f>
        <v/>
      </c>
      <c r="AB485" s="320" t="str">
        <f>IFERROR(U485+(COUNTIF($U$8:U485,U485)-1)/10000,"")</f>
        <v/>
      </c>
      <c r="AC485" s="158"/>
      <c r="AD485" s="119"/>
      <c r="AE485" s="460"/>
      <c r="AG485" s="119"/>
    </row>
    <row r="486" spans="4:33" x14ac:dyDescent="0.25">
      <c r="D486" s="154" t="str">
        <f>OneLineRR!A577</f>
        <v>Hudson View Park</v>
      </c>
      <c r="E486" s="104">
        <f>OneLineRR!J577</f>
        <v>0</v>
      </c>
      <c r="F486" s="104">
        <f>OneLineRR!K577</f>
        <v>0</v>
      </c>
      <c r="G486" s="155" t="e">
        <f>OneLineRR!D577</f>
        <v>#N/A</v>
      </c>
      <c r="H486" s="155" t="e">
        <f>IF(OneLineRR!G577="Yes","Affordable","Market")</f>
        <v>#N/A</v>
      </c>
      <c r="I486" s="104" t="e">
        <f>OneLineRR!I577</f>
        <v>#N/A</v>
      </c>
      <c r="J486" s="156">
        <f>OneLineRR!M577</f>
        <v>0</v>
      </c>
      <c r="K486" s="634">
        <f>OneLineRR!L577</f>
        <v>0</v>
      </c>
      <c r="L486" s="143" t="str">
        <f>OneLineRR!C577</f>
        <v>Occ</v>
      </c>
      <c r="M486" s="636">
        <f>OneLineRR!O577</f>
        <v>0</v>
      </c>
      <c r="N486" s="636">
        <f t="shared" si="7"/>
        <v>0</v>
      </c>
      <c r="O486" s="636">
        <f>OneLineRR!N577</f>
        <v>0</v>
      </c>
      <c r="P486" s="636" t="e" cm="1">
        <f t="array" ref="P486">INDEX('Unit Mix'!$P$6:$P$62,MATCH(1,('Rent Roll'!G486='Unit Mix'!$E$6:$E$62)*(D486='Unit Mix'!$D$6:$D$62),0))</f>
        <v>#N/A</v>
      </c>
      <c r="Q486" s="150">
        <f>OneLineRR!T577</f>
        <v>0</v>
      </c>
      <c r="R486" s="150">
        <f>OneLineRR!U577</f>
        <v>0</v>
      </c>
      <c r="S486" s="150">
        <f>OneLineRR!V577</f>
        <v>0</v>
      </c>
      <c r="T486" s="150">
        <f>OneLineRR!W577</f>
        <v>0</v>
      </c>
      <c r="U486" s="157" t="str">
        <f>IF(OneLineRR!Q577="","",OneLineRR!Q577)</f>
        <v/>
      </c>
      <c r="V486" s="157" t="str">
        <f>IF(OneLineRR!R577="","",OneLineRR!R577)</f>
        <v/>
      </c>
      <c r="AB486" s="320" t="str">
        <f>IFERROR(U486+(COUNTIF($U$8:U486,U486)-1)/10000,"")</f>
        <v/>
      </c>
      <c r="AC486" s="158"/>
      <c r="AD486" s="119"/>
      <c r="AE486" s="460"/>
      <c r="AG486" s="119"/>
    </row>
    <row r="487" spans="4:33" x14ac:dyDescent="0.25">
      <c r="D487" s="154" t="str">
        <f>OneLineRR!A578</f>
        <v>Hudson View Park</v>
      </c>
      <c r="E487" s="104">
        <f>OneLineRR!J578</f>
        <v>0</v>
      </c>
      <c r="F487" s="104">
        <f>OneLineRR!K578</f>
        <v>0</v>
      </c>
      <c r="G487" s="155" t="e">
        <f>OneLineRR!D578</f>
        <v>#N/A</v>
      </c>
      <c r="H487" s="155" t="e">
        <f>IF(OneLineRR!G578="Yes","Affordable","Market")</f>
        <v>#N/A</v>
      </c>
      <c r="I487" s="104" t="e">
        <f>OneLineRR!I578</f>
        <v>#N/A</v>
      </c>
      <c r="J487" s="156">
        <f>OneLineRR!M578</f>
        <v>0</v>
      </c>
      <c r="K487" s="634">
        <f>OneLineRR!L578</f>
        <v>0</v>
      </c>
      <c r="L487" s="143" t="str">
        <f>OneLineRR!C578</f>
        <v>Occ</v>
      </c>
      <c r="M487" s="636">
        <f>OneLineRR!O578</f>
        <v>0</v>
      </c>
      <c r="N487" s="636">
        <f t="shared" si="7"/>
        <v>0</v>
      </c>
      <c r="O487" s="636">
        <f>OneLineRR!N578</f>
        <v>0</v>
      </c>
      <c r="P487" s="636" t="e" cm="1">
        <f t="array" ref="P487">INDEX('Unit Mix'!$P$6:$P$62,MATCH(1,('Rent Roll'!G487='Unit Mix'!$E$6:$E$62)*(D487='Unit Mix'!$D$6:$D$62),0))</f>
        <v>#N/A</v>
      </c>
      <c r="Q487" s="150">
        <f>OneLineRR!T578</f>
        <v>0</v>
      </c>
      <c r="R487" s="150">
        <f>OneLineRR!U578</f>
        <v>0</v>
      </c>
      <c r="S487" s="150">
        <f>OneLineRR!V578</f>
        <v>0</v>
      </c>
      <c r="T487" s="150">
        <f>OneLineRR!W578</f>
        <v>0</v>
      </c>
      <c r="U487" s="157" t="str">
        <f>IF(OneLineRR!Q578="","",OneLineRR!Q578)</f>
        <v/>
      </c>
      <c r="V487" s="157" t="str">
        <f>IF(OneLineRR!R578="","",OneLineRR!R578)</f>
        <v/>
      </c>
      <c r="AB487" s="320" t="str">
        <f>IFERROR(U487+(COUNTIF($U$8:U487,U487)-1)/10000,"")</f>
        <v/>
      </c>
      <c r="AC487" s="158"/>
      <c r="AD487" s="119"/>
      <c r="AE487" s="460"/>
      <c r="AG487" s="119"/>
    </row>
    <row r="488" spans="4:33" x14ac:dyDescent="0.25">
      <c r="D488" s="154" t="str">
        <f>OneLineRR!A579</f>
        <v>Hudson View Park</v>
      </c>
      <c r="E488" s="104">
        <f>OneLineRR!J579</f>
        <v>0</v>
      </c>
      <c r="F488" s="104">
        <f>OneLineRR!K579</f>
        <v>0</v>
      </c>
      <c r="G488" s="155" t="e">
        <f>OneLineRR!D579</f>
        <v>#N/A</v>
      </c>
      <c r="H488" s="155" t="e">
        <f>IF(OneLineRR!G579="Yes","Affordable","Market")</f>
        <v>#N/A</v>
      </c>
      <c r="I488" s="104" t="e">
        <f>OneLineRR!I579</f>
        <v>#N/A</v>
      </c>
      <c r="J488" s="156">
        <f>OneLineRR!M579</f>
        <v>0</v>
      </c>
      <c r="K488" s="634">
        <f>OneLineRR!L579</f>
        <v>0</v>
      </c>
      <c r="L488" s="143" t="str">
        <f>OneLineRR!C579</f>
        <v>Occ</v>
      </c>
      <c r="M488" s="636">
        <f>OneLineRR!O579</f>
        <v>0</v>
      </c>
      <c r="N488" s="636">
        <f t="shared" si="7"/>
        <v>0</v>
      </c>
      <c r="O488" s="636">
        <f>OneLineRR!N579</f>
        <v>0</v>
      </c>
      <c r="P488" s="636" t="e" cm="1">
        <f t="array" ref="P488">INDEX('Unit Mix'!$P$6:$P$62,MATCH(1,('Rent Roll'!G488='Unit Mix'!$E$6:$E$62)*(D488='Unit Mix'!$D$6:$D$62),0))</f>
        <v>#N/A</v>
      </c>
      <c r="Q488" s="150">
        <f>OneLineRR!T579</f>
        <v>0</v>
      </c>
      <c r="R488" s="150">
        <f>OneLineRR!U579</f>
        <v>0</v>
      </c>
      <c r="S488" s="150">
        <f>OneLineRR!V579</f>
        <v>0</v>
      </c>
      <c r="T488" s="150">
        <f>OneLineRR!W579</f>
        <v>0</v>
      </c>
      <c r="U488" s="157" t="str">
        <f>IF(OneLineRR!Q579="","",OneLineRR!Q579)</f>
        <v/>
      </c>
      <c r="V488" s="157" t="str">
        <f>IF(OneLineRR!R579="","",OneLineRR!R579)</f>
        <v/>
      </c>
      <c r="AB488" s="320" t="str">
        <f>IFERROR(U488+(COUNTIF($U$8:U488,U488)-1)/10000,"")</f>
        <v/>
      </c>
      <c r="AC488" s="158"/>
      <c r="AD488" s="119"/>
      <c r="AE488" s="460"/>
      <c r="AG488" s="119"/>
    </row>
    <row r="489" spans="4:33" x14ac:dyDescent="0.25">
      <c r="D489" s="154" t="str">
        <f>OneLineRR!A580</f>
        <v>Hudson View Park</v>
      </c>
      <c r="E489" s="104">
        <f>OneLineRR!J580</f>
        <v>0</v>
      </c>
      <c r="F489" s="104">
        <f>OneLineRR!K580</f>
        <v>0</v>
      </c>
      <c r="G489" s="155" t="e">
        <f>OneLineRR!D580</f>
        <v>#N/A</v>
      </c>
      <c r="H489" s="155" t="e">
        <f>IF(OneLineRR!G580="Yes","Affordable","Market")</f>
        <v>#N/A</v>
      </c>
      <c r="I489" s="104" t="e">
        <f>OneLineRR!I580</f>
        <v>#N/A</v>
      </c>
      <c r="J489" s="156">
        <f>OneLineRR!M580</f>
        <v>0</v>
      </c>
      <c r="K489" s="634">
        <f>OneLineRR!L580</f>
        <v>0</v>
      </c>
      <c r="L489" s="143" t="str">
        <f>OneLineRR!C580</f>
        <v>Occ</v>
      </c>
      <c r="M489" s="636">
        <f>OneLineRR!O580</f>
        <v>0</v>
      </c>
      <c r="N489" s="636">
        <f t="shared" si="7"/>
        <v>0</v>
      </c>
      <c r="O489" s="636">
        <f>OneLineRR!N580</f>
        <v>0</v>
      </c>
      <c r="P489" s="636" t="e" cm="1">
        <f t="array" ref="P489">INDEX('Unit Mix'!$P$6:$P$62,MATCH(1,('Rent Roll'!G489='Unit Mix'!$E$6:$E$62)*(D489='Unit Mix'!$D$6:$D$62),0))</f>
        <v>#N/A</v>
      </c>
      <c r="Q489" s="150">
        <f>OneLineRR!T580</f>
        <v>0</v>
      </c>
      <c r="R489" s="150">
        <f>OneLineRR!U580</f>
        <v>0</v>
      </c>
      <c r="S489" s="150">
        <f>OneLineRR!V580</f>
        <v>0</v>
      </c>
      <c r="T489" s="150">
        <f>OneLineRR!W580</f>
        <v>0</v>
      </c>
      <c r="U489" s="157" t="str">
        <f>IF(OneLineRR!Q580="","",OneLineRR!Q580)</f>
        <v/>
      </c>
      <c r="V489" s="157" t="str">
        <f>IF(OneLineRR!R580="","",OneLineRR!R580)</f>
        <v/>
      </c>
      <c r="AB489" s="320" t="str">
        <f>IFERROR(U489+(COUNTIF($U$8:U489,U489)-1)/10000,"")</f>
        <v/>
      </c>
      <c r="AC489" s="158"/>
      <c r="AD489" s="119"/>
      <c r="AE489" s="460"/>
      <c r="AG489" s="119"/>
    </row>
    <row r="490" spans="4:33" x14ac:dyDescent="0.25">
      <c r="D490" s="154" t="str">
        <f>OneLineRR!A581</f>
        <v>Hudson View Park</v>
      </c>
      <c r="E490" s="104">
        <f>OneLineRR!J581</f>
        <v>0</v>
      </c>
      <c r="F490" s="104">
        <f>OneLineRR!K581</f>
        <v>0</v>
      </c>
      <c r="G490" s="155" t="e">
        <f>OneLineRR!D581</f>
        <v>#N/A</v>
      </c>
      <c r="H490" s="155" t="e">
        <f>IF(OneLineRR!G581="Yes","Affordable","Market")</f>
        <v>#N/A</v>
      </c>
      <c r="I490" s="104" t="e">
        <f>OneLineRR!I581</f>
        <v>#N/A</v>
      </c>
      <c r="J490" s="156">
        <f>OneLineRR!M581</f>
        <v>0</v>
      </c>
      <c r="K490" s="634">
        <f>OneLineRR!L581</f>
        <v>0</v>
      </c>
      <c r="L490" s="143" t="str">
        <f>OneLineRR!C581</f>
        <v>Occ</v>
      </c>
      <c r="M490" s="636">
        <f>OneLineRR!O581</f>
        <v>0</v>
      </c>
      <c r="N490" s="636">
        <f t="shared" si="7"/>
        <v>0</v>
      </c>
      <c r="O490" s="636">
        <f>OneLineRR!N581</f>
        <v>0</v>
      </c>
      <c r="P490" s="636" t="e" cm="1">
        <f t="array" ref="P490">INDEX('Unit Mix'!$P$6:$P$62,MATCH(1,('Rent Roll'!G490='Unit Mix'!$E$6:$E$62)*(D490='Unit Mix'!$D$6:$D$62),0))</f>
        <v>#N/A</v>
      </c>
      <c r="Q490" s="150">
        <f>OneLineRR!T581</f>
        <v>0</v>
      </c>
      <c r="R490" s="150">
        <f>OneLineRR!U581</f>
        <v>0</v>
      </c>
      <c r="S490" s="150">
        <f>OneLineRR!V581</f>
        <v>0</v>
      </c>
      <c r="T490" s="150">
        <f>OneLineRR!W581</f>
        <v>0</v>
      </c>
      <c r="U490" s="157" t="str">
        <f>IF(OneLineRR!Q581="","",OneLineRR!Q581)</f>
        <v/>
      </c>
      <c r="V490" s="157" t="str">
        <f>IF(OneLineRR!R581="","",OneLineRR!R581)</f>
        <v/>
      </c>
      <c r="AB490" s="320" t="str">
        <f>IFERROR(U490+(COUNTIF($U$8:U490,U490)-1)/10000,"")</f>
        <v/>
      </c>
      <c r="AC490" s="158"/>
      <c r="AD490" s="119"/>
      <c r="AE490" s="460"/>
      <c r="AG490" s="119"/>
    </row>
    <row r="491" spans="4:33" x14ac:dyDescent="0.25">
      <c r="D491" s="154" t="str">
        <f>OneLineRR!A582</f>
        <v>Hudson View Park</v>
      </c>
      <c r="E491" s="104">
        <f>OneLineRR!J582</f>
        <v>0</v>
      </c>
      <c r="F491" s="104">
        <f>OneLineRR!K582</f>
        <v>0</v>
      </c>
      <c r="G491" s="155" t="e">
        <f>OneLineRR!D582</f>
        <v>#N/A</v>
      </c>
      <c r="H491" s="155" t="e">
        <f>IF(OneLineRR!G582="Yes","Affordable","Market")</f>
        <v>#N/A</v>
      </c>
      <c r="I491" s="104" t="e">
        <f>OneLineRR!I582</f>
        <v>#N/A</v>
      </c>
      <c r="J491" s="156">
        <f>OneLineRR!M582</f>
        <v>0</v>
      </c>
      <c r="K491" s="634">
        <f>OneLineRR!L582</f>
        <v>0</v>
      </c>
      <c r="L491" s="143" t="str">
        <f>OneLineRR!C582</f>
        <v>Occ</v>
      </c>
      <c r="M491" s="636">
        <f>OneLineRR!O582</f>
        <v>0</v>
      </c>
      <c r="N491" s="636">
        <f t="shared" si="7"/>
        <v>0</v>
      </c>
      <c r="O491" s="636">
        <f>OneLineRR!N582</f>
        <v>0</v>
      </c>
      <c r="P491" s="636" t="e" cm="1">
        <f t="array" ref="P491">INDEX('Unit Mix'!$P$6:$P$62,MATCH(1,('Rent Roll'!G491='Unit Mix'!$E$6:$E$62)*(D491='Unit Mix'!$D$6:$D$62),0))</f>
        <v>#N/A</v>
      </c>
      <c r="Q491" s="150">
        <f>OneLineRR!T582</f>
        <v>0</v>
      </c>
      <c r="R491" s="150">
        <f>OneLineRR!U582</f>
        <v>0</v>
      </c>
      <c r="S491" s="150">
        <f>OneLineRR!V582</f>
        <v>0</v>
      </c>
      <c r="T491" s="150">
        <f>OneLineRR!W582</f>
        <v>0</v>
      </c>
      <c r="U491" s="157" t="str">
        <f>IF(OneLineRR!Q582="","",OneLineRR!Q582)</f>
        <v/>
      </c>
      <c r="V491" s="157" t="str">
        <f>IF(OneLineRR!R582="","",OneLineRR!R582)</f>
        <v/>
      </c>
      <c r="AB491" s="320" t="str">
        <f>IFERROR(U491+(COUNTIF($U$8:U491,U491)-1)/10000,"")</f>
        <v/>
      </c>
      <c r="AC491" s="158"/>
      <c r="AD491" s="119"/>
      <c r="AE491" s="460"/>
      <c r="AG491" s="119"/>
    </row>
    <row r="492" spans="4:33" x14ac:dyDescent="0.25">
      <c r="D492" s="154" t="str">
        <f>OneLineRR!A583</f>
        <v>Hudson View Park</v>
      </c>
      <c r="E492" s="104">
        <f>OneLineRR!J583</f>
        <v>0</v>
      </c>
      <c r="F492" s="104">
        <f>OneLineRR!K583</f>
        <v>0</v>
      </c>
      <c r="G492" s="155" t="e">
        <f>OneLineRR!D583</f>
        <v>#N/A</v>
      </c>
      <c r="H492" s="155" t="e">
        <f>IF(OneLineRR!G583="Yes","Affordable","Market")</f>
        <v>#N/A</v>
      </c>
      <c r="I492" s="104" t="e">
        <f>OneLineRR!I583</f>
        <v>#N/A</v>
      </c>
      <c r="J492" s="156">
        <f>OneLineRR!M583</f>
        <v>0</v>
      </c>
      <c r="K492" s="634">
        <f>OneLineRR!L583</f>
        <v>0</v>
      </c>
      <c r="L492" s="143" t="str">
        <f>OneLineRR!C583</f>
        <v>Occ</v>
      </c>
      <c r="M492" s="636">
        <f>OneLineRR!O583</f>
        <v>0</v>
      </c>
      <c r="N492" s="636">
        <f t="shared" si="7"/>
        <v>0</v>
      </c>
      <c r="O492" s="636">
        <f>OneLineRR!N583</f>
        <v>0</v>
      </c>
      <c r="P492" s="636" t="e" cm="1">
        <f t="array" ref="P492">INDEX('Unit Mix'!$P$6:$P$62,MATCH(1,('Rent Roll'!G492='Unit Mix'!$E$6:$E$62)*(D492='Unit Mix'!$D$6:$D$62),0))</f>
        <v>#N/A</v>
      </c>
      <c r="Q492" s="150">
        <f>OneLineRR!T583</f>
        <v>0</v>
      </c>
      <c r="R492" s="150">
        <f>OneLineRR!U583</f>
        <v>0</v>
      </c>
      <c r="S492" s="150">
        <f>OneLineRR!V583</f>
        <v>0</v>
      </c>
      <c r="T492" s="150">
        <f>OneLineRR!W583</f>
        <v>0</v>
      </c>
      <c r="U492" s="157" t="str">
        <f>IF(OneLineRR!Q583="","",OneLineRR!Q583)</f>
        <v/>
      </c>
      <c r="V492" s="157" t="str">
        <f>IF(OneLineRR!R583="","",OneLineRR!R583)</f>
        <v/>
      </c>
      <c r="AB492" s="320" t="str">
        <f>IFERROR(U492+(COUNTIF($U$8:U492,U492)-1)/10000,"")</f>
        <v/>
      </c>
      <c r="AC492" s="158"/>
      <c r="AD492" s="119"/>
      <c r="AE492" s="460"/>
      <c r="AG492" s="119"/>
    </row>
    <row r="493" spans="4:33" x14ac:dyDescent="0.25">
      <c r="D493" s="154" t="str">
        <f>OneLineRR!A584</f>
        <v>Hudson View Park</v>
      </c>
      <c r="E493" s="104">
        <f>OneLineRR!J584</f>
        <v>0</v>
      </c>
      <c r="F493" s="104">
        <f>OneLineRR!K584</f>
        <v>0</v>
      </c>
      <c r="G493" s="155" t="e">
        <f>OneLineRR!D584</f>
        <v>#N/A</v>
      </c>
      <c r="H493" s="155" t="e">
        <f>IF(OneLineRR!G584="Yes","Affordable","Market")</f>
        <v>#N/A</v>
      </c>
      <c r="I493" s="104" t="e">
        <f>OneLineRR!I584</f>
        <v>#N/A</v>
      </c>
      <c r="J493" s="156">
        <f>OneLineRR!M584</f>
        <v>0</v>
      </c>
      <c r="K493" s="634">
        <f>OneLineRR!L584</f>
        <v>0</v>
      </c>
      <c r="L493" s="143" t="str">
        <f>OneLineRR!C584</f>
        <v>Occ</v>
      </c>
      <c r="M493" s="636">
        <f>OneLineRR!O584</f>
        <v>0</v>
      </c>
      <c r="N493" s="636">
        <f t="shared" si="7"/>
        <v>0</v>
      </c>
      <c r="O493" s="636">
        <f>OneLineRR!N584</f>
        <v>0</v>
      </c>
      <c r="P493" s="636" t="e" cm="1">
        <f t="array" ref="P493">INDEX('Unit Mix'!$P$6:$P$62,MATCH(1,('Rent Roll'!G493='Unit Mix'!$E$6:$E$62)*(D493='Unit Mix'!$D$6:$D$62),0))</f>
        <v>#N/A</v>
      </c>
      <c r="Q493" s="150">
        <f>OneLineRR!T584</f>
        <v>0</v>
      </c>
      <c r="R493" s="150">
        <f>OneLineRR!U584</f>
        <v>0</v>
      </c>
      <c r="S493" s="150">
        <f>OneLineRR!V584</f>
        <v>0</v>
      </c>
      <c r="T493" s="150">
        <f>OneLineRR!W584</f>
        <v>0</v>
      </c>
      <c r="U493" s="157" t="str">
        <f>IF(OneLineRR!Q584="","",OneLineRR!Q584)</f>
        <v/>
      </c>
      <c r="V493" s="157" t="str">
        <f>IF(OneLineRR!R584="","",OneLineRR!R584)</f>
        <v/>
      </c>
      <c r="AB493" s="320" t="str">
        <f>IFERROR(U493+(COUNTIF($U$8:U493,U493)-1)/10000,"")</f>
        <v/>
      </c>
      <c r="AC493" s="158"/>
      <c r="AD493" s="119"/>
      <c r="AE493" s="460"/>
      <c r="AG493" s="119"/>
    </row>
    <row r="494" spans="4:33" x14ac:dyDescent="0.25">
      <c r="D494" s="154" t="str">
        <f>OneLineRR!A585</f>
        <v>Hudson View Park</v>
      </c>
      <c r="E494" s="104">
        <f>OneLineRR!J585</f>
        <v>0</v>
      </c>
      <c r="F494" s="104">
        <f>OneLineRR!K585</f>
        <v>0</v>
      </c>
      <c r="G494" s="155" t="e">
        <f>OneLineRR!D585</f>
        <v>#N/A</v>
      </c>
      <c r="H494" s="155" t="e">
        <f>IF(OneLineRR!G585="Yes","Affordable","Market")</f>
        <v>#N/A</v>
      </c>
      <c r="I494" s="104" t="e">
        <f>OneLineRR!I585</f>
        <v>#N/A</v>
      </c>
      <c r="J494" s="156">
        <f>OneLineRR!M585</f>
        <v>0</v>
      </c>
      <c r="K494" s="634">
        <f>OneLineRR!L585</f>
        <v>0</v>
      </c>
      <c r="L494" s="143" t="str">
        <f>OneLineRR!C585</f>
        <v>Occ</v>
      </c>
      <c r="M494" s="636">
        <f>OneLineRR!O585</f>
        <v>0</v>
      </c>
      <c r="N494" s="636">
        <f t="shared" si="7"/>
        <v>0</v>
      </c>
      <c r="O494" s="636">
        <f>OneLineRR!N585</f>
        <v>0</v>
      </c>
      <c r="P494" s="636" t="e" cm="1">
        <f t="array" ref="P494">INDEX('Unit Mix'!$P$6:$P$62,MATCH(1,('Rent Roll'!G494='Unit Mix'!$E$6:$E$62)*(D494='Unit Mix'!$D$6:$D$62),0))</f>
        <v>#N/A</v>
      </c>
      <c r="Q494" s="150">
        <f>OneLineRR!T585</f>
        <v>0</v>
      </c>
      <c r="R494" s="150">
        <f>OneLineRR!U585</f>
        <v>0</v>
      </c>
      <c r="S494" s="150">
        <f>OneLineRR!V585</f>
        <v>0</v>
      </c>
      <c r="T494" s="150">
        <f>OneLineRR!W585</f>
        <v>0</v>
      </c>
      <c r="U494" s="157" t="str">
        <f>IF(OneLineRR!Q585="","",OneLineRR!Q585)</f>
        <v/>
      </c>
      <c r="V494" s="157" t="str">
        <f>IF(OneLineRR!R585="","",OneLineRR!R585)</f>
        <v/>
      </c>
      <c r="AB494" s="320" t="str">
        <f>IFERROR(U494+(COUNTIF($U$8:U494,U494)-1)/10000,"")</f>
        <v/>
      </c>
      <c r="AC494" s="158"/>
      <c r="AD494" s="119"/>
      <c r="AE494" s="460"/>
      <c r="AG494" s="119"/>
    </row>
    <row r="495" spans="4:33" x14ac:dyDescent="0.25">
      <c r="D495" s="154" t="str">
        <f>OneLineRR!A586</f>
        <v>Hudson View Park</v>
      </c>
      <c r="E495" s="104">
        <f>OneLineRR!J586</f>
        <v>0</v>
      </c>
      <c r="F495" s="104">
        <f>OneLineRR!K586</f>
        <v>0</v>
      </c>
      <c r="G495" s="155" t="e">
        <f>OneLineRR!D586</f>
        <v>#N/A</v>
      </c>
      <c r="H495" s="155" t="e">
        <f>IF(OneLineRR!G586="Yes","Affordable","Market")</f>
        <v>#N/A</v>
      </c>
      <c r="I495" s="104" t="e">
        <f>OneLineRR!I586</f>
        <v>#N/A</v>
      </c>
      <c r="J495" s="156">
        <f>OneLineRR!M586</f>
        <v>0</v>
      </c>
      <c r="K495" s="634">
        <f>OneLineRR!L586</f>
        <v>0</v>
      </c>
      <c r="L495" s="143" t="str">
        <f>OneLineRR!C586</f>
        <v>Occ</v>
      </c>
      <c r="M495" s="636">
        <f>OneLineRR!O586</f>
        <v>0</v>
      </c>
      <c r="N495" s="636">
        <f t="shared" si="7"/>
        <v>0</v>
      </c>
      <c r="O495" s="636">
        <f>OneLineRR!N586</f>
        <v>0</v>
      </c>
      <c r="P495" s="636" t="e" cm="1">
        <f t="array" ref="P495">INDEX('Unit Mix'!$P$6:$P$62,MATCH(1,('Rent Roll'!G495='Unit Mix'!$E$6:$E$62)*(D495='Unit Mix'!$D$6:$D$62),0))</f>
        <v>#N/A</v>
      </c>
      <c r="Q495" s="150">
        <f>OneLineRR!T586</f>
        <v>0</v>
      </c>
      <c r="R495" s="150">
        <f>OneLineRR!U586</f>
        <v>0</v>
      </c>
      <c r="S495" s="150">
        <f>OneLineRR!V586</f>
        <v>0</v>
      </c>
      <c r="T495" s="150">
        <f>OneLineRR!W586</f>
        <v>0</v>
      </c>
      <c r="U495" s="157" t="str">
        <f>IF(OneLineRR!Q586="","",OneLineRR!Q586)</f>
        <v/>
      </c>
      <c r="V495" s="157" t="str">
        <f>IF(OneLineRR!R586="","",OneLineRR!R586)</f>
        <v/>
      </c>
      <c r="AB495" s="320" t="str">
        <f>IFERROR(U495+(COUNTIF($U$8:U495,U495)-1)/10000,"")</f>
        <v/>
      </c>
      <c r="AC495" s="158"/>
      <c r="AD495" s="119"/>
      <c r="AE495" s="460"/>
      <c r="AG495" s="119"/>
    </row>
    <row r="496" spans="4:33" x14ac:dyDescent="0.25">
      <c r="D496" s="154" t="str">
        <f>OneLineRR!A587</f>
        <v>Hudson View Park</v>
      </c>
      <c r="E496" s="104">
        <f>OneLineRR!J587</f>
        <v>0</v>
      </c>
      <c r="F496" s="104">
        <f>OneLineRR!K587</f>
        <v>0</v>
      </c>
      <c r="G496" s="155" t="e">
        <f>OneLineRR!D587</f>
        <v>#N/A</v>
      </c>
      <c r="H496" s="155" t="e">
        <f>IF(OneLineRR!G587="Yes","Affordable","Market")</f>
        <v>#N/A</v>
      </c>
      <c r="I496" s="104" t="e">
        <f>OneLineRR!I587</f>
        <v>#N/A</v>
      </c>
      <c r="J496" s="156">
        <f>OneLineRR!M587</f>
        <v>0</v>
      </c>
      <c r="K496" s="634">
        <f>OneLineRR!L587</f>
        <v>0</v>
      </c>
      <c r="L496" s="143" t="str">
        <f>OneLineRR!C587</f>
        <v>Occ</v>
      </c>
      <c r="M496" s="636">
        <f>OneLineRR!O587</f>
        <v>0</v>
      </c>
      <c r="N496" s="636">
        <f t="shared" si="7"/>
        <v>0</v>
      </c>
      <c r="O496" s="636">
        <f>OneLineRR!N587</f>
        <v>0</v>
      </c>
      <c r="P496" s="636" t="e" cm="1">
        <f t="array" ref="P496">INDEX('Unit Mix'!$P$6:$P$62,MATCH(1,('Rent Roll'!G496='Unit Mix'!$E$6:$E$62)*(D496='Unit Mix'!$D$6:$D$62),0))</f>
        <v>#N/A</v>
      </c>
      <c r="Q496" s="150">
        <f>OneLineRR!T587</f>
        <v>0</v>
      </c>
      <c r="R496" s="150">
        <f>OneLineRR!U587</f>
        <v>0</v>
      </c>
      <c r="S496" s="150">
        <f>OneLineRR!V587</f>
        <v>0</v>
      </c>
      <c r="T496" s="150">
        <f>OneLineRR!W587</f>
        <v>0</v>
      </c>
      <c r="U496" s="157" t="str">
        <f>IF(OneLineRR!Q587="","",OneLineRR!Q587)</f>
        <v/>
      </c>
      <c r="V496" s="157" t="str">
        <f>IF(OneLineRR!R587="","",OneLineRR!R587)</f>
        <v/>
      </c>
      <c r="AB496" s="320" t="str">
        <f>IFERROR(U496+(COUNTIF($U$8:U496,U496)-1)/10000,"")</f>
        <v/>
      </c>
      <c r="AC496" s="158"/>
      <c r="AD496" s="119"/>
      <c r="AE496" s="460"/>
      <c r="AG496" s="119"/>
    </row>
    <row r="497" spans="4:33" x14ac:dyDescent="0.25">
      <c r="D497" s="154" t="str">
        <f>OneLineRR!A588</f>
        <v>Hudson View Park</v>
      </c>
      <c r="E497" s="104">
        <f>OneLineRR!J588</f>
        <v>0</v>
      </c>
      <c r="F497" s="104">
        <f>OneLineRR!K588</f>
        <v>0</v>
      </c>
      <c r="G497" s="155" t="e">
        <f>OneLineRR!D588</f>
        <v>#N/A</v>
      </c>
      <c r="H497" s="155" t="e">
        <f>IF(OneLineRR!G588="Yes","Affordable","Market")</f>
        <v>#N/A</v>
      </c>
      <c r="I497" s="104" t="e">
        <f>OneLineRR!I588</f>
        <v>#N/A</v>
      </c>
      <c r="J497" s="156">
        <f>OneLineRR!M588</f>
        <v>0</v>
      </c>
      <c r="K497" s="634">
        <f>OneLineRR!L588</f>
        <v>0</v>
      </c>
      <c r="L497" s="143" t="str">
        <f>OneLineRR!C588</f>
        <v>Occ</v>
      </c>
      <c r="M497" s="636">
        <f>OneLineRR!O588</f>
        <v>0</v>
      </c>
      <c r="N497" s="636">
        <f t="shared" si="7"/>
        <v>0</v>
      </c>
      <c r="O497" s="636">
        <f>OneLineRR!N588</f>
        <v>0</v>
      </c>
      <c r="P497" s="636" t="e" cm="1">
        <f t="array" ref="P497">INDEX('Unit Mix'!$P$6:$P$62,MATCH(1,('Rent Roll'!G497='Unit Mix'!$E$6:$E$62)*(D497='Unit Mix'!$D$6:$D$62),0))</f>
        <v>#N/A</v>
      </c>
      <c r="Q497" s="150">
        <f>OneLineRR!T588</f>
        <v>0</v>
      </c>
      <c r="R497" s="150">
        <f>OneLineRR!U588</f>
        <v>0</v>
      </c>
      <c r="S497" s="150">
        <f>OneLineRR!V588</f>
        <v>0</v>
      </c>
      <c r="T497" s="150">
        <f>OneLineRR!W588</f>
        <v>0</v>
      </c>
      <c r="U497" s="157" t="str">
        <f>IF(OneLineRR!Q588="","",OneLineRR!Q588)</f>
        <v/>
      </c>
      <c r="V497" s="157" t="str">
        <f>IF(OneLineRR!R588="","",OneLineRR!R588)</f>
        <v/>
      </c>
      <c r="AB497" s="320" t="str">
        <f>IFERROR(U497+(COUNTIF($U$8:U497,U497)-1)/10000,"")</f>
        <v/>
      </c>
      <c r="AC497" s="158"/>
      <c r="AD497" s="119"/>
      <c r="AE497" s="460"/>
      <c r="AG497" s="119"/>
    </row>
    <row r="498" spans="4:33" x14ac:dyDescent="0.25">
      <c r="D498" s="154" t="str">
        <f>OneLineRR!A589</f>
        <v>Hudson View Park</v>
      </c>
      <c r="E498" s="104">
        <f>OneLineRR!J589</f>
        <v>0</v>
      </c>
      <c r="F498" s="104">
        <f>OneLineRR!K589</f>
        <v>0</v>
      </c>
      <c r="G498" s="155" t="e">
        <f>OneLineRR!D589</f>
        <v>#N/A</v>
      </c>
      <c r="H498" s="155" t="e">
        <f>IF(OneLineRR!G589="Yes","Affordable","Market")</f>
        <v>#N/A</v>
      </c>
      <c r="I498" s="104" t="e">
        <f>OneLineRR!I589</f>
        <v>#N/A</v>
      </c>
      <c r="J498" s="156">
        <f>OneLineRR!M589</f>
        <v>0</v>
      </c>
      <c r="K498" s="634">
        <f>OneLineRR!L589</f>
        <v>0</v>
      </c>
      <c r="L498" s="143" t="str">
        <f>OneLineRR!C589</f>
        <v>Occ</v>
      </c>
      <c r="M498" s="636">
        <f>OneLineRR!O589</f>
        <v>0</v>
      </c>
      <c r="N498" s="636">
        <f t="shared" si="7"/>
        <v>0</v>
      </c>
      <c r="O498" s="636">
        <f>OneLineRR!N589</f>
        <v>0</v>
      </c>
      <c r="P498" s="636" t="e" cm="1">
        <f t="array" ref="P498">INDEX('Unit Mix'!$P$6:$P$62,MATCH(1,('Rent Roll'!G498='Unit Mix'!$E$6:$E$62)*(D498='Unit Mix'!$D$6:$D$62),0))</f>
        <v>#N/A</v>
      </c>
      <c r="Q498" s="150">
        <f>OneLineRR!T589</f>
        <v>0</v>
      </c>
      <c r="R498" s="150">
        <f>OneLineRR!U589</f>
        <v>0</v>
      </c>
      <c r="S498" s="150">
        <f>OneLineRR!V589</f>
        <v>0</v>
      </c>
      <c r="T498" s="150">
        <f>OneLineRR!W589</f>
        <v>0</v>
      </c>
      <c r="U498" s="157" t="str">
        <f>IF(OneLineRR!Q589="","",OneLineRR!Q589)</f>
        <v/>
      </c>
      <c r="V498" s="157" t="str">
        <f>IF(OneLineRR!R589="","",OneLineRR!R589)</f>
        <v/>
      </c>
      <c r="AB498" s="320" t="str">
        <f>IFERROR(U498+(COUNTIF($U$8:U498,U498)-1)/10000,"")</f>
        <v/>
      </c>
      <c r="AC498" s="158"/>
      <c r="AD498" s="119"/>
      <c r="AE498" s="460"/>
      <c r="AG498" s="119"/>
    </row>
    <row r="499" spans="4:33" x14ac:dyDescent="0.25">
      <c r="D499" s="154" t="str">
        <f>OneLineRR!A590</f>
        <v>Hudson View Park</v>
      </c>
      <c r="E499" s="104">
        <f>OneLineRR!J590</f>
        <v>0</v>
      </c>
      <c r="F499" s="104">
        <f>OneLineRR!K590</f>
        <v>0</v>
      </c>
      <c r="G499" s="155" t="e">
        <f>OneLineRR!D590</f>
        <v>#N/A</v>
      </c>
      <c r="H499" s="155" t="e">
        <f>IF(OneLineRR!G590="Yes","Affordable","Market")</f>
        <v>#N/A</v>
      </c>
      <c r="I499" s="104" t="e">
        <f>OneLineRR!I590</f>
        <v>#N/A</v>
      </c>
      <c r="J499" s="156">
        <f>OneLineRR!M590</f>
        <v>0</v>
      </c>
      <c r="K499" s="634">
        <f>OneLineRR!L590</f>
        <v>0</v>
      </c>
      <c r="L499" s="143" t="str">
        <f>OneLineRR!C590</f>
        <v>Occ</v>
      </c>
      <c r="M499" s="636">
        <f>OneLineRR!O590</f>
        <v>0</v>
      </c>
      <c r="N499" s="636">
        <f t="shared" si="7"/>
        <v>0</v>
      </c>
      <c r="O499" s="636">
        <f>OneLineRR!N590</f>
        <v>0</v>
      </c>
      <c r="P499" s="636" t="e" cm="1">
        <f t="array" ref="P499">INDEX('Unit Mix'!$P$6:$P$62,MATCH(1,('Rent Roll'!G499='Unit Mix'!$E$6:$E$62)*(D499='Unit Mix'!$D$6:$D$62),0))</f>
        <v>#N/A</v>
      </c>
      <c r="Q499" s="150">
        <f>OneLineRR!T590</f>
        <v>0</v>
      </c>
      <c r="R499" s="150">
        <f>OneLineRR!U590</f>
        <v>0</v>
      </c>
      <c r="S499" s="150">
        <f>OneLineRR!V590</f>
        <v>0</v>
      </c>
      <c r="T499" s="150">
        <f>OneLineRR!W590</f>
        <v>0</v>
      </c>
      <c r="U499" s="157" t="str">
        <f>IF(OneLineRR!Q590="","",OneLineRR!Q590)</f>
        <v/>
      </c>
      <c r="V499" s="157" t="str">
        <f>IF(OneLineRR!R590="","",OneLineRR!R590)</f>
        <v/>
      </c>
      <c r="AB499" s="320" t="str">
        <f>IFERROR(U499+(COUNTIF($U$8:U499,U499)-1)/10000,"")</f>
        <v/>
      </c>
      <c r="AC499" s="158"/>
      <c r="AD499" s="119"/>
      <c r="AE499" s="460"/>
      <c r="AG499" s="119"/>
    </row>
    <row r="500" spans="4:33" x14ac:dyDescent="0.25">
      <c r="D500" s="154" t="str">
        <f>OneLineRR!A591</f>
        <v>Hudson View Park</v>
      </c>
      <c r="E500" s="104">
        <f>OneLineRR!J591</f>
        <v>0</v>
      </c>
      <c r="F500" s="104">
        <f>OneLineRR!K591</f>
        <v>0</v>
      </c>
      <c r="G500" s="155" t="e">
        <f>OneLineRR!D591</f>
        <v>#N/A</v>
      </c>
      <c r="H500" s="155" t="e">
        <f>IF(OneLineRR!G591="Yes","Affordable","Market")</f>
        <v>#N/A</v>
      </c>
      <c r="I500" s="104" t="e">
        <f>OneLineRR!I591</f>
        <v>#N/A</v>
      </c>
      <c r="J500" s="156">
        <f>OneLineRR!M591</f>
        <v>0</v>
      </c>
      <c r="K500" s="634">
        <f>OneLineRR!L591</f>
        <v>0</v>
      </c>
      <c r="L500" s="143" t="str">
        <f>OneLineRR!C591</f>
        <v>Occ</v>
      </c>
      <c r="M500" s="636">
        <f>OneLineRR!O591</f>
        <v>0</v>
      </c>
      <c r="N500" s="636">
        <f t="shared" si="7"/>
        <v>0</v>
      </c>
      <c r="O500" s="636">
        <f>OneLineRR!N591</f>
        <v>0</v>
      </c>
      <c r="P500" s="636" t="e" cm="1">
        <f t="array" ref="P500">INDEX('Unit Mix'!$P$6:$P$62,MATCH(1,('Rent Roll'!G500='Unit Mix'!$E$6:$E$62)*(D500='Unit Mix'!$D$6:$D$62),0))</f>
        <v>#N/A</v>
      </c>
      <c r="Q500" s="150">
        <f>OneLineRR!T591</f>
        <v>0</v>
      </c>
      <c r="R500" s="150">
        <f>OneLineRR!U591</f>
        <v>0</v>
      </c>
      <c r="S500" s="150">
        <f>OneLineRR!V591</f>
        <v>0</v>
      </c>
      <c r="T500" s="150">
        <f>OneLineRR!W591</f>
        <v>0</v>
      </c>
      <c r="U500" s="157" t="str">
        <f>IF(OneLineRR!Q591="","",OneLineRR!Q591)</f>
        <v/>
      </c>
      <c r="V500" s="157" t="str">
        <f>IF(OneLineRR!R591="","",OneLineRR!R591)</f>
        <v/>
      </c>
      <c r="AB500" s="320" t="str">
        <f>IFERROR(U500+(COUNTIF($U$8:U500,U500)-1)/10000,"")</f>
        <v/>
      </c>
      <c r="AC500" s="158"/>
      <c r="AD500" s="119"/>
      <c r="AE500" s="460"/>
      <c r="AG500" s="119"/>
    </row>
    <row r="501" spans="4:33" x14ac:dyDescent="0.25">
      <c r="D501" s="154" t="str">
        <f>OneLineRR!A592</f>
        <v>Hudson View Park</v>
      </c>
      <c r="E501" s="104">
        <f>OneLineRR!J592</f>
        <v>0</v>
      </c>
      <c r="F501" s="104">
        <f>OneLineRR!K592</f>
        <v>0</v>
      </c>
      <c r="G501" s="155" t="e">
        <f>OneLineRR!D592</f>
        <v>#N/A</v>
      </c>
      <c r="H501" s="155" t="e">
        <f>IF(OneLineRR!G592="Yes","Affordable","Market")</f>
        <v>#N/A</v>
      </c>
      <c r="I501" s="104" t="e">
        <f>OneLineRR!I592</f>
        <v>#N/A</v>
      </c>
      <c r="J501" s="156">
        <f>OneLineRR!M592</f>
        <v>0</v>
      </c>
      <c r="K501" s="634">
        <f>OneLineRR!L592</f>
        <v>0</v>
      </c>
      <c r="L501" s="143" t="str">
        <f>OneLineRR!C592</f>
        <v>Occ</v>
      </c>
      <c r="M501" s="636">
        <f>OneLineRR!O592</f>
        <v>0</v>
      </c>
      <c r="N501" s="636">
        <f t="shared" si="7"/>
        <v>0</v>
      </c>
      <c r="O501" s="636">
        <f>OneLineRR!N592</f>
        <v>0</v>
      </c>
      <c r="P501" s="636" t="e" cm="1">
        <f t="array" ref="P501">INDEX('Unit Mix'!$P$6:$P$62,MATCH(1,('Rent Roll'!G501='Unit Mix'!$E$6:$E$62)*(D501='Unit Mix'!$D$6:$D$62),0))</f>
        <v>#N/A</v>
      </c>
      <c r="Q501" s="150">
        <f>OneLineRR!T592</f>
        <v>0</v>
      </c>
      <c r="R501" s="150">
        <f>OneLineRR!U592</f>
        <v>0</v>
      </c>
      <c r="S501" s="150">
        <f>OneLineRR!V592</f>
        <v>0</v>
      </c>
      <c r="T501" s="150">
        <f>OneLineRR!W592</f>
        <v>0</v>
      </c>
      <c r="U501" s="157" t="str">
        <f>IF(OneLineRR!Q592="","",OneLineRR!Q592)</f>
        <v/>
      </c>
      <c r="V501" s="157" t="str">
        <f>IF(OneLineRR!R592="","",OneLineRR!R592)</f>
        <v/>
      </c>
      <c r="AB501" s="320" t="str">
        <f>IFERROR(U501+(COUNTIF($U$8:U501,U501)-1)/10000,"")</f>
        <v/>
      </c>
      <c r="AC501" s="158"/>
      <c r="AD501" s="119"/>
      <c r="AE501" s="460"/>
      <c r="AG501" s="119"/>
    </row>
    <row r="502" spans="4:33" x14ac:dyDescent="0.25">
      <c r="D502" s="154" t="str">
        <f>OneLineRR!A593</f>
        <v>Hudson View Park</v>
      </c>
      <c r="E502" s="104">
        <f>OneLineRR!J593</f>
        <v>0</v>
      </c>
      <c r="F502" s="104">
        <f>OneLineRR!K593</f>
        <v>0</v>
      </c>
      <c r="G502" s="155" t="e">
        <f>OneLineRR!D593</f>
        <v>#N/A</v>
      </c>
      <c r="H502" s="155" t="e">
        <f>IF(OneLineRR!G593="Yes","Affordable","Market")</f>
        <v>#N/A</v>
      </c>
      <c r="I502" s="104" t="e">
        <f>OneLineRR!I593</f>
        <v>#N/A</v>
      </c>
      <c r="J502" s="156">
        <f>OneLineRR!M593</f>
        <v>0</v>
      </c>
      <c r="K502" s="634">
        <f>OneLineRR!L593</f>
        <v>0</v>
      </c>
      <c r="L502" s="143" t="str">
        <f>OneLineRR!C593</f>
        <v>Occ</v>
      </c>
      <c r="M502" s="636">
        <f>OneLineRR!O593</f>
        <v>0</v>
      </c>
      <c r="N502" s="636">
        <f t="shared" si="7"/>
        <v>0</v>
      </c>
      <c r="O502" s="636">
        <f>OneLineRR!N593</f>
        <v>0</v>
      </c>
      <c r="P502" s="636" t="e" cm="1">
        <f t="array" ref="P502">INDEX('Unit Mix'!$P$6:$P$62,MATCH(1,('Rent Roll'!G502='Unit Mix'!$E$6:$E$62)*(D502='Unit Mix'!$D$6:$D$62),0))</f>
        <v>#N/A</v>
      </c>
      <c r="Q502" s="150">
        <f>OneLineRR!T593</f>
        <v>0</v>
      </c>
      <c r="R502" s="150">
        <f>OneLineRR!U593</f>
        <v>0</v>
      </c>
      <c r="S502" s="150">
        <f>OneLineRR!V593</f>
        <v>0</v>
      </c>
      <c r="T502" s="150">
        <f>OneLineRR!W593</f>
        <v>0</v>
      </c>
      <c r="U502" s="157" t="str">
        <f>IF(OneLineRR!Q593="","",OneLineRR!Q593)</f>
        <v/>
      </c>
      <c r="V502" s="157" t="str">
        <f>IF(OneLineRR!R593="","",OneLineRR!R593)</f>
        <v/>
      </c>
      <c r="AB502" s="320" t="str">
        <f>IFERROR(U502+(COUNTIF($U$8:U502,U502)-1)/10000,"")</f>
        <v/>
      </c>
      <c r="AC502" s="158"/>
      <c r="AD502" s="119"/>
      <c r="AE502" s="460"/>
      <c r="AG502" s="119"/>
    </row>
    <row r="503" spans="4:33" x14ac:dyDescent="0.25">
      <c r="D503" s="154" t="str">
        <f>OneLineRR!A594</f>
        <v>Hudson View Park</v>
      </c>
      <c r="E503" s="104">
        <f>OneLineRR!J594</f>
        <v>0</v>
      </c>
      <c r="F503" s="104">
        <f>OneLineRR!K594</f>
        <v>0</v>
      </c>
      <c r="G503" s="155" t="e">
        <f>OneLineRR!D594</f>
        <v>#N/A</v>
      </c>
      <c r="H503" s="155" t="e">
        <f>IF(OneLineRR!G594="Yes","Affordable","Market")</f>
        <v>#N/A</v>
      </c>
      <c r="I503" s="104" t="e">
        <f>OneLineRR!I594</f>
        <v>#N/A</v>
      </c>
      <c r="J503" s="156">
        <f>OneLineRR!M594</f>
        <v>0</v>
      </c>
      <c r="K503" s="634">
        <f>OneLineRR!L594</f>
        <v>0</v>
      </c>
      <c r="L503" s="143" t="str">
        <f>OneLineRR!C594</f>
        <v>Occ</v>
      </c>
      <c r="M503" s="636">
        <f>OneLineRR!O594</f>
        <v>0</v>
      </c>
      <c r="N503" s="636">
        <f t="shared" si="7"/>
        <v>0</v>
      </c>
      <c r="O503" s="636">
        <f>OneLineRR!N594</f>
        <v>0</v>
      </c>
      <c r="P503" s="636" t="e" cm="1">
        <f t="array" ref="P503">INDEX('Unit Mix'!$P$6:$P$62,MATCH(1,('Rent Roll'!G503='Unit Mix'!$E$6:$E$62)*(D503='Unit Mix'!$D$6:$D$62),0))</f>
        <v>#N/A</v>
      </c>
      <c r="Q503" s="150">
        <f>OneLineRR!T594</f>
        <v>0</v>
      </c>
      <c r="R503" s="150">
        <f>OneLineRR!U594</f>
        <v>0</v>
      </c>
      <c r="S503" s="150">
        <f>OneLineRR!V594</f>
        <v>0</v>
      </c>
      <c r="T503" s="150">
        <f>OneLineRR!W594</f>
        <v>0</v>
      </c>
      <c r="U503" s="157" t="str">
        <f>IF(OneLineRR!Q594="","",OneLineRR!Q594)</f>
        <v/>
      </c>
      <c r="V503" s="157" t="str">
        <f>IF(OneLineRR!R594="","",OneLineRR!R594)</f>
        <v/>
      </c>
      <c r="AB503" s="320" t="str">
        <f>IFERROR(U503+(COUNTIF($U$8:U503,U503)-1)/10000,"")</f>
        <v/>
      </c>
      <c r="AC503" s="158"/>
      <c r="AD503" s="119"/>
      <c r="AE503" s="460"/>
      <c r="AG503" s="119"/>
    </row>
    <row r="504" spans="4:33" x14ac:dyDescent="0.25">
      <c r="D504" s="154" t="str">
        <f>OneLineRR!A595</f>
        <v>Hudson View Park</v>
      </c>
      <c r="E504" s="104">
        <f>OneLineRR!J595</f>
        <v>0</v>
      </c>
      <c r="F504" s="104">
        <f>OneLineRR!K595</f>
        <v>0</v>
      </c>
      <c r="G504" s="155" t="e">
        <f>OneLineRR!D595</f>
        <v>#N/A</v>
      </c>
      <c r="H504" s="155" t="e">
        <f>IF(OneLineRR!G595="Yes","Affordable","Market")</f>
        <v>#N/A</v>
      </c>
      <c r="I504" s="104" t="e">
        <f>OneLineRR!I595</f>
        <v>#N/A</v>
      </c>
      <c r="J504" s="156">
        <f>OneLineRR!M595</f>
        <v>0</v>
      </c>
      <c r="K504" s="634">
        <f>OneLineRR!L595</f>
        <v>0</v>
      </c>
      <c r="L504" s="143" t="str">
        <f>OneLineRR!C595</f>
        <v>Occ</v>
      </c>
      <c r="M504" s="636">
        <f>OneLineRR!O595</f>
        <v>0</v>
      </c>
      <c r="N504" s="636">
        <f t="shared" si="7"/>
        <v>0</v>
      </c>
      <c r="O504" s="636">
        <f>OneLineRR!N595</f>
        <v>0</v>
      </c>
      <c r="P504" s="636" t="e" cm="1">
        <f t="array" ref="P504">INDEX('Unit Mix'!$P$6:$P$62,MATCH(1,('Rent Roll'!G504='Unit Mix'!$E$6:$E$62)*(D504='Unit Mix'!$D$6:$D$62),0))</f>
        <v>#N/A</v>
      </c>
      <c r="Q504" s="150">
        <f>OneLineRR!T595</f>
        <v>0</v>
      </c>
      <c r="R504" s="150">
        <f>OneLineRR!U595</f>
        <v>0</v>
      </c>
      <c r="S504" s="150">
        <f>OneLineRR!V595</f>
        <v>0</v>
      </c>
      <c r="T504" s="150">
        <f>OneLineRR!W595</f>
        <v>0</v>
      </c>
      <c r="U504" s="157" t="str">
        <f>IF(OneLineRR!Q595="","",OneLineRR!Q595)</f>
        <v/>
      </c>
      <c r="V504" s="157" t="str">
        <f>IF(OneLineRR!R595="","",OneLineRR!R595)</f>
        <v/>
      </c>
      <c r="AB504" s="320" t="str">
        <f>IFERROR(U504+(COUNTIF($U$8:U504,U504)-1)/10000,"")</f>
        <v/>
      </c>
      <c r="AC504" s="158"/>
      <c r="AD504" s="119"/>
      <c r="AE504" s="460"/>
      <c r="AG504" s="119"/>
    </row>
    <row r="505" spans="4:33" x14ac:dyDescent="0.25">
      <c r="D505" s="154" t="str">
        <f>OneLineRR!A596</f>
        <v>Hudson View Park</v>
      </c>
      <c r="E505" s="104">
        <f>OneLineRR!J596</f>
        <v>0</v>
      </c>
      <c r="F505" s="104">
        <f>OneLineRR!K596</f>
        <v>0</v>
      </c>
      <c r="G505" s="155" t="e">
        <f>OneLineRR!D596</f>
        <v>#N/A</v>
      </c>
      <c r="H505" s="155" t="e">
        <f>IF(OneLineRR!G596="Yes","Affordable","Market")</f>
        <v>#N/A</v>
      </c>
      <c r="I505" s="104" t="e">
        <f>OneLineRR!I596</f>
        <v>#N/A</v>
      </c>
      <c r="J505" s="156">
        <f>OneLineRR!M596</f>
        <v>0</v>
      </c>
      <c r="K505" s="634">
        <f>OneLineRR!L596</f>
        <v>0</v>
      </c>
      <c r="L505" s="143" t="str">
        <f>OneLineRR!C596</f>
        <v>Occ</v>
      </c>
      <c r="M505" s="636">
        <f>OneLineRR!O596</f>
        <v>0</v>
      </c>
      <c r="N505" s="636">
        <f t="shared" si="7"/>
        <v>0</v>
      </c>
      <c r="O505" s="636">
        <f>OneLineRR!N596</f>
        <v>0</v>
      </c>
      <c r="P505" s="636" t="e" cm="1">
        <f t="array" ref="P505">INDEX('Unit Mix'!$P$6:$P$62,MATCH(1,('Rent Roll'!G505='Unit Mix'!$E$6:$E$62)*(D505='Unit Mix'!$D$6:$D$62),0))</f>
        <v>#N/A</v>
      </c>
      <c r="Q505" s="150">
        <f>OneLineRR!T596</f>
        <v>0</v>
      </c>
      <c r="R505" s="150">
        <f>OneLineRR!U596</f>
        <v>0</v>
      </c>
      <c r="S505" s="150">
        <f>OneLineRR!V596</f>
        <v>0</v>
      </c>
      <c r="T505" s="150">
        <f>OneLineRR!W596</f>
        <v>0</v>
      </c>
      <c r="U505" s="157" t="str">
        <f>IF(OneLineRR!Q596="","",OneLineRR!Q596)</f>
        <v/>
      </c>
      <c r="V505" s="157" t="str">
        <f>IF(OneLineRR!R596="","",OneLineRR!R596)</f>
        <v/>
      </c>
      <c r="AB505" s="320" t="str">
        <f>IFERROR(U505+(COUNTIF($U$8:U505,U505)-1)/10000,"")</f>
        <v/>
      </c>
      <c r="AC505" s="158"/>
      <c r="AD505" s="119"/>
      <c r="AE505" s="460"/>
      <c r="AG505" s="119"/>
    </row>
    <row r="506" spans="4:33" x14ac:dyDescent="0.25">
      <c r="D506" s="154" t="str">
        <f>OneLineRR!A597</f>
        <v>Hudson View Park</v>
      </c>
      <c r="E506" s="104">
        <f>OneLineRR!J597</f>
        <v>0</v>
      </c>
      <c r="F506" s="104">
        <f>OneLineRR!K597</f>
        <v>0</v>
      </c>
      <c r="G506" s="155" t="e">
        <f>OneLineRR!D597</f>
        <v>#N/A</v>
      </c>
      <c r="H506" s="155" t="e">
        <f>IF(OneLineRR!G597="Yes","Affordable","Market")</f>
        <v>#N/A</v>
      </c>
      <c r="I506" s="104" t="e">
        <f>OneLineRR!I597</f>
        <v>#N/A</v>
      </c>
      <c r="J506" s="156">
        <f>OneLineRR!M597</f>
        <v>0</v>
      </c>
      <c r="K506" s="634">
        <f>OneLineRR!L597</f>
        <v>0</v>
      </c>
      <c r="L506" s="143" t="str">
        <f>OneLineRR!C597</f>
        <v>Occ</v>
      </c>
      <c r="M506" s="636">
        <f>OneLineRR!O597</f>
        <v>0</v>
      </c>
      <c r="N506" s="636">
        <f t="shared" si="7"/>
        <v>0</v>
      </c>
      <c r="O506" s="636">
        <f>OneLineRR!N597</f>
        <v>0</v>
      </c>
      <c r="P506" s="636" t="e" cm="1">
        <f t="array" ref="P506">INDEX('Unit Mix'!$P$6:$P$62,MATCH(1,('Rent Roll'!G506='Unit Mix'!$E$6:$E$62)*(D506='Unit Mix'!$D$6:$D$62),0))</f>
        <v>#N/A</v>
      </c>
      <c r="Q506" s="150">
        <f>OneLineRR!T597</f>
        <v>0</v>
      </c>
      <c r="R506" s="150">
        <f>OneLineRR!U597</f>
        <v>0</v>
      </c>
      <c r="S506" s="150">
        <f>OneLineRR!V597</f>
        <v>0</v>
      </c>
      <c r="T506" s="150">
        <f>OneLineRR!W597</f>
        <v>0</v>
      </c>
      <c r="U506" s="157" t="str">
        <f>IF(OneLineRR!Q597="","",OneLineRR!Q597)</f>
        <v/>
      </c>
      <c r="V506" s="157" t="str">
        <f>IF(OneLineRR!R597="","",OneLineRR!R597)</f>
        <v/>
      </c>
      <c r="AB506" s="320" t="str">
        <f>IFERROR(U506+(COUNTIF($U$8:U506,U506)-1)/10000,"")</f>
        <v/>
      </c>
      <c r="AC506" s="158"/>
      <c r="AD506" s="119"/>
      <c r="AE506" s="460"/>
      <c r="AG506" s="119"/>
    </row>
    <row r="507" spans="4:33" x14ac:dyDescent="0.25">
      <c r="D507" s="154" t="str">
        <f>OneLineRR!A598</f>
        <v>Hudson View Park</v>
      </c>
      <c r="E507" s="104">
        <f>OneLineRR!J598</f>
        <v>0</v>
      </c>
      <c r="F507" s="104">
        <f>OneLineRR!K598</f>
        <v>0</v>
      </c>
      <c r="G507" s="155" t="e">
        <f>OneLineRR!D598</f>
        <v>#N/A</v>
      </c>
      <c r="H507" s="155" t="e">
        <f>IF(OneLineRR!G598="Yes","Affordable","Market")</f>
        <v>#N/A</v>
      </c>
      <c r="I507" s="104" t="e">
        <f>OneLineRR!I598</f>
        <v>#N/A</v>
      </c>
      <c r="J507" s="156">
        <f>OneLineRR!M598</f>
        <v>0</v>
      </c>
      <c r="K507" s="634">
        <f>OneLineRR!L598</f>
        <v>0</v>
      </c>
      <c r="L507" s="143" t="str">
        <f>OneLineRR!C598</f>
        <v>Occ</v>
      </c>
      <c r="M507" s="636">
        <f>OneLineRR!O598</f>
        <v>0</v>
      </c>
      <c r="N507" s="636">
        <f t="shared" si="7"/>
        <v>0</v>
      </c>
      <c r="O507" s="636">
        <f>OneLineRR!N598</f>
        <v>0</v>
      </c>
      <c r="P507" s="636" t="e" cm="1">
        <f t="array" ref="P507">INDEX('Unit Mix'!$P$6:$P$62,MATCH(1,('Rent Roll'!G507='Unit Mix'!$E$6:$E$62)*(D507='Unit Mix'!$D$6:$D$62),0))</f>
        <v>#N/A</v>
      </c>
      <c r="Q507" s="150">
        <f>OneLineRR!T598</f>
        <v>0</v>
      </c>
      <c r="R507" s="150">
        <f>OneLineRR!U598</f>
        <v>0</v>
      </c>
      <c r="S507" s="150">
        <f>OneLineRR!V598</f>
        <v>0</v>
      </c>
      <c r="T507" s="150">
        <f>OneLineRR!W598</f>
        <v>0</v>
      </c>
      <c r="U507" s="157" t="str">
        <f>IF(OneLineRR!Q598="","",OneLineRR!Q598)</f>
        <v/>
      </c>
      <c r="V507" s="157" t="str">
        <f>IF(OneLineRR!R598="","",OneLineRR!R598)</f>
        <v/>
      </c>
      <c r="AB507" s="320" t="str">
        <f>IFERROR(U507+(COUNTIF($U$8:U507,U507)-1)/10000,"")</f>
        <v/>
      </c>
      <c r="AC507" s="158"/>
      <c r="AD507" s="119"/>
      <c r="AE507" s="460"/>
      <c r="AG507" s="119"/>
    </row>
    <row r="508" spans="4:33" x14ac:dyDescent="0.25">
      <c r="D508" s="154" t="str">
        <f>OneLineRR!A599</f>
        <v>Hudson View Park</v>
      </c>
      <c r="E508" s="104">
        <f>OneLineRR!J599</f>
        <v>0</v>
      </c>
      <c r="F508" s="104">
        <f>OneLineRR!K599</f>
        <v>0</v>
      </c>
      <c r="G508" s="155" t="e">
        <f>OneLineRR!D599</f>
        <v>#N/A</v>
      </c>
      <c r="H508" s="155" t="e">
        <f>IF(OneLineRR!G599="Yes","Affordable","Market")</f>
        <v>#N/A</v>
      </c>
      <c r="I508" s="104" t="e">
        <f>OneLineRR!I599</f>
        <v>#N/A</v>
      </c>
      <c r="J508" s="156">
        <f>OneLineRR!M599</f>
        <v>0</v>
      </c>
      <c r="K508" s="634">
        <f>OneLineRR!L599</f>
        <v>0</v>
      </c>
      <c r="L508" s="143" t="str">
        <f>OneLineRR!C599</f>
        <v>Occ</v>
      </c>
      <c r="M508" s="636">
        <f>OneLineRR!O599</f>
        <v>0</v>
      </c>
      <c r="N508" s="636">
        <f t="shared" si="7"/>
        <v>0</v>
      </c>
      <c r="O508" s="636">
        <f>OneLineRR!N599</f>
        <v>0</v>
      </c>
      <c r="P508" s="636" t="e" cm="1">
        <f t="array" ref="P508">INDEX('Unit Mix'!$P$6:$P$62,MATCH(1,('Rent Roll'!G508='Unit Mix'!$E$6:$E$62)*(D508='Unit Mix'!$D$6:$D$62),0))</f>
        <v>#N/A</v>
      </c>
      <c r="Q508" s="150">
        <f>OneLineRR!T599</f>
        <v>0</v>
      </c>
      <c r="R508" s="150">
        <f>OneLineRR!U599</f>
        <v>0</v>
      </c>
      <c r="S508" s="150">
        <f>OneLineRR!V599</f>
        <v>0</v>
      </c>
      <c r="T508" s="150">
        <f>OneLineRR!W599</f>
        <v>0</v>
      </c>
      <c r="U508" s="157" t="str">
        <f>IF(OneLineRR!Q599="","",OneLineRR!Q599)</f>
        <v/>
      </c>
      <c r="V508" s="157" t="str">
        <f>IF(OneLineRR!R599="","",OneLineRR!R599)</f>
        <v/>
      </c>
      <c r="AB508" s="320" t="str">
        <f>IFERROR(U508+(COUNTIF($U$8:U508,U508)-1)/10000,"")</f>
        <v/>
      </c>
      <c r="AC508" s="158"/>
      <c r="AD508" s="119"/>
      <c r="AE508" s="460"/>
      <c r="AG508" s="119"/>
    </row>
    <row r="509" spans="4:33" x14ac:dyDescent="0.25">
      <c r="D509" s="154" t="str">
        <f>OneLineRR!A600</f>
        <v>Hudson View Park</v>
      </c>
      <c r="E509" s="104">
        <f>OneLineRR!J600</f>
        <v>0</v>
      </c>
      <c r="F509" s="104">
        <f>OneLineRR!K600</f>
        <v>0</v>
      </c>
      <c r="G509" s="155" t="e">
        <f>OneLineRR!D600</f>
        <v>#N/A</v>
      </c>
      <c r="H509" s="155" t="e">
        <f>IF(OneLineRR!G600="Yes","Affordable","Market")</f>
        <v>#N/A</v>
      </c>
      <c r="I509" s="104" t="e">
        <f>OneLineRR!I600</f>
        <v>#N/A</v>
      </c>
      <c r="J509" s="156">
        <f>OneLineRR!M600</f>
        <v>0</v>
      </c>
      <c r="K509" s="634">
        <f>OneLineRR!L600</f>
        <v>0</v>
      </c>
      <c r="L509" s="143" t="str">
        <f>OneLineRR!C600</f>
        <v>Occ</v>
      </c>
      <c r="M509" s="636">
        <f>OneLineRR!O600</f>
        <v>0</v>
      </c>
      <c r="N509" s="636">
        <f t="shared" si="7"/>
        <v>0</v>
      </c>
      <c r="O509" s="636">
        <f>OneLineRR!N600</f>
        <v>0</v>
      </c>
      <c r="P509" s="636" t="e" cm="1">
        <f t="array" ref="P509">INDEX('Unit Mix'!$P$6:$P$62,MATCH(1,('Rent Roll'!G509='Unit Mix'!$E$6:$E$62)*(D509='Unit Mix'!$D$6:$D$62),0))</f>
        <v>#N/A</v>
      </c>
      <c r="Q509" s="150">
        <f>OneLineRR!T600</f>
        <v>0</v>
      </c>
      <c r="R509" s="150">
        <f>OneLineRR!U600</f>
        <v>0</v>
      </c>
      <c r="S509" s="150">
        <f>OneLineRR!V600</f>
        <v>0</v>
      </c>
      <c r="T509" s="150">
        <f>OneLineRR!W600</f>
        <v>0</v>
      </c>
      <c r="U509" s="157" t="str">
        <f>IF(OneLineRR!Q600="","",OneLineRR!Q600)</f>
        <v/>
      </c>
      <c r="V509" s="157" t="str">
        <f>IF(OneLineRR!R600="","",OneLineRR!R600)</f>
        <v/>
      </c>
      <c r="AB509" s="320" t="str">
        <f>IFERROR(U509+(COUNTIF($U$8:U509,U509)-1)/10000,"")</f>
        <v/>
      </c>
      <c r="AC509" s="158"/>
      <c r="AD509" s="119"/>
      <c r="AE509" s="460"/>
      <c r="AG509" s="119"/>
    </row>
    <row r="510" spans="4:33" x14ac:dyDescent="0.25">
      <c r="D510" s="154" t="str">
        <f>OneLineRR!A601</f>
        <v>Hudson View Park</v>
      </c>
      <c r="E510" s="104">
        <f>OneLineRR!J601</f>
        <v>0</v>
      </c>
      <c r="F510" s="104">
        <f>OneLineRR!K601</f>
        <v>0</v>
      </c>
      <c r="G510" s="155" t="e">
        <f>OneLineRR!D601</f>
        <v>#N/A</v>
      </c>
      <c r="H510" s="155" t="e">
        <f>IF(OneLineRR!G601="Yes","Affordable","Market")</f>
        <v>#N/A</v>
      </c>
      <c r="I510" s="104" t="e">
        <f>OneLineRR!I601</f>
        <v>#N/A</v>
      </c>
      <c r="J510" s="156">
        <f>OneLineRR!M601</f>
        <v>0</v>
      </c>
      <c r="K510" s="634">
        <f>OneLineRR!L601</f>
        <v>0</v>
      </c>
      <c r="L510" s="143" t="str">
        <f>OneLineRR!C601</f>
        <v>Occ</v>
      </c>
      <c r="M510" s="636">
        <f>OneLineRR!O601</f>
        <v>0</v>
      </c>
      <c r="N510" s="636">
        <f t="shared" si="7"/>
        <v>0</v>
      </c>
      <c r="O510" s="636">
        <f>OneLineRR!N601</f>
        <v>0</v>
      </c>
      <c r="P510" s="636" t="e" cm="1">
        <f t="array" ref="P510">INDEX('Unit Mix'!$P$6:$P$62,MATCH(1,('Rent Roll'!G510='Unit Mix'!$E$6:$E$62)*(D510='Unit Mix'!$D$6:$D$62),0))</f>
        <v>#N/A</v>
      </c>
      <c r="Q510" s="150">
        <f>OneLineRR!T601</f>
        <v>0</v>
      </c>
      <c r="R510" s="150">
        <f>OneLineRR!U601</f>
        <v>0</v>
      </c>
      <c r="S510" s="150">
        <f>OneLineRR!V601</f>
        <v>0</v>
      </c>
      <c r="T510" s="150">
        <f>OneLineRR!W601</f>
        <v>0</v>
      </c>
      <c r="U510" s="157" t="str">
        <f>IF(OneLineRR!Q601="","",OneLineRR!Q601)</f>
        <v/>
      </c>
      <c r="V510" s="157" t="str">
        <f>IF(OneLineRR!R601="","",OneLineRR!R601)</f>
        <v/>
      </c>
      <c r="AB510" s="320" t="str">
        <f>IFERROR(U510+(COUNTIF($U$8:U510,U510)-1)/10000,"")</f>
        <v/>
      </c>
      <c r="AC510" s="158"/>
      <c r="AD510" s="119"/>
      <c r="AE510" s="460"/>
      <c r="AG510" s="119"/>
    </row>
    <row r="511" spans="4:33" x14ac:dyDescent="0.25">
      <c r="D511" s="154" t="str">
        <f>OneLineRR!A602</f>
        <v>Hudson View Park</v>
      </c>
      <c r="E511" s="104">
        <f>OneLineRR!J602</f>
        <v>0</v>
      </c>
      <c r="F511" s="104">
        <f>OneLineRR!K602</f>
        <v>0</v>
      </c>
      <c r="G511" s="155" t="e">
        <f>OneLineRR!D602</f>
        <v>#N/A</v>
      </c>
      <c r="H511" s="155" t="e">
        <f>IF(OneLineRR!G602="Yes","Affordable","Market")</f>
        <v>#N/A</v>
      </c>
      <c r="I511" s="104" t="e">
        <f>OneLineRR!I602</f>
        <v>#N/A</v>
      </c>
      <c r="J511" s="156">
        <f>OneLineRR!M602</f>
        <v>0</v>
      </c>
      <c r="K511" s="634">
        <f>OneLineRR!L602</f>
        <v>0</v>
      </c>
      <c r="L511" s="143" t="str">
        <f>OneLineRR!C602</f>
        <v>Occ</v>
      </c>
      <c r="M511" s="636">
        <f>OneLineRR!O602</f>
        <v>0</v>
      </c>
      <c r="N511" s="636">
        <f t="shared" si="7"/>
        <v>0</v>
      </c>
      <c r="O511" s="636">
        <f>OneLineRR!N602</f>
        <v>0</v>
      </c>
      <c r="P511" s="636" t="e" cm="1">
        <f t="array" ref="P511">INDEX('Unit Mix'!$P$6:$P$62,MATCH(1,('Rent Roll'!G511='Unit Mix'!$E$6:$E$62)*(D511='Unit Mix'!$D$6:$D$62),0))</f>
        <v>#N/A</v>
      </c>
      <c r="Q511" s="150">
        <f>OneLineRR!T602</f>
        <v>0</v>
      </c>
      <c r="R511" s="150">
        <f>OneLineRR!U602</f>
        <v>0</v>
      </c>
      <c r="S511" s="150">
        <f>OneLineRR!V602</f>
        <v>0</v>
      </c>
      <c r="T511" s="150">
        <f>OneLineRR!W602</f>
        <v>0</v>
      </c>
      <c r="U511" s="157" t="str">
        <f>IF(OneLineRR!Q602="","",OneLineRR!Q602)</f>
        <v/>
      </c>
      <c r="V511" s="157" t="str">
        <f>IF(OneLineRR!R602="","",OneLineRR!R602)</f>
        <v/>
      </c>
      <c r="AB511" s="320" t="str">
        <f>IFERROR(U511+(COUNTIF($U$8:U511,U511)-1)/10000,"")</f>
        <v/>
      </c>
      <c r="AC511" s="158"/>
      <c r="AD511" s="119"/>
      <c r="AE511" s="460"/>
      <c r="AG511" s="119"/>
    </row>
    <row r="512" spans="4:33" x14ac:dyDescent="0.25">
      <c r="D512" s="154" t="str">
        <f>OneLineRR!A603</f>
        <v>Hudson View Park</v>
      </c>
      <c r="E512" s="104">
        <f>OneLineRR!J603</f>
        <v>0</v>
      </c>
      <c r="F512" s="104">
        <f>OneLineRR!K603</f>
        <v>0</v>
      </c>
      <c r="G512" s="155" t="e">
        <f>OneLineRR!D603</f>
        <v>#N/A</v>
      </c>
      <c r="H512" s="155" t="e">
        <f>IF(OneLineRR!G603="Yes","Affordable","Market")</f>
        <v>#N/A</v>
      </c>
      <c r="I512" s="104" t="e">
        <f>OneLineRR!I603</f>
        <v>#N/A</v>
      </c>
      <c r="J512" s="156">
        <f>OneLineRR!M603</f>
        <v>0</v>
      </c>
      <c r="K512" s="634">
        <f>OneLineRR!L603</f>
        <v>0</v>
      </c>
      <c r="L512" s="143" t="str">
        <f>OneLineRR!C603</f>
        <v>Occ</v>
      </c>
      <c r="M512" s="636">
        <f>OneLineRR!O603</f>
        <v>0</v>
      </c>
      <c r="N512" s="636">
        <f t="shared" si="7"/>
        <v>0</v>
      </c>
      <c r="O512" s="636">
        <f>OneLineRR!N603</f>
        <v>0</v>
      </c>
      <c r="P512" s="636" t="e" cm="1">
        <f t="array" ref="P512">INDEX('Unit Mix'!$P$6:$P$62,MATCH(1,('Rent Roll'!G512='Unit Mix'!$E$6:$E$62)*(D512='Unit Mix'!$D$6:$D$62),0))</f>
        <v>#N/A</v>
      </c>
      <c r="Q512" s="150">
        <f>OneLineRR!T603</f>
        <v>0</v>
      </c>
      <c r="R512" s="150">
        <f>OneLineRR!U603</f>
        <v>0</v>
      </c>
      <c r="S512" s="150">
        <f>OneLineRR!V603</f>
        <v>0</v>
      </c>
      <c r="T512" s="150">
        <f>OneLineRR!W603</f>
        <v>0</v>
      </c>
      <c r="U512" s="157" t="str">
        <f>IF(OneLineRR!Q603="","",OneLineRR!Q603)</f>
        <v/>
      </c>
      <c r="V512" s="157" t="str">
        <f>IF(OneLineRR!R603="","",OneLineRR!R603)</f>
        <v/>
      </c>
      <c r="AB512" s="320" t="str">
        <f>IFERROR(U512+(COUNTIF($U$8:U512,U512)-1)/10000,"")</f>
        <v/>
      </c>
      <c r="AC512" s="158"/>
      <c r="AD512" s="119"/>
      <c r="AE512" s="460"/>
      <c r="AG512" s="119"/>
    </row>
    <row r="513" spans="2:33" x14ac:dyDescent="0.25">
      <c r="D513" s="154" t="str">
        <f>OneLineRR!A604</f>
        <v>Hudson View Park</v>
      </c>
      <c r="E513" s="104">
        <f>OneLineRR!J604</f>
        <v>0</v>
      </c>
      <c r="F513" s="104">
        <f>OneLineRR!K604</f>
        <v>0</v>
      </c>
      <c r="G513" s="155" t="e">
        <f>OneLineRR!D604</f>
        <v>#N/A</v>
      </c>
      <c r="H513" s="155" t="e">
        <f>IF(OneLineRR!G604="Yes","Affordable","Market")</f>
        <v>#N/A</v>
      </c>
      <c r="I513" s="104" t="e">
        <f>OneLineRR!I604</f>
        <v>#N/A</v>
      </c>
      <c r="J513" s="156">
        <f>OneLineRR!M604</f>
        <v>0</v>
      </c>
      <c r="K513" s="634">
        <f>OneLineRR!L604</f>
        <v>0</v>
      </c>
      <c r="L513" s="143" t="str">
        <f>OneLineRR!C604</f>
        <v>Occ</v>
      </c>
      <c r="M513" s="636">
        <f>OneLineRR!O604</f>
        <v>0</v>
      </c>
      <c r="N513" s="636">
        <f t="shared" si="7"/>
        <v>0</v>
      </c>
      <c r="O513" s="636">
        <f>OneLineRR!N604</f>
        <v>0</v>
      </c>
      <c r="P513" s="636" t="e" cm="1">
        <f t="array" ref="P513">INDEX('Unit Mix'!$P$6:$P$62,MATCH(1,('Rent Roll'!G513='Unit Mix'!$E$6:$E$62)*(D513='Unit Mix'!$D$6:$D$62),0))</f>
        <v>#N/A</v>
      </c>
      <c r="Q513" s="150">
        <f>OneLineRR!T604</f>
        <v>0</v>
      </c>
      <c r="R513" s="150">
        <f>OneLineRR!U604</f>
        <v>0</v>
      </c>
      <c r="S513" s="150">
        <f>OneLineRR!V604</f>
        <v>0</v>
      </c>
      <c r="T513" s="150">
        <f>OneLineRR!W604</f>
        <v>0</v>
      </c>
      <c r="U513" s="157" t="str">
        <f>IF(OneLineRR!Q604="","",OneLineRR!Q604)</f>
        <v/>
      </c>
      <c r="V513" s="157" t="str">
        <f>IF(OneLineRR!R604="","",OneLineRR!R604)</f>
        <v/>
      </c>
      <c r="AB513" s="320" t="str">
        <f>IFERROR(U513+(COUNTIF($U$8:U513,U513)-1)/10000,"")</f>
        <v/>
      </c>
      <c r="AC513" s="158"/>
      <c r="AD513" s="119"/>
      <c r="AE513" s="460"/>
      <c r="AG513" s="119"/>
    </row>
    <row r="514" spans="2:33" x14ac:dyDescent="0.25">
      <c r="D514" s="154" t="str">
        <f>OneLineRR!A605</f>
        <v>Hudson View Park</v>
      </c>
      <c r="E514" s="104">
        <f>OneLineRR!J605</f>
        <v>0</v>
      </c>
      <c r="F514" s="104">
        <f>OneLineRR!K605</f>
        <v>0</v>
      </c>
      <c r="G514" s="155" t="e">
        <f>OneLineRR!D605</f>
        <v>#N/A</v>
      </c>
      <c r="H514" s="155" t="e">
        <f>IF(OneLineRR!G605="Yes","Affordable","Market")</f>
        <v>#N/A</v>
      </c>
      <c r="I514" s="104" t="e">
        <f>OneLineRR!I605</f>
        <v>#N/A</v>
      </c>
      <c r="J514" s="156">
        <f>OneLineRR!M605</f>
        <v>0</v>
      </c>
      <c r="K514" s="634">
        <f>OneLineRR!L605</f>
        <v>0</v>
      </c>
      <c r="L514" s="143" t="str">
        <f>OneLineRR!C605</f>
        <v>Occ</v>
      </c>
      <c r="M514" s="636">
        <f>OneLineRR!O605</f>
        <v>0</v>
      </c>
      <c r="N514" s="636">
        <f t="shared" si="7"/>
        <v>0</v>
      </c>
      <c r="O514" s="636">
        <f>OneLineRR!N605</f>
        <v>0</v>
      </c>
      <c r="P514" s="636" t="e" cm="1">
        <f t="array" ref="P514">INDEX('Unit Mix'!$P$6:$P$62,MATCH(1,('Rent Roll'!G514='Unit Mix'!$E$6:$E$62)*(D514='Unit Mix'!$D$6:$D$62),0))</f>
        <v>#N/A</v>
      </c>
      <c r="Q514" s="150">
        <f>OneLineRR!T605</f>
        <v>0</v>
      </c>
      <c r="R514" s="150">
        <f>OneLineRR!U605</f>
        <v>0</v>
      </c>
      <c r="S514" s="150">
        <f>OneLineRR!V605</f>
        <v>0</v>
      </c>
      <c r="T514" s="150">
        <f>OneLineRR!W605</f>
        <v>0</v>
      </c>
      <c r="U514" s="157" t="str">
        <f>IF(OneLineRR!Q605="","",OneLineRR!Q605)</f>
        <v/>
      </c>
      <c r="V514" s="157" t="str">
        <f>IF(OneLineRR!R605="","",OneLineRR!R605)</f>
        <v/>
      </c>
      <c r="AB514" s="320" t="str">
        <f>IFERROR(U514+(COUNTIF($U$8:U514,U514)-1)/10000,"")</f>
        <v/>
      </c>
      <c r="AC514" s="158"/>
      <c r="AD514" s="119"/>
      <c r="AE514" s="460"/>
      <c r="AG514" s="119"/>
    </row>
    <row r="515" spans="2:33" x14ac:dyDescent="0.25">
      <c r="D515" s="154" t="str">
        <f>OneLineRR!A606</f>
        <v>Hudson View Park</v>
      </c>
      <c r="E515" s="104">
        <f>OneLineRR!J606</f>
        <v>0</v>
      </c>
      <c r="F515" s="104">
        <f>OneLineRR!K606</f>
        <v>0</v>
      </c>
      <c r="G515" s="155" t="e">
        <f>OneLineRR!D606</f>
        <v>#N/A</v>
      </c>
      <c r="H515" s="155" t="e">
        <f>IF(OneLineRR!G606="Yes","Affordable","Market")</f>
        <v>#N/A</v>
      </c>
      <c r="I515" s="104" t="e">
        <f>OneLineRR!I606</f>
        <v>#N/A</v>
      </c>
      <c r="J515" s="156">
        <f>OneLineRR!M606</f>
        <v>0</v>
      </c>
      <c r="K515" s="634">
        <f>OneLineRR!L606</f>
        <v>0</v>
      </c>
      <c r="L515" s="143" t="str">
        <f>OneLineRR!C606</f>
        <v>Occ</v>
      </c>
      <c r="M515" s="636">
        <f>OneLineRR!O606</f>
        <v>0</v>
      </c>
      <c r="N515" s="636">
        <f t="shared" si="7"/>
        <v>0</v>
      </c>
      <c r="O515" s="636">
        <f>OneLineRR!N606</f>
        <v>0</v>
      </c>
      <c r="P515" s="636" t="e" cm="1">
        <f t="array" ref="P515">INDEX('Unit Mix'!$P$6:$P$62,MATCH(1,('Rent Roll'!G515='Unit Mix'!$E$6:$E$62)*(D515='Unit Mix'!$D$6:$D$62),0))</f>
        <v>#N/A</v>
      </c>
      <c r="Q515" s="150">
        <f>OneLineRR!T606</f>
        <v>0</v>
      </c>
      <c r="R515" s="150">
        <f>OneLineRR!U606</f>
        <v>0</v>
      </c>
      <c r="S515" s="150">
        <f>OneLineRR!V606</f>
        <v>0</v>
      </c>
      <c r="T515" s="150">
        <f>OneLineRR!W606</f>
        <v>0</v>
      </c>
      <c r="U515" s="157" t="str">
        <f>IF(OneLineRR!Q606="","",OneLineRR!Q606)</f>
        <v/>
      </c>
      <c r="V515" s="157" t="str">
        <f>IF(OneLineRR!R606="","",OneLineRR!R606)</f>
        <v/>
      </c>
      <c r="AB515" s="320" t="str">
        <f>IFERROR(U515+(COUNTIF($U$8:U515,U515)-1)/10000,"")</f>
        <v/>
      </c>
      <c r="AC515" s="158"/>
      <c r="AD515" s="119"/>
      <c r="AE515" s="460"/>
      <c r="AG515" s="119"/>
    </row>
    <row r="516" spans="2:33" s="151" customFormat="1" x14ac:dyDescent="0.25">
      <c r="B516" s="159"/>
      <c r="C516" s="136" t="s">
        <v>21</v>
      </c>
      <c r="D516" s="160"/>
      <c r="E516" s="161"/>
      <c r="F516" s="161"/>
      <c r="G516" s="162">
        <f>COUNTIF('Rent Roll'!$E$8:$E$515,"&lt;&gt;"&amp;"")</f>
        <v>508</v>
      </c>
      <c r="H516" s="162"/>
      <c r="I516" s="162"/>
      <c r="J516" s="162"/>
      <c r="K516" s="635">
        <f>SUM(K8:K515)</f>
        <v>0</v>
      </c>
      <c r="L516" s="160"/>
      <c r="M516" s="637">
        <f t="shared" ref="M516:T516" si="8">SUM(M8:M515)</f>
        <v>0</v>
      </c>
      <c r="N516" s="637">
        <f t="shared" si="8"/>
        <v>0</v>
      </c>
      <c r="O516" s="637">
        <f t="shared" si="8"/>
        <v>0</v>
      </c>
      <c r="P516" s="637" t="e">
        <f t="shared" si="8"/>
        <v>#N/A</v>
      </c>
      <c r="Q516" s="163">
        <f t="shared" si="8"/>
        <v>0</v>
      </c>
      <c r="R516" s="163">
        <f t="shared" si="8"/>
        <v>0</v>
      </c>
      <c r="S516" s="163">
        <f t="shared" si="8"/>
        <v>0</v>
      </c>
      <c r="T516" s="163">
        <f t="shared" si="8"/>
        <v>0</v>
      </c>
      <c r="U516" s="164"/>
      <c r="V516" s="164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</row>
    <row r="517" spans="2:33" s="151" customFormat="1" ht="3.75" customHeight="1" x14ac:dyDescent="0.25">
      <c r="C517" s="103"/>
      <c r="D517" s="104"/>
      <c r="E517" s="104"/>
      <c r="F517" s="103"/>
      <c r="G517" s="103"/>
      <c r="H517" s="103"/>
      <c r="I517" s="103"/>
      <c r="J517" s="103"/>
      <c r="K517" s="103"/>
      <c r="L517" s="103"/>
      <c r="M517" s="150"/>
      <c r="N517" s="150"/>
      <c r="O517" s="150"/>
      <c r="P517" s="150"/>
      <c r="Q517" s="150"/>
      <c r="R517" s="150"/>
      <c r="S517" s="150"/>
      <c r="T517" s="150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</row>
    <row r="518" spans="2:33" s="151" customFormat="1" x14ac:dyDescent="0.25">
      <c r="C518" s="103"/>
      <c r="D518" s="104"/>
      <c r="E518" s="165"/>
      <c r="F518" s="165"/>
      <c r="G518" s="448" t="b">
        <f>G516=AG526</f>
        <v>0</v>
      </c>
      <c r="H518" s="448"/>
      <c r="I518" s="448"/>
      <c r="J518" s="448"/>
      <c r="K518" s="448" t="b">
        <f>K516=AG529</f>
        <v>1</v>
      </c>
      <c r="L518" s="448"/>
      <c r="M518" s="448" t="b">
        <f>M516=AG533</f>
        <v>1</v>
      </c>
      <c r="N518" s="448"/>
      <c r="O518" s="448" t="b">
        <f>O516=AG532</f>
        <v>1</v>
      </c>
      <c r="P518" s="448" t="e">
        <f>P516='Unit Mix'!G79/12</f>
        <v>#N/A</v>
      </c>
      <c r="Q518" s="448" t="b">
        <f>Q516=AG534</f>
        <v>1</v>
      </c>
      <c r="R518" s="448" t="b">
        <f>R516=AG535</f>
        <v>1</v>
      </c>
      <c r="S518" s="448" t="b">
        <f>S516=AG536</f>
        <v>1</v>
      </c>
      <c r="T518" s="448" t="b">
        <f>T516=AG537</f>
        <v>1</v>
      </c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</row>
    <row r="519" spans="2:33" s="151" customFormat="1" x14ac:dyDescent="0.25">
      <c r="C519" s="103"/>
      <c r="D519" s="104"/>
      <c r="E519" s="104"/>
      <c r="F519" s="103"/>
      <c r="G519" s="103"/>
      <c r="H519" s="103"/>
      <c r="I519" s="103"/>
      <c r="J519" s="103"/>
      <c r="K519" s="134"/>
      <c r="L519" s="103"/>
      <c r="M519" s="132"/>
      <c r="N519" s="132"/>
      <c r="O519" s="150"/>
      <c r="P519" s="150"/>
      <c r="Q519" s="150"/>
      <c r="R519" s="150"/>
      <c r="S519" s="150"/>
      <c r="T519" s="150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</row>
    <row r="523" spans="2:33" x14ac:dyDescent="0.25">
      <c r="M523" s="167"/>
      <c r="N523" s="167"/>
    </row>
    <row r="525" spans="2:33" x14ac:dyDescent="0.25">
      <c r="AE525" s="136" t="s">
        <v>115</v>
      </c>
      <c r="AF525" s="119"/>
    </row>
    <row r="526" spans="2:33" x14ac:dyDescent="0.25">
      <c r="AE526" s="103" t="s">
        <v>116</v>
      </c>
      <c r="AF526" s="137"/>
      <c r="AG526" s="138">
        <f>OneLineRR!K62</f>
        <v>0</v>
      </c>
    </row>
    <row r="527" spans="2:33" x14ac:dyDescent="0.25">
      <c r="AE527" s="103" t="s">
        <v>99</v>
      </c>
      <c r="AF527" s="139"/>
      <c r="AG527" s="138">
        <f>OneLineRR!L62</f>
        <v>0</v>
      </c>
    </row>
    <row r="528" spans="2:33" x14ac:dyDescent="0.25">
      <c r="AE528" s="103" t="s">
        <v>117</v>
      </c>
      <c r="AF528" s="140"/>
      <c r="AG528" s="141" t="e">
        <f>AG527/AG526</f>
        <v>#DIV/0!</v>
      </c>
    </row>
    <row r="529" spans="31:33" x14ac:dyDescent="0.25">
      <c r="AE529" s="103" t="s">
        <v>118</v>
      </c>
      <c r="AF529" s="142"/>
      <c r="AG529" s="138">
        <f>OneLineRR!O62</f>
        <v>0</v>
      </c>
    </row>
    <row r="530" spans="31:33" x14ac:dyDescent="0.25">
      <c r="AE530" s="103" t="s">
        <v>119</v>
      </c>
      <c r="AF530" s="143"/>
      <c r="AG530" s="138">
        <f>OneLineRR!P62</f>
        <v>0</v>
      </c>
    </row>
    <row r="531" spans="31:33" x14ac:dyDescent="0.25">
      <c r="AE531" s="103" t="s">
        <v>120</v>
      </c>
      <c r="AF531" s="144"/>
      <c r="AG531" s="141" t="e">
        <f>AG530/AG529</f>
        <v>#DIV/0!</v>
      </c>
    </row>
    <row r="532" spans="31:33" x14ac:dyDescent="0.25">
      <c r="AE532" s="103" t="s">
        <v>103</v>
      </c>
      <c r="AF532" s="134"/>
      <c r="AG532" s="138">
        <f>OneLineRR!R62</f>
        <v>0</v>
      </c>
    </row>
    <row r="533" spans="31:33" x14ac:dyDescent="0.25">
      <c r="AE533" s="103" t="s">
        <v>104</v>
      </c>
      <c r="AF533" s="142"/>
      <c r="AG533" s="138">
        <f>OneLineRR!S62</f>
        <v>0</v>
      </c>
    </row>
    <row r="534" spans="31:33" x14ac:dyDescent="0.25">
      <c r="AE534" s="103" t="s">
        <v>122</v>
      </c>
      <c r="AG534" s="138">
        <f>OneLineRR!T62</f>
        <v>0</v>
      </c>
    </row>
    <row r="535" spans="31:33" x14ac:dyDescent="0.25">
      <c r="AE535" s="103" t="s">
        <v>192</v>
      </c>
      <c r="AG535" s="138">
        <f>OneLineRR!U62</f>
        <v>0</v>
      </c>
    </row>
    <row r="536" spans="31:33" x14ac:dyDescent="0.25">
      <c r="AE536" s="103" t="s">
        <v>190</v>
      </c>
      <c r="AG536" s="138">
        <f>OneLineRR!V62</f>
        <v>0</v>
      </c>
    </row>
    <row r="537" spans="31:33" x14ac:dyDescent="0.25">
      <c r="AE537" s="103" t="s">
        <v>191</v>
      </c>
      <c r="AG537" s="138">
        <f>SUM(OneLineRR!AT62:AV62)</f>
        <v>0</v>
      </c>
    </row>
  </sheetData>
  <autoFilter ref="D7:V516" xr:uid="{5C84706D-EDD0-41F4-A26D-038EC4B4D606}"/>
  <dataValidations disablePrompts="1" count="2">
    <dataValidation type="list" allowBlank="1" showInputMessage="1" showErrorMessage="1" sqref="L8:L515" xr:uid="{16644C99-41B3-494F-A5C7-2EA3C9FF6359}">
      <formula1>"Occ, Vac, Model, Admin"</formula1>
    </dataValidation>
    <dataValidation type="list" allowBlank="1" showInputMessage="1" showErrorMessage="1" sqref="I8:I515" xr:uid="{F96EF5ED-86D6-45C3-A897-FDD0B116774A}">
      <formula1>"Classic, Mod, Full"</formula1>
    </dataValidation>
  </dataValidations>
  <pageMargins left="0.35" right="0.35" top="0.5" bottom="0.6" header="0.3" footer="0.3"/>
  <pageSetup scale="98" fitToHeight="0" orientation="landscape" r:id="rId1"/>
  <headerFooter>
    <oddFooter>&amp;C&amp;P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B384-FE0D-4605-80E5-7E6E8A8E6864}">
  <sheetPr codeName="Sheet24">
    <tabColor theme="1" tint="0.499984740745262"/>
    <pageSetUpPr fitToPage="1"/>
  </sheetPr>
  <dimension ref="A1:BL641"/>
  <sheetViews>
    <sheetView tabSelected="1" topLeftCell="A80" zoomScale="90" zoomScaleNormal="90" workbookViewId="0">
      <selection activeCell="K95" sqref="K95"/>
    </sheetView>
  </sheetViews>
  <sheetFormatPr defaultColWidth="10.140625" defaultRowHeight="15.75" outlineLevelRow="1" outlineLevelCol="1" x14ac:dyDescent="0.25"/>
  <cols>
    <col min="1" max="1" width="21.42578125" style="169" bestFit="1" customWidth="1"/>
    <col min="2" max="2" width="20.85546875" style="169" customWidth="1"/>
    <col min="3" max="3" width="24.5703125" style="169" bestFit="1" customWidth="1"/>
    <col min="4" max="4" width="31.85546875" style="169" customWidth="1"/>
    <col min="5" max="5" width="12.42578125" style="169" bestFit="1" customWidth="1"/>
    <col min="6" max="6" width="4.42578125" style="169" bestFit="1" customWidth="1"/>
    <col min="7" max="8" width="9.42578125" style="169" customWidth="1"/>
    <col min="9" max="9" width="9.85546875" style="169" customWidth="1"/>
    <col min="10" max="10" width="11.42578125" style="169" bestFit="1" customWidth="1"/>
    <col min="11" max="11" width="13.140625" style="169" bestFit="1" customWidth="1"/>
    <col min="12" max="12" width="11.42578125" style="169" bestFit="1" customWidth="1"/>
    <col min="13" max="13" width="24.140625" style="169" customWidth="1"/>
    <col min="14" max="22" width="11.42578125" style="169" bestFit="1" customWidth="1"/>
    <col min="23" max="23" width="14.140625" customWidth="1"/>
    <col min="26" max="27" width="12.140625" style="169" customWidth="1"/>
    <col min="28" max="28" width="10.140625" style="169" hidden="1" customWidth="1" outlineLevel="1"/>
    <col min="29" max="29" width="10.140625" style="169" customWidth="1" collapsed="1"/>
    <col min="30" max="30" width="11.42578125" style="169" customWidth="1"/>
    <col min="31" max="36" width="11.42578125" style="169" hidden="1" customWidth="1" outlineLevel="1"/>
    <col min="37" max="37" width="10.140625" style="169" customWidth="1" collapsed="1"/>
    <col min="38" max="38" width="11.42578125" style="169" customWidth="1"/>
    <col min="39" max="44" width="11.42578125" style="169" hidden="1" customWidth="1" outlineLevel="1"/>
    <col min="45" max="45" width="11.42578125" style="169" hidden="1" customWidth="1" outlineLevel="1" collapsed="1"/>
    <col min="46" max="47" width="11.42578125" style="169" hidden="1" customWidth="1" outlineLevel="1"/>
    <col min="48" max="48" width="10.140625" style="169" hidden="1" customWidth="1" outlineLevel="1"/>
    <col min="49" max="49" width="10.140625" style="169" collapsed="1"/>
    <col min="50" max="16384" width="10.140625" style="169"/>
  </cols>
  <sheetData>
    <row r="1" spans="2:64" x14ac:dyDescent="0.25"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Z1" s="168"/>
      <c r="AA1" s="168"/>
      <c r="AD1" s="168"/>
      <c r="AE1" s="168"/>
      <c r="AF1" s="168"/>
      <c r="AG1" s="168"/>
      <c r="AH1" s="168"/>
      <c r="AI1" s="168"/>
      <c r="AJ1" s="168"/>
      <c r="AK1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2:64" ht="16.5" thickBot="1" x14ac:dyDescent="0.3"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Z2" s="168"/>
      <c r="AA2" s="168"/>
      <c r="AV2" s="168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2:64" x14ac:dyDescent="0.25">
      <c r="B3" s="237" t="s">
        <v>200</v>
      </c>
      <c r="C3" s="238"/>
      <c r="D3" s="239"/>
      <c r="E3" s="239"/>
      <c r="F3" s="239"/>
      <c r="G3" s="239"/>
      <c r="H3" s="239"/>
      <c r="I3" s="240"/>
      <c r="J3" s="277" t="s">
        <v>184</v>
      </c>
      <c r="K3" s="258"/>
      <c r="L3" s="239"/>
      <c r="M3" s="239"/>
      <c r="N3" s="239"/>
      <c r="O3" s="239"/>
      <c r="P3" s="239"/>
      <c r="Q3" s="239"/>
      <c r="R3" s="239"/>
      <c r="S3" s="240"/>
      <c r="T3" s="239"/>
      <c r="U3" s="239"/>
      <c r="V3" s="239"/>
      <c r="W3" s="240"/>
      <c r="Z3" s="170"/>
      <c r="AA3" s="170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2:64" x14ac:dyDescent="0.25">
      <c r="B4" s="241" t="s">
        <v>22</v>
      </c>
      <c r="C4" s="171" t="s">
        <v>98</v>
      </c>
      <c r="D4" s="171" t="s">
        <v>54</v>
      </c>
      <c r="E4" s="242" t="s">
        <v>151</v>
      </c>
      <c r="F4" s="242" t="s">
        <v>152</v>
      </c>
      <c r="G4" s="242" t="s">
        <v>180</v>
      </c>
      <c r="H4" s="242" t="s">
        <v>28</v>
      </c>
      <c r="I4" s="264" t="s">
        <v>182</v>
      </c>
      <c r="J4" s="243" t="s">
        <v>126</v>
      </c>
      <c r="K4" s="259" t="s">
        <v>60</v>
      </c>
      <c r="L4" s="233" t="s">
        <v>153</v>
      </c>
      <c r="M4" s="233" t="s">
        <v>154</v>
      </c>
      <c r="N4" s="233" t="s">
        <v>102</v>
      </c>
      <c r="O4" s="233" t="s">
        <v>134</v>
      </c>
      <c r="P4" s="233" t="s">
        <v>155</v>
      </c>
      <c r="Q4" s="233" t="s">
        <v>156</v>
      </c>
      <c r="R4" s="233" t="s">
        <v>157</v>
      </c>
      <c r="S4" s="243" t="s">
        <v>186</v>
      </c>
      <c r="T4" s="233" t="s">
        <v>4</v>
      </c>
      <c r="U4" s="233" t="s">
        <v>158</v>
      </c>
      <c r="V4" s="233" t="s">
        <v>190</v>
      </c>
      <c r="W4" s="243" t="s">
        <v>198</v>
      </c>
      <c r="Y4" s="561"/>
      <c r="Z4" s="170"/>
      <c r="AA4" s="170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2:64" x14ac:dyDescent="0.25">
      <c r="B5" s="319" t="str">
        <f t="shared" ref="B5:B61" si="0">$C$67</f>
        <v>Hudson View Park</v>
      </c>
      <c r="C5" s="172"/>
      <c r="D5" s="601"/>
      <c r="E5" s="244"/>
      <c r="F5" s="245"/>
      <c r="G5" s="246"/>
      <c r="H5" s="246"/>
      <c r="I5" s="265"/>
      <c r="J5" s="247">
        <f>_xlfn.MAXIFS($O$99:$O$1003,$D$99:$D$1003,C5,$A$99:$A$1003,B5,$C$99:$C$1003,"Occ")</f>
        <v>0</v>
      </c>
      <c r="K5" s="260">
        <f t="shared" ref="K5:K36" si="1">COUNTIFS($D$99:$D$1003,$C5,$A$99:$A$1003,B5)</f>
        <v>0</v>
      </c>
      <c r="L5" s="234">
        <f t="shared" ref="L5:L36" si="2">COUNTIFS($D$99:$D$1003,$C5,$C$99:$C$1003,"Occ",$A$99:$A$1003,B5)+COUNTIFS($D$99:$D$1003,$C5,$C$99:$C$1003,"Admin",$A$99:$A$1003,B5)+COUNTIFS($D$99:$D$1003,$C5,$C$99:$C$1003,"Down",$A$99:$A$1003,B5)+COUNTIFS($D$99:$D$1003,$C5,$C$99:$C$1003,"Model",$A$99:$A$1003,B5)</f>
        <v>0</v>
      </c>
      <c r="M5" s="234">
        <f t="shared" ref="M5:M36" si="3">COUNTIFS($D$99:$D$1003,$C5,$C$99:$C$1003,"Vac",$A$99:$A$1003,B5)</f>
        <v>0</v>
      </c>
      <c r="N5" s="234" t="str">
        <f t="shared" ref="N5:N36" si="4">IFERROR(AVERAGEIFS($L$99:$L$1003,$D$99:$D$1003,$C5,$A$99:$A$1003,B5),"n/a")</f>
        <v>n/a</v>
      </c>
      <c r="O5" s="234">
        <f t="shared" ref="O5:O36" si="5">SUMIFS($L$99:$L$1003,$D$99:$D$1003,$C5,$A$99:$A$1003,B5)</f>
        <v>0</v>
      </c>
      <c r="P5" s="234">
        <f t="shared" ref="P5:P36" si="6">SUMIFS($L$99:$L$1003,$D$99:$D$1003,$C5,$C$99:$C$1003,"Occ",$A$99:$A$1003,B5)+SUMIFS($L$99:$L$1003,$D$99:$D$1003,$C5,$C$99:$C$1003,"Admin",$A$99:$A$1003,B5)+SUMIFS($L$99:$L$1003,$D$99:$D$1003,$C5,$C$99:$C$1003,"Down",$A$99:$A$1003,B5)+SUMIFS($L$99:$L$1003,$D$99:$D$1003,$C5,$C$99:$C$1003,"Model",$A$99:$A$1003,B5)</f>
        <v>0</v>
      </c>
      <c r="Q5" s="234">
        <f t="shared" ref="Q5:Q36" si="7">SUMIFS($L$99:$L$1003,$D$99:$D$1003,$C5,$C$99:$C$1003,"Vac",$A$99:$A$1003,B5)</f>
        <v>0</v>
      </c>
      <c r="R5" s="234">
        <f t="shared" ref="R5:R36" si="8">SUMIFS($N$99:$N$1003,$D$99:$D$1003,$C5,$A$99:$A$1003,B5)</f>
        <v>0</v>
      </c>
      <c r="S5" s="247">
        <f t="shared" ref="S5:S36" si="9">SUMIFS($O$99:$O$1003,$D$99:$D$1003,$C5,$A$99:$A$1003,B5)</f>
        <v>0</v>
      </c>
      <c r="T5" s="234">
        <f t="shared" ref="T5:W24" si="10">SUMIFS(T$99:T$1003,$D$99:$D$1003,$C5,$A$99:$A$1003,$B5)</f>
        <v>0</v>
      </c>
      <c r="U5" s="234">
        <f t="shared" si="10"/>
        <v>0</v>
      </c>
      <c r="V5" s="234">
        <f t="shared" si="10"/>
        <v>0</v>
      </c>
      <c r="W5" s="247">
        <f t="shared" si="10"/>
        <v>0</v>
      </c>
      <c r="Y5" s="470"/>
      <c r="Z5" s="170"/>
      <c r="AA5" s="170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2:64" x14ac:dyDescent="0.25">
      <c r="B6" s="319" t="str">
        <f t="shared" si="0"/>
        <v>Hudson View Park</v>
      </c>
      <c r="C6" s="172"/>
      <c r="D6" s="172"/>
      <c r="E6" s="244"/>
      <c r="F6" s="245"/>
      <c r="G6" s="246"/>
      <c r="H6" s="246"/>
      <c r="I6" s="265"/>
      <c r="J6" s="247">
        <f t="shared" ref="J6:J61" si="11">_xlfn.MAXIFS($O$99:$O$1003,$D$99:$D$1003,C6,$A$99:$A$1003,B6,$C$99:$C$1003,"Occ")</f>
        <v>0</v>
      </c>
      <c r="K6" s="260">
        <f t="shared" si="1"/>
        <v>0</v>
      </c>
      <c r="L6" s="234">
        <f t="shared" si="2"/>
        <v>0</v>
      </c>
      <c r="M6" s="234">
        <f t="shared" si="3"/>
        <v>0</v>
      </c>
      <c r="N6" s="234" t="str">
        <f t="shared" si="4"/>
        <v>n/a</v>
      </c>
      <c r="O6" s="234">
        <f t="shared" si="5"/>
        <v>0</v>
      </c>
      <c r="P6" s="234">
        <f t="shared" si="6"/>
        <v>0</v>
      </c>
      <c r="Q6" s="234">
        <f t="shared" si="7"/>
        <v>0</v>
      </c>
      <c r="R6" s="234">
        <f t="shared" si="8"/>
        <v>0</v>
      </c>
      <c r="S6" s="247">
        <f t="shared" si="9"/>
        <v>0</v>
      </c>
      <c r="T6" s="234">
        <f t="shared" si="10"/>
        <v>0</v>
      </c>
      <c r="U6" s="234">
        <f t="shared" si="10"/>
        <v>0</v>
      </c>
      <c r="V6" s="234">
        <f t="shared" si="10"/>
        <v>0</v>
      </c>
      <c r="W6" s="247">
        <f t="shared" si="10"/>
        <v>0</v>
      </c>
      <c r="Y6" s="470"/>
      <c r="Z6" s="170"/>
      <c r="AA6" s="170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2:64" x14ac:dyDescent="0.25">
      <c r="B7" s="319" t="str">
        <f t="shared" si="0"/>
        <v>Hudson View Park</v>
      </c>
      <c r="C7" s="172"/>
      <c r="D7" s="172"/>
      <c r="E7" s="244"/>
      <c r="F7" s="245"/>
      <c r="G7" s="246"/>
      <c r="H7" s="246"/>
      <c r="I7" s="265"/>
      <c r="J7" s="247">
        <f t="shared" si="11"/>
        <v>0</v>
      </c>
      <c r="K7" s="260">
        <f t="shared" si="1"/>
        <v>0</v>
      </c>
      <c r="L7" s="234">
        <f t="shared" si="2"/>
        <v>0</v>
      </c>
      <c r="M7" s="234">
        <f t="shared" si="3"/>
        <v>0</v>
      </c>
      <c r="N7" s="234" t="str">
        <f t="shared" si="4"/>
        <v>n/a</v>
      </c>
      <c r="O7" s="234">
        <f t="shared" si="5"/>
        <v>0</v>
      </c>
      <c r="P7" s="234">
        <f t="shared" si="6"/>
        <v>0</v>
      </c>
      <c r="Q7" s="234">
        <f t="shared" si="7"/>
        <v>0</v>
      </c>
      <c r="R7" s="234">
        <f t="shared" si="8"/>
        <v>0</v>
      </c>
      <c r="S7" s="247">
        <f t="shared" si="9"/>
        <v>0</v>
      </c>
      <c r="T7" s="234">
        <f t="shared" si="10"/>
        <v>0</v>
      </c>
      <c r="U7" s="234">
        <f t="shared" si="10"/>
        <v>0</v>
      </c>
      <c r="V7" s="234">
        <f t="shared" si="10"/>
        <v>0</v>
      </c>
      <c r="W7" s="247">
        <f t="shared" si="10"/>
        <v>0</v>
      </c>
      <c r="Y7" s="470"/>
      <c r="Z7" s="170"/>
      <c r="AA7" s="170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4" x14ac:dyDescent="0.25">
      <c r="B8" s="319" t="str">
        <f t="shared" si="0"/>
        <v>Hudson View Park</v>
      </c>
      <c r="C8" s="172"/>
      <c r="D8" s="172"/>
      <c r="E8" s="244"/>
      <c r="F8" s="245"/>
      <c r="G8" s="246"/>
      <c r="H8" s="246"/>
      <c r="I8" s="265"/>
      <c r="J8" s="247">
        <f t="shared" si="11"/>
        <v>0</v>
      </c>
      <c r="K8" s="260">
        <f t="shared" si="1"/>
        <v>0</v>
      </c>
      <c r="L8" s="234">
        <f t="shared" si="2"/>
        <v>0</v>
      </c>
      <c r="M8" s="234">
        <f t="shared" si="3"/>
        <v>0</v>
      </c>
      <c r="N8" s="234" t="str">
        <f t="shared" si="4"/>
        <v>n/a</v>
      </c>
      <c r="O8" s="234">
        <f t="shared" si="5"/>
        <v>0</v>
      </c>
      <c r="P8" s="234">
        <f t="shared" si="6"/>
        <v>0</v>
      </c>
      <c r="Q8" s="234">
        <f t="shared" si="7"/>
        <v>0</v>
      </c>
      <c r="R8" s="234">
        <f t="shared" si="8"/>
        <v>0</v>
      </c>
      <c r="S8" s="247">
        <f t="shared" si="9"/>
        <v>0</v>
      </c>
      <c r="T8" s="234">
        <f t="shared" si="10"/>
        <v>0</v>
      </c>
      <c r="U8" s="234">
        <f t="shared" si="10"/>
        <v>0</v>
      </c>
      <c r="V8" s="234">
        <f t="shared" si="10"/>
        <v>0</v>
      </c>
      <c r="W8" s="247">
        <f t="shared" si="10"/>
        <v>0</v>
      </c>
      <c r="Y8" s="470"/>
      <c r="Z8" s="170"/>
      <c r="AA8" s="170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2:64" x14ac:dyDescent="0.25">
      <c r="B9" s="319" t="str">
        <f t="shared" si="0"/>
        <v>Hudson View Park</v>
      </c>
      <c r="C9" s="172"/>
      <c r="D9" s="172"/>
      <c r="E9" s="244"/>
      <c r="F9" s="245"/>
      <c r="G9" s="246"/>
      <c r="H9" s="246"/>
      <c r="I9" s="265"/>
      <c r="J9" s="247">
        <f t="shared" si="11"/>
        <v>0</v>
      </c>
      <c r="K9" s="260">
        <f t="shared" si="1"/>
        <v>0</v>
      </c>
      <c r="L9" s="234">
        <f t="shared" si="2"/>
        <v>0</v>
      </c>
      <c r="M9" s="234">
        <f t="shared" si="3"/>
        <v>0</v>
      </c>
      <c r="N9" s="234" t="str">
        <f t="shared" si="4"/>
        <v>n/a</v>
      </c>
      <c r="O9" s="234">
        <f t="shared" si="5"/>
        <v>0</v>
      </c>
      <c r="P9" s="234">
        <f t="shared" si="6"/>
        <v>0</v>
      </c>
      <c r="Q9" s="234">
        <f t="shared" si="7"/>
        <v>0</v>
      </c>
      <c r="R9" s="234">
        <f t="shared" si="8"/>
        <v>0</v>
      </c>
      <c r="S9" s="247">
        <f t="shared" si="9"/>
        <v>0</v>
      </c>
      <c r="T9" s="234">
        <f t="shared" si="10"/>
        <v>0</v>
      </c>
      <c r="U9" s="234">
        <f t="shared" si="10"/>
        <v>0</v>
      </c>
      <c r="V9" s="234">
        <f t="shared" si="10"/>
        <v>0</v>
      </c>
      <c r="W9" s="247">
        <f t="shared" si="10"/>
        <v>0</v>
      </c>
      <c r="Y9" s="470"/>
      <c r="Z9" s="170"/>
      <c r="AA9" s="170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2:64" x14ac:dyDescent="0.25">
      <c r="B10" s="319" t="str">
        <f t="shared" si="0"/>
        <v>Hudson View Park</v>
      </c>
      <c r="C10" s="172"/>
      <c r="D10" s="172"/>
      <c r="E10" s="244"/>
      <c r="F10" s="245"/>
      <c r="G10" s="246"/>
      <c r="H10" s="246"/>
      <c r="I10" s="265"/>
      <c r="J10" s="247">
        <f t="shared" si="11"/>
        <v>0</v>
      </c>
      <c r="K10" s="260">
        <f t="shared" si="1"/>
        <v>0</v>
      </c>
      <c r="L10" s="234">
        <f t="shared" si="2"/>
        <v>0</v>
      </c>
      <c r="M10" s="234">
        <f t="shared" si="3"/>
        <v>0</v>
      </c>
      <c r="N10" s="234" t="str">
        <f t="shared" si="4"/>
        <v>n/a</v>
      </c>
      <c r="O10" s="234">
        <f t="shared" si="5"/>
        <v>0</v>
      </c>
      <c r="P10" s="234">
        <f t="shared" si="6"/>
        <v>0</v>
      </c>
      <c r="Q10" s="234">
        <f t="shared" si="7"/>
        <v>0</v>
      </c>
      <c r="R10" s="234">
        <f t="shared" si="8"/>
        <v>0</v>
      </c>
      <c r="S10" s="247">
        <f t="shared" si="9"/>
        <v>0</v>
      </c>
      <c r="T10" s="234">
        <f t="shared" si="10"/>
        <v>0</v>
      </c>
      <c r="U10" s="234">
        <f t="shared" si="10"/>
        <v>0</v>
      </c>
      <c r="V10" s="234">
        <f t="shared" si="10"/>
        <v>0</v>
      </c>
      <c r="W10" s="247">
        <f t="shared" si="10"/>
        <v>0</v>
      </c>
      <c r="Y10" s="470"/>
      <c r="Z10" s="170"/>
      <c r="AA10" s="17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2:64" x14ac:dyDescent="0.25">
      <c r="B11" s="319" t="str">
        <f t="shared" si="0"/>
        <v>Hudson View Park</v>
      </c>
      <c r="C11" s="172"/>
      <c r="D11" s="172"/>
      <c r="E11" s="244"/>
      <c r="F11" s="245"/>
      <c r="G11" s="246"/>
      <c r="H11" s="246"/>
      <c r="I11" s="265"/>
      <c r="J11" s="247">
        <f t="shared" si="11"/>
        <v>0</v>
      </c>
      <c r="K11" s="260">
        <f t="shared" si="1"/>
        <v>0</v>
      </c>
      <c r="L11" s="234">
        <f t="shared" si="2"/>
        <v>0</v>
      </c>
      <c r="M11" s="234">
        <f t="shared" si="3"/>
        <v>0</v>
      </c>
      <c r="N11" s="234" t="str">
        <f t="shared" si="4"/>
        <v>n/a</v>
      </c>
      <c r="O11" s="234">
        <f t="shared" si="5"/>
        <v>0</v>
      </c>
      <c r="P11" s="234">
        <f t="shared" si="6"/>
        <v>0</v>
      </c>
      <c r="Q11" s="234">
        <f t="shared" si="7"/>
        <v>0</v>
      </c>
      <c r="R11" s="234">
        <f t="shared" si="8"/>
        <v>0</v>
      </c>
      <c r="S11" s="247">
        <f t="shared" si="9"/>
        <v>0</v>
      </c>
      <c r="T11" s="234">
        <f t="shared" si="10"/>
        <v>0</v>
      </c>
      <c r="U11" s="234">
        <f t="shared" si="10"/>
        <v>0</v>
      </c>
      <c r="V11" s="234">
        <f t="shared" si="10"/>
        <v>0</v>
      </c>
      <c r="W11" s="247">
        <f t="shared" si="10"/>
        <v>0</v>
      </c>
      <c r="Y11" s="470"/>
      <c r="Z11" s="170"/>
      <c r="AA11" s="170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2:64" x14ac:dyDescent="0.25">
      <c r="B12" s="319" t="str">
        <f t="shared" si="0"/>
        <v>Hudson View Park</v>
      </c>
      <c r="C12" s="172"/>
      <c r="D12" s="172"/>
      <c r="E12" s="244"/>
      <c r="F12" s="245"/>
      <c r="G12" s="246"/>
      <c r="H12" s="246"/>
      <c r="I12" s="265"/>
      <c r="J12" s="247">
        <f t="shared" si="11"/>
        <v>0</v>
      </c>
      <c r="K12" s="260">
        <f t="shared" si="1"/>
        <v>0</v>
      </c>
      <c r="L12" s="234">
        <f t="shared" si="2"/>
        <v>0</v>
      </c>
      <c r="M12" s="234">
        <f t="shared" si="3"/>
        <v>0</v>
      </c>
      <c r="N12" s="234" t="str">
        <f t="shared" si="4"/>
        <v>n/a</v>
      </c>
      <c r="O12" s="234">
        <f t="shared" si="5"/>
        <v>0</v>
      </c>
      <c r="P12" s="234">
        <f t="shared" si="6"/>
        <v>0</v>
      </c>
      <c r="Q12" s="234">
        <f t="shared" si="7"/>
        <v>0</v>
      </c>
      <c r="R12" s="234">
        <f t="shared" si="8"/>
        <v>0</v>
      </c>
      <c r="S12" s="247">
        <f t="shared" si="9"/>
        <v>0</v>
      </c>
      <c r="T12" s="234">
        <f t="shared" si="10"/>
        <v>0</v>
      </c>
      <c r="U12" s="234">
        <f t="shared" si="10"/>
        <v>0</v>
      </c>
      <c r="V12" s="234">
        <f t="shared" si="10"/>
        <v>0</v>
      </c>
      <c r="W12" s="247">
        <f t="shared" si="10"/>
        <v>0</v>
      </c>
      <c r="Y12" s="470"/>
      <c r="Z12" s="170"/>
      <c r="AA12" s="170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2:64" x14ac:dyDescent="0.25">
      <c r="B13" s="319" t="str">
        <f t="shared" si="0"/>
        <v>Hudson View Park</v>
      </c>
      <c r="C13" s="172"/>
      <c r="D13" s="172"/>
      <c r="E13" s="244"/>
      <c r="F13" s="245"/>
      <c r="G13" s="246"/>
      <c r="H13" s="246"/>
      <c r="I13" s="265"/>
      <c r="J13" s="247">
        <f t="shared" si="11"/>
        <v>0</v>
      </c>
      <c r="K13" s="260">
        <f t="shared" si="1"/>
        <v>0</v>
      </c>
      <c r="L13" s="234">
        <f t="shared" si="2"/>
        <v>0</v>
      </c>
      <c r="M13" s="234">
        <f t="shared" si="3"/>
        <v>0</v>
      </c>
      <c r="N13" s="234" t="str">
        <f t="shared" si="4"/>
        <v>n/a</v>
      </c>
      <c r="O13" s="234">
        <f t="shared" si="5"/>
        <v>0</v>
      </c>
      <c r="P13" s="234">
        <f t="shared" si="6"/>
        <v>0</v>
      </c>
      <c r="Q13" s="234">
        <f t="shared" si="7"/>
        <v>0</v>
      </c>
      <c r="R13" s="234">
        <f t="shared" si="8"/>
        <v>0</v>
      </c>
      <c r="S13" s="247">
        <f t="shared" si="9"/>
        <v>0</v>
      </c>
      <c r="T13" s="234">
        <f t="shared" si="10"/>
        <v>0</v>
      </c>
      <c r="U13" s="234">
        <f t="shared" si="10"/>
        <v>0</v>
      </c>
      <c r="V13" s="234">
        <f t="shared" si="10"/>
        <v>0</v>
      </c>
      <c r="W13" s="247">
        <f t="shared" si="10"/>
        <v>0</v>
      </c>
      <c r="Y13" s="470"/>
      <c r="Z13" s="170"/>
      <c r="AA13" s="170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2:64" x14ac:dyDescent="0.25">
      <c r="B14" s="319" t="str">
        <f t="shared" si="0"/>
        <v>Hudson View Park</v>
      </c>
      <c r="C14" s="172"/>
      <c r="D14" s="172"/>
      <c r="E14" s="244"/>
      <c r="F14" s="245"/>
      <c r="G14" s="246"/>
      <c r="H14" s="246"/>
      <c r="I14" s="265"/>
      <c r="J14" s="247">
        <f t="shared" si="11"/>
        <v>0</v>
      </c>
      <c r="K14" s="260">
        <f t="shared" si="1"/>
        <v>0</v>
      </c>
      <c r="L14" s="234">
        <f t="shared" si="2"/>
        <v>0</v>
      </c>
      <c r="M14" s="234">
        <f t="shared" si="3"/>
        <v>0</v>
      </c>
      <c r="N14" s="234" t="str">
        <f t="shared" si="4"/>
        <v>n/a</v>
      </c>
      <c r="O14" s="234">
        <f t="shared" si="5"/>
        <v>0</v>
      </c>
      <c r="P14" s="234">
        <f t="shared" si="6"/>
        <v>0</v>
      </c>
      <c r="Q14" s="234">
        <f t="shared" si="7"/>
        <v>0</v>
      </c>
      <c r="R14" s="234">
        <f t="shared" si="8"/>
        <v>0</v>
      </c>
      <c r="S14" s="247">
        <f t="shared" si="9"/>
        <v>0</v>
      </c>
      <c r="T14" s="234">
        <f t="shared" si="10"/>
        <v>0</v>
      </c>
      <c r="U14" s="234">
        <f t="shared" si="10"/>
        <v>0</v>
      </c>
      <c r="V14" s="234">
        <f t="shared" si="10"/>
        <v>0</v>
      </c>
      <c r="W14" s="247">
        <f t="shared" si="10"/>
        <v>0</v>
      </c>
      <c r="Y14" s="470"/>
      <c r="Z14" s="170"/>
      <c r="AA14" s="170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2:64" x14ac:dyDescent="0.25">
      <c r="B15" s="319" t="str">
        <f t="shared" si="0"/>
        <v>Hudson View Park</v>
      </c>
      <c r="C15" s="172"/>
      <c r="D15" s="172"/>
      <c r="E15" s="244"/>
      <c r="F15" s="245"/>
      <c r="G15" s="246"/>
      <c r="H15" s="246"/>
      <c r="I15" s="265"/>
      <c r="J15" s="247">
        <f t="shared" si="11"/>
        <v>0</v>
      </c>
      <c r="K15" s="260">
        <f t="shared" si="1"/>
        <v>0</v>
      </c>
      <c r="L15" s="234">
        <f t="shared" si="2"/>
        <v>0</v>
      </c>
      <c r="M15" s="234">
        <f t="shared" si="3"/>
        <v>0</v>
      </c>
      <c r="N15" s="234" t="str">
        <f t="shared" si="4"/>
        <v>n/a</v>
      </c>
      <c r="O15" s="234">
        <f t="shared" si="5"/>
        <v>0</v>
      </c>
      <c r="P15" s="234">
        <f t="shared" si="6"/>
        <v>0</v>
      </c>
      <c r="Q15" s="234">
        <f t="shared" si="7"/>
        <v>0</v>
      </c>
      <c r="R15" s="234">
        <f t="shared" si="8"/>
        <v>0</v>
      </c>
      <c r="S15" s="247">
        <f t="shared" si="9"/>
        <v>0</v>
      </c>
      <c r="T15" s="234">
        <f t="shared" si="10"/>
        <v>0</v>
      </c>
      <c r="U15" s="234">
        <f t="shared" si="10"/>
        <v>0</v>
      </c>
      <c r="V15" s="234">
        <f t="shared" si="10"/>
        <v>0</v>
      </c>
      <c r="W15" s="247">
        <f t="shared" si="10"/>
        <v>0</v>
      </c>
      <c r="Y15" s="470"/>
      <c r="Z15" s="170"/>
      <c r="AA15" s="170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2:64" x14ac:dyDescent="0.25">
      <c r="B16" s="319" t="str">
        <f t="shared" si="0"/>
        <v>Hudson View Park</v>
      </c>
      <c r="C16" s="172"/>
      <c r="D16" s="172"/>
      <c r="E16" s="244"/>
      <c r="F16" s="245"/>
      <c r="G16" s="246"/>
      <c r="H16" s="246"/>
      <c r="I16" s="265"/>
      <c r="J16" s="247">
        <f t="shared" si="11"/>
        <v>0</v>
      </c>
      <c r="K16" s="260">
        <f t="shared" si="1"/>
        <v>0</v>
      </c>
      <c r="L16" s="234">
        <f t="shared" si="2"/>
        <v>0</v>
      </c>
      <c r="M16" s="234">
        <f t="shared" si="3"/>
        <v>0</v>
      </c>
      <c r="N16" s="234" t="str">
        <f t="shared" si="4"/>
        <v>n/a</v>
      </c>
      <c r="O16" s="234">
        <f t="shared" si="5"/>
        <v>0</v>
      </c>
      <c r="P16" s="234">
        <f t="shared" si="6"/>
        <v>0</v>
      </c>
      <c r="Q16" s="234">
        <f t="shared" si="7"/>
        <v>0</v>
      </c>
      <c r="R16" s="234">
        <f t="shared" si="8"/>
        <v>0</v>
      </c>
      <c r="S16" s="247">
        <f t="shared" si="9"/>
        <v>0</v>
      </c>
      <c r="T16" s="234">
        <f t="shared" si="10"/>
        <v>0</v>
      </c>
      <c r="U16" s="234">
        <f t="shared" si="10"/>
        <v>0</v>
      </c>
      <c r="V16" s="234">
        <f t="shared" si="10"/>
        <v>0</v>
      </c>
      <c r="W16" s="247">
        <f t="shared" si="10"/>
        <v>0</v>
      </c>
      <c r="Y16" s="470"/>
      <c r="Z16" s="170"/>
      <c r="AA16" s="170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2:64" x14ac:dyDescent="0.25">
      <c r="B17" s="319" t="str">
        <f t="shared" si="0"/>
        <v>Hudson View Park</v>
      </c>
      <c r="C17" s="172"/>
      <c r="D17" s="172"/>
      <c r="E17" s="244"/>
      <c r="F17" s="245"/>
      <c r="G17" s="246"/>
      <c r="H17" s="246"/>
      <c r="I17" s="265"/>
      <c r="J17" s="247">
        <f t="shared" si="11"/>
        <v>0</v>
      </c>
      <c r="K17" s="260">
        <f t="shared" si="1"/>
        <v>0</v>
      </c>
      <c r="L17" s="234">
        <f t="shared" si="2"/>
        <v>0</v>
      </c>
      <c r="M17" s="234">
        <f t="shared" si="3"/>
        <v>0</v>
      </c>
      <c r="N17" s="234" t="str">
        <f t="shared" si="4"/>
        <v>n/a</v>
      </c>
      <c r="O17" s="234">
        <f t="shared" si="5"/>
        <v>0</v>
      </c>
      <c r="P17" s="234">
        <f t="shared" si="6"/>
        <v>0</v>
      </c>
      <c r="Q17" s="234">
        <f t="shared" si="7"/>
        <v>0</v>
      </c>
      <c r="R17" s="234">
        <f t="shared" si="8"/>
        <v>0</v>
      </c>
      <c r="S17" s="247">
        <f t="shared" si="9"/>
        <v>0</v>
      </c>
      <c r="T17" s="234">
        <f t="shared" si="10"/>
        <v>0</v>
      </c>
      <c r="U17" s="234">
        <f t="shared" si="10"/>
        <v>0</v>
      </c>
      <c r="V17" s="234">
        <f t="shared" si="10"/>
        <v>0</v>
      </c>
      <c r="W17" s="247">
        <f t="shared" si="10"/>
        <v>0</v>
      </c>
      <c r="Y17" s="470"/>
      <c r="Z17" s="170"/>
      <c r="AA17" s="170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2:64" x14ac:dyDescent="0.25">
      <c r="B18" s="319" t="str">
        <f t="shared" si="0"/>
        <v>Hudson View Park</v>
      </c>
      <c r="C18" s="172"/>
      <c r="D18" s="172"/>
      <c r="E18" s="244"/>
      <c r="F18" s="245"/>
      <c r="G18" s="246"/>
      <c r="H18" s="246"/>
      <c r="I18" s="265"/>
      <c r="J18" s="247">
        <f t="shared" si="11"/>
        <v>0</v>
      </c>
      <c r="K18" s="260">
        <f t="shared" si="1"/>
        <v>0</v>
      </c>
      <c r="L18" s="234">
        <f t="shared" si="2"/>
        <v>0</v>
      </c>
      <c r="M18" s="234">
        <f t="shared" si="3"/>
        <v>0</v>
      </c>
      <c r="N18" s="234" t="str">
        <f t="shared" si="4"/>
        <v>n/a</v>
      </c>
      <c r="O18" s="234">
        <f t="shared" si="5"/>
        <v>0</v>
      </c>
      <c r="P18" s="234">
        <f t="shared" si="6"/>
        <v>0</v>
      </c>
      <c r="Q18" s="234">
        <f t="shared" si="7"/>
        <v>0</v>
      </c>
      <c r="R18" s="234">
        <f t="shared" si="8"/>
        <v>0</v>
      </c>
      <c r="S18" s="247">
        <f t="shared" si="9"/>
        <v>0</v>
      </c>
      <c r="T18" s="234">
        <f t="shared" si="10"/>
        <v>0</v>
      </c>
      <c r="U18" s="234">
        <f t="shared" si="10"/>
        <v>0</v>
      </c>
      <c r="V18" s="234">
        <f t="shared" si="10"/>
        <v>0</v>
      </c>
      <c r="W18" s="247">
        <f t="shared" si="10"/>
        <v>0</v>
      </c>
      <c r="Y18" s="470"/>
      <c r="Z18" s="170"/>
      <c r="AA18" s="170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2:64" x14ac:dyDescent="0.25">
      <c r="B19" s="319" t="str">
        <f t="shared" si="0"/>
        <v>Hudson View Park</v>
      </c>
      <c r="C19" s="172"/>
      <c r="D19" s="172"/>
      <c r="E19" s="244"/>
      <c r="F19" s="245"/>
      <c r="G19" s="246"/>
      <c r="H19" s="246"/>
      <c r="I19" s="265"/>
      <c r="J19" s="247">
        <f t="shared" si="11"/>
        <v>0</v>
      </c>
      <c r="K19" s="260">
        <f t="shared" si="1"/>
        <v>0</v>
      </c>
      <c r="L19" s="234">
        <f t="shared" si="2"/>
        <v>0</v>
      </c>
      <c r="M19" s="234">
        <f t="shared" si="3"/>
        <v>0</v>
      </c>
      <c r="N19" s="234" t="str">
        <f t="shared" si="4"/>
        <v>n/a</v>
      </c>
      <c r="O19" s="234">
        <f t="shared" si="5"/>
        <v>0</v>
      </c>
      <c r="P19" s="234">
        <f t="shared" si="6"/>
        <v>0</v>
      </c>
      <c r="Q19" s="234">
        <f t="shared" si="7"/>
        <v>0</v>
      </c>
      <c r="R19" s="234">
        <f t="shared" si="8"/>
        <v>0</v>
      </c>
      <c r="S19" s="247">
        <f t="shared" si="9"/>
        <v>0</v>
      </c>
      <c r="T19" s="234">
        <f t="shared" si="10"/>
        <v>0</v>
      </c>
      <c r="U19" s="234">
        <f t="shared" si="10"/>
        <v>0</v>
      </c>
      <c r="V19" s="234">
        <f t="shared" si="10"/>
        <v>0</v>
      </c>
      <c r="W19" s="247">
        <f t="shared" si="10"/>
        <v>0</v>
      </c>
      <c r="Y19" s="470"/>
      <c r="Z19" s="170"/>
      <c r="AA19" s="170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2:64" x14ac:dyDescent="0.25">
      <c r="B20" s="319" t="str">
        <f t="shared" si="0"/>
        <v>Hudson View Park</v>
      </c>
      <c r="C20" s="172"/>
      <c r="D20" s="172"/>
      <c r="E20" s="244"/>
      <c r="F20" s="245"/>
      <c r="G20" s="246"/>
      <c r="H20" s="246"/>
      <c r="I20" s="265"/>
      <c r="J20" s="247">
        <f t="shared" si="11"/>
        <v>0</v>
      </c>
      <c r="K20" s="260">
        <f t="shared" si="1"/>
        <v>0</v>
      </c>
      <c r="L20" s="234">
        <f t="shared" si="2"/>
        <v>0</v>
      </c>
      <c r="M20" s="234">
        <f t="shared" si="3"/>
        <v>0</v>
      </c>
      <c r="N20" s="234" t="str">
        <f t="shared" si="4"/>
        <v>n/a</v>
      </c>
      <c r="O20" s="234">
        <f t="shared" si="5"/>
        <v>0</v>
      </c>
      <c r="P20" s="234">
        <f t="shared" si="6"/>
        <v>0</v>
      </c>
      <c r="Q20" s="234">
        <f t="shared" si="7"/>
        <v>0</v>
      </c>
      <c r="R20" s="234">
        <f t="shared" si="8"/>
        <v>0</v>
      </c>
      <c r="S20" s="247">
        <f t="shared" si="9"/>
        <v>0</v>
      </c>
      <c r="T20" s="234">
        <f t="shared" si="10"/>
        <v>0</v>
      </c>
      <c r="U20" s="234">
        <f t="shared" si="10"/>
        <v>0</v>
      </c>
      <c r="V20" s="234">
        <f t="shared" si="10"/>
        <v>0</v>
      </c>
      <c r="W20" s="247">
        <f t="shared" si="10"/>
        <v>0</v>
      </c>
      <c r="Y20" s="470"/>
      <c r="Z20" s="170"/>
      <c r="AA20" s="17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2:64" x14ac:dyDescent="0.25">
      <c r="B21" s="319" t="str">
        <f t="shared" si="0"/>
        <v>Hudson View Park</v>
      </c>
      <c r="C21" s="172"/>
      <c r="D21" s="172"/>
      <c r="E21" s="244"/>
      <c r="F21" s="245"/>
      <c r="G21" s="246"/>
      <c r="H21" s="246"/>
      <c r="I21" s="265"/>
      <c r="J21" s="247">
        <f t="shared" si="11"/>
        <v>0</v>
      </c>
      <c r="K21" s="260">
        <f t="shared" si="1"/>
        <v>0</v>
      </c>
      <c r="L21" s="234">
        <f t="shared" si="2"/>
        <v>0</v>
      </c>
      <c r="M21" s="234">
        <f t="shared" si="3"/>
        <v>0</v>
      </c>
      <c r="N21" s="234" t="str">
        <f t="shared" si="4"/>
        <v>n/a</v>
      </c>
      <c r="O21" s="234">
        <f t="shared" si="5"/>
        <v>0</v>
      </c>
      <c r="P21" s="234">
        <f t="shared" si="6"/>
        <v>0</v>
      </c>
      <c r="Q21" s="234">
        <f t="shared" si="7"/>
        <v>0</v>
      </c>
      <c r="R21" s="234">
        <f t="shared" si="8"/>
        <v>0</v>
      </c>
      <c r="S21" s="247">
        <f t="shared" si="9"/>
        <v>0</v>
      </c>
      <c r="T21" s="234">
        <f t="shared" si="10"/>
        <v>0</v>
      </c>
      <c r="U21" s="234">
        <f t="shared" si="10"/>
        <v>0</v>
      </c>
      <c r="V21" s="234">
        <f t="shared" si="10"/>
        <v>0</v>
      </c>
      <c r="W21" s="247">
        <f t="shared" si="10"/>
        <v>0</v>
      </c>
      <c r="Y21" s="470"/>
      <c r="Z21" s="170"/>
      <c r="AA21" s="170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2:64" x14ac:dyDescent="0.25">
      <c r="B22" s="319" t="str">
        <f t="shared" si="0"/>
        <v>Hudson View Park</v>
      </c>
      <c r="C22" s="172"/>
      <c r="D22" s="172"/>
      <c r="E22" s="244"/>
      <c r="F22" s="245"/>
      <c r="G22" s="246"/>
      <c r="H22" s="246"/>
      <c r="I22" s="265"/>
      <c r="J22" s="247">
        <f t="shared" si="11"/>
        <v>0</v>
      </c>
      <c r="K22" s="260">
        <f t="shared" si="1"/>
        <v>0</v>
      </c>
      <c r="L22" s="234">
        <f t="shared" si="2"/>
        <v>0</v>
      </c>
      <c r="M22" s="234">
        <f t="shared" si="3"/>
        <v>0</v>
      </c>
      <c r="N22" s="234" t="str">
        <f t="shared" si="4"/>
        <v>n/a</v>
      </c>
      <c r="O22" s="234">
        <f t="shared" si="5"/>
        <v>0</v>
      </c>
      <c r="P22" s="234">
        <f t="shared" si="6"/>
        <v>0</v>
      </c>
      <c r="Q22" s="234">
        <f t="shared" si="7"/>
        <v>0</v>
      </c>
      <c r="R22" s="234">
        <f t="shared" si="8"/>
        <v>0</v>
      </c>
      <c r="S22" s="247">
        <f t="shared" si="9"/>
        <v>0</v>
      </c>
      <c r="T22" s="234">
        <f t="shared" si="10"/>
        <v>0</v>
      </c>
      <c r="U22" s="234">
        <f t="shared" si="10"/>
        <v>0</v>
      </c>
      <c r="V22" s="234">
        <f t="shared" si="10"/>
        <v>0</v>
      </c>
      <c r="W22" s="247">
        <f t="shared" si="10"/>
        <v>0</v>
      </c>
      <c r="Y22" s="470"/>
      <c r="Z22" s="170"/>
      <c r="AA22" s="170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2:64" x14ac:dyDescent="0.25">
      <c r="B23" s="319" t="str">
        <f t="shared" si="0"/>
        <v>Hudson View Park</v>
      </c>
      <c r="C23" s="172"/>
      <c r="D23" s="172"/>
      <c r="E23" s="244"/>
      <c r="F23" s="245"/>
      <c r="G23" s="246"/>
      <c r="H23" s="246"/>
      <c r="I23" s="265"/>
      <c r="J23" s="247">
        <f t="shared" si="11"/>
        <v>0</v>
      </c>
      <c r="K23" s="260">
        <f t="shared" si="1"/>
        <v>0</v>
      </c>
      <c r="L23" s="234">
        <f t="shared" si="2"/>
        <v>0</v>
      </c>
      <c r="M23" s="234">
        <f t="shared" si="3"/>
        <v>0</v>
      </c>
      <c r="N23" s="234" t="str">
        <f t="shared" si="4"/>
        <v>n/a</v>
      </c>
      <c r="O23" s="234">
        <f t="shared" si="5"/>
        <v>0</v>
      </c>
      <c r="P23" s="234">
        <f t="shared" si="6"/>
        <v>0</v>
      </c>
      <c r="Q23" s="234">
        <f t="shared" si="7"/>
        <v>0</v>
      </c>
      <c r="R23" s="234">
        <f t="shared" si="8"/>
        <v>0</v>
      </c>
      <c r="S23" s="247">
        <f t="shared" si="9"/>
        <v>0</v>
      </c>
      <c r="T23" s="234">
        <f t="shared" si="10"/>
        <v>0</v>
      </c>
      <c r="U23" s="234">
        <f t="shared" si="10"/>
        <v>0</v>
      </c>
      <c r="V23" s="234">
        <f t="shared" si="10"/>
        <v>0</v>
      </c>
      <c r="W23" s="247">
        <f t="shared" si="10"/>
        <v>0</v>
      </c>
      <c r="Y23" s="470"/>
      <c r="Z23" s="170"/>
      <c r="AA23" s="170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2:64" x14ac:dyDescent="0.25">
      <c r="B24" s="319" t="str">
        <f t="shared" si="0"/>
        <v>Hudson View Park</v>
      </c>
      <c r="C24" s="172"/>
      <c r="D24" s="172"/>
      <c r="E24" s="244"/>
      <c r="F24" s="245"/>
      <c r="G24" s="246"/>
      <c r="H24" s="246"/>
      <c r="I24" s="265"/>
      <c r="J24" s="247">
        <f t="shared" si="11"/>
        <v>0</v>
      </c>
      <c r="K24" s="260">
        <f t="shared" si="1"/>
        <v>0</v>
      </c>
      <c r="L24" s="234">
        <f t="shared" si="2"/>
        <v>0</v>
      </c>
      <c r="M24" s="234">
        <f t="shared" si="3"/>
        <v>0</v>
      </c>
      <c r="N24" s="234" t="str">
        <f t="shared" si="4"/>
        <v>n/a</v>
      </c>
      <c r="O24" s="234">
        <f t="shared" si="5"/>
        <v>0</v>
      </c>
      <c r="P24" s="234">
        <f t="shared" si="6"/>
        <v>0</v>
      </c>
      <c r="Q24" s="234">
        <f t="shared" si="7"/>
        <v>0</v>
      </c>
      <c r="R24" s="234">
        <f t="shared" si="8"/>
        <v>0</v>
      </c>
      <c r="S24" s="247">
        <f t="shared" si="9"/>
        <v>0</v>
      </c>
      <c r="T24" s="234">
        <f t="shared" si="10"/>
        <v>0</v>
      </c>
      <c r="U24" s="234">
        <f t="shared" si="10"/>
        <v>0</v>
      </c>
      <c r="V24" s="234">
        <f t="shared" si="10"/>
        <v>0</v>
      </c>
      <c r="W24" s="247">
        <f t="shared" si="10"/>
        <v>0</v>
      </c>
      <c r="Y24" s="470"/>
      <c r="Z24" s="170"/>
      <c r="AA24" s="170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2:64" x14ac:dyDescent="0.25">
      <c r="B25" s="319" t="str">
        <f t="shared" si="0"/>
        <v>Hudson View Park</v>
      </c>
      <c r="C25" s="172"/>
      <c r="D25" s="172"/>
      <c r="E25" s="244"/>
      <c r="F25" s="245"/>
      <c r="G25" s="246"/>
      <c r="H25" s="246"/>
      <c r="I25" s="265"/>
      <c r="J25" s="247">
        <f t="shared" si="11"/>
        <v>0</v>
      </c>
      <c r="K25" s="260">
        <f t="shared" si="1"/>
        <v>0</v>
      </c>
      <c r="L25" s="234">
        <f t="shared" si="2"/>
        <v>0</v>
      </c>
      <c r="M25" s="234">
        <f t="shared" si="3"/>
        <v>0</v>
      </c>
      <c r="N25" s="234" t="str">
        <f t="shared" si="4"/>
        <v>n/a</v>
      </c>
      <c r="O25" s="234">
        <f t="shared" si="5"/>
        <v>0</v>
      </c>
      <c r="P25" s="234">
        <f t="shared" si="6"/>
        <v>0</v>
      </c>
      <c r="Q25" s="234">
        <f t="shared" si="7"/>
        <v>0</v>
      </c>
      <c r="R25" s="234">
        <f t="shared" si="8"/>
        <v>0</v>
      </c>
      <c r="S25" s="247">
        <f t="shared" si="9"/>
        <v>0</v>
      </c>
      <c r="T25" s="234">
        <f t="shared" ref="T25:W44" si="12">SUMIFS(T$99:T$1003,$D$99:$D$1003,$C25,$A$99:$A$1003,$B25)</f>
        <v>0</v>
      </c>
      <c r="U25" s="234">
        <f t="shared" si="12"/>
        <v>0</v>
      </c>
      <c r="V25" s="234">
        <f t="shared" si="12"/>
        <v>0</v>
      </c>
      <c r="W25" s="247">
        <f t="shared" si="12"/>
        <v>0</v>
      </c>
      <c r="Y25" s="470"/>
      <c r="Z25" s="170"/>
      <c r="AA25" s="170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2:64" x14ac:dyDescent="0.25">
      <c r="B26" s="319" t="str">
        <f t="shared" si="0"/>
        <v>Hudson View Park</v>
      </c>
      <c r="C26" s="172"/>
      <c r="D26" s="172"/>
      <c r="E26" s="244"/>
      <c r="F26" s="245"/>
      <c r="G26" s="246"/>
      <c r="H26" s="246"/>
      <c r="I26" s="265"/>
      <c r="J26" s="247">
        <f t="shared" si="11"/>
        <v>0</v>
      </c>
      <c r="K26" s="260">
        <f t="shared" si="1"/>
        <v>0</v>
      </c>
      <c r="L26" s="234">
        <f t="shared" si="2"/>
        <v>0</v>
      </c>
      <c r="M26" s="234">
        <f t="shared" si="3"/>
        <v>0</v>
      </c>
      <c r="N26" s="234" t="str">
        <f t="shared" si="4"/>
        <v>n/a</v>
      </c>
      <c r="O26" s="234">
        <f t="shared" si="5"/>
        <v>0</v>
      </c>
      <c r="P26" s="234">
        <f t="shared" si="6"/>
        <v>0</v>
      </c>
      <c r="Q26" s="234">
        <f t="shared" si="7"/>
        <v>0</v>
      </c>
      <c r="R26" s="234">
        <f t="shared" si="8"/>
        <v>0</v>
      </c>
      <c r="S26" s="247">
        <f t="shared" si="9"/>
        <v>0</v>
      </c>
      <c r="T26" s="234">
        <f t="shared" si="12"/>
        <v>0</v>
      </c>
      <c r="U26" s="234">
        <f t="shared" si="12"/>
        <v>0</v>
      </c>
      <c r="V26" s="234">
        <f t="shared" si="12"/>
        <v>0</v>
      </c>
      <c r="W26" s="247">
        <f t="shared" si="12"/>
        <v>0</v>
      </c>
      <c r="Y26" s="470"/>
      <c r="Z26" s="170"/>
      <c r="AA26" s="17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2:64" x14ac:dyDescent="0.25">
      <c r="B27" s="319" t="str">
        <f t="shared" si="0"/>
        <v>Hudson View Park</v>
      </c>
      <c r="C27" s="172"/>
      <c r="D27" s="172"/>
      <c r="E27" s="244"/>
      <c r="F27" s="245"/>
      <c r="G27" s="246"/>
      <c r="H27" s="246"/>
      <c r="I27" s="265"/>
      <c r="J27" s="247">
        <f t="shared" si="11"/>
        <v>0</v>
      </c>
      <c r="K27" s="260">
        <f t="shared" si="1"/>
        <v>0</v>
      </c>
      <c r="L27" s="234">
        <f t="shared" si="2"/>
        <v>0</v>
      </c>
      <c r="M27" s="234">
        <f t="shared" si="3"/>
        <v>0</v>
      </c>
      <c r="N27" s="234" t="str">
        <f t="shared" si="4"/>
        <v>n/a</v>
      </c>
      <c r="O27" s="234">
        <f t="shared" si="5"/>
        <v>0</v>
      </c>
      <c r="P27" s="234">
        <f t="shared" si="6"/>
        <v>0</v>
      </c>
      <c r="Q27" s="234">
        <f t="shared" si="7"/>
        <v>0</v>
      </c>
      <c r="R27" s="234">
        <f t="shared" si="8"/>
        <v>0</v>
      </c>
      <c r="S27" s="247">
        <f t="shared" si="9"/>
        <v>0</v>
      </c>
      <c r="T27" s="234">
        <f t="shared" si="12"/>
        <v>0</v>
      </c>
      <c r="U27" s="234">
        <f t="shared" si="12"/>
        <v>0</v>
      </c>
      <c r="V27" s="234">
        <f t="shared" si="12"/>
        <v>0</v>
      </c>
      <c r="W27" s="247">
        <f t="shared" si="12"/>
        <v>0</v>
      </c>
      <c r="Y27" s="470"/>
      <c r="Z27" s="170"/>
      <c r="AA27" s="170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2:64" x14ac:dyDescent="0.25">
      <c r="B28" s="319" t="str">
        <f t="shared" si="0"/>
        <v>Hudson View Park</v>
      </c>
      <c r="C28" s="172"/>
      <c r="D28" s="172"/>
      <c r="E28" s="244"/>
      <c r="F28" s="245"/>
      <c r="G28" s="246"/>
      <c r="H28" s="246"/>
      <c r="I28" s="265"/>
      <c r="J28" s="247">
        <f t="shared" si="11"/>
        <v>0</v>
      </c>
      <c r="K28" s="260">
        <f t="shared" si="1"/>
        <v>0</v>
      </c>
      <c r="L28" s="234">
        <f t="shared" si="2"/>
        <v>0</v>
      </c>
      <c r="M28" s="234">
        <f t="shared" si="3"/>
        <v>0</v>
      </c>
      <c r="N28" s="234" t="str">
        <f t="shared" si="4"/>
        <v>n/a</v>
      </c>
      <c r="O28" s="234">
        <f t="shared" si="5"/>
        <v>0</v>
      </c>
      <c r="P28" s="234">
        <f t="shared" si="6"/>
        <v>0</v>
      </c>
      <c r="Q28" s="234">
        <f t="shared" si="7"/>
        <v>0</v>
      </c>
      <c r="R28" s="234">
        <f t="shared" si="8"/>
        <v>0</v>
      </c>
      <c r="S28" s="247">
        <f t="shared" si="9"/>
        <v>0</v>
      </c>
      <c r="T28" s="234">
        <f t="shared" si="12"/>
        <v>0</v>
      </c>
      <c r="U28" s="234">
        <f t="shared" si="12"/>
        <v>0</v>
      </c>
      <c r="V28" s="234">
        <f t="shared" si="12"/>
        <v>0</v>
      </c>
      <c r="W28" s="247">
        <f t="shared" si="12"/>
        <v>0</v>
      </c>
      <c r="Y28" s="470"/>
      <c r="Z28" s="170"/>
      <c r="AA28" s="17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2:64" x14ac:dyDescent="0.25">
      <c r="B29" s="319" t="str">
        <f t="shared" si="0"/>
        <v>Hudson View Park</v>
      </c>
      <c r="C29" s="172"/>
      <c r="D29" s="172"/>
      <c r="E29" s="244"/>
      <c r="F29" s="245"/>
      <c r="G29" s="246"/>
      <c r="H29" s="246"/>
      <c r="I29" s="265"/>
      <c r="J29" s="247">
        <f t="shared" si="11"/>
        <v>0</v>
      </c>
      <c r="K29" s="260">
        <f t="shared" si="1"/>
        <v>0</v>
      </c>
      <c r="L29" s="234">
        <f t="shared" si="2"/>
        <v>0</v>
      </c>
      <c r="M29" s="234">
        <f t="shared" si="3"/>
        <v>0</v>
      </c>
      <c r="N29" s="234" t="str">
        <f t="shared" si="4"/>
        <v>n/a</v>
      </c>
      <c r="O29" s="234">
        <f t="shared" si="5"/>
        <v>0</v>
      </c>
      <c r="P29" s="234">
        <f t="shared" si="6"/>
        <v>0</v>
      </c>
      <c r="Q29" s="234">
        <f t="shared" si="7"/>
        <v>0</v>
      </c>
      <c r="R29" s="234">
        <f t="shared" si="8"/>
        <v>0</v>
      </c>
      <c r="S29" s="247">
        <f t="shared" si="9"/>
        <v>0</v>
      </c>
      <c r="T29" s="234">
        <f t="shared" si="12"/>
        <v>0</v>
      </c>
      <c r="U29" s="234">
        <f t="shared" si="12"/>
        <v>0</v>
      </c>
      <c r="V29" s="234">
        <f t="shared" si="12"/>
        <v>0</v>
      </c>
      <c r="W29" s="247">
        <f t="shared" si="12"/>
        <v>0</v>
      </c>
      <c r="Y29" s="470"/>
      <c r="Z29" s="170"/>
      <c r="AA29" s="170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2:64" x14ac:dyDescent="0.25">
      <c r="B30" s="319" t="str">
        <f t="shared" si="0"/>
        <v>Hudson View Park</v>
      </c>
      <c r="C30" s="172"/>
      <c r="D30" s="172"/>
      <c r="E30" s="244"/>
      <c r="F30" s="245"/>
      <c r="G30" s="246"/>
      <c r="H30" s="246"/>
      <c r="I30" s="265"/>
      <c r="J30" s="247">
        <f t="shared" si="11"/>
        <v>0</v>
      </c>
      <c r="K30" s="260">
        <f t="shared" si="1"/>
        <v>0</v>
      </c>
      <c r="L30" s="234">
        <f t="shared" si="2"/>
        <v>0</v>
      </c>
      <c r="M30" s="234">
        <f t="shared" si="3"/>
        <v>0</v>
      </c>
      <c r="N30" s="234" t="str">
        <f t="shared" si="4"/>
        <v>n/a</v>
      </c>
      <c r="O30" s="234">
        <f t="shared" si="5"/>
        <v>0</v>
      </c>
      <c r="P30" s="234">
        <f t="shared" si="6"/>
        <v>0</v>
      </c>
      <c r="Q30" s="234">
        <f t="shared" si="7"/>
        <v>0</v>
      </c>
      <c r="R30" s="234">
        <f t="shared" si="8"/>
        <v>0</v>
      </c>
      <c r="S30" s="247">
        <f t="shared" si="9"/>
        <v>0</v>
      </c>
      <c r="T30" s="234">
        <f t="shared" si="12"/>
        <v>0</v>
      </c>
      <c r="U30" s="234">
        <f t="shared" si="12"/>
        <v>0</v>
      </c>
      <c r="V30" s="234">
        <f t="shared" si="12"/>
        <v>0</v>
      </c>
      <c r="W30" s="247">
        <f t="shared" si="12"/>
        <v>0</v>
      </c>
      <c r="Y30" s="470"/>
      <c r="Z30" s="170"/>
      <c r="AA30" s="17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2:64" x14ac:dyDescent="0.25">
      <c r="B31" s="319" t="str">
        <f t="shared" si="0"/>
        <v>Hudson View Park</v>
      </c>
      <c r="C31" s="172"/>
      <c r="D31" s="172"/>
      <c r="E31" s="244"/>
      <c r="F31" s="245"/>
      <c r="G31" s="246"/>
      <c r="H31" s="246"/>
      <c r="I31" s="265"/>
      <c r="J31" s="247">
        <f t="shared" si="11"/>
        <v>0</v>
      </c>
      <c r="K31" s="260">
        <f t="shared" si="1"/>
        <v>0</v>
      </c>
      <c r="L31" s="234">
        <f t="shared" si="2"/>
        <v>0</v>
      </c>
      <c r="M31" s="234">
        <f t="shared" si="3"/>
        <v>0</v>
      </c>
      <c r="N31" s="234" t="str">
        <f t="shared" si="4"/>
        <v>n/a</v>
      </c>
      <c r="O31" s="234">
        <f t="shared" si="5"/>
        <v>0</v>
      </c>
      <c r="P31" s="234">
        <f t="shared" si="6"/>
        <v>0</v>
      </c>
      <c r="Q31" s="234">
        <f t="shared" si="7"/>
        <v>0</v>
      </c>
      <c r="R31" s="234">
        <f t="shared" si="8"/>
        <v>0</v>
      </c>
      <c r="S31" s="247">
        <f t="shared" si="9"/>
        <v>0</v>
      </c>
      <c r="T31" s="234">
        <f t="shared" si="12"/>
        <v>0</v>
      </c>
      <c r="U31" s="234">
        <f t="shared" si="12"/>
        <v>0</v>
      </c>
      <c r="V31" s="234">
        <f t="shared" si="12"/>
        <v>0</v>
      </c>
      <c r="W31" s="247">
        <f t="shared" si="12"/>
        <v>0</v>
      </c>
      <c r="Y31" s="470"/>
      <c r="Z31" s="170"/>
      <c r="AA31" s="170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2:64" x14ac:dyDescent="0.25">
      <c r="B32" s="319" t="str">
        <f t="shared" si="0"/>
        <v>Hudson View Park</v>
      </c>
      <c r="C32" s="172"/>
      <c r="D32" s="172"/>
      <c r="E32" s="244"/>
      <c r="F32" s="245"/>
      <c r="G32" s="246"/>
      <c r="H32" s="246"/>
      <c r="I32" s="265"/>
      <c r="J32" s="247">
        <f t="shared" si="11"/>
        <v>0</v>
      </c>
      <c r="K32" s="260">
        <f t="shared" si="1"/>
        <v>0</v>
      </c>
      <c r="L32" s="234">
        <f t="shared" si="2"/>
        <v>0</v>
      </c>
      <c r="M32" s="234">
        <f t="shared" si="3"/>
        <v>0</v>
      </c>
      <c r="N32" s="234" t="str">
        <f t="shared" si="4"/>
        <v>n/a</v>
      </c>
      <c r="O32" s="234">
        <f t="shared" si="5"/>
        <v>0</v>
      </c>
      <c r="P32" s="234">
        <f t="shared" si="6"/>
        <v>0</v>
      </c>
      <c r="Q32" s="234">
        <f t="shared" si="7"/>
        <v>0</v>
      </c>
      <c r="R32" s="234">
        <f t="shared" si="8"/>
        <v>0</v>
      </c>
      <c r="S32" s="247">
        <f t="shared" si="9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47">
        <f t="shared" si="12"/>
        <v>0</v>
      </c>
      <c r="Y32" s="470"/>
      <c r="Z32" s="170"/>
      <c r="AA32" s="170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 x14ac:dyDescent="0.25">
      <c r="B33" s="319" t="str">
        <f t="shared" si="0"/>
        <v>Hudson View Park</v>
      </c>
      <c r="C33" s="172"/>
      <c r="D33" s="172"/>
      <c r="E33" s="244"/>
      <c r="F33" s="245"/>
      <c r="G33" s="246"/>
      <c r="H33" s="246"/>
      <c r="I33" s="265"/>
      <c r="J33" s="247">
        <f t="shared" si="11"/>
        <v>0</v>
      </c>
      <c r="K33" s="260">
        <f t="shared" si="1"/>
        <v>0</v>
      </c>
      <c r="L33" s="234">
        <f t="shared" si="2"/>
        <v>0</v>
      </c>
      <c r="M33" s="234">
        <f t="shared" si="3"/>
        <v>0</v>
      </c>
      <c r="N33" s="234" t="str">
        <f t="shared" si="4"/>
        <v>n/a</v>
      </c>
      <c r="O33" s="234">
        <f t="shared" si="5"/>
        <v>0</v>
      </c>
      <c r="P33" s="234">
        <f t="shared" si="6"/>
        <v>0</v>
      </c>
      <c r="Q33" s="234">
        <f t="shared" si="7"/>
        <v>0</v>
      </c>
      <c r="R33" s="234">
        <f t="shared" si="8"/>
        <v>0</v>
      </c>
      <c r="S33" s="247">
        <f t="shared" si="9"/>
        <v>0</v>
      </c>
      <c r="T33" s="234">
        <f t="shared" si="12"/>
        <v>0</v>
      </c>
      <c r="U33" s="234">
        <f t="shared" si="12"/>
        <v>0</v>
      </c>
      <c r="V33" s="234">
        <f t="shared" si="12"/>
        <v>0</v>
      </c>
      <c r="W33" s="247">
        <f t="shared" si="12"/>
        <v>0</v>
      </c>
      <c r="Y33" s="470"/>
      <c r="Z33" s="170"/>
      <c r="AA33" s="170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 x14ac:dyDescent="0.25">
      <c r="B34" s="319" t="str">
        <f t="shared" si="0"/>
        <v>Hudson View Park</v>
      </c>
      <c r="C34" s="172"/>
      <c r="D34" s="172"/>
      <c r="E34" s="244"/>
      <c r="F34" s="245"/>
      <c r="G34" s="246"/>
      <c r="H34" s="246"/>
      <c r="I34" s="265"/>
      <c r="J34" s="247">
        <f t="shared" si="11"/>
        <v>0</v>
      </c>
      <c r="K34" s="260">
        <f t="shared" si="1"/>
        <v>0</v>
      </c>
      <c r="L34" s="234">
        <f t="shared" si="2"/>
        <v>0</v>
      </c>
      <c r="M34" s="234">
        <f t="shared" si="3"/>
        <v>0</v>
      </c>
      <c r="N34" s="234" t="str">
        <f t="shared" si="4"/>
        <v>n/a</v>
      </c>
      <c r="O34" s="234">
        <f t="shared" si="5"/>
        <v>0</v>
      </c>
      <c r="P34" s="234">
        <f t="shared" si="6"/>
        <v>0</v>
      </c>
      <c r="Q34" s="234">
        <f t="shared" si="7"/>
        <v>0</v>
      </c>
      <c r="R34" s="234">
        <f t="shared" si="8"/>
        <v>0</v>
      </c>
      <c r="S34" s="247">
        <f t="shared" si="9"/>
        <v>0</v>
      </c>
      <c r="T34" s="234">
        <f t="shared" si="12"/>
        <v>0</v>
      </c>
      <c r="U34" s="234">
        <f t="shared" si="12"/>
        <v>0</v>
      </c>
      <c r="V34" s="234">
        <f t="shared" si="12"/>
        <v>0</v>
      </c>
      <c r="W34" s="247">
        <f t="shared" si="12"/>
        <v>0</v>
      </c>
      <c r="Y34" s="470"/>
      <c r="Z34" s="170"/>
      <c r="AA34" s="170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 x14ac:dyDescent="0.25">
      <c r="B35" s="319" t="str">
        <f t="shared" si="0"/>
        <v>Hudson View Park</v>
      </c>
      <c r="C35" s="172"/>
      <c r="D35" s="172"/>
      <c r="E35" s="244"/>
      <c r="F35" s="245"/>
      <c r="G35" s="246"/>
      <c r="H35" s="246"/>
      <c r="I35" s="265"/>
      <c r="J35" s="247">
        <f t="shared" si="11"/>
        <v>0</v>
      </c>
      <c r="K35" s="260">
        <f t="shared" si="1"/>
        <v>0</v>
      </c>
      <c r="L35" s="234">
        <f t="shared" si="2"/>
        <v>0</v>
      </c>
      <c r="M35" s="234">
        <f t="shared" si="3"/>
        <v>0</v>
      </c>
      <c r="N35" s="234" t="str">
        <f t="shared" si="4"/>
        <v>n/a</v>
      </c>
      <c r="O35" s="234">
        <f t="shared" si="5"/>
        <v>0</v>
      </c>
      <c r="P35" s="234">
        <f t="shared" si="6"/>
        <v>0</v>
      </c>
      <c r="Q35" s="234">
        <f t="shared" si="7"/>
        <v>0</v>
      </c>
      <c r="R35" s="234">
        <f t="shared" si="8"/>
        <v>0</v>
      </c>
      <c r="S35" s="247">
        <f t="shared" si="9"/>
        <v>0</v>
      </c>
      <c r="T35" s="234">
        <f t="shared" si="12"/>
        <v>0</v>
      </c>
      <c r="U35" s="234">
        <f t="shared" si="12"/>
        <v>0</v>
      </c>
      <c r="V35" s="234">
        <f t="shared" si="12"/>
        <v>0</v>
      </c>
      <c r="W35" s="247">
        <f t="shared" si="12"/>
        <v>0</v>
      </c>
      <c r="Y35" s="470"/>
      <c r="Z35" s="170"/>
      <c r="AA35" s="170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 x14ac:dyDescent="0.25">
      <c r="B36" s="319" t="str">
        <f t="shared" si="0"/>
        <v>Hudson View Park</v>
      </c>
      <c r="C36" s="172"/>
      <c r="D36" s="172"/>
      <c r="E36" s="244"/>
      <c r="F36" s="245"/>
      <c r="G36" s="246"/>
      <c r="H36" s="246"/>
      <c r="I36" s="265"/>
      <c r="J36" s="247">
        <f t="shared" si="11"/>
        <v>0</v>
      </c>
      <c r="K36" s="260">
        <f t="shared" si="1"/>
        <v>0</v>
      </c>
      <c r="L36" s="234">
        <f t="shared" si="2"/>
        <v>0</v>
      </c>
      <c r="M36" s="234">
        <f t="shared" si="3"/>
        <v>0</v>
      </c>
      <c r="N36" s="234" t="str">
        <f t="shared" si="4"/>
        <v>n/a</v>
      </c>
      <c r="O36" s="234">
        <f t="shared" si="5"/>
        <v>0</v>
      </c>
      <c r="P36" s="234">
        <f t="shared" si="6"/>
        <v>0</v>
      </c>
      <c r="Q36" s="234">
        <f t="shared" si="7"/>
        <v>0</v>
      </c>
      <c r="R36" s="234">
        <f t="shared" si="8"/>
        <v>0</v>
      </c>
      <c r="S36" s="247">
        <f t="shared" si="9"/>
        <v>0</v>
      </c>
      <c r="T36" s="234">
        <f t="shared" si="12"/>
        <v>0</v>
      </c>
      <c r="U36" s="234">
        <f t="shared" si="12"/>
        <v>0</v>
      </c>
      <c r="V36" s="234">
        <f t="shared" si="12"/>
        <v>0</v>
      </c>
      <c r="W36" s="247">
        <f t="shared" si="12"/>
        <v>0</v>
      </c>
      <c r="Y36" s="470"/>
      <c r="Z36" s="170"/>
      <c r="AA36" s="170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 x14ac:dyDescent="0.25">
      <c r="B37" s="319" t="str">
        <f t="shared" si="0"/>
        <v>Hudson View Park</v>
      </c>
      <c r="C37" s="172"/>
      <c r="D37" s="172"/>
      <c r="E37" s="244"/>
      <c r="F37" s="245"/>
      <c r="G37" s="246"/>
      <c r="H37" s="246"/>
      <c r="I37" s="265"/>
      <c r="J37" s="247">
        <f t="shared" si="11"/>
        <v>0</v>
      </c>
      <c r="K37" s="260">
        <f t="shared" ref="K37:K61" si="13">COUNTIFS($D$99:$D$1003,$C37,$A$99:$A$1003,B37)</f>
        <v>0</v>
      </c>
      <c r="L37" s="234">
        <f t="shared" ref="L37:L61" si="14">COUNTIFS($D$99:$D$1003,$C37,$C$99:$C$1003,"Occ",$A$99:$A$1003,B37)+COUNTIFS($D$99:$D$1003,$C37,$C$99:$C$1003,"Admin",$A$99:$A$1003,B37)+COUNTIFS($D$99:$D$1003,$C37,$C$99:$C$1003,"Down",$A$99:$A$1003,B37)+COUNTIFS($D$99:$D$1003,$C37,$C$99:$C$1003,"Model",$A$99:$A$1003,B37)</f>
        <v>0</v>
      </c>
      <c r="M37" s="234">
        <f t="shared" ref="M37:M61" si="15">COUNTIFS($D$99:$D$1003,$C37,$C$99:$C$1003,"Vac",$A$99:$A$1003,B37)</f>
        <v>0</v>
      </c>
      <c r="N37" s="234" t="str">
        <f t="shared" ref="N37:N61" si="16">IFERROR(AVERAGEIFS($L$99:$L$1003,$D$99:$D$1003,$C37,$A$99:$A$1003,B37),"n/a")</f>
        <v>n/a</v>
      </c>
      <c r="O37" s="234">
        <f t="shared" ref="O37:O61" si="17">SUMIFS($L$99:$L$1003,$D$99:$D$1003,$C37,$A$99:$A$1003,B37)</f>
        <v>0</v>
      </c>
      <c r="P37" s="234">
        <f t="shared" ref="P37:P61" si="18">SUMIFS($L$99:$L$1003,$D$99:$D$1003,$C37,$C$99:$C$1003,"Occ",$A$99:$A$1003,B37)+SUMIFS($L$99:$L$1003,$D$99:$D$1003,$C37,$C$99:$C$1003,"Admin",$A$99:$A$1003,B37)+SUMIFS($L$99:$L$1003,$D$99:$D$1003,$C37,$C$99:$C$1003,"Down",$A$99:$A$1003,B37)+SUMIFS($L$99:$L$1003,$D$99:$D$1003,$C37,$C$99:$C$1003,"Model",$A$99:$A$1003,B37)</f>
        <v>0</v>
      </c>
      <c r="Q37" s="234">
        <f t="shared" ref="Q37:Q61" si="19">SUMIFS($L$99:$L$1003,$D$99:$D$1003,$C37,$C$99:$C$1003,"Vac",$A$99:$A$1003,B37)</f>
        <v>0</v>
      </c>
      <c r="R37" s="234">
        <f t="shared" ref="R37:R61" si="20">SUMIFS($N$99:$N$1003,$D$99:$D$1003,$C37,$A$99:$A$1003,B37)</f>
        <v>0</v>
      </c>
      <c r="S37" s="247">
        <f t="shared" ref="S37:S61" si="21">SUMIFS($O$99:$O$1003,$D$99:$D$1003,$C37,$A$99:$A$1003,B37)</f>
        <v>0</v>
      </c>
      <c r="T37" s="234">
        <f t="shared" si="12"/>
        <v>0</v>
      </c>
      <c r="U37" s="234">
        <f t="shared" si="12"/>
        <v>0</v>
      </c>
      <c r="V37" s="234">
        <f t="shared" si="12"/>
        <v>0</v>
      </c>
      <c r="W37" s="247">
        <f t="shared" si="12"/>
        <v>0</v>
      </c>
      <c r="Y37" s="470"/>
      <c r="Z37" s="170"/>
      <c r="AA37" s="170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 x14ac:dyDescent="0.25">
      <c r="B38" s="319" t="str">
        <f t="shared" si="0"/>
        <v>Hudson View Park</v>
      </c>
      <c r="C38" s="172"/>
      <c r="D38" s="172"/>
      <c r="E38" s="244"/>
      <c r="F38" s="245"/>
      <c r="G38" s="246"/>
      <c r="H38" s="246"/>
      <c r="I38" s="265"/>
      <c r="J38" s="247">
        <f t="shared" si="11"/>
        <v>0</v>
      </c>
      <c r="K38" s="260">
        <f t="shared" si="13"/>
        <v>0</v>
      </c>
      <c r="L38" s="234">
        <f t="shared" si="14"/>
        <v>0</v>
      </c>
      <c r="M38" s="234">
        <f t="shared" si="15"/>
        <v>0</v>
      </c>
      <c r="N38" s="234" t="str">
        <f t="shared" si="16"/>
        <v>n/a</v>
      </c>
      <c r="O38" s="234">
        <f t="shared" si="17"/>
        <v>0</v>
      </c>
      <c r="P38" s="234">
        <f t="shared" si="18"/>
        <v>0</v>
      </c>
      <c r="Q38" s="234">
        <f t="shared" si="19"/>
        <v>0</v>
      </c>
      <c r="R38" s="234">
        <f t="shared" si="20"/>
        <v>0</v>
      </c>
      <c r="S38" s="247">
        <f t="shared" si="21"/>
        <v>0</v>
      </c>
      <c r="T38" s="234">
        <f t="shared" si="12"/>
        <v>0</v>
      </c>
      <c r="U38" s="234">
        <f t="shared" si="12"/>
        <v>0</v>
      </c>
      <c r="V38" s="234">
        <f t="shared" si="12"/>
        <v>0</v>
      </c>
      <c r="W38" s="247">
        <f t="shared" si="12"/>
        <v>0</v>
      </c>
      <c r="Y38" s="470"/>
      <c r="Z38" s="170"/>
      <c r="AA38" s="170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 x14ac:dyDescent="0.25">
      <c r="B39" s="319" t="str">
        <f t="shared" si="0"/>
        <v>Hudson View Park</v>
      </c>
      <c r="C39" s="172"/>
      <c r="D39" s="172"/>
      <c r="E39" s="244"/>
      <c r="F39" s="245"/>
      <c r="G39" s="246"/>
      <c r="H39" s="246"/>
      <c r="I39" s="265"/>
      <c r="J39" s="247">
        <f t="shared" si="11"/>
        <v>0</v>
      </c>
      <c r="K39" s="260">
        <f t="shared" si="13"/>
        <v>0</v>
      </c>
      <c r="L39" s="234">
        <f t="shared" si="14"/>
        <v>0</v>
      </c>
      <c r="M39" s="234">
        <f t="shared" si="15"/>
        <v>0</v>
      </c>
      <c r="N39" s="234" t="str">
        <f t="shared" si="16"/>
        <v>n/a</v>
      </c>
      <c r="O39" s="234">
        <f t="shared" si="17"/>
        <v>0</v>
      </c>
      <c r="P39" s="234">
        <f t="shared" si="18"/>
        <v>0</v>
      </c>
      <c r="Q39" s="234">
        <f t="shared" si="19"/>
        <v>0</v>
      </c>
      <c r="R39" s="234">
        <f t="shared" si="20"/>
        <v>0</v>
      </c>
      <c r="S39" s="247">
        <f t="shared" si="21"/>
        <v>0</v>
      </c>
      <c r="T39" s="234">
        <f t="shared" si="12"/>
        <v>0</v>
      </c>
      <c r="U39" s="234">
        <f t="shared" si="12"/>
        <v>0</v>
      </c>
      <c r="V39" s="234">
        <f t="shared" si="12"/>
        <v>0</v>
      </c>
      <c r="W39" s="247">
        <f t="shared" si="12"/>
        <v>0</v>
      </c>
      <c r="Y39" s="470"/>
      <c r="Z39" s="170"/>
      <c r="AA39" s="170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 x14ac:dyDescent="0.25">
      <c r="B40" s="319" t="str">
        <f t="shared" si="0"/>
        <v>Hudson View Park</v>
      </c>
      <c r="C40" s="172"/>
      <c r="D40" s="172"/>
      <c r="E40" s="244"/>
      <c r="F40" s="245"/>
      <c r="G40" s="246"/>
      <c r="H40" s="246"/>
      <c r="I40" s="265"/>
      <c r="J40" s="247">
        <f t="shared" si="11"/>
        <v>0</v>
      </c>
      <c r="K40" s="260">
        <f t="shared" si="13"/>
        <v>0</v>
      </c>
      <c r="L40" s="234">
        <f t="shared" si="14"/>
        <v>0</v>
      </c>
      <c r="M40" s="234">
        <f t="shared" si="15"/>
        <v>0</v>
      </c>
      <c r="N40" s="234" t="str">
        <f t="shared" si="16"/>
        <v>n/a</v>
      </c>
      <c r="O40" s="234">
        <f t="shared" si="17"/>
        <v>0</v>
      </c>
      <c r="P40" s="234">
        <f t="shared" si="18"/>
        <v>0</v>
      </c>
      <c r="Q40" s="234">
        <f t="shared" si="19"/>
        <v>0</v>
      </c>
      <c r="R40" s="234">
        <f t="shared" si="20"/>
        <v>0</v>
      </c>
      <c r="S40" s="247">
        <f t="shared" si="21"/>
        <v>0</v>
      </c>
      <c r="T40" s="234">
        <f t="shared" si="12"/>
        <v>0</v>
      </c>
      <c r="U40" s="234">
        <f t="shared" si="12"/>
        <v>0</v>
      </c>
      <c r="V40" s="234">
        <f t="shared" si="12"/>
        <v>0</v>
      </c>
      <c r="W40" s="247">
        <f t="shared" si="12"/>
        <v>0</v>
      </c>
      <c r="Y40" s="470"/>
      <c r="Z40" s="170"/>
      <c r="AA40" s="17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 x14ac:dyDescent="0.25">
      <c r="B41" s="319" t="str">
        <f t="shared" si="0"/>
        <v>Hudson View Park</v>
      </c>
      <c r="C41" s="172"/>
      <c r="D41" s="172"/>
      <c r="E41" s="244"/>
      <c r="F41" s="245"/>
      <c r="G41" s="246"/>
      <c r="H41" s="246"/>
      <c r="I41" s="265"/>
      <c r="J41" s="247">
        <f t="shared" si="11"/>
        <v>0</v>
      </c>
      <c r="K41" s="260">
        <f t="shared" si="13"/>
        <v>0</v>
      </c>
      <c r="L41" s="234">
        <f t="shared" si="14"/>
        <v>0</v>
      </c>
      <c r="M41" s="234">
        <f t="shared" si="15"/>
        <v>0</v>
      </c>
      <c r="N41" s="234" t="str">
        <f t="shared" si="16"/>
        <v>n/a</v>
      </c>
      <c r="O41" s="234">
        <f t="shared" si="17"/>
        <v>0</v>
      </c>
      <c r="P41" s="234">
        <f t="shared" si="18"/>
        <v>0</v>
      </c>
      <c r="Q41" s="234">
        <f t="shared" si="19"/>
        <v>0</v>
      </c>
      <c r="R41" s="234">
        <f t="shared" si="20"/>
        <v>0</v>
      </c>
      <c r="S41" s="247">
        <f t="shared" si="21"/>
        <v>0</v>
      </c>
      <c r="T41" s="234">
        <f t="shared" si="12"/>
        <v>0</v>
      </c>
      <c r="U41" s="234">
        <f t="shared" si="12"/>
        <v>0</v>
      </c>
      <c r="V41" s="234">
        <f t="shared" si="12"/>
        <v>0</v>
      </c>
      <c r="W41" s="247">
        <f t="shared" si="12"/>
        <v>0</v>
      </c>
      <c r="Y41" s="470"/>
      <c r="Z41" s="170"/>
      <c r="AA41" s="170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 x14ac:dyDescent="0.25">
      <c r="B42" s="319" t="str">
        <f t="shared" si="0"/>
        <v>Hudson View Park</v>
      </c>
      <c r="C42" s="172"/>
      <c r="D42" s="172"/>
      <c r="E42" s="244"/>
      <c r="F42" s="245"/>
      <c r="G42" s="246"/>
      <c r="H42" s="246"/>
      <c r="I42" s="265"/>
      <c r="J42" s="247">
        <f t="shared" si="11"/>
        <v>0</v>
      </c>
      <c r="K42" s="260">
        <f t="shared" si="13"/>
        <v>0</v>
      </c>
      <c r="L42" s="234">
        <f t="shared" si="14"/>
        <v>0</v>
      </c>
      <c r="M42" s="234">
        <f t="shared" si="15"/>
        <v>0</v>
      </c>
      <c r="N42" s="234" t="str">
        <f t="shared" si="16"/>
        <v>n/a</v>
      </c>
      <c r="O42" s="234">
        <f t="shared" si="17"/>
        <v>0</v>
      </c>
      <c r="P42" s="234">
        <f t="shared" si="18"/>
        <v>0</v>
      </c>
      <c r="Q42" s="234">
        <f t="shared" si="19"/>
        <v>0</v>
      </c>
      <c r="R42" s="234">
        <f t="shared" si="20"/>
        <v>0</v>
      </c>
      <c r="S42" s="247">
        <f t="shared" si="21"/>
        <v>0</v>
      </c>
      <c r="T42" s="234">
        <f t="shared" si="12"/>
        <v>0</v>
      </c>
      <c r="U42" s="234">
        <f t="shared" si="12"/>
        <v>0</v>
      </c>
      <c r="V42" s="234">
        <f t="shared" si="12"/>
        <v>0</v>
      </c>
      <c r="W42" s="247">
        <f t="shared" si="12"/>
        <v>0</v>
      </c>
      <c r="Y42" s="470"/>
      <c r="Z42" s="170"/>
      <c r="AA42" s="170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 x14ac:dyDescent="0.25">
      <c r="B43" s="319" t="str">
        <f t="shared" si="0"/>
        <v>Hudson View Park</v>
      </c>
      <c r="C43" s="172"/>
      <c r="D43" s="172"/>
      <c r="E43" s="244"/>
      <c r="F43" s="245"/>
      <c r="G43" s="246"/>
      <c r="H43" s="246"/>
      <c r="I43" s="265"/>
      <c r="J43" s="247">
        <f t="shared" si="11"/>
        <v>0</v>
      </c>
      <c r="K43" s="260">
        <f t="shared" si="13"/>
        <v>0</v>
      </c>
      <c r="L43" s="234">
        <f t="shared" si="14"/>
        <v>0</v>
      </c>
      <c r="M43" s="234">
        <f t="shared" si="15"/>
        <v>0</v>
      </c>
      <c r="N43" s="234" t="str">
        <f t="shared" si="16"/>
        <v>n/a</v>
      </c>
      <c r="O43" s="234">
        <f t="shared" si="17"/>
        <v>0</v>
      </c>
      <c r="P43" s="234">
        <f t="shared" si="18"/>
        <v>0</v>
      </c>
      <c r="Q43" s="234">
        <f t="shared" si="19"/>
        <v>0</v>
      </c>
      <c r="R43" s="234">
        <f t="shared" si="20"/>
        <v>0</v>
      </c>
      <c r="S43" s="247">
        <f t="shared" si="21"/>
        <v>0</v>
      </c>
      <c r="T43" s="234">
        <f t="shared" si="12"/>
        <v>0</v>
      </c>
      <c r="U43" s="234">
        <f t="shared" si="12"/>
        <v>0</v>
      </c>
      <c r="V43" s="234">
        <f t="shared" si="12"/>
        <v>0</v>
      </c>
      <c r="W43" s="247">
        <f t="shared" si="12"/>
        <v>0</v>
      </c>
      <c r="Y43" s="470"/>
      <c r="Z43" s="170"/>
      <c r="AA43" s="170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 x14ac:dyDescent="0.25">
      <c r="B44" s="319" t="str">
        <f t="shared" si="0"/>
        <v>Hudson View Park</v>
      </c>
      <c r="C44" s="172"/>
      <c r="D44" s="172"/>
      <c r="E44" s="244"/>
      <c r="F44" s="245"/>
      <c r="G44" s="246"/>
      <c r="H44" s="246"/>
      <c r="I44" s="265"/>
      <c r="J44" s="247">
        <f t="shared" si="11"/>
        <v>0</v>
      </c>
      <c r="K44" s="260">
        <f t="shared" si="13"/>
        <v>0</v>
      </c>
      <c r="L44" s="234">
        <f t="shared" si="14"/>
        <v>0</v>
      </c>
      <c r="M44" s="234">
        <f t="shared" si="15"/>
        <v>0</v>
      </c>
      <c r="N44" s="234" t="str">
        <f t="shared" si="16"/>
        <v>n/a</v>
      </c>
      <c r="O44" s="234">
        <f t="shared" si="17"/>
        <v>0</v>
      </c>
      <c r="P44" s="234">
        <f t="shared" si="18"/>
        <v>0</v>
      </c>
      <c r="Q44" s="234">
        <f t="shared" si="19"/>
        <v>0</v>
      </c>
      <c r="R44" s="234">
        <f t="shared" si="20"/>
        <v>0</v>
      </c>
      <c r="S44" s="247">
        <f t="shared" si="21"/>
        <v>0</v>
      </c>
      <c r="T44" s="234">
        <f t="shared" si="12"/>
        <v>0</v>
      </c>
      <c r="U44" s="234">
        <f t="shared" si="12"/>
        <v>0</v>
      </c>
      <c r="V44" s="234">
        <f t="shared" si="12"/>
        <v>0</v>
      </c>
      <c r="W44" s="247">
        <f t="shared" si="12"/>
        <v>0</v>
      </c>
      <c r="Y44" s="470"/>
      <c r="Z44" s="170"/>
      <c r="AA44" s="170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2:64" x14ac:dyDescent="0.25">
      <c r="B45" s="319" t="str">
        <f t="shared" si="0"/>
        <v>Hudson View Park</v>
      </c>
      <c r="C45" s="172"/>
      <c r="D45" s="172"/>
      <c r="E45" s="244"/>
      <c r="F45" s="245"/>
      <c r="G45" s="246"/>
      <c r="H45" s="246"/>
      <c r="I45" s="265"/>
      <c r="J45" s="247">
        <f t="shared" si="11"/>
        <v>0</v>
      </c>
      <c r="K45" s="260">
        <f t="shared" si="13"/>
        <v>0</v>
      </c>
      <c r="L45" s="234">
        <f t="shared" si="14"/>
        <v>0</v>
      </c>
      <c r="M45" s="234">
        <f t="shared" si="15"/>
        <v>0</v>
      </c>
      <c r="N45" s="234" t="str">
        <f t="shared" si="16"/>
        <v>n/a</v>
      </c>
      <c r="O45" s="234">
        <f t="shared" si="17"/>
        <v>0</v>
      </c>
      <c r="P45" s="234">
        <f t="shared" si="18"/>
        <v>0</v>
      </c>
      <c r="Q45" s="234">
        <f t="shared" si="19"/>
        <v>0</v>
      </c>
      <c r="R45" s="234">
        <f t="shared" si="20"/>
        <v>0</v>
      </c>
      <c r="S45" s="247">
        <f t="shared" si="21"/>
        <v>0</v>
      </c>
      <c r="T45" s="234">
        <f t="shared" ref="T45:W61" si="22">SUMIFS(T$99:T$1003,$D$99:$D$1003,$C45,$A$99:$A$1003,$B45)</f>
        <v>0</v>
      </c>
      <c r="U45" s="234">
        <f t="shared" si="22"/>
        <v>0</v>
      </c>
      <c r="V45" s="234">
        <f t="shared" si="22"/>
        <v>0</v>
      </c>
      <c r="W45" s="247">
        <f t="shared" si="22"/>
        <v>0</v>
      </c>
      <c r="Y45" s="470"/>
      <c r="Z45" s="170"/>
      <c r="AA45" s="170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2:64" x14ac:dyDescent="0.25">
      <c r="B46" s="319" t="str">
        <f t="shared" si="0"/>
        <v>Hudson View Park</v>
      </c>
      <c r="C46" s="172"/>
      <c r="D46" s="172"/>
      <c r="E46" s="244"/>
      <c r="F46" s="245"/>
      <c r="G46" s="246"/>
      <c r="H46" s="246"/>
      <c r="I46" s="265"/>
      <c r="J46" s="247">
        <f t="shared" si="11"/>
        <v>0</v>
      </c>
      <c r="K46" s="260">
        <f t="shared" si="13"/>
        <v>0</v>
      </c>
      <c r="L46" s="234">
        <f t="shared" si="14"/>
        <v>0</v>
      </c>
      <c r="M46" s="234">
        <f t="shared" si="15"/>
        <v>0</v>
      </c>
      <c r="N46" s="234" t="str">
        <f t="shared" si="16"/>
        <v>n/a</v>
      </c>
      <c r="O46" s="234">
        <f t="shared" si="17"/>
        <v>0</v>
      </c>
      <c r="P46" s="234">
        <f t="shared" si="18"/>
        <v>0</v>
      </c>
      <c r="Q46" s="234">
        <f t="shared" si="19"/>
        <v>0</v>
      </c>
      <c r="R46" s="234">
        <f t="shared" si="20"/>
        <v>0</v>
      </c>
      <c r="S46" s="247">
        <f t="shared" si="21"/>
        <v>0</v>
      </c>
      <c r="T46" s="234">
        <f t="shared" si="22"/>
        <v>0</v>
      </c>
      <c r="U46" s="234">
        <f t="shared" si="22"/>
        <v>0</v>
      </c>
      <c r="V46" s="234">
        <f t="shared" si="22"/>
        <v>0</v>
      </c>
      <c r="W46" s="247">
        <f t="shared" si="22"/>
        <v>0</v>
      </c>
      <c r="Y46" s="470"/>
      <c r="Z46" s="170"/>
      <c r="AA46" s="170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2:64" x14ac:dyDescent="0.25">
      <c r="B47" s="319" t="str">
        <f t="shared" si="0"/>
        <v>Hudson View Park</v>
      </c>
      <c r="C47" s="172"/>
      <c r="D47" s="172"/>
      <c r="E47" s="244"/>
      <c r="F47" s="245"/>
      <c r="G47" s="246"/>
      <c r="H47" s="246"/>
      <c r="I47" s="265"/>
      <c r="J47" s="247">
        <f t="shared" si="11"/>
        <v>0</v>
      </c>
      <c r="K47" s="260">
        <f t="shared" si="13"/>
        <v>0</v>
      </c>
      <c r="L47" s="234">
        <f t="shared" si="14"/>
        <v>0</v>
      </c>
      <c r="M47" s="234">
        <f t="shared" si="15"/>
        <v>0</v>
      </c>
      <c r="N47" s="234" t="str">
        <f t="shared" si="16"/>
        <v>n/a</v>
      </c>
      <c r="O47" s="234">
        <f t="shared" si="17"/>
        <v>0</v>
      </c>
      <c r="P47" s="234">
        <f t="shared" si="18"/>
        <v>0</v>
      </c>
      <c r="Q47" s="234">
        <f t="shared" si="19"/>
        <v>0</v>
      </c>
      <c r="R47" s="234">
        <f t="shared" si="20"/>
        <v>0</v>
      </c>
      <c r="S47" s="247">
        <f t="shared" si="21"/>
        <v>0</v>
      </c>
      <c r="T47" s="234">
        <f t="shared" si="22"/>
        <v>0</v>
      </c>
      <c r="U47" s="234">
        <f t="shared" si="22"/>
        <v>0</v>
      </c>
      <c r="V47" s="234">
        <f t="shared" si="22"/>
        <v>0</v>
      </c>
      <c r="W47" s="247">
        <f t="shared" si="22"/>
        <v>0</v>
      </c>
      <c r="Y47" s="470"/>
      <c r="Z47" s="170"/>
      <c r="AA47" s="170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2:64" x14ac:dyDescent="0.25">
      <c r="B48" s="319" t="str">
        <f t="shared" si="0"/>
        <v>Hudson View Park</v>
      </c>
      <c r="C48" s="172"/>
      <c r="D48" s="172"/>
      <c r="E48" s="244"/>
      <c r="F48" s="245"/>
      <c r="G48" s="246"/>
      <c r="H48" s="246"/>
      <c r="I48" s="265"/>
      <c r="J48" s="247">
        <f t="shared" si="11"/>
        <v>0</v>
      </c>
      <c r="K48" s="260">
        <f t="shared" si="13"/>
        <v>0</v>
      </c>
      <c r="L48" s="234">
        <f t="shared" si="14"/>
        <v>0</v>
      </c>
      <c r="M48" s="234">
        <f t="shared" si="15"/>
        <v>0</v>
      </c>
      <c r="N48" s="234" t="str">
        <f t="shared" si="16"/>
        <v>n/a</v>
      </c>
      <c r="O48" s="234">
        <f t="shared" si="17"/>
        <v>0</v>
      </c>
      <c r="P48" s="234">
        <f t="shared" si="18"/>
        <v>0</v>
      </c>
      <c r="Q48" s="234">
        <f t="shared" si="19"/>
        <v>0</v>
      </c>
      <c r="R48" s="234">
        <f t="shared" si="20"/>
        <v>0</v>
      </c>
      <c r="S48" s="247">
        <f t="shared" si="21"/>
        <v>0</v>
      </c>
      <c r="T48" s="234">
        <f t="shared" si="22"/>
        <v>0</v>
      </c>
      <c r="U48" s="234">
        <f t="shared" si="22"/>
        <v>0</v>
      </c>
      <c r="V48" s="234">
        <f t="shared" si="22"/>
        <v>0</v>
      </c>
      <c r="W48" s="247">
        <f t="shared" si="22"/>
        <v>0</v>
      </c>
      <c r="Y48" s="470"/>
      <c r="Z48" s="170"/>
      <c r="AA48" s="170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2:64" x14ac:dyDescent="0.25">
      <c r="B49" s="319" t="str">
        <f t="shared" si="0"/>
        <v>Hudson View Park</v>
      </c>
      <c r="C49" s="172"/>
      <c r="D49" s="172"/>
      <c r="E49" s="244"/>
      <c r="F49" s="245"/>
      <c r="G49" s="246"/>
      <c r="H49" s="246"/>
      <c r="I49" s="265"/>
      <c r="J49" s="247">
        <f t="shared" si="11"/>
        <v>0</v>
      </c>
      <c r="K49" s="260">
        <f t="shared" si="13"/>
        <v>0</v>
      </c>
      <c r="L49" s="234">
        <f t="shared" si="14"/>
        <v>0</v>
      </c>
      <c r="M49" s="234">
        <f t="shared" si="15"/>
        <v>0</v>
      </c>
      <c r="N49" s="234" t="str">
        <f t="shared" si="16"/>
        <v>n/a</v>
      </c>
      <c r="O49" s="234">
        <f t="shared" si="17"/>
        <v>0</v>
      </c>
      <c r="P49" s="234">
        <f t="shared" si="18"/>
        <v>0</v>
      </c>
      <c r="Q49" s="234">
        <f t="shared" si="19"/>
        <v>0</v>
      </c>
      <c r="R49" s="234">
        <f t="shared" si="20"/>
        <v>0</v>
      </c>
      <c r="S49" s="247">
        <f t="shared" si="21"/>
        <v>0</v>
      </c>
      <c r="T49" s="234">
        <f t="shared" si="22"/>
        <v>0</v>
      </c>
      <c r="U49" s="234">
        <f t="shared" si="22"/>
        <v>0</v>
      </c>
      <c r="V49" s="234">
        <f t="shared" si="22"/>
        <v>0</v>
      </c>
      <c r="W49" s="247">
        <f t="shared" si="22"/>
        <v>0</v>
      </c>
      <c r="Y49" s="470"/>
      <c r="Z49" s="170"/>
      <c r="AA49" s="170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 x14ac:dyDescent="0.25">
      <c r="B50" s="319" t="str">
        <f t="shared" si="0"/>
        <v>Hudson View Park</v>
      </c>
      <c r="C50" s="172"/>
      <c r="D50" s="172"/>
      <c r="E50" s="244"/>
      <c r="F50" s="245"/>
      <c r="G50" s="246"/>
      <c r="H50" s="246"/>
      <c r="I50" s="265"/>
      <c r="J50" s="247">
        <f t="shared" si="11"/>
        <v>0</v>
      </c>
      <c r="K50" s="260">
        <f t="shared" si="13"/>
        <v>0</v>
      </c>
      <c r="L50" s="234">
        <f t="shared" si="14"/>
        <v>0</v>
      </c>
      <c r="M50" s="234">
        <f t="shared" si="15"/>
        <v>0</v>
      </c>
      <c r="N50" s="234" t="str">
        <f t="shared" si="16"/>
        <v>n/a</v>
      </c>
      <c r="O50" s="234">
        <f t="shared" si="17"/>
        <v>0</v>
      </c>
      <c r="P50" s="234">
        <f t="shared" si="18"/>
        <v>0</v>
      </c>
      <c r="Q50" s="234">
        <f t="shared" si="19"/>
        <v>0</v>
      </c>
      <c r="R50" s="234">
        <f t="shared" si="20"/>
        <v>0</v>
      </c>
      <c r="S50" s="247">
        <f t="shared" si="21"/>
        <v>0</v>
      </c>
      <c r="T50" s="234">
        <f t="shared" si="22"/>
        <v>0</v>
      </c>
      <c r="U50" s="234">
        <f t="shared" si="22"/>
        <v>0</v>
      </c>
      <c r="V50" s="234">
        <f t="shared" si="22"/>
        <v>0</v>
      </c>
      <c r="W50" s="247">
        <f t="shared" si="22"/>
        <v>0</v>
      </c>
      <c r="Y50" s="470"/>
      <c r="Z50" s="170"/>
      <c r="AA50" s="17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 x14ac:dyDescent="0.25">
      <c r="B51" s="319" t="str">
        <f t="shared" si="0"/>
        <v>Hudson View Park</v>
      </c>
      <c r="C51" s="172"/>
      <c r="D51" s="172"/>
      <c r="E51" s="244"/>
      <c r="F51" s="245"/>
      <c r="G51" s="246"/>
      <c r="H51" s="246"/>
      <c r="I51" s="265"/>
      <c r="J51" s="247">
        <f t="shared" si="11"/>
        <v>0</v>
      </c>
      <c r="K51" s="260">
        <f t="shared" si="13"/>
        <v>0</v>
      </c>
      <c r="L51" s="234">
        <f t="shared" si="14"/>
        <v>0</v>
      </c>
      <c r="M51" s="234">
        <f t="shared" si="15"/>
        <v>0</v>
      </c>
      <c r="N51" s="234" t="str">
        <f t="shared" si="16"/>
        <v>n/a</v>
      </c>
      <c r="O51" s="234">
        <f t="shared" si="17"/>
        <v>0</v>
      </c>
      <c r="P51" s="234">
        <f t="shared" si="18"/>
        <v>0</v>
      </c>
      <c r="Q51" s="234">
        <f t="shared" si="19"/>
        <v>0</v>
      </c>
      <c r="R51" s="234">
        <f t="shared" si="20"/>
        <v>0</v>
      </c>
      <c r="S51" s="247">
        <f t="shared" si="21"/>
        <v>0</v>
      </c>
      <c r="T51" s="234">
        <f t="shared" si="22"/>
        <v>0</v>
      </c>
      <c r="U51" s="234">
        <f t="shared" si="22"/>
        <v>0</v>
      </c>
      <c r="V51" s="234">
        <f t="shared" si="22"/>
        <v>0</v>
      </c>
      <c r="W51" s="247">
        <f t="shared" si="22"/>
        <v>0</v>
      </c>
      <c r="Y51" s="470"/>
      <c r="Z51" s="170"/>
      <c r="AA51" s="170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 x14ac:dyDescent="0.25">
      <c r="B52" s="319" t="str">
        <f t="shared" si="0"/>
        <v>Hudson View Park</v>
      </c>
      <c r="C52" s="172"/>
      <c r="D52" s="172"/>
      <c r="E52" s="244"/>
      <c r="F52" s="245"/>
      <c r="G52" s="246"/>
      <c r="H52" s="246"/>
      <c r="I52" s="265"/>
      <c r="J52" s="247">
        <f t="shared" si="11"/>
        <v>0</v>
      </c>
      <c r="K52" s="260">
        <f t="shared" si="13"/>
        <v>0</v>
      </c>
      <c r="L52" s="234">
        <f t="shared" si="14"/>
        <v>0</v>
      </c>
      <c r="M52" s="234">
        <f t="shared" si="15"/>
        <v>0</v>
      </c>
      <c r="N52" s="234" t="str">
        <f t="shared" si="16"/>
        <v>n/a</v>
      </c>
      <c r="O52" s="234">
        <f t="shared" si="17"/>
        <v>0</v>
      </c>
      <c r="P52" s="234">
        <f t="shared" si="18"/>
        <v>0</v>
      </c>
      <c r="Q52" s="234">
        <f t="shared" si="19"/>
        <v>0</v>
      </c>
      <c r="R52" s="234">
        <f t="shared" si="20"/>
        <v>0</v>
      </c>
      <c r="S52" s="247">
        <f t="shared" si="21"/>
        <v>0</v>
      </c>
      <c r="T52" s="234">
        <f t="shared" si="22"/>
        <v>0</v>
      </c>
      <c r="U52" s="234">
        <f t="shared" si="22"/>
        <v>0</v>
      </c>
      <c r="V52" s="234">
        <f t="shared" si="22"/>
        <v>0</v>
      </c>
      <c r="W52" s="247">
        <f t="shared" si="22"/>
        <v>0</v>
      </c>
      <c r="Y52" s="470"/>
      <c r="Z52" s="170"/>
      <c r="AA52" s="170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 x14ac:dyDescent="0.25">
      <c r="B53" s="319" t="str">
        <f t="shared" si="0"/>
        <v>Hudson View Park</v>
      </c>
      <c r="C53" s="172"/>
      <c r="D53" s="172"/>
      <c r="E53" s="244"/>
      <c r="F53" s="245"/>
      <c r="G53" s="246"/>
      <c r="H53" s="246"/>
      <c r="I53" s="265"/>
      <c r="J53" s="247">
        <f t="shared" si="11"/>
        <v>0</v>
      </c>
      <c r="K53" s="260">
        <f t="shared" si="13"/>
        <v>0</v>
      </c>
      <c r="L53" s="234">
        <f t="shared" si="14"/>
        <v>0</v>
      </c>
      <c r="M53" s="234">
        <f t="shared" si="15"/>
        <v>0</v>
      </c>
      <c r="N53" s="234" t="str">
        <f t="shared" si="16"/>
        <v>n/a</v>
      </c>
      <c r="O53" s="234">
        <f t="shared" si="17"/>
        <v>0</v>
      </c>
      <c r="P53" s="234">
        <f t="shared" si="18"/>
        <v>0</v>
      </c>
      <c r="Q53" s="234">
        <f t="shared" si="19"/>
        <v>0</v>
      </c>
      <c r="R53" s="234">
        <f t="shared" si="20"/>
        <v>0</v>
      </c>
      <c r="S53" s="247">
        <f t="shared" si="21"/>
        <v>0</v>
      </c>
      <c r="T53" s="234">
        <f t="shared" si="22"/>
        <v>0</v>
      </c>
      <c r="U53" s="234">
        <f t="shared" si="22"/>
        <v>0</v>
      </c>
      <c r="V53" s="234">
        <f t="shared" si="22"/>
        <v>0</v>
      </c>
      <c r="W53" s="247">
        <f t="shared" si="22"/>
        <v>0</v>
      </c>
      <c r="Y53" s="470"/>
      <c r="Z53" s="170"/>
      <c r="AA53" s="170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 x14ac:dyDescent="0.25">
      <c r="B54" s="319" t="str">
        <f t="shared" si="0"/>
        <v>Hudson View Park</v>
      </c>
      <c r="C54" s="172"/>
      <c r="D54" s="172"/>
      <c r="E54" s="244"/>
      <c r="F54" s="245"/>
      <c r="G54" s="246"/>
      <c r="H54" s="246"/>
      <c r="I54" s="265"/>
      <c r="J54" s="247">
        <f t="shared" si="11"/>
        <v>0</v>
      </c>
      <c r="K54" s="260">
        <f t="shared" si="13"/>
        <v>0</v>
      </c>
      <c r="L54" s="234">
        <f t="shared" si="14"/>
        <v>0</v>
      </c>
      <c r="M54" s="234">
        <f t="shared" si="15"/>
        <v>0</v>
      </c>
      <c r="N54" s="234" t="str">
        <f t="shared" si="16"/>
        <v>n/a</v>
      </c>
      <c r="O54" s="234">
        <f t="shared" si="17"/>
        <v>0</v>
      </c>
      <c r="P54" s="234">
        <f t="shared" si="18"/>
        <v>0</v>
      </c>
      <c r="Q54" s="234">
        <f t="shared" si="19"/>
        <v>0</v>
      </c>
      <c r="R54" s="234">
        <f t="shared" si="20"/>
        <v>0</v>
      </c>
      <c r="S54" s="247">
        <f t="shared" si="21"/>
        <v>0</v>
      </c>
      <c r="T54" s="234">
        <f t="shared" si="22"/>
        <v>0</v>
      </c>
      <c r="U54" s="234">
        <f t="shared" si="22"/>
        <v>0</v>
      </c>
      <c r="V54" s="234">
        <f t="shared" si="22"/>
        <v>0</v>
      </c>
      <c r="W54" s="247">
        <f t="shared" si="22"/>
        <v>0</v>
      </c>
      <c r="Y54" s="470"/>
      <c r="Z54" s="170"/>
      <c r="AA54" s="170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 x14ac:dyDescent="0.25">
      <c r="B55" s="319" t="str">
        <f t="shared" si="0"/>
        <v>Hudson View Park</v>
      </c>
      <c r="C55" s="172"/>
      <c r="D55" s="172"/>
      <c r="E55" s="244"/>
      <c r="F55" s="245"/>
      <c r="G55" s="246"/>
      <c r="H55" s="246"/>
      <c r="I55" s="265"/>
      <c r="J55" s="247">
        <f t="shared" si="11"/>
        <v>0</v>
      </c>
      <c r="K55" s="260">
        <f t="shared" si="13"/>
        <v>0</v>
      </c>
      <c r="L55" s="234">
        <f t="shared" si="14"/>
        <v>0</v>
      </c>
      <c r="M55" s="234">
        <f t="shared" si="15"/>
        <v>0</v>
      </c>
      <c r="N55" s="234" t="str">
        <f t="shared" si="16"/>
        <v>n/a</v>
      </c>
      <c r="O55" s="234">
        <f t="shared" si="17"/>
        <v>0</v>
      </c>
      <c r="P55" s="234">
        <f t="shared" si="18"/>
        <v>0</v>
      </c>
      <c r="Q55" s="234">
        <f t="shared" si="19"/>
        <v>0</v>
      </c>
      <c r="R55" s="234">
        <f t="shared" si="20"/>
        <v>0</v>
      </c>
      <c r="S55" s="247">
        <f t="shared" si="21"/>
        <v>0</v>
      </c>
      <c r="T55" s="234">
        <f t="shared" si="22"/>
        <v>0</v>
      </c>
      <c r="U55" s="234">
        <f t="shared" si="22"/>
        <v>0</v>
      </c>
      <c r="V55" s="234">
        <f t="shared" si="22"/>
        <v>0</v>
      </c>
      <c r="W55" s="247">
        <f t="shared" si="22"/>
        <v>0</v>
      </c>
      <c r="Y55" s="470"/>
      <c r="Z55" s="170"/>
      <c r="AA55" s="170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 x14ac:dyDescent="0.25">
      <c r="B56" s="319" t="str">
        <f t="shared" si="0"/>
        <v>Hudson View Park</v>
      </c>
      <c r="C56" s="172"/>
      <c r="D56" s="172"/>
      <c r="E56" s="244"/>
      <c r="F56" s="245"/>
      <c r="G56" s="246"/>
      <c r="H56" s="246"/>
      <c r="I56" s="265"/>
      <c r="J56" s="247">
        <f t="shared" si="11"/>
        <v>0</v>
      </c>
      <c r="K56" s="260">
        <f t="shared" si="13"/>
        <v>0</v>
      </c>
      <c r="L56" s="234">
        <f t="shared" si="14"/>
        <v>0</v>
      </c>
      <c r="M56" s="234">
        <f t="shared" si="15"/>
        <v>0</v>
      </c>
      <c r="N56" s="234" t="str">
        <f t="shared" si="16"/>
        <v>n/a</v>
      </c>
      <c r="O56" s="234">
        <f t="shared" si="17"/>
        <v>0</v>
      </c>
      <c r="P56" s="234">
        <f t="shared" si="18"/>
        <v>0</v>
      </c>
      <c r="Q56" s="234">
        <f t="shared" si="19"/>
        <v>0</v>
      </c>
      <c r="R56" s="234">
        <f t="shared" si="20"/>
        <v>0</v>
      </c>
      <c r="S56" s="247">
        <f t="shared" si="21"/>
        <v>0</v>
      </c>
      <c r="T56" s="234">
        <f t="shared" si="22"/>
        <v>0</v>
      </c>
      <c r="U56" s="234">
        <f t="shared" si="22"/>
        <v>0</v>
      </c>
      <c r="V56" s="234">
        <f t="shared" si="22"/>
        <v>0</v>
      </c>
      <c r="W56" s="247">
        <f t="shared" si="22"/>
        <v>0</v>
      </c>
      <c r="Y56" s="470"/>
      <c r="Z56" s="170"/>
      <c r="AA56" s="170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 x14ac:dyDescent="0.25">
      <c r="B57" s="319" t="str">
        <f t="shared" si="0"/>
        <v>Hudson View Park</v>
      </c>
      <c r="C57" s="172"/>
      <c r="D57" s="172"/>
      <c r="E57" s="244"/>
      <c r="F57" s="245"/>
      <c r="G57" s="246"/>
      <c r="H57" s="246"/>
      <c r="I57" s="265"/>
      <c r="J57" s="247">
        <f t="shared" si="11"/>
        <v>0</v>
      </c>
      <c r="K57" s="260">
        <f t="shared" si="13"/>
        <v>0</v>
      </c>
      <c r="L57" s="234">
        <f t="shared" si="14"/>
        <v>0</v>
      </c>
      <c r="M57" s="234">
        <f t="shared" si="15"/>
        <v>0</v>
      </c>
      <c r="N57" s="234" t="str">
        <f t="shared" si="16"/>
        <v>n/a</v>
      </c>
      <c r="O57" s="234">
        <f t="shared" si="17"/>
        <v>0</v>
      </c>
      <c r="P57" s="234">
        <f t="shared" si="18"/>
        <v>0</v>
      </c>
      <c r="Q57" s="234">
        <f t="shared" si="19"/>
        <v>0</v>
      </c>
      <c r="R57" s="234">
        <f t="shared" si="20"/>
        <v>0</v>
      </c>
      <c r="S57" s="247">
        <f t="shared" si="21"/>
        <v>0</v>
      </c>
      <c r="T57" s="234">
        <f t="shared" si="22"/>
        <v>0</v>
      </c>
      <c r="U57" s="234">
        <f t="shared" si="22"/>
        <v>0</v>
      </c>
      <c r="V57" s="234">
        <f t="shared" si="22"/>
        <v>0</v>
      </c>
      <c r="W57" s="247">
        <f t="shared" si="22"/>
        <v>0</v>
      </c>
      <c r="Y57" s="470"/>
      <c r="Z57" s="170"/>
      <c r="AA57" s="170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 x14ac:dyDescent="0.25">
      <c r="B58" s="319" t="str">
        <f t="shared" si="0"/>
        <v>Hudson View Park</v>
      </c>
      <c r="C58" s="172"/>
      <c r="D58" s="172"/>
      <c r="E58" s="244"/>
      <c r="F58" s="245"/>
      <c r="G58" s="246"/>
      <c r="H58" s="246"/>
      <c r="I58" s="265"/>
      <c r="J58" s="247">
        <f t="shared" si="11"/>
        <v>0</v>
      </c>
      <c r="K58" s="260">
        <f t="shared" si="13"/>
        <v>0</v>
      </c>
      <c r="L58" s="234">
        <f t="shared" si="14"/>
        <v>0</v>
      </c>
      <c r="M58" s="234">
        <f t="shared" si="15"/>
        <v>0</v>
      </c>
      <c r="N58" s="234" t="str">
        <f t="shared" si="16"/>
        <v>n/a</v>
      </c>
      <c r="O58" s="234">
        <f t="shared" si="17"/>
        <v>0</v>
      </c>
      <c r="P58" s="234">
        <f t="shared" si="18"/>
        <v>0</v>
      </c>
      <c r="Q58" s="234">
        <f t="shared" si="19"/>
        <v>0</v>
      </c>
      <c r="R58" s="234">
        <f t="shared" si="20"/>
        <v>0</v>
      </c>
      <c r="S58" s="247">
        <f t="shared" si="21"/>
        <v>0</v>
      </c>
      <c r="T58" s="234">
        <f t="shared" si="22"/>
        <v>0</v>
      </c>
      <c r="U58" s="234">
        <f t="shared" si="22"/>
        <v>0</v>
      </c>
      <c r="V58" s="234">
        <f t="shared" si="22"/>
        <v>0</v>
      </c>
      <c r="W58" s="247">
        <f t="shared" si="22"/>
        <v>0</v>
      </c>
      <c r="Y58" s="470"/>
      <c r="Z58" s="170"/>
      <c r="AA58" s="170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 x14ac:dyDescent="0.25">
      <c r="B59" s="319" t="str">
        <f t="shared" si="0"/>
        <v>Hudson View Park</v>
      </c>
      <c r="C59" s="172"/>
      <c r="D59" s="172"/>
      <c r="E59" s="244"/>
      <c r="F59" s="245"/>
      <c r="G59" s="246"/>
      <c r="H59" s="246"/>
      <c r="I59" s="265"/>
      <c r="J59" s="247">
        <f t="shared" si="11"/>
        <v>0</v>
      </c>
      <c r="K59" s="260">
        <f t="shared" si="13"/>
        <v>0</v>
      </c>
      <c r="L59" s="234">
        <f t="shared" si="14"/>
        <v>0</v>
      </c>
      <c r="M59" s="234">
        <f t="shared" si="15"/>
        <v>0</v>
      </c>
      <c r="N59" s="234" t="str">
        <f t="shared" si="16"/>
        <v>n/a</v>
      </c>
      <c r="O59" s="234">
        <f t="shared" si="17"/>
        <v>0</v>
      </c>
      <c r="P59" s="234">
        <f t="shared" si="18"/>
        <v>0</v>
      </c>
      <c r="Q59" s="234">
        <f t="shared" si="19"/>
        <v>0</v>
      </c>
      <c r="R59" s="234">
        <f t="shared" si="20"/>
        <v>0</v>
      </c>
      <c r="S59" s="247">
        <f t="shared" si="21"/>
        <v>0</v>
      </c>
      <c r="T59" s="234">
        <f t="shared" si="22"/>
        <v>0</v>
      </c>
      <c r="U59" s="234">
        <f t="shared" si="22"/>
        <v>0</v>
      </c>
      <c r="V59" s="234">
        <f t="shared" si="22"/>
        <v>0</v>
      </c>
      <c r="W59" s="247">
        <f t="shared" si="22"/>
        <v>0</v>
      </c>
      <c r="Y59" s="470"/>
      <c r="Z59" s="170"/>
      <c r="AA59" s="170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2:64" x14ac:dyDescent="0.25">
      <c r="B60" s="319" t="str">
        <f t="shared" si="0"/>
        <v>Hudson View Park</v>
      </c>
      <c r="C60" s="172"/>
      <c r="D60" s="172"/>
      <c r="E60" s="244"/>
      <c r="F60" s="245"/>
      <c r="G60" s="246"/>
      <c r="H60" s="246"/>
      <c r="I60" s="265"/>
      <c r="J60" s="247">
        <f t="shared" si="11"/>
        <v>0</v>
      </c>
      <c r="K60" s="260">
        <f t="shared" si="13"/>
        <v>0</v>
      </c>
      <c r="L60" s="234">
        <f t="shared" si="14"/>
        <v>0</v>
      </c>
      <c r="M60" s="234">
        <f t="shared" si="15"/>
        <v>0</v>
      </c>
      <c r="N60" s="234" t="str">
        <f t="shared" si="16"/>
        <v>n/a</v>
      </c>
      <c r="O60" s="234">
        <f t="shared" si="17"/>
        <v>0</v>
      </c>
      <c r="P60" s="234">
        <f t="shared" si="18"/>
        <v>0</v>
      </c>
      <c r="Q60" s="234">
        <f t="shared" si="19"/>
        <v>0</v>
      </c>
      <c r="R60" s="234">
        <f t="shared" si="20"/>
        <v>0</v>
      </c>
      <c r="S60" s="247">
        <f t="shared" si="21"/>
        <v>0</v>
      </c>
      <c r="T60" s="234">
        <f t="shared" si="22"/>
        <v>0</v>
      </c>
      <c r="U60" s="234">
        <f t="shared" si="22"/>
        <v>0</v>
      </c>
      <c r="V60" s="234">
        <f t="shared" si="22"/>
        <v>0</v>
      </c>
      <c r="W60" s="247">
        <f t="shared" si="22"/>
        <v>0</v>
      </c>
      <c r="Y60" s="470"/>
      <c r="Z60" s="170"/>
      <c r="AA60" s="17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2:64" x14ac:dyDescent="0.25">
      <c r="B61" s="319" t="str">
        <f t="shared" si="0"/>
        <v>Hudson View Park</v>
      </c>
      <c r="C61" s="172"/>
      <c r="D61" s="172"/>
      <c r="E61" s="244"/>
      <c r="F61" s="245"/>
      <c r="G61" s="246"/>
      <c r="H61" s="246"/>
      <c r="I61" s="265"/>
      <c r="J61" s="247">
        <f t="shared" si="11"/>
        <v>0</v>
      </c>
      <c r="K61" s="260">
        <f t="shared" si="13"/>
        <v>0</v>
      </c>
      <c r="L61" s="234">
        <f t="shared" si="14"/>
        <v>0</v>
      </c>
      <c r="M61" s="234">
        <f t="shared" si="15"/>
        <v>0</v>
      </c>
      <c r="N61" s="234" t="str">
        <f t="shared" si="16"/>
        <v>n/a</v>
      </c>
      <c r="O61" s="234">
        <f t="shared" si="17"/>
        <v>0</v>
      </c>
      <c r="P61" s="234">
        <f t="shared" si="18"/>
        <v>0</v>
      </c>
      <c r="Q61" s="234">
        <f t="shared" si="19"/>
        <v>0</v>
      </c>
      <c r="R61" s="234">
        <f t="shared" si="20"/>
        <v>0</v>
      </c>
      <c r="S61" s="247">
        <f t="shared" si="21"/>
        <v>0</v>
      </c>
      <c r="T61" s="234">
        <f t="shared" si="22"/>
        <v>0</v>
      </c>
      <c r="U61" s="234">
        <f t="shared" si="22"/>
        <v>0</v>
      </c>
      <c r="V61" s="234">
        <f t="shared" si="22"/>
        <v>0</v>
      </c>
      <c r="W61" s="247">
        <f t="shared" si="22"/>
        <v>0</v>
      </c>
      <c r="Y61" s="470"/>
      <c r="Z61" s="170"/>
      <c r="AA61" s="170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2:64" x14ac:dyDescent="0.25">
      <c r="B62" s="248" t="s">
        <v>49</v>
      </c>
      <c r="C62" s="173"/>
      <c r="D62" s="174"/>
      <c r="E62" s="174"/>
      <c r="F62" s="174"/>
      <c r="G62" s="174"/>
      <c r="H62" s="174"/>
      <c r="I62" s="266"/>
      <c r="J62" s="249"/>
      <c r="K62" s="261">
        <f>SUM(K5:K61)</f>
        <v>0</v>
      </c>
      <c r="L62" s="176">
        <f>SUM(L5:L61)</f>
        <v>0</v>
      </c>
      <c r="M62" s="175">
        <f>SUM(M5:M61)</f>
        <v>0</v>
      </c>
      <c r="N62" s="175" t="e">
        <f>SUMPRODUCT($N$5:$N$61,$K$5:$K$61)/SUM(K5:K61)</f>
        <v>#DIV/0!</v>
      </c>
      <c r="O62" s="175">
        <f t="shared" ref="O62:W62" si="23">SUM(O5:O61)</f>
        <v>0</v>
      </c>
      <c r="P62" s="175">
        <f t="shared" si="23"/>
        <v>0</v>
      </c>
      <c r="Q62" s="175">
        <f t="shared" si="23"/>
        <v>0</v>
      </c>
      <c r="R62" s="175">
        <f t="shared" si="23"/>
        <v>0</v>
      </c>
      <c r="S62" s="249">
        <f t="shared" si="23"/>
        <v>0</v>
      </c>
      <c r="T62" s="175">
        <f t="shared" si="23"/>
        <v>0</v>
      </c>
      <c r="U62" s="175">
        <f t="shared" si="23"/>
        <v>0</v>
      </c>
      <c r="V62" s="175">
        <f t="shared" si="23"/>
        <v>0</v>
      </c>
      <c r="W62" s="249">
        <f t="shared" si="23"/>
        <v>0</v>
      </c>
      <c r="Z62" s="168"/>
      <c r="AA62" s="168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2:64" x14ac:dyDescent="0.25">
      <c r="B63" s="241" t="s">
        <v>159</v>
      </c>
      <c r="C63" s="171"/>
      <c r="D63" s="168"/>
      <c r="E63" s="168"/>
      <c r="F63" s="168"/>
      <c r="G63" s="168"/>
      <c r="H63" s="168"/>
      <c r="I63" s="267"/>
      <c r="J63" s="269"/>
      <c r="K63" s="262"/>
      <c r="L63" s="177" t="e">
        <f>L62/$K$62</f>
        <v>#DIV/0!</v>
      </c>
      <c r="M63" s="177" t="e">
        <f>M62/$K$62</f>
        <v>#DIV/0!</v>
      </c>
      <c r="N63" s="177"/>
      <c r="O63" s="235"/>
      <c r="P63" s="177" t="str">
        <f>IFERROR(P62/$O$62,"n/a")</f>
        <v>n/a</v>
      </c>
      <c r="Q63" s="177" t="str">
        <f>IFERROR(Q62/$O$62,"n/a")</f>
        <v>n/a</v>
      </c>
      <c r="R63" s="235"/>
      <c r="S63" s="250"/>
      <c r="T63" s="235"/>
      <c r="U63" s="235"/>
      <c r="V63" s="235"/>
      <c r="W63" s="250"/>
      <c r="Z63" s="168"/>
      <c r="AA63" s="168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2:64" x14ac:dyDescent="0.25">
      <c r="B64" s="251"/>
      <c r="C64" s="168"/>
      <c r="D64" s="168"/>
      <c r="E64" s="168"/>
      <c r="F64" s="168"/>
      <c r="G64" s="168"/>
      <c r="H64" s="168"/>
      <c r="I64" s="267"/>
      <c r="J64" s="269"/>
      <c r="K64" s="263" t="b">
        <f>K62='HVP RR'!B526</f>
        <v>0</v>
      </c>
      <c r="L64" s="236" t="b">
        <f>L62=COUNTIFS($C$99:$C$606,"Occ")</f>
        <v>0</v>
      </c>
      <c r="M64" s="236" t="b">
        <f>M62=COUNTIFS($C$99:$C$606,"Vac")</f>
        <v>1</v>
      </c>
      <c r="N64" s="236"/>
      <c r="O64" s="569" t="b">
        <f>O62='HVP RR'!G526</f>
        <v>0</v>
      </c>
      <c r="P64" s="236" t="b">
        <f>P62='HVP RR'!G527</f>
        <v>0</v>
      </c>
      <c r="Q64" s="236" t="b">
        <f>Q62='HVP RR'!G528</f>
        <v>0</v>
      </c>
      <c r="R64" s="236" t="b">
        <f>R62='HVP RR'!I526</f>
        <v>0</v>
      </c>
      <c r="S64" s="252" t="b">
        <f>S62='HVP RR'!J526</f>
        <v>0</v>
      </c>
      <c r="T64" s="236" t="b">
        <f>T62=SUMIF('HVP RR'!K16:K523,"&gt;0",'HVP RR'!K16:K523)</f>
        <v>0</v>
      </c>
      <c r="U64" s="236" t="b">
        <f>U62=SUMIF('HVP RR'!K16:K523,"&lt;0",'HVP RR'!K16:K523)</f>
        <v>0</v>
      </c>
      <c r="V64" s="236"/>
      <c r="W64" s="252"/>
      <c r="Z64" s="168"/>
      <c r="AA64" s="168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ht="16.5" thickBot="1" x14ac:dyDescent="0.3">
      <c r="B65" s="253"/>
      <c r="C65" s="254"/>
      <c r="D65" s="254"/>
      <c r="E65" s="254"/>
      <c r="F65" s="254"/>
      <c r="G65" s="254"/>
      <c r="H65" s="254"/>
      <c r="I65" s="256"/>
      <c r="J65" s="270"/>
      <c r="K65" s="268" t="s">
        <v>80</v>
      </c>
      <c r="L65" s="255"/>
      <c r="M65" s="255"/>
      <c r="N65" s="255"/>
      <c r="O65" s="570"/>
      <c r="P65" s="571"/>
      <c r="Q65" s="571"/>
      <c r="R65" s="570"/>
      <c r="S65" s="257"/>
      <c r="T65" s="254"/>
      <c r="U65" s="254"/>
      <c r="V65" s="254"/>
      <c r="W65" s="256"/>
      <c r="Z65" s="168"/>
      <c r="AA65" s="168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25">
      <c r="B66" s="168"/>
      <c r="C66" s="168"/>
      <c r="D66" s="168"/>
      <c r="E66" s="168"/>
      <c r="F66" s="168"/>
      <c r="G66" s="168"/>
      <c r="H66" s="168"/>
      <c r="J66" s="168"/>
      <c r="K66" s="168"/>
      <c r="L66" s="168"/>
      <c r="M66" s="168"/>
      <c r="N66" s="168"/>
      <c r="O66" s="178"/>
      <c r="P66" s="178"/>
      <c r="Q66" s="572"/>
      <c r="R66" s="178"/>
      <c r="S66" s="178"/>
      <c r="T66" s="168"/>
      <c r="U66" s="168"/>
      <c r="V66" s="168"/>
      <c r="Z66" s="168"/>
      <c r="AA66" s="168"/>
      <c r="AV66" s="168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x14ac:dyDescent="0.25">
      <c r="A67" s="293">
        <v>1</v>
      </c>
      <c r="B67" s="183" t="s">
        <v>22</v>
      </c>
      <c r="C67" s="184" t="inlineStr">
        <is>
          <t xml:space="preserve">[Property 1 Name]</t>
        </is>
      </c>
      <c r="E67" s="195" t="s">
        <v>203</v>
      </c>
      <c r="F67" s="424"/>
      <c r="G67" s="168"/>
      <c r="H67" s="168"/>
      <c r="J67" s="168"/>
      <c r="K67" s="168"/>
      <c r="L67" s="168" t="s">
        <v>80</v>
      </c>
      <c r="M67" s="181"/>
      <c r="N67" s="182"/>
      <c r="O67" s="182"/>
      <c r="P67" s="168"/>
      <c r="Q67" s="168"/>
      <c r="R67" s="573"/>
      <c r="T67" s="168"/>
      <c r="U67" s="168"/>
      <c r="V67" s="168"/>
      <c r="Z67" s="168"/>
      <c r="AA67" s="168"/>
      <c r="AD67" s="168"/>
      <c r="AE67" s="168"/>
      <c r="AF67" s="168"/>
      <c r="AG67" s="168"/>
      <c r="AH67" s="168"/>
      <c r="AI67" s="168"/>
      <c r="AJ67" s="168"/>
      <c r="AK67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x14ac:dyDescent="0.25">
      <c r="B68" s="183" t="s">
        <v>23</v>
      </c>
      <c r="C68" s="184"/>
      <c r="E68" s="195" t="s">
        <v>204</v>
      </c>
      <c r="F68" s="470"/>
      <c r="G68" s="168"/>
      <c r="H68" s="168"/>
      <c r="J68" s="168"/>
      <c r="K68" s="168"/>
      <c r="L68" s="168" t="s">
        <v>80</v>
      </c>
      <c r="M68" s="181"/>
      <c r="O68" s="182"/>
      <c r="P68" s="168"/>
      <c r="Q68" s="168"/>
      <c r="R68" s="168"/>
      <c r="S68" s="510"/>
      <c r="T68" s="168"/>
      <c r="U68" s="168"/>
      <c r="V68" s="168"/>
      <c r="Z68" s="168"/>
      <c r="AA68" s="168"/>
      <c r="AD68" s="168"/>
      <c r="AE68" s="168"/>
      <c r="AF68" s="168"/>
      <c r="AG68" s="168"/>
      <c r="AH68" s="168"/>
      <c r="AI68" s="168"/>
      <c r="AJ68" s="168"/>
      <c r="AK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25">
      <c r="B69" s="183" t="s">
        <v>24</v>
      </c>
      <c r="C69" s="184"/>
      <c r="E69" s="168"/>
      <c r="F69" s="168"/>
      <c r="G69" s="168"/>
      <c r="H69" s="168"/>
      <c r="J69" s="168"/>
      <c r="K69" s="168"/>
      <c r="L69" s="168"/>
      <c r="M69" s="181"/>
      <c r="O69" s="182"/>
      <c r="P69" s="168"/>
      <c r="Q69" s="168"/>
      <c r="R69" s="168"/>
      <c r="S69" s="168"/>
      <c r="T69" s="168"/>
      <c r="U69" s="168"/>
      <c r="V69" s="168"/>
      <c r="Z69" s="168"/>
      <c r="AA69" s="168"/>
      <c r="AD69" s="168"/>
      <c r="AE69" s="168"/>
      <c r="AF69" s="168"/>
      <c r="AG69" s="168"/>
      <c r="AH69" s="168"/>
      <c r="AI69" s="168"/>
      <c r="AJ69" s="168"/>
      <c r="AK69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x14ac:dyDescent="0.25">
      <c r="B70" s="183" t="s">
        <v>161</v>
      </c>
      <c r="C70" s="184"/>
      <c r="D70" s="455"/>
      <c r="E70" s="186"/>
      <c r="F70" s="168"/>
      <c r="G70" s="168"/>
      <c r="H70" s="168"/>
      <c r="J70" s="184"/>
      <c r="K70" s="168"/>
      <c r="L70" s="168"/>
      <c r="M70" s="187"/>
      <c r="O70" s="168"/>
      <c r="P70" s="168"/>
      <c r="Q70" s="168"/>
      <c r="R70" s="168"/>
      <c r="S70" s="168"/>
      <c r="T70" s="168"/>
      <c r="U70" s="168"/>
      <c r="V70" s="168"/>
      <c r="Z70" s="168"/>
      <c r="AA70" s="168"/>
      <c r="AD70" s="168"/>
      <c r="AE70" s="168"/>
      <c r="AF70" s="168"/>
      <c r="AG70" s="168"/>
      <c r="AH70" s="168"/>
      <c r="AI70" s="168"/>
      <c r="AJ70" s="168"/>
      <c r="AK70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x14ac:dyDescent="0.25">
      <c r="B71" s="183"/>
      <c r="C71" s="184"/>
      <c r="D71" s="185"/>
      <c r="E71" s="186"/>
      <c r="F71" s="168"/>
      <c r="G71" s="168"/>
      <c r="H71" s="168"/>
      <c r="J71" s="184"/>
      <c r="K71" s="168"/>
      <c r="L71" s="168"/>
      <c r="M71" s="187"/>
      <c r="O71" s="168"/>
      <c r="P71" s="168"/>
      <c r="Q71" s="168"/>
      <c r="R71" s="168"/>
      <c r="S71" s="168"/>
      <c r="T71" s="168"/>
      <c r="U71" s="168"/>
      <c r="V71" s="168"/>
      <c r="Z71" s="168"/>
      <c r="AA71" s="168"/>
      <c r="AD71" s="168"/>
      <c r="AE71" s="168"/>
      <c r="AF71" s="168"/>
      <c r="AG71" s="168"/>
      <c r="AH71" s="168"/>
      <c r="AI71" s="168"/>
      <c r="AJ71" s="168"/>
      <c r="AK71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outlineLevel="1" x14ac:dyDescent="0.25">
      <c r="A72" s="293">
        <f>A67+1</f>
        <v>2</v>
      </c>
      <c r="B72" s="183" t="s">
        <v>22</v>
      </c>
      <c r="C72" s="184" t="s">
        <v>1761</v>
      </c>
      <c r="D72" s="185"/>
      <c r="E72" s="195" t="s">
        <v>203</v>
      </c>
      <c r="F72" s="424"/>
      <c r="G72" s="168"/>
      <c r="H72" s="168"/>
      <c r="J72" s="184"/>
      <c r="K72" s="168"/>
      <c r="L72" s="168"/>
      <c r="M72" s="187"/>
      <c r="N72" s="168"/>
      <c r="O72" s="168"/>
      <c r="P72" s="168"/>
      <c r="Q72" s="168"/>
      <c r="R72" s="168"/>
      <c r="S72" s="168"/>
      <c r="T72" s="168"/>
      <c r="U72" s="168"/>
      <c r="V72" s="168"/>
      <c r="Z72" s="168"/>
      <c r="AA72" s="168"/>
      <c r="AD72" s="168"/>
      <c r="AE72" s="168"/>
      <c r="AF72" s="168"/>
      <c r="AG72" s="168"/>
      <c r="AH72" s="168"/>
      <c r="AI72" s="168"/>
      <c r="AJ72" s="168"/>
      <c r="AK72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outlineLevel="1" x14ac:dyDescent="0.25">
      <c r="B73" s="183" t="s">
        <v>23</v>
      </c>
      <c r="C73" s="184"/>
      <c r="D73" s="185"/>
      <c r="E73" s="195" t="s">
        <v>204</v>
      </c>
      <c r="F73" s="424"/>
      <c r="G73" s="168"/>
      <c r="H73" s="168"/>
      <c r="J73" s="184"/>
      <c r="K73" s="168"/>
      <c r="L73" s="168"/>
      <c r="M73" s="187"/>
      <c r="N73" s="168"/>
      <c r="O73" s="168"/>
      <c r="P73" s="168"/>
      <c r="Q73" s="168"/>
      <c r="R73" s="168"/>
      <c r="S73" s="168"/>
      <c r="T73" s="168"/>
      <c r="U73" s="168"/>
      <c r="V73" s="168"/>
      <c r="Z73" s="168"/>
      <c r="AA73" s="168"/>
      <c r="AD73" s="168"/>
      <c r="AE73" s="168"/>
      <c r="AF73" s="168"/>
      <c r="AG73" s="168"/>
      <c r="AH73" s="168"/>
      <c r="AI73" s="168"/>
      <c r="AJ73" s="168"/>
      <c r="AK73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outlineLevel="1" x14ac:dyDescent="0.25">
      <c r="B74" s="183" t="s">
        <v>24</v>
      </c>
      <c r="C74" s="184"/>
      <c r="D74" s="185"/>
      <c r="E74" s="186"/>
      <c r="F74" s="168"/>
      <c r="G74" s="168"/>
      <c r="H74" s="168"/>
      <c r="J74" s="184"/>
      <c r="K74" s="168"/>
      <c r="L74" s="168"/>
      <c r="M74" s="187"/>
      <c r="N74" s="168"/>
      <c r="O74" s="168"/>
      <c r="P74" s="168"/>
      <c r="Q74" s="168"/>
      <c r="R74" s="168"/>
      <c r="S74" s="168"/>
      <c r="T74" s="168"/>
      <c r="U74" s="168"/>
      <c r="V74" s="168"/>
      <c r="Z74" s="168"/>
      <c r="AA74" s="168"/>
      <c r="AD74" s="168"/>
      <c r="AE74" s="168"/>
      <c r="AF74" s="168"/>
      <c r="AG74" s="168"/>
      <c r="AH74" s="168"/>
      <c r="AI74" s="168"/>
      <c r="AJ74" s="168"/>
      <c r="AK74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outlineLevel="1" x14ac:dyDescent="0.25">
      <c r="B75" s="183" t="s">
        <v>161</v>
      </c>
      <c r="C75" s="184"/>
      <c r="D75" s="185"/>
      <c r="E75" s="186"/>
      <c r="F75" s="168"/>
      <c r="G75" s="168"/>
      <c r="H75" s="168"/>
      <c r="J75" s="184"/>
      <c r="K75" s="168"/>
      <c r="L75" s="168"/>
      <c r="M75" s="187"/>
      <c r="N75" s="168"/>
      <c r="O75" s="168"/>
      <c r="P75" s="168"/>
      <c r="Q75" s="168"/>
      <c r="R75" s="168"/>
      <c r="S75" s="168"/>
      <c r="T75" s="168"/>
      <c r="U75" s="168"/>
      <c r="V75" s="168"/>
      <c r="Z75" s="168"/>
      <c r="AA75" s="168"/>
      <c r="AD75" s="168"/>
      <c r="AE75" s="168"/>
      <c r="AF75" s="168"/>
      <c r="AG75" s="168"/>
      <c r="AH75" s="168"/>
      <c r="AI75" s="168"/>
      <c r="AJ75" s="168"/>
      <c r="AK75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outlineLevel="1" x14ac:dyDescent="0.25">
      <c r="B76" s="183"/>
      <c r="C76" s="184"/>
      <c r="D76" s="185"/>
      <c r="E76" s="186"/>
      <c r="F76" s="168"/>
      <c r="G76" s="168"/>
      <c r="H76" s="168"/>
      <c r="J76" s="184"/>
      <c r="K76" s="168"/>
      <c r="L76" s="168"/>
      <c r="M76" s="187"/>
      <c r="N76" s="168"/>
      <c r="O76" s="168"/>
      <c r="P76" s="168"/>
      <c r="Q76" s="168"/>
      <c r="R76" s="168"/>
      <c r="S76" s="168"/>
      <c r="T76" s="168"/>
      <c r="U76" s="168"/>
      <c r="V76" s="168"/>
      <c r="Z76" s="168"/>
      <c r="AA76" s="168"/>
      <c r="AD76" s="168"/>
      <c r="AE76" s="168"/>
      <c r="AF76" s="168"/>
      <c r="AG76" s="168"/>
      <c r="AH76" s="168"/>
      <c r="AI76" s="168"/>
      <c r="AJ76" s="168"/>
      <c r="AK76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outlineLevel="1" x14ac:dyDescent="0.25">
      <c r="A77" s="293">
        <f>A72+1</f>
        <v>3</v>
      </c>
      <c r="B77" s="183" t="s">
        <v>22</v>
      </c>
      <c r="C77" s="184" t="s">
        <v>211</v>
      </c>
      <c r="D77" s="185"/>
      <c r="E77" s="195" t="s">
        <v>203</v>
      </c>
      <c r="F77" s="172" t="s">
        <v>185</v>
      </c>
      <c r="G77" s="168"/>
      <c r="H77" s="168"/>
      <c r="J77" s="184"/>
      <c r="K77" s="168"/>
      <c r="L77" s="168"/>
      <c r="M77" s="187"/>
      <c r="N77" s="168"/>
      <c r="O77" s="168"/>
      <c r="P77" s="168"/>
      <c r="Q77" s="168"/>
      <c r="R77" s="168"/>
      <c r="S77" s="168"/>
      <c r="T77" s="168"/>
      <c r="U77" s="168"/>
      <c r="V77" s="168"/>
      <c r="Z77" s="168"/>
      <c r="AA77" s="168"/>
      <c r="AD77" s="168"/>
      <c r="AE77" s="168"/>
      <c r="AF77" s="168"/>
      <c r="AG77" s="168"/>
      <c r="AH77" s="168"/>
      <c r="AI77" s="168"/>
      <c r="AJ77" s="168"/>
      <c r="AK77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outlineLevel="1" x14ac:dyDescent="0.25">
      <c r="B78" s="183" t="s">
        <v>23</v>
      </c>
      <c r="C78" s="184"/>
      <c r="D78" s="185"/>
      <c r="E78" s="195" t="s">
        <v>204</v>
      </c>
      <c r="F78" s="172" t="s">
        <v>185</v>
      </c>
      <c r="G78" s="168"/>
      <c r="H78" s="168"/>
      <c r="J78" s="184"/>
      <c r="K78" s="168"/>
      <c r="L78" s="168"/>
      <c r="M78" s="187"/>
      <c r="N78" s="182"/>
      <c r="O78" s="168"/>
      <c r="P78" s="168"/>
      <c r="Q78" s="168"/>
      <c r="R78" s="168"/>
      <c r="S78" s="168"/>
      <c r="T78" s="168"/>
      <c r="U78" s="168"/>
      <c r="V78" s="168"/>
      <c r="Z78" s="168"/>
      <c r="AA78" s="168"/>
      <c r="AD78" s="168"/>
      <c r="AE78" s="168"/>
      <c r="AF78" s="168"/>
      <c r="AG78" s="168"/>
      <c r="AH78" s="168"/>
      <c r="AI78" s="168"/>
      <c r="AJ78" s="168"/>
      <c r="AK7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outlineLevel="1" x14ac:dyDescent="0.25">
      <c r="B79" s="183" t="s">
        <v>24</v>
      </c>
      <c r="C79" s="184"/>
      <c r="D79" s="185"/>
      <c r="E79" s="186"/>
      <c r="F79" s="168"/>
      <c r="G79" s="168"/>
      <c r="H79" s="168"/>
      <c r="J79" s="184"/>
      <c r="K79" s="168"/>
      <c r="L79" s="168"/>
      <c r="M79" s="187"/>
      <c r="N79" s="182"/>
      <c r="O79" s="168"/>
      <c r="P79" s="168"/>
      <c r="Q79" s="168"/>
      <c r="R79" s="168"/>
      <c r="S79" s="168"/>
      <c r="T79" s="168"/>
      <c r="U79" s="168"/>
      <c r="V79" s="168"/>
      <c r="Z79" s="168"/>
      <c r="AA79" s="168"/>
      <c r="AD79" s="168"/>
      <c r="AE79" s="168"/>
      <c r="AF79" s="168"/>
      <c r="AG79" s="168"/>
      <c r="AH79" s="168"/>
      <c r="AI79" s="168"/>
      <c r="AJ79" s="168"/>
      <c r="AK79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outlineLevel="1" x14ac:dyDescent="0.25">
      <c r="B80" s="183" t="s">
        <v>161</v>
      </c>
      <c r="C80" s="184"/>
      <c r="D80" s="185"/>
      <c r="E80" s="186"/>
      <c r="F80" s="168"/>
      <c r="G80" s="168"/>
      <c r="H80" s="168"/>
      <c r="J80" s="184"/>
      <c r="K80" s="168"/>
      <c r="L80" s="168"/>
      <c r="M80" s="187"/>
      <c r="N80" s="168"/>
      <c r="O80" s="168"/>
      <c r="P80" s="168"/>
      <c r="Q80" s="168"/>
      <c r="R80" s="168"/>
      <c r="S80" s="168"/>
      <c r="T80" s="168"/>
      <c r="U80" s="168"/>
      <c r="V80" s="168"/>
      <c r="Z80" s="168"/>
      <c r="AA80" s="168"/>
      <c r="AD80" s="168"/>
      <c r="AE80" s="168"/>
      <c r="AF80" s="168"/>
      <c r="AG80" s="168"/>
      <c r="AH80" s="168"/>
      <c r="AI80" s="168"/>
      <c r="AJ80" s="168"/>
      <c r="AK80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outlineLevel="1" x14ac:dyDescent="0.25">
      <c r="B81" s="183"/>
      <c r="C81" s="184"/>
      <c r="D81" s="185"/>
      <c r="E81" s="186"/>
      <c r="F81" s="168"/>
      <c r="G81" s="168"/>
      <c r="H81" s="168"/>
      <c r="J81" s="184"/>
      <c r="K81" s="168"/>
      <c r="L81" s="168"/>
      <c r="M81" s="187"/>
      <c r="N81" s="168"/>
      <c r="O81" s="168"/>
      <c r="P81" s="168"/>
      <c r="Q81" s="168"/>
      <c r="R81" s="168"/>
      <c r="S81" s="168"/>
      <c r="T81" s="168"/>
      <c r="U81" s="168"/>
      <c r="V81" s="168"/>
      <c r="Z81" s="168"/>
      <c r="AA81" s="168"/>
      <c r="AD81" s="168"/>
      <c r="AE81" s="168"/>
      <c r="AF81" s="168"/>
      <c r="AG81" s="168"/>
      <c r="AH81" s="168"/>
      <c r="AI81" s="168"/>
      <c r="AJ81" s="168"/>
      <c r="AK81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outlineLevel="1" x14ac:dyDescent="0.25">
      <c r="A82" s="293">
        <f>A77+1</f>
        <v>4</v>
      </c>
      <c r="B82" s="183" t="s">
        <v>22</v>
      </c>
      <c r="C82" s="184" t="s">
        <v>213</v>
      </c>
      <c r="D82" s="185"/>
      <c r="E82" s="195" t="s">
        <v>203</v>
      </c>
      <c r="F82" s="172" t="s">
        <v>185</v>
      </c>
      <c r="G82" s="168"/>
      <c r="H82" s="168"/>
      <c r="J82" s="184"/>
      <c r="K82" s="168"/>
      <c r="L82" s="168"/>
      <c r="M82" s="187"/>
      <c r="N82" s="168"/>
      <c r="O82" s="168"/>
      <c r="P82" s="168"/>
      <c r="Q82" s="168"/>
      <c r="R82" s="168"/>
      <c r="S82" s="168"/>
      <c r="T82" s="168"/>
      <c r="U82" s="168"/>
      <c r="V82" s="168"/>
      <c r="Z82" s="168"/>
      <c r="AA82" s="168"/>
      <c r="AD82" s="168"/>
      <c r="AE82" s="168"/>
      <c r="AF82" s="168"/>
      <c r="AG82" s="168"/>
      <c r="AH82" s="168"/>
      <c r="AI82" s="168"/>
      <c r="AJ82" s="168"/>
      <c r="AK82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outlineLevel="1" x14ac:dyDescent="0.25">
      <c r="B83" s="183" t="s">
        <v>23</v>
      </c>
      <c r="C83" s="184"/>
      <c r="D83" s="185"/>
      <c r="E83" s="195" t="s">
        <v>204</v>
      </c>
      <c r="F83" s="172" t="s">
        <v>185</v>
      </c>
      <c r="G83" s="168"/>
      <c r="H83" s="168"/>
      <c r="J83" s="184"/>
      <c r="K83" s="168"/>
      <c r="L83" s="168"/>
      <c r="M83" s="187"/>
      <c r="N83" s="168"/>
      <c r="O83" s="168"/>
      <c r="P83" s="168"/>
      <c r="Q83" s="168"/>
      <c r="R83" s="168"/>
      <c r="S83" s="168"/>
      <c r="T83" s="168"/>
      <c r="U83" s="168"/>
      <c r="V83" s="168"/>
      <c r="Z83" s="168"/>
      <c r="AA83" s="168"/>
      <c r="AD83" s="168"/>
      <c r="AE83" s="168"/>
      <c r="AF83" s="168"/>
      <c r="AG83" s="168"/>
      <c r="AH83" s="168"/>
      <c r="AI83" s="168"/>
      <c r="AJ83" s="168"/>
      <c r="AK83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outlineLevel="1" x14ac:dyDescent="0.25">
      <c r="B84" s="183" t="s">
        <v>24</v>
      </c>
      <c r="C84" s="184"/>
      <c r="D84" s="185"/>
      <c r="E84" s="186"/>
      <c r="F84" s="168"/>
      <c r="G84" s="168"/>
      <c r="H84" s="168"/>
      <c r="J84" s="184"/>
      <c r="K84" s="168"/>
      <c r="L84" s="168"/>
      <c r="M84" s="187"/>
      <c r="N84" s="168"/>
      <c r="O84" s="168"/>
      <c r="P84" s="168"/>
      <c r="Q84" s="168"/>
      <c r="R84" s="168"/>
      <c r="S84" s="168"/>
      <c r="T84" s="168"/>
      <c r="U84" s="168"/>
      <c r="V84" s="168"/>
      <c r="Z84" s="168"/>
      <c r="AA84" s="168"/>
      <c r="AD84" s="168"/>
      <c r="AE84" s="168"/>
      <c r="AF84" s="168"/>
      <c r="AG84" s="168"/>
      <c r="AH84" s="168"/>
      <c r="AI84" s="168"/>
      <c r="AJ84" s="168"/>
      <c r="AK84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outlineLevel="1" x14ac:dyDescent="0.25">
      <c r="B85" s="183" t="s">
        <v>161</v>
      </c>
      <c r="C85" s="184"/>
      <c r="D85" s="185"/>
      <c r="E85" s="186"/>
      <c r="F85" s="168"/>
      <c r="G85" s="168"/>
      <c r="H85" s="168"/>
      <c r="J85" s="184"/>
      <c r="K85" s="168"/>
      <c r="L85" s="168"/>
      <c r="M85" s="187"/>
      <c r="N85" s="168"/>
      <c r="O85" s="168"/>
      <c r="P85" s="168"/>
      <c r="Q85" s="168"/>
      <c r="R85" s="168"/>
      <c r="S85" s="168"/>
      <c r="T85" s="168"/>
      <c r="U85" s="168"/>
      <c r="V85" s="168"/>
      <c r="Z85" s="168"/>
      <c r="AA85" s="168"/>
      <c r="AD85" s="168"/>
      <c r="AE85" s="168"/>
      <c r="AF85" s="168"/>
      <c r="AG85" s="168"/>
      <c r="AH85" s="168"/>
      <c r="AI85" s="168"/>
      <c r="AJ85" s="168"/>
      <c r="AK85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outlineLevel="1" x14ac:dyDescent="0.25">
      <c r="B86" s="183"/>
      <c r="C86" s="184"/>
      <c r="D86" s="185"/>
      <c r="E86" s="186"/>
      <c r="F86" s="168"/>
      <c r="G86" s="168"/>
      <c r="H86" s="168"/>
      <c r="J86" s="184"/>
      <c r="K86" s="168"/>
      <c r="L86" s="168"/>
      <c r="M86" s="187"/>
      <c r="N86" s="168"/>
      <c r="O86" s="168"/>
      <c r="P86" s="168"/>
      <c r="Q86" s="168"/>
      <c r="R86" s="168"/>
      <c r="S86" s="168"/>
      <c r="T86" s="168"/>
      <c r="U86" s="168"/>
      <c r="V86" s="168"/>
      <c r="Z86" s="168"/>
      <c r="AA86" s="168"/>
      <c r="AD86" s="168"/>
      <c r="AE86" s="168"/>
      <c r="AF86" s="168"/>
      <c r="AG86" s="168"/>
      <c r="AH86" s="168"/>
      <c r="AI86" s="168"/>
      <c r="AJ86" s="168"/>
      <c r="AK86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outlineLevel="1" x14ac:dyDescent="0.25">
      <c r="A87" s="293">
        <f>A82+1</f>
        <v>5</v>
      </c>
      <c r="B87" s="183" t="s">
        <v>22</v>
      </c>
      <c r="C87" s="184" t="s">
        <v>214</v>
      </c>
      <c r="D87" s="185"/>
      <c r="E87" s="195" t="s">
        <v>203</v>
      </c>
      <c r="F87" s="172" t="s">
        <v>185</v>
      </c>
      <c r="G87" s="168"/>
      <c r="H87" s="168"/>
      <c r="J87" s="184"/>
      <c r="K87" s="168"/>
      <c r="L87" s="168"/>
      <c r="M87" s="187"/>
      <c r="N87" s="168"/>
      <c r="O87" s="168"/>
      <c r="P87" s="168"/>
      <c r="Q87" s="168"/>
      <c r="R87" s="168"/>
      <c r="S87" s="168"/>
      <c r="T87" s="168"/>
      <c r="U87" s="168"/>
      <c r="V87" s="168"/>
      <c r="Z87" s="168"/>
      <c r="AA87" s="168"/>
      <c r="AD87" s="168"/>
      <c r="AE87" s="168"/>
      <c r="AF87" s="168"/>
      <c r="AG87" s="168"/>
      <c r="AH87" s="168"/>
      <c r="AI87" s="168"/>
      <c r="AJ87" s="168"/>
      <c r="AK87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outlineLevel="1" x14ac:dyDescent="0.25">
      <c r="B88" s="183" t="s">
        <v>23</v>
      </c>
      <c r="C88" s="184"/>
      <c r="D88" s="185"/>
      <c r="E88" s="195" t="s">
        <v>204</v>
      </c>
      <c r="F88" s="172" t="s">
        <v>185</v>
      </c>
      <c r="G88" s="168"/>
      <c r="H88" s="168"/>
      <c r="J88" s="184"/>
      <c r="K88" s="168"/>
      <c r="L88" s="168"/>
      <c r="M88" s="187"/>
      <c r="N88" s="168"/>
      <c r="O88" s="168"/>
      <c r="P88" s="168"/>
      <c r="Q88" s="168"/>
      <c r="R88" s="168"/>
      <c r="S88" s="168"/>
      <c r="T88" s="168"/>
      <c r="U88" s="168"/>
      <c r="V88" s="168"/>
      <c r="Z88" s="168"/>
      <c r="AA88" s="168"/>
      <c r="AD88" s="168"/>
      <c r="AE88" s="168"/>
      <c r="AF88" s="168"/>
      <c r="AG88" s="168"/>
      <c r="AH88" s="168"/>
      <c r="AI88" s="168"/>
      <c r="AJ88" s="168"/>
      <c r="AK8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outlineLevel="1" x14ac:dyDescent="0.25">
      <c r="B89" s="183" t="s">
        <v>24</v>
      </c>
      <c r="C89" s="184"/>
      <c r="D89" s="185"/>
      <c r="E89" s="186"/>
      <c r="F89" s="168"/>
      <c r="G89" s="168"/>
      <c r="H89" s="168"/>
      <c r="J89" s="184"/>
      <c r="K89" s="168"/>
      <c r="L89" s="168"/>
      <c r="M89" s="187"/>
      <c r="N89" s="168"/>
      <c r="O89" s="168"/>
      <c r="P89" s="168"/>
      <c r="Q89" s="168"/>
      <c r="R89" s="168"/>
      <c r="S89" s="168"/>
      <c r="T89" s="168"/>
      <c r="U89" s="168"/>
      <c r="V89" s="168"/>
      <c r="Z89" s="168"/>
      <c r="AA89" s="168"/>
      <c r="AD89" s="168"/>
      <c r="AE89" s="168"/>
      <c r="AF89" s="168"/>
      <c r="AG89" s="168"/>
      <c r="AH89" s="168"/>
      <c r="AI89" s="168"/>
      <c r="AJ89" s="168"/>
      <c r="AK89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outlineLevel="1" x14ac:dyDescent="0.25">
      <c r="B90" s="183" t="s">
        <v>161</v>
      </c>
      <c r="C90" s="184"/>
      <c r="D90" s="185"/>
      <c r="E90" s="186"/>
      <c r="F90" s="168"/>
      <c r="G90" s="168"/>
      <c r="H90" s="168"/>
      <c r="J90" s="184"/>
      <c r="K90" s="168"/>
      <c r="L90" s="168"/>
      <c r="M90" s="187"/>
      <c r="N90" s="168"/>
      <c r="O90" s="168"/>
      <c r="P90" s="168"/>
      <c r="Q90" s="168"/>
      <c r="R90" s="168"/>
      <c r="S90" s="168"/>
      <c r="T90" s="168"/>
      <c r="U90" s="168"/>
      <c r="V90" s="168"/>
      <c r="Z90" s="168"/>
      <c r="AA90" s="168"/>
      <c r="AD90" s="168"/>
      <c r="AE90" s="168"/>
      <c r="AF90" s="168"/>
      <c r="AG90" s="168"/>
      <c r="AH90" s="168"/>
      <c r="AI90" s="168"/>
      <c r="AJ90" s="168"/>
      <c r="AK90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B91" s="183"/>
      <c r="C91" s="184"/>
      <c r="D91" s="185"/>
      <c r="E91" s="186"/>
      <c r="F91" s="168"/>
      <c r="G91" s="168"/>
      <c r="H91" s="168"/>
      <c r="J91" s="184"/>
      <c r="K91" s="168"/>
      <c r="L91" s="168"/>
      <c r="M91" s="187"/>
      <c r="N91" s="168"/>
      <c r="O91" s="168"/>
      <c r="P91" s="168"/>
      <c r="Q91" s="168"/>
      <c r="R91" s="168"/>
      <c r="S91" s="168"/>
      <c r="T91" s="168"/>
      <c r="U91" s="168"/>
      <c r="V91" s="168"/>
      <c r="Z91" s="168"/>
      <c r="AA91" s="168"/>
      <c r="AD91" s="168"/>
      <c r="AE91" s="168"/>
      <c r="AF91" s="168"/>
      <c r="AG91" s="168"/>
      <c r="AH91" s="168"/>
      <c r="AI91" s="168"/>
      <c r="AJ91" s="168"/>
      <c r="AK91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ht="17.25" x14ac:dyDescent="0.35">
      <c r="B92" s="179" t="s">
        <v>160</v>
      </c>
      <c r="C92" s="168"/>
      <c r="E92" s="168"/>
      <c r="F92" s="168"/>
      <c r="G92" s="168"/>
      <c r="H92" s="168"/>
      <c r="J92" s="168"/>
      <c r="K92" s="168"/>
      <c r="L92" s="168"/>
      <c r="M92" s="168"/>
      <c r="N92" s="180"/>
      <c r="O92" s="168"/>
      <c r="P92" s="168"/>
      <c r="Q92" s="168"/>
      <c r="R92" s="168"/>
      <c r="S92" s="168"/>
      <c r="T92" s="168"/>
      <c r="U92" s="168"/>
      <c r="V92" s="168"/>
      <c r="Z92" s="168"/>
      <c r="AA92" s="168"/>
      <c r="AD92" s="168"/>
      <c r="AE92" s="168"/>
      <c r="AF92" s="168"/>
      <c r="AG92" s="168"/>
      <c r="AH92" s="168"/>
      <c r="AI92" s="168"/>
      <c r="AJ92" s="168"/>
      <c r="AK92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B93" s="172"/>
      <c r="C93" s="168"/>
      <c r="D93" s="424"/>
      <c r="E93" s="168"/>
      <c r="F93" s="168"/>
      <c r="G93" s="168"/>
      <c r="H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Z93" s="168"/>
      <c r="AA93" s="168"/>
      <c r="AD93" s="168"/>
      <c r="AE93" s="168"/>
      <c r="AF93" s="168"/>
      <c r="AG93" s="168"/>
      <c r="AH93" s="168"/>
      <c r="AI93" s="168"/>
      <c r="AJ93" s="168"/>
      <c r="AK93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B94" s="172"/>
      <c r="C94" s="168"/>
      <c r="E94" s="168"/>
      <c r="F94" s="168"/>
      <c r="G94" s="168"/>
      <c r="H94" s="168"/>
      <c r="J94" s="168"/>
      <c r="K94" s="168"/>
      <c r="L94" s="168"/>
      <c r="M94" s="181"/>
      <c r="N94" s="182"/>
      <c r="O94" s="182"/>
      <c r="P94" s="168"/>
      <c r="Q94" s="168"/>
      <c r="R94" s="168"/>
      <c r="S94" s="168"/>
      <c r="T94" s="168"/>
      <c r="U94" s="168"/>
      <c r="V94" s="168"/>
      <c r="Z94" s="168"/>
      <c r="AA94" s="168"/>
      <c r="AD94" s="168"/>
      <c r="AE94" s="168"/>
      <c r="AF94" s="168"/>
      <c r="AG94" s="168"/>
      <c r="AH94" s="168"/>
      <c r="AI94" s="168"/>
      <c r="AJ94" s="168"/>
      <c r="AK94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B95" s="172"/>
      <c r="C95" s="168"/>
      <c r="E95" s="168"/>
      <c r="F95" s="168"/>
      <c r="G95" s="168"/>
      <c r="H95" s="168"/>
      <c r="J95" s="168"/>
      <c r="K95" s="168"/>
      <c r="L95" s="168"/>
      <c r="M95" s="181"/>
      <c r="N95" s="182"/>
      <c r="O95" s="182"/>
      <c r="P95" s="168"/>
      <c r="Q95" s="168"/>
      <c r="R95" s="168"/>
      <c r="S95" s="168"/>
      <c r="T95" s="168"/>
      <c r="U95" s="168"/>
      <c r="V95" s="168"/>
      <c r="Z95" s="168"/>
      <c r="AA95" s="168"/>
      <c r="AD95" s="168"/>
      <c r="AE95" s="168"/>
      <c r="AF95" s="168"/>
      <c r="AG95" s="168"/>
      <c r="AH95" s="168"/>
      <c r="AI95" s="168"/>
      <c r="AJ95" s="168"/>
      <c r="AK95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B96" s="172"/>
      <c r="C96" s="168"/>
      <c r="E96" s="168"/>
      <c r="F96" s="168"/>
      <c r="G96" s="168"/>
      <c r="H96" s="168"/>
      <c r="J96" s="168"/>
      <c r="K96" s="168"/>
      <c r="L96" s="168"/>
      <c r="M96" s="181"/>
      <c r="N96" s="182"/>
      <c r="O96" s="182"/>
      <c r="P96" s="168"/>
      <c r="Q96" s="168"/>
      <c r="R96" s="168"/>
      <c r="S96" s="168"/>
      <c r="T96" s="168"/>
      <c r="U96" s="168"/>
      <c r="V96" s="168"/>
      <c r="Z96" s="168"/>
      <c r="AA96" s="168"/>
      <c r="AD96" s="168"/>
      <c r="AE96" s="168"/>
      <c r="AF96" s="168"/>
      <c r="AG96" s="168"/>
      <c r="AH96" s="168"/>
      <c r="AI96" s="168"/>
      <c r="AJ96" s="168"/>
      <c r="AK96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ht="17.25" x14ac:dyDescent="0.35">
      <c r="B97" s="188"/>
      <c r="C97" s="188"/>
      <c r="D97" s="188"/>
      <c r="E97" s="188"/>
      <c r="F97" s="188"/>
      <c r="G97" s="188"/>
      <c r="H97" s="188"/>
      <c r="I97" s="188"/>
      <c r="J97" s="189"/>
      <c r="K97" s="188"/>
      <c r="L97" s="188"/>
      <c r="M97" s="188"/>
      <c r="N97" s="188"/>
      <c r="O97" s="188"/>
      <c r="P97" s="188"/>
      <c r="Q97" s="188"/>
      <c r="R97" s="188"/>
      <c r="T97" s="168"/>
      <c r="U97" s="168"/>
      <c r="V97" s="168"/>
      <c r="AA97" s="232" t="s">
        <v>61</v>
      </c>
      <c r="AB97" s="232"/>
      <c r="AD97" s="232" t="s">
        <v>4</v>
      </c>
      <c r="AE97" s="231"/>
      <c r="AF97" s="232"/>
      <c r="AG97" s="231"/>
      <c r="AH97" s="232"/>
      <c r="AI97" s="231"/>
      <c r="AJ97" s="230"/>
      <c r="AK97"/>
      <c r="AL97" s="232" t="s">
        <v>158</v>
      </c>
      <c r="AM97" s="232"/>
      <c r="AN97" s="232"/>
      <c r="AO97" s="232"/>
      <c r="AP97" s="168"/>
      <c r="AQ97" s="232" t="s">
        <v>162</v>
      </c>
      <c r="AR97" s="232"/>
      <c r="AS97" s="168"/>
      <c r="AT97" s="232" t="s">
        <v>197</v>
      </c>
      <c r="AU97" s="232"/>
      <c r="AV97" s="23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ht="26.25" x14ac:dyDescent="0.25">
      <c r="A98" s="190" t="s">
        <v>3</v>
      </c>
      <c r="B98" s="190" t="s">
        <v>0</v>
      </c>
      <c r="C98" s="190" t="s">
        <v>25</v>
      </c>
      <c r="D98" s="190" t="s">
        <v>163</v>
      </c>
      <c r="E98" s="190" t="s">
        <v>164</v>
      </c>
      <c r="F98" s="190" t="s">
        <v>165</v>
      </c>
      <c r="G98" s="190" t="s">
        <v>180</v>
      </c>
      <c r="H98" s="190" t="s">
        <v>28</v>
      </c>
      <c r="I98" s="190" t="s">
        <v>182</v>
      </c>
      <c r="J98" s="191" t="s">
        <v>166</v>
      </c>
      <c r="K98" s="191" t="s">
        <v>54</v>
      </c>
      <c r="L98" s="192" t="s">
        <v>167</v>
      </c>
      <c r="M98" s="191" t="s">
        <v>168</v>
      </c>
      <c r="N98" s="193" t="s">
        <v>48</v>
      </c>
      <c r="O98" s="193" t="s">
        <v>186</v>
      </c>
      <c r="P98" s="193" t="s">
        <v>169</v>
      </c>
      <c r="Q98" s="193" t="s">
        <v>170</v>
      </c>
      <c r="R98" s="193" t="s">
        <v>171</v>
      </c>
      <c r="S98" s="193" t="s">
        <v>172</v>
      </c>
      <c r="T98" s="193" t="s">
        <v>4</v>
      </c>
      <c r="U98" s="193" t="s">
        <v>158</v>
      </c>
      <c r="V98" s="288" t="s">
        <v>162</v>
      </c>
      <c r="W98" s="288" t="s">
        <v>197</v>
      </c>
      <c r="Z98" s="171"/>
      <c r="AA98" s="229" t="s">
        <v>61</v>
      </c>
      <c r="AB98" s="229" t="s">
        <v>179</v>
      </c>
      <c r="AD98" s="229" t="s">
        <v>267</v>
      </c>
      <c r="AE98" s="229"/>
      <c r="AF98" s="229"/>
      <c r="AG98" s="229"/>
      <c r="AH98" s="229"/>
      <c r="AI98" s="229"/>
      <c r="AJ98" s="229"/>
      <c r="AK98"/>
      <c r="AL98" s="229" t="s">
        <v>267</v>
      </c>
      <c r="AM98" s="229"/>
      <c r="AN98" s="229"/>
      <c r="AO98" s="229"/>
      <c r="AP98" s="168"/>
      <c r="AQ98" s="229"/>
      <c r="AR98" s="229"/>
      <c r="AS98" s="168"/>
      <c r="AT98" s="229"/>
      <c r="AU98" s="229"/>
      <c r="AV98" s="229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s="198" customFormat="1" x14ac:dyDescent="0.25">
      <c r="A99" s="290" t="str">
        <f t="shared" ref="A99:A129" si="24">$C$67</f>
        <v>Hudson View Park</v>
      </c>
      <c r="B99" s="195">
        <v>1</v>
      </c>
      <c r="C99" s="196" t="str">
        <f>IF(M99="Vacant","Vac",IF(M99="Model","Model",IF(M99="Admin","Admin",IF(M99="Down","Down","Occ"))))</f>
        <v>Occ</v>
      </c>
      <c r="D99" s="196" t="e" cm="1">
        <f t="array" ref="D99">INDEX($C$5:$C$61,MATCH(1,(K99=$D$5:$D$61)*(A99=$B$5:$B$61),0))</f>
        <v>#N/A</v>
      </c>
      <c r="E99" s="196" t="e" cm="1">
        <f t="array" ref="E99">INDEX($E$5:$E$61,MATCH(1,(D99=$C$5:$C$61)*(A99=$B$5:$B$61),0))</f>
        <v>#N/A</v>
      </c>
      <c r="F99" s="196" t="e" cm="1">
        <f t="array" ref="F99">INDEX($F$5:$F$61,MATCH(1,(D99=$C$5:$C$61)*(A99=$B$5:$B$61),0))</f>
        <v>#N/A</v>
      </c>
      <c r="G99" s="196" t="e" cm="1">
        <f t="array" ref="G99">INDEX($G$5:$G$61,MATCH(1,(D99=$C$5:$C$61)*(A99=$B$5:$B$61),0))</f>
        <v>#N/A</v>
      </c>
      <c r="H99" s="196" t="e" cm="1">
        <f t="array" ref="H99">INDEX($H$5:$H$61,MATCH(1,(D99=$C$5:$C$61)*(A99=$B$5:$B$61),0))</f>
        <v>#N/A</v>
      </c>
      <c r="I99" s="196" t="e" cm="1">
        <f t="array" ref="I99">INDEX($I$5:$I$61,MATCH(1,(D99=$C$5:$C$61)*(A99=$B$5:$B$61),0))</f>
        <v>#N/A</v>
      </c>
      <c r="J99" s="271"/>
      <c r="K99" s="271"/>
      <c r="L99" s="272"/>
      <c r="M99" s="273"/>
      <c r="N99" s="197"/>
      <c r="O99" s="197">
        <f>SUM(AA99:AB99)</f>
        <v>0</v>
      </c>
      <c r="P99" s="274"/>
      <c r="Q99" s="274"/>
      <c r="R99" s="275"/>
      <c r="S99" s="275"/>
      <c r="T99" s="197">
        <f>SUM(AD99:AJ99)</f>
        <v>0</v>
      </c>
      <c r="U99" s="197">
        <f>SUM(AL99:AO99)</f>
        <v>0</v>
      </c>
      <c r="V99" s="197">
        <f>SUM(AQ99:AR99)</f>
        <v>0</v>
      </c>
      <c r="W99" s="197">
        <f>SUM(AT99:AV99)</f>
        <v>0</v>
      </c>
      <c r="Z99" s="197"/>
      <c r="AA99" s="228"/>
      <c r="AB99" s="228"/>
      <c r="AD99" s="228"/>
      <c r="AE99" s="228"/>
      <c r="AF99" s="228"/>
      <c r="AG99" s="228"/>
      <c r="AH99" s="228"/>
      <c r="AI99" s="228"/>
      <c r="AJ99" s="228"/>
      <c r="AK99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s="198" customFormat="1" x14ac:dyDescent="0.25">
      <c r="A100" s="290" t="str">
        <f t="shared" si="24"/>
        <v>Hudson View Park</v>
      </c>
      <c r="B100" s="195">
        <f>B99+1</f>
        <v>2</v>
      </c>
      <c r="C100" s="196" t="str">
        <f t="shared" ref="C100" si="25">IF(M100="Vacant","Vac",IF(M100="Model","Model",IF(M100="Admin","Admin",IF(M100="Down","Down","Occ"))))</f>
        <v>Occ</v>
      </c>
      <c r="D100" s="196" t="e" cm="1">
        <f t="array" ref="D100">INDEX($C$5:$C$61,MATCH(1,(K100=$D$5:$D$61)*(A100=$B$5:$B$61),0))</f>
        <v>#N/A</v>
      </c>
      <c r="E100" s="196" t="e" cm="1">
        <f t="array" ref="E100">INDEX($E$5:$E$61,MATCH(1,(D100=$C$5:$C$61)*(A100=$B$5:$B$61),0))</f>
        <v>#N/A</v>
      </c>
      <c r="F100" s="196" t="e" cm="1">
        <f t="array" ref="F100">INDEX($F$5:$F$61,MATCH(1,(D100=$C$5:$C$61)*(A100=$B$5:$B$61),0))</f>
        <v>#N/A</v>
      </c>
      <c r="G100" s="196" t="e" cm="1">
        <f t="array" ref="G100">INDEX($G$5:$G$61,MATCH(1,(D100=$C$5:$C$61)*(A100=$B$5:$B$61),0))</f>
        <v>#N/A</v>
      </c>
      <c r="H100" s="196" t="e" cm="1">
        <f t="array" ref="H100">INDEX($H$5:$H$61,MATCH(1,(D100=$C$5:$C$61)*(A100=$B$5:$B$61),0))</f>
        <v>#N/A</v>
      </c>
      <c r="I100" s="196" t="e" cm="1">
        <f t="array" ref="I100">INDEX($I$5:$I$61,MATCH(1,(D100=$C$5:$C$61)*(A100=$B$5:$B$61),0))</f>
        <v>#N/A</v>
      </c>
      <c r="J100" s="273"/>
      <c r="K100" s="273"/>
      <c r="L100" s="272"/>
      <c r="M100" s="273"/>
      <c r="N100" s="197"/>
      <c r="O100" s="200">
        <f t="shared" ref="O100:O163" si="26">SUM(AA100:AB100)</f>
        <v>0</v>
      </c>
      <c r="P100" s="274"/>
      <c r="Q100" s="274"/>
      <c r="R100" s="276"/>
      <c r="S100" s="274"/>
      <c r="T100" s="197">
        <f t="shared" ref="T100:T163" si="27">SUM(AD100:AJ100)</f>
        <v>0</v>
      </c>
      <c r="U100" s="197">
        <f t="shared" ref="U100:U163" si="28">SUM(AL100:AO100)</f>
        <v>0</v>
      </c>
      <c r="V100" s="197">
        <f t="shared" ref="V100:V163" si="29">SUM(AQ100:AR100)</f>
        <v>0</v>
      </c>
      <c r="W100" s="197">
        <f t="shared" ref="W100:W163" si="30">SUM(AT100:AV100)</f>
        <v>0</v>
      </c>
      <c r="Z100" s="197"/>
      <c r="AA100" s="228"/>
      <c r="AB100" s="228"/>
      <c r="AD100" s="228"/>
      <c r="AE100" s="228"/>
      <c r="AF100" s="228"/>
      <c r="AG100" s="228"/>
      <c r="AH100" s="228"/>
      <c r="AI100" s="228"/>
      <c r="AJ100" s="228"/>
      <c r="AK100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s="198" customFormat="1" x14ac:dyDescent="0.25">
      <c r="A101" s="290" t="str">
        <f t="shared" si="24"/>
        <v>Hudson View Park</v>
      </c>
      <c r="B101" s="195">
        <f t="shared" ref="B101:B164" si="31">B100+1</f>
        <v>3</v>
      </c>
      <c r="C101" s="196" t="str">
        <f t="shared" ref="C101:C164" si="32">IF(M101="Vacant","Vac",IF(M101="Model","Model",IF(M101="Admin","Admin",IF(M101="Down","Down","Occ"))))</f>
        <v>Occ</v>
      </c>
      <c r="D101" s="196" t="e" cm="1">
        <f t="array" ref="D101">INDEX($C$5:$C$61,MATCH(1,(K101=$D$5:$D$61)*(A101=$B$5:$B$61),0))</f>
        <v>#N/A</v>
      </c>
      <c r="E101" s="196" t="e" cm="1">
        <f t="array" ref="E101">INDEX($E$5:$E$61,MATCH(1,(D101=$C$5:$C$61)*(A101=$B$5:$B$61),0))</f>
        <v>#N/A</v>
      </c>
      <c r="F101" s="196" t="e" cm="1">
        <f t="array" ref="F101">INDEX($F$5:$F$61,MATCH(1,(D101=$C$5:$C$61)*(A101=$B$5:$B$61),0))</f>
        <v>#N/A</v>
      </c>
      <c r="G101" s="196" t="e" cm="1">
        <f t="array" ref="G101">INDEX($G$5:$G$61,MATCH(1,(D101=$C$5:$C$61)*(A101=$B$5:$B$61),0))</f>
        <v>#N/A</v>
      </c>
      <c r="H101" s="196" t="e" cm="1">
        <f t="array" ref="H101">INDEX($H$5:$H$61,MATCH(1,(D101=$C$5:$C$61)*(A101=$B$5:$B$61),0))</f>
        <v>#N/A</v>
      </c>
      <c r="I101" s="196" t="e" cm="1">
        <f t="array" ref="I101">INDEX($I$5:$I$61,MATCH(1,(D101=$C$5:$C$61)*(A101=$B$5:$B$61),0))</f>
        <v>#N/A</v>
      </c>
      <c r="J101" s="273"/>
      <c r="K101" s="273"/>
      <c r="L101" s="272"/>
      <c r="M101" s="273"/>
      <c r="N101" s="197"/>
      <c r="O101" s="200">
        <f t="shared" si="26"/>
        <v>0</v>
      </c>
      <c r="P101" s="274"/>
      <c r="Q101" s="274"/>
      <c r="R101" s="276"/>
      <c r="S101" s="274"/>
      <c r="T101" s="197">
        <f t="shared" si="27"/>
        <v>0</v>
      </c>
      <c r="U101" s="197">
        <f t="shared" si="28"/>
        <v>0</v>
      </c>
      <c r="V101" s="197">
        <f t="shared" si="29"/>
        <v>0</v>
      </c>
      <c r="W101" s="197">
        <f t="shared" si="30"/>
        <v>0</v>
      </c>
      <c r="Z101" s="197"/>
      <c r="AA101" s="228"/>
      <c r="AB101" s="228"/>
      <c r="AD101" s="228"/>
      <c r="AE101" s="228"/>
      <c r="AF101" s="228"/>
      <c r="AG101" s="228"/>
      <c r="AH101" s="228"/>
      <c r="AI101" s="228"/>
      <c r="AJ101" s="228"/>
      <c r="AK101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s="198" customFormat="1" x14ac:dyDescent="0.25">
      <c r="A102" s="290" t="str">
        <f t="shared" si="24"/>
        <v>Hudson View Park</v>
      </c>
      <c r="B102" s="195">
        <f t="shared" si="31"/>
        <v>4</v>
      </c>
      <c r="C102" s="196" t="str">
        <f t="shared" si="32"/>
        <v>Occ</v>
      </c>
      <c r="D102" s="196" t="e" cm="1">
        <f t="array" ref="D102">INDEX($C$5:$C$61,MATCH(1,(K102=$D$5:$D$61)*(A102=$B$5:$B$61),0))</f>
        <v>#N/A</v>
      </c>
      <c r="E102" s="196" t="e" cm="1">
        <f t="array" ref="E102">INDEX($E$5:$E$61,MATCH(1,(D102=$C$5:$C$61)*(A102=$B$5:$B$61),0))</f>
        <v>#N/A</v>
      </c>
      <c r="F102" s="196" t="e" cm="1">
        <f t="array" ref="F102">INDEX($F$5:$F$61,MATCH(1,(D102=$C$5:$C$61)*(A102=$B$5:$B$61),0))</f>
        <v>#N/A</v>
      </c>
      <c r="G102" s="196" t="e" cm="1">
        <f t="array" ref="G102">INDEX($G$5:$G$61,MATCH(1,(D102=$C$5:$C$61)*(A102=$B$5:$B$61),0))</f>
        <v>#N/A</v>
      </c>
      <c r="H102" s="196" t="e" cm="1">
        <f t="array" ref="H102">INDEX($H$5:$H$61,MATCH(1,(D102=$C$5:$C$61)*(A102=$B$5:$B$61),0))</f>
        <v>#N/A</v>
      </c>
      <c r="I102" s="196" t="e" cm="1">
        <f t="array" ref="I102">INDEX($I$5:$I$61,MATCH(1,(D102=$C$5:$C$61)*(A102=$B$5:$B$61),0))</f>
        <v>#N/A</v>
      </c>
      <c r="J102" s="273"/>
      <c r="K102" s="273"/>
      <c r="L102" s="272"/>
      <c r="M102" s="273"/>
      <c r="N102" s="197"/>
      <c r="O102" s="200">
        <f t="shared" si="26"/>
        <v>0</v>
      </c>
      <c r="P102" s="274"/>
      <c r="Q102" s="274"/>
      <c r="R102" s="276"/>
      <c r="S102" s="274"/>
      <c r="T102" s="197">
        <f t="shared" si="27"/>
        <v>0</v>
      </c>
      <c r="U102" s="197">
        <f t="shared" si="28"/>
        <v>0</v>
      </c>
      <c r="V102" s="197">
        <f t="shared" si="29"/>
        <v>0</v>
      </c>
      <c r="W102" s="197">
        <f t="shared" si="30"/>
        <v>0</v>
      </c>
      <c r="Z102" s="197"/>
      <c r="AA102" s="228"/>
      <c r="AB102" s="228"/>
      <c r="AD102" s="228"/>
      <c r="AE102" s="228"/>
      <c r="AF102" s="228"/>
      <c r="AG102" s="228"/>
      <c r="AH102" s="228"/>
      <c r="AI102" s="228"/>
      <c r="AJ102" s="228"/>
      <c r="AK102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s="198" customFormat="1" x14ac:dyDescent="0.25">
      <c r="A103" s="290" t="str">
        <f t="shared" si="24"/>
        <v>Hudson View Park</v>
      </c>
      <c r="B103" s="195">
        <f t="shared" si="31"/>
        <v>5</v>
      </c>
      <c r="C103" s="196" t="str">
        <f t="shared" si="32"/>
        <v>Occ</v>
      </c>
      <c r="D103" s="196" t="e" cm="1">
        <f t="array" ref="D103">INDEX($C$5:$C$61,MATCH(1,(K103=$D$5:$D$61)*(A103=$B$5:$B$61),0))</f>
        <v>#N/A</v>
      </c>
      <c r="E103" s="196" t="e" cm="1">
        <f t="array" ref="E103">INDEX($E$5:$E$61,MATCH(1,(D103=$C$5:$C$61)*(A103=$B$5:$B$61),0))</f>
        <v>#N/A</v>
      </c>
      <c r="F103" s="196" t="e" cm="1">
        <f t="array" ref="F103">INDEX($F$5:$F$61,MATCH(1,(D103=$C$5:$C$61)*(A103=$B$5:$B$61),0))</f>
        <v>#N/A</v>
      </c>
      <c r="G103" s="196" t="e" cm="1">
        <f t="array" ref="G103">INDEX($G$5:$G$61,MATCH(1,(D103=$C$5:$C$61)*(A103=$B$5:$B$61),0))</f>
        <v>#N/A</v>
      </c>
      <c r="H103" s="196" t="e" cm="1">
        <f t="array" ref="H103">INDEX($H$5:$H$61,MATCH(1,(D103=$C$5:$C$61)*(A103=$B$5:$B$61),0))</f>
        <v>#N/A</v>
      </c>
      <c r="I103" s="196" t="e" cm="1">
        <f t="array" ref="I103">INDEX($I$5:$I$61,MATCH(1,(D103=$C$5:$C$61)*(A103=$B$5:$B$61),0))</f>
        <v>#N/A</v>
      </c>
      <c r="J103" s="273"/>
      <c r="K103" s="273"/>
      <c r="L103" s="272"/>
      <c r="M103" s="273"/>
      <c r="N103" s="197"/>
      <c r="O103" s="200">
        <f t="shared" si="26"/>
        <v>0</v>
      </c>
      <c r="P103" s="274"/>
      <c r="Q103" s="274"/>
      <c r="R103" s="276"/>
      <c r="S103" s="274"/>
      <c r="T103" s="197">
        <f t="shared" si="27"/>
        <v>0</v>
      </c>
      <c r="U103" s="197">
        <f t="shared" si="28"/>
        <v>0</v>
      </c>
      <c r="V103" s="197">
        <f t="shared" si="29"/>
        <v>0</v>
      </c>
      <c r="W103" s="197">
        <f t="shared" si="30"/>
        <v>0</v>
      </c>
      <c r="Z103" s="197"/>
      <c r="AA103" s="228"/>
      <c r="AB103" s="228"/>
      <c r="AD103" s="228"/>
      <c r="AE103" s="228"/>
      <c r="AF103" s="228"/>
      <c r="AG103" s="228"/>
      <c r="AH103" s="228"/>
      <c r="AI103" s="228"/>
      <c r="AJ103" s="228"/>
      <c r="AK103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s="198" customFormat="1" x14ac:dyDescent="0.25">
      <c r="A104" s="290" t="str">
        <f t="shared" si="24"/>
        <v>Hudson View Park</v>
      </c>
      <c r="B104" s="195">
        <f t="shared" si="31"/>
        <v>6</v>
      </c>
      <c r="C104" s="196" t="str">
        <f t="shared" si="32"/>
        <v>Occ</v>
      </c>
      <c r="D104" s="196" t="e" cm="1">
        <f t="array" ref="D104">INDEX($C$5:$C$61,MATCH(1,(K104=$D$5:$D$61)*(A104=$B$5:$B$61),0))</f>
        <v>#N/A</v>
      </c>
      <c r="E104" s="196" t="e" cm="1">
        <f t="array" ref="E104">INDEX($E$5:$E$61,MATCH(1,(D104=$C$5:$C$61)*(A104=$B$5:$B$61),0))</f>
        <v>#N/A</v>
      </c>
      <c r="F104" s="196" t="e" cm="1">
        <f t="array" ref="F104">INDEX($F$5:$F$61,MATCH(1,(D104=$C$5:$C$61)*(A104=$B$5:$B$61),0))</f>
        <v>#N/A</v>
      </c>
      <c r="G104" s="196" t="e" cm="1">
        <f t="array" ref="G104">INDEX($G$5:$G$61,MATCH(1,(D104=$C$5:$C$61)*(A104=$B$5:$B$61),0))</f>
        <v>#N/A</v>
      </c>
      <c r="H104" s="196" t="e" cm="1">
        <f t="array" ref="H104">INDEX($H$5:$H$61,MATCH(1,(D104=$C$5:$C$61)*(A104=$B$5:$B$61),0))</f>
        <v>#N/A</v>
      </c>
      <c r="I104" s="196" t="e" cm="1">
        <f t="array" ref="I104">INDEX($I$5:$I$61,MATCH(1,(D104=$C$5:$C$61)*(A104=$B$5:$B$61),0))</f>
        <v>#N/A</v>
      </c>
      <c r="J104" s="273"/>
      <c r="K104" s="273"/>
      <c r="L104" s="272"/>
      <c r="M104" s="273"/>
      <c r="N104" s="197"/>
      <c r="O104" s="200">
        <f t="shared" si="26"/>
        <v>0</v>
      </c>
      <c r="P104" s="274"/>
      <c r="Q104" s="274"/>
      <c r="R104" s="276"/>
      <c r="S104" s="274"/>
      <c r="T104" s="197">
        <f t="shared" si="27"/>
        <v>0</v>
      </c>
      <c r="U104" s="197">
        <f t="shared" si="28"/>
        <v>0</v>
      </c>
      <c r="V104" s="197">
        <f t="shared" si="29"/>
        <v>0</v>
      </c>
      <c r="W104" s="197">
        <f t="shared" si="30"/>
        <v>0</v>
      </c>
      <c r="Z104" s="197"/>
      <c r="AA104" s="228"/>
      <c r="AB104" s="228"/>
      <c r="AD104" s="228"/>
      <c r="AE104" s="228"/>
      <c r="AF104" s="228"/>
      <c r="AG104" s="228"/>
      <c r="AH104" s="228"/>
      <c r="AI104" s="228"/>
      <c r="AJ104" s="228"/>
      <c r="AK104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s="198" customFormat="1" x14ac:dyDescent="0.25">
      <c r="A105" s="290" t="str">
        <f t="shared" si="24"/>
        <v>Hudson View Park</v>
      </c>
      <c r="B105" s="195">
        <f t="shared" si="31"/>
        <v>7</v>
      </c>
      <c r="C105" s="196" t="str">
        <f t="shared" si="32"/>
        <v>Occ</v>
      </c>
      <c r="D105" s="196" t="e" cm="1">
        <f t="array" ref="D105">INDEX($C$5:$C$61,MATCH(1,(K105=$D$5:$D$61)*(A105=$B$5:$B$61),0))</f>
        <v>#N/A</v>
      </c>
      <c r="E105" s="196" t="e" cm="1">
        <f t="array" ref="E105">INDEX($E$5:$E$61,MATCH(1,(D105=$C$5:$C$61)*(A105=$B$5:$B$61),0))</f>
        <v>#N/A</v>
      </c>
      <c r="F105" s="196" t="e" cm="1">
        <f t="array" ref="F105">INDEX($F$5:$F$61,MATCH(1,(D105=$C$5:$C$61)*(A105=$B$5:$B$61),0))</f>
        <v>#N/A</v>
      </c>
      <c r="G105" s="196" t="e" cm="1">
        <f t="array" ref="G105">INDEX($G$5:$G$61,MATCH(1,(D105=$C$5:$C$61)*(A105=$B$5:$B$61),0))</f>
        <v>#N/A</v>
      </c>
      <c r="H105" s="196" t="e" cm="1">
        <f t="array" ref="H105">INDEX($H$5:$H$61,MATCH(1,(D105=$C$5:$C$61)*(A105=$B$5:$B$61),0))</f>
        <v>#N/A</v>
      </c>
      <c r="I105" s="196" t="e" cm="1">
        <f t="array" ref="I105">INDEX($I$5:$I$61,MATCH(1,(D105=$C$5:$C$61)*(A105=$B$5:$B$61),0))</f>
        <v>#N/A</v>
      </c>
      <c r="J105" s="273"/>
      <c r="K105" s="273"/>
      <c r="L105" s="272"/>
      <c r="M105" s="273"/>
      <c r="N105" s="197"/>
      <c r="O105" s="200">
        <f t="shared" si="26"/>
        <v>0</v>
      </c>
      <c r="P105" s="274"/>
      <c r="Q105" s="274"/>
      <c r="R105" s="276"/>
      <c r="S105" s="274"/>
      <c r="T105" s="197">
        <f t="shared" si="27"/>
        <v>0</v>
      </c>
      <c r="U105" s="197">
        <f t="shared" si="28"/>
        <v>0</v>
      </c>
      <c r="V105" s="197">
        <f t="shared" si="29"/>
        <v>0</v>
      </c>
      <c r="W105" s="197">
        <f t="shared" si="30"/>
        <v>0</v>
      </c>
      <c r="Z105" s="197"/>
      <c r="AA105" s="228"/>
      <c r="AB105" s="228"/>
      <c r="AD105" s="228"/>
      <c r="AE105" s="228"/>
      <c r="AF105" s="228"/>
      <c r="AG105" s="228"/>
      <c r="AH105" s="228"/>
      <c r="AI105" s="228"/>
      <c r="AJ105" s="228"/>
      <c r="AK105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s="198" customFormat="1" x14ac:dyDescent="0.25">
      <c r="A106" s="290" t="str">
        <f t="shared" si="24"/>
        <v>Hudson View Park</v>
      </c>
      <c r="B106" s="195">
        <f t="shared" si="31"/>
        <v>8</v>
      </c>
      <c r="C106" s="196" t="str">
        <f t="shared" si="32"/>
        <v>Occ</v>
      </c>
      <c r="D106" s="196" t="e" cm="1">
        <f t="array" ref="D106">INDEX($C$5:$C$61,MATCH(1,(K106=$D$5:$D$61)*(A106=$B$5:$B$61),0))</f>
        <v>#N/A</v>
      </c>
      <c r="E106" s="196" t="e" cm="1">
        <f t="array" ref="E106">INDEX($E$5:$E$61,MATCH(1,(D106=$C$5:$C$61)*(A106=$B$5:$B$61),0))</f>
        <v>#N/A</v>
      </c>
      <c r="F106" s="196" t="e" cm="1">
        <f t="array" ref="F106">INDEX($F$5:$F$61,MATCH(1,(D106=$C$5:$C$61)*(A106=$B$5:$B$61),0))</f>
        <v>#N/A</v>
      </c>
      <c r="G106" s="196" t="e" cm="1">
        <f t="array" ref="G106">INDEX($G$5:$G$61,MATCH(1,(D106=$C$5:$C$61)*(A106=$B$5:$B$61),0))</f>
        <v>#N/A</v>
      </c>
      <c r="H106" s="196" t="e" cm="1">
        <f t="array" ref="H106">INDEX($H$5:$H$61,MATCH(1,(D106=$C$5:$C$61)*(A106=$B$5:$B$61),0))</f>
        <v>#N/A</v>
      </c>
      <c r="I106" s="196" t="e" cm="1">
        <f t="array" ref="I106">INDEX($I$5:$I$61,MATCH(1,(D106=$C$5:$C$61)*(A106=$B$5:$B$61),0))</f>
        <v>#N/A</v>
      </c>
      <c r="J106" s="273"/>
      <c r="K106" s="273"/>
      <c r="L106" s="272"/>
      <c r="M106" s="273"/>
      <c r="N106" s="197"/>
      <c r="O106" s="200">
        <f t="shared" si="26"/>
        <v>0</v>
      </c>
      <c r="P106" s="274"/>
      <c r="Q106" s="274"/>
      <c r="R106" s="276"/>
      <c r="S106" s="274"/>
      <c r="T106" s="197">
        <f t="shared" si="27"/>
        <v>0</v>
      </c>
      <c r="U106" s="197">
        <f t="shared" si="28"/>
        <v>0</v>
      </c>
      <c r="V106" s="197">
        <f t="shared" si="29"/>
        <v>0</v>
      </c>
      <c r="W106" s="197">
        <f t="shared" si="30"/>
        <v>0</v>
      </c>
      <c r="Z106" s="197"/>
      <c r="AA106" s="228"/>
      <c r="AB106" s="228"/>
      <c r="AD106" s="228"/>
      <c r="AE106" s="228"/>
      <c r="AF106" s="228"/>
      <c r="AG106" s="228"/>
      <c r="AH106" s="228"/>
      <c r="AI106" s="228"/>
      <c r="AJ106" s="228"/>
      <c r="AK106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s="198" customFormat="1" x14ac:dyDescent="0.25">
      <c r="A107" s="290" t="str">
        <f t="shared" si="24"/>
        <v>Hudson View Park</v>
      </c>
      <c r="B107" s="195">
        <f t="shared" si="31"/>
        <v>9</v>
      </c>
      <c r="C107" s="196" t="str">
        <f t="shared" si="32"/>
        <v>Occ</v>
      </c>
      <c r="D107" s="196" t="e" cm="1">
        <f t="array" ref="D107">INDEX($C$5:$C$61,MATCH(1,(K107=$D$5:$D$61)*(A107=$B$5:$B$61),0))</f>
        <v>#N/A</v>
      </c>
      <c r="E107" s="196" t="e" cm="1">
        <f t="array" ref="E107">INDEX($E$5:$E$61,MATCH(1,(D107=$C$5:$C$61)*(A107=$B$5:$B$61),0))</f>
        <v>#N/A</v>
      </c>
      <c r="F107" s="196" t="e" cm="1">
        <f t="array" ref="F107">INDEX($F$5:$F$61,MATCH(1,(D107=$C$5:$C$61)*(A107=$B$5:$B$61),0))</f>
        <v>#N/A</v>
      </c>
      <c r="G107" s="196" t="e" cm="1">
        <f t="array" ref="G107">INDEX($G$5:$G$61,MATCH(1,(D107=$C$5:$C$61)*(A107=$B$5:$B$61),0))</f>
        <v>#N/A</v>
      </c>
      <c r="H107" s="196" t="e" cm="1">
        <f t="array" ref="H107">INDEX($H$5:$H$61,MATCH(1,(D107=$C$5:$C$61)*(A107=$B$5:$B$61),0))</f>
        <v>#N/A</v>
      </c>
      <c r="I107" s="196" t="e" cm="1">
        <f t="array" ref="I107">INDEX($I$5:$I$61,MATCH(1,(D107=$C$5:$C$61)*(A107=$B$5:$B$61),0))</f>
        <v>#N/A</v>
      </c>
      <c r="J107" s="273"/>
      <c r="K107" s="273"/>
      <c r="L107" s="272"/>
      <c r="M107" s="273"/>
      <c r="N107" s="197"/>
      <c r="O107" s="200">
        <f t="shared" si="26"/>
        <v>0</v>
      </c>
      <c r="P107" s="274"/>
      <c r="Q107" s="274"/>
      <c r="R107" s="276"/>
      <c r="S107" s="274"/>
      <c r="T107" s="197">
        <f t="shared" si="27"/>
        <v>0</v>
      </c>
      <c r="U107" s="197">
        <f t="shared" si="28"/>
        <v>0</v>
      </c>
      <c r="V107" s="197">
        <f t="shared" si="29"/>
        <v>0</v>
      </c>
      <c r="W107" s="197">
        <f t="shared" si="30"/>
        <v>0</v>
      </c>
      <c r="Z107" s="197"/>
      <c r="AA107" s="228"/>
      <c r="AB107" s="228"/>
      <c r="AD107" s="228"/>
      <c r="AE107" s="228"/>
      <c r="AF107" s="228"/>
      <c r="AG107" s="228"/>
      <c r="AH107" s="228"/>
      <c r="AI107" s="228"/>
      <c r="AJ107" s="228"/>
      <c r="AK107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s="198" customFormat="1" x14ac:dyDescent="0.25">
      <c r="A108" s="290" t="str">
        <f t="shared" si="24"/>
        <v>Hudson View Park</v>
      </c>
      <c r="B108" s="195">
        <f t="shared" si="31"/>
        <v>10</v>
      </c>
      <c r="C108" s="196" t="str">
        <f t="shared" si="32"/>
        <v>Occ</v>
      </c>
      <c r="D108" s="196" t="e" cm="1">
        <f t="array" ref="D108">INDEX($C$5:$C$61,MATCH(1,(K108=$D$5:$D$61)*(A108=$B$5:$B$61),0))</f>
        <v>#N/A</v>
      </c>
      <c r="E108" s="196" t="e" cm="1">
        <f t="array" ref="E108">INDEX($E$5:$E$61,MATCH(1,(D108=$C$5:$C$61)*(A108=$B$5:$B$61),0))</f>
        <v>#N/A</v>
      </c>
      <c r="F108" s="196" t="e" cm="1">
        <f t="array" ref="F108">INDEX($F$5:$F$61,MATCH(1,(D108=$C$5:$C$61)*(A108=$B$5:$B$61),0))</f>
        <v>#N/A</v>
      </c>
      <c r="G108" s="196" t="e" cm="1">
        <f t="array" ref="G108">INDEX($G$5:$G$61,MATCH(1,(D108=$C$5:$C$61)*(A108=$B$5:$B$61),0))</f>
        <v>#N/A</v>
      </c>
      <c r="H108" s="196" t="e" cm="1">
        <f t="array" ref="H108">INDEX($H$5:$H$61,MATCH(1,(D108=$C$5:$C$61)*(A108=$B$5:$B$61),0))</f>
        <v>#N/A</v>
      </c>
      <c r="I108" s="196" t="e" cm="1">
        <f t="array" ref="I108">INDEX($I$5:$I$61,MATCH(1,(D108=$C$5:$C$61)*(A108=$B$5:$B$61),0))</f>
        <v>#N/A</v>
      </c>
      <c r="J108" s="273"/>
      <c r="K108" s="273"/>
      <c r="L108" s="272"/>
      <c r="M108" s="273"/>
      <c r="N108" s="197"/>
      <c r="O108" s="200">
        <f t="shared" si="26"/>
        <v>0</v>
      </c>
      <c r="P108" s="274"/>
      <c r="Q108" s="274"/>
      <c r="R108" s="276"/>
      <c r="S108" s="274"/>
      <c r="T108" s="197">
        <f t="shared" si="27"/>
        <v>0</v>
      </c>
      <c r="U108" s="197">
        <f t="shared" si="28"/>
        <v>0</v>
      </c>
      <c r="V108" s="197">
        <f t="shared" si="29"/>
        <v>0</v>
      </c>
      <c r="W108" s="197">
        <f t="shared" si="30"/>
        <v>0</v>
      </c>
      <c r="Z108" s="197"/>
      <c r="AA108" s="228"/>
      <c r="AB108" s="228"/>
      <c r="AD108" s="228"/>
      <c r="AE108" s="228"/>
      <c r="AF108" s="228"/>
      <c r="AG108" s="228"/>
      <c r="AH108" s="228"/>
      <c r="AI108" s="228"/>
      <c r="AJ108" s="228"/>
      <c r="AK10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s="198" customFormat="1" x14ac:dyDescent="0.25">
      <c r="A109" s="290" t="str">
        <f t="shared" si="24"/>
        <v>Hudson View Park</v>
      </c>
      <c r="B109" s="195">
        <f t="shared" si="31"/>
        <v>11</v>
      </c>
      <c r="C109" s="196" t="str">
        <f t="shared" si="32"/>
        <v>Occ</v>
      </c>
      <c r="D109" s="196" t="e" cm="1">
        <f t="array" ref="D109">INDEX($C$5:$C$61,MATCH(1,(K109=$D$5:$D$61)*(A109=$B$5:$B$61),0))</f>
        <v>#N/A</v>
      </c>
      <c r="E109" s="196" t="e" cm="1">
        <f t="array" ref="E109">INDEX($E$5:$E$61,MATCH(1,(D109=$C$5:$C$61)*(A109=$B$5:$B$61),0))</f>
        <v>#N/A</v>
      </c>
      <c r="F109" s="196" t="e" cm="1">
        <f t="array" ref="F109">INDEX($F$5:$F$61,MATCH(1,(D109=$C$5:$C$61)*(A109=$B$5:$B$61),0))</f>
        <v>#N/A</v>
      </c>
      <c r="G109" s="196" t="e" cm="1">
        <f t="array" ref="G109">INDEX($G$5:$G$61,MATCH(1,(D109=$C$5:$C$61)*(A109=$B$5:$B$61),0))</f>
        <v>#N/A</v>
      </c>
      <c r="H109" s="196" t="e" cm="1">
        <f t="array" ref="H109">INDEX($H$5:$H$61,MATCH(1,(D109=$C$5:$C$61)*(A109=$B$5:$B$61),0))</f>
        <v>#N/A</v>
      </c>
      <c r="I109" s="196" t="e" cm="1">
        <f t="array" ref="I109">INDEX($I$5:$I$61,MATCH(1,(D109=$C$5:$C$61)*(A109=$B$5:$B$61),0))</f>
        <v>#N/A</v>
      </c>
      <c r="J109" s="273"/>
      <c r="K109" s="273"/>
      <c r="L109" s="272"/>
      <c r="M109" s="273"/>
      <c r="N109" s="197"/>
      <c r="O109" s="200">
        <f t="shared" si="26"/>
        <v>0</v>
      </c>
      <c r="P109" s="274"/>
      <c r="Q109" s="274"/>
      <c r="R109" s="276"/>
      <c r="S109" s="274"/>
      <c r="T109" s="197">
        <f t="shared" si="27"/>
        <v>0</v>
      </c>
      <c r="U109" s="197">
        <f t="shared" si="28"/>
        <v>0</v>
      </c>
      <c r="V109" s="197">
        <f t="shared" si="29"/>
        <v>0</v>
      </c>
      <c r="W109" s="197">
        <f t="shared" si="30"/>
        <v>0</v>
      </c>
      <c r="Z109" s="197"/>
      <c r="AA109" s="228"/>
      <c r="AB109" s="228"/>
      <c r="AD109" s="228"/>
      <c r="AE109" s="228"/>
      <c r="AF109" s="228"/>
      <c r="AG109" s="228"/>
      <c r="AH109" s="228"/>
      <c r="AI109" s="228"/>
      <c r="AJ109" s="228"/>
      <c r="AK109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s="198" customFormat="1" x14ac:dyDescent="0.25">
      <c r="A110" s="290" t="str">
        <f t="shared" si="24"/>
        <v>Hudson View Park</v>
      </c>
      <c r="B110" s="195">
        <f t="shared" si="31"/>
        <v>12</v>
      </c>
      <c r="C110" s="196" t="str">
        <f t="shared" si="32"/>
        <v>Occ</v>
      </c>
      <c r="D110" s="196" t="e" cm="1">
        <f t="array" ref="D110">INDEX($C$5:$C$61,MATCH(1,(K110=$D$5:$D$61)*(A110=$B$5:$B$61),0))</f>
        <v>#N/A</v>
      </c>
      <c r="E110" s="196" t="e" cm="1">
        <f t="array" ref="E110">INDEX($E$5:$E$61,MATCH(1,(D110=$C$5:$C$61)*(A110=$B$5:$B$61),0))</f>
        <v>#N/A</v>
      </c>
      <c r="F110" s="196" t="e" cm="1">
        <f t="array" ref="F110">INDEX($F$5:$F$61,MATCH(1,(D110=$C$5:$C$61)*(A110=$B$5:$B$61),0))</f>
        <v>#N/A</v>
      </c>
      <c r="G110" s="196" t="e" cm="1">
        <f t="array" ref="G110">INDEX($G$5:$G$61,MATCH(1,(D110=$C$5:$C$61)*(A110=$B$5:$B$61),0))</f>
        <v>#N/A</v>
      </c>
      <c r="H110" s="196" t="e" cm="1">
        <f t="array" ref="H110">INDEX($H$5:$H$61,MATCH(1,(D110=$C$5:$C$61)*(A110=$B$5:$B$61),0))</f>
        <v>#N/A</v>
      </c>
      <c r="I110" s="196" t="e" cm="1">
        <f t="array" ref="I110">INDEX($I$5:$I$61,MATCH(1,(D110=$C$5:$C$61)*(A110=$B$5:$B$61),0))</f>
        <v>#N/A</v>
      </c>
      <c r="J110" s="273"/>
      <c r="K110" s="273"/>
      <c r="L110" s="272"/>
      <c r="M110" s="273"/>
      <c r="N110" s="197"/>
      <c r="O110" s="200">
        <f t="shared" si="26"/>
        <v>0</v>
      </c>
      <c r="P110" s="274"/>
      <c r="Q110" s="274"/>
      <c r="R110" s="276"/>
      <c r="S110" s="274"/>
      <c r="T110" s="197">
        <f t="shared" si="27"/>
        <v>0</v>
      </c>
      <c r="U110" s="197">
        <f t="shared" si="28"/>
        <v>0</v>
      </c>
      <c r="V110" s="197">
        <f t="shared" si="29"/>
        <v>0</v>
      </c>
      <c r="W110" s="197">
        <f t="shared" si="30"/>
        <v>0</v>
      </c>
      <c r="Z110" s="197"/>
      <c r="AA110" s="228"/>
      <c r="AB110" s="228"/>
      <c r="AD110" s="228"/>
      <c r="AE110" s="228"/>
      <c r="AF110" s="228"/>
      <c r="AG110" s="228"/>
      <c r="AH110" s="228"/>
      <c r="AI110" s="228"/>
      <c r="AJ110" s="228"/>
      <c r="AK110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198" customFormat="1" x14ac:dyDescent="0.25">
      <c r="A111" s="290" t="str">
        <f t="shared" si="24"/>
        <v>Hudson View Park</v>
      </c>
      <c r="B111" s="195">
        <f t="shared" si="31"/>
        <v>13</v>
      </c>
      <c r="C111" s="196" t="str">
        <f t="shared" si="32"/>
        <v>Occ</v>
      </c>
      <c r="D111" s="196" t="e" cm="1">
        <f t="array" ref="D111">INDEX($C$5:$C$61,MATCH(1,(K111=$D$5:$D$61)*(A111=$B$5:$B$61),0))</f>
        <v>#N/A</v>
      </c>
      <c r="E111" s="196" t="e" cm="1">
        <f t="array" ref="E111">INDEX($E$5:$E$61,MATCH(1,(D111=$C$5:$C$61)*(A111=$B$5:$B$61),0))</f>
        <v>#N/A</v>
      </c>
      <c r="F111" s="196" t="e" cm="1">
        <f t="array" ref="F111">INDEX($F$5:$F$61,MATCH(1,(D111=$C$5:$C$61)*(A111=$B$5:$B$61),0))</f>
        <v>#N/A</v>
      </c>
      <c r="G111" s="196" t="e" cm="1">
        <f t="array" ref="G111">INDEX($G$5:$G$61,MATCH(1,(D111=$C$5:$C$61)*(A111=$B$5:$B$61),0))</f>
        <v>#N/A</v>
      </c>
      <c r="H111" s="196" t="e" cm="1">
        <f t="array" ref="H111">INDEX($H$5:$H$61,MATCH(1,(D111=$C$5:$C$61)*(A111=$B$5:$B$61),0))</f>
        <v>#N/A</v>
      </c>
      <c r="I111" s="196" t="e" cm="1">
        <f t="array" ref="I111">INDEX($I$5:$I$61,MATCH(1,(D111=$C$5:$C$61)*(A111=$B$5:$B$61),0))</f>
        <v>#N/A</v>
      </c>
      <c r="J111" s="273"/>
      <c r="K111" s="273"/>
      <c r="L111" s="272"/>
      <c r="M111" s="273"/>
      <c r="N111" s="197"/>
      <c r="O111" s="200">
        <f t="shared" si="26"/>
        <v>0</v>
      </c>
      <c r="P111" s="274"/>
      <c r="Q111" s="274"/>
      <c r="R111" s="276"/>
      <c r="S111" s="274"/>
      <c r="T111" s="197">
        <f t="shared" si="27"/>
        <v>0</v>
      </c>
      <c r="U111" s="197">
        <f t="shared" si="28"/>
        <v>0</v>
      </c>
      <c r="V111" s="197">
        <f t="shared" si="29"/>
        <v>0</v>
      </c>
      <c r="W111" s="197">
        <f t="shared" si="30"/>
        <v>0</v>
      </c>
      <c r="Z111" s="197"/>
      <c r="AA111" s="228"/>
      <c r="AB111" s="228"/>
      <c r="AD111" s="228"/>
      <c r="AE111" s="228"/>
      <c r="AF111" s="228"/>
      <c r="AG111" s="228"/>
      <c r="AH111" s="228"/>
      <c r="AI111" s="228"/>
      <c r="AJ111" s="228"/>
      <c r="AK111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s="198" customFormat="1" x14ac:dyDescent="0.25">
      <c r="A112" s="290" t="str">
        <f t="shared" si="24"/>
        <v>Hudson View Park</v>
      </c>
      <c r="B112" s="195">
        <f t="shared" si="31"/>
        <v>14</v>
      </c>
      <c r="C112" s="196" t="str">
        <f t="shared" si="32"/>
        <v>Occ</v>
      </c>
      <c r="D112" s="196" t="e" cm="1">
        <f t="array" ref="D112">INDEX($C$5:$C$61,MATCH(1,(K112=$D$5:$D$61)*(A112=$B$5:$B$61),0))</f>
        <v>#N/A</v>
      </c>
      <c r="E112" s="196" t="e" cm="1">
        <f t="array" ref="E112">INDEX($E$5:$E$61,MATCH(1,(D112=$C$5:$C$61)*(A112=$B$5:$B$61),0))</f>
        <v>#N/A</v>
      </c>
      <c r="F112" s="196" t="e" cm="1">
        <f t="array" ref="F112">INDEX($F$5:$F$61,MATCH(1,(D112=$C$5:$C$61)*(A112=$B$5:$B$61),0))</f>
        <v>#N/A</v>
      </c>
      <c r="G112" s="196" t="e" cm="1">
        <f t="array" ref="G112">INDEX($G$5:$G$61,MATCH(1,(D112=$C$5:$C$61)*(A112=$B$5:$B$61),0))</f>
        <v>#N/A</v>
      </c>
      <c r="H112" s="196" t="e" cm="1">
        <f t="array" ref="H112">INDEX($H$5:$H$61,MATCH(1,(D112=$C$5:$C$61)*(A112=$B$5:$B$61),0))</f>
        <v>#N/A</v>
      </c>
      <c r="I112" s="196" t="e" cm="1">
        <f t="array" ref="I112">INDEX($I$5:$I$61,MATCH(1,(D112=$C$5:$C$61)*(A112=$B$5:$B$61),0))</f>
        <v>#N/A</v>
      </c>
      <c r="J112" s="273"/>
      <c r="K112" s="273"/>
      <c r="L112" s="272"/>
      <c r="M112" s="273"/>
      <c r="N112" s="197"/>
      <c r="O112" s="200">
        <f t="shared" si="26"/>
        <v>0</v>
      </c>
      <c r="P112" s="274"/>
      <c r="Q112" s="274"/>
      <c r="R112" s="276"/>
      <c r="S112" s="274"/>
      <c r="T112" s="197">
        <f t="shared" si="27"/>
        <v>0</v>
      </c>
      <c r="U112" s="197">
        <f t="shared" si="28"/>
        <v>0</v>
      </c>
      <c r="V112" s="197">
        <f t="shared" si="29"/>
        <v>0</v>
      </c>
      <c r="W112" s="197">
        <f t="shared" si="30"/>
        <v>0</v>
      </c>
      <c r="Z112" s="197"/>
      <c r="AA112" s="228"/>
      <c r="AB112" s="228"/>
      <c r="AD112" s="228"/>
      <c r="AE112" s="228"/>
      <c r="AF112" s="228"/>
      <c r="AG112" s="228"/>
      <c r="AH112" s="228"/>
      <c r="AI112" s="228"/>
      <c r="AJ112" s="228"/>
      <c r="AK112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s="198" customFormat="1" x14ac:dyDescent="0.25">
      <c r="A113" s="290" t="str">
        <f t="shared" si="24"/>
        <v>Hudson View Park</v>
      </c>
      <c r="B113" s="195">
        <f t="shared" si="31"/>
        <v>15</v>
      </c>
      <c r="C113" s="196" t="str">
        <f t="shared" si="32"/>
        <v>Occ</v>
      </c>
      <c r="D113" s="196" t="e" cm="1">
        <f t="array" ref="D113">INDEX($C$5:$C$61,MATCH(1,(K113=$D$5:$D$61)*(A113=$B$5:$B$61),0))</f>
        <v>#N/A</v>
      </c>
      <c r="E113" s="196" t="e" cm="1">
        <f t="array" ref="E113">INDEX($E$5:$E$61,MATCH(1,(D113=$C$5:$C$61)*(A113=$B$5:$B$61),0))</f>
        <v>#N/A</v>
      </c>
      <c r="F113" s="196" t="e" cm="1">
        <f t="array" ref="F113">INDEX($F$5:$F$61,MATCH(1,(D113=$C$5:$C$61)*(A113=$B$5:$B$61),0))</f>
        <v>#N/A</v>
      </c>
      <c r="G113" s="196" t="e" cm="1">
        <f t="array" ref="G113">INDEX($G$5:$G$61,MATCH(1,(D113=$C$5:$C$61)*(A113=$B$5:$B$61),0))</f>
        <v>#N/A</v>
      </c>
      <c r="H113" s="196" t="e" cm="1">
        <f t="array" ref="H113">INDEX($H$5:$H$61,MATCH(1,(D113=$C$5:$C$61)*(A113=$B$5:$B$61),0))</f>
        <v>#N/A</v>
      </c>
      <c r="I113" s="196" t="e" cm="1">
        <f t="array" ref="I113">INDEX($I$5:$I$61,MATCH(1,(D113=$C$5:$C$61)*(A113=$B$5:$B$61),0))</f>
        <v>#N/A</v>
      </c>
      <c r="J113" s="273"/>
      <c r="K113" s="273"/>
      <c r="L113" s="272"/>
      <c r="M113" s="273"/>
      <c r="N113" s="197"/>
      <c r="O113" s="200">
        <f t="shared" si="26"/>
        <v>0</v>
      </c>
      <c r="P113" s="274"/>
      <c r="Q113" s="274"/>
      <c r="R113" s="276"/>
      <c r="S113" s="274"/>
      <c r="T113" s="197">
        <f t="shared" si="27"/>
        <v>0</v>
      </c>
      <c r="U113" s="197">
        <f t="shared" si="28"/>
        <v>0</v>
      </c>
      <c r="V113" s="197">
        <f t="shared" si="29"/>
        <v>0</v>
      </c>
      <c r="W113" s="197">
        <f t="shared" si="30"/>
        <v>0</v>
      </c>
      <c r="Z113" s="197"/>
      <c r="AA113" s="228"/>
      <c r="AB113" s="228"/>
      <c r="AD113" s="228"/>
      <c r="AE113" s="228"/>
      <c r="AF113" s="228"/>
      <c r="AG113" s="228"/>
      <c r="AH113" s="228"/>
      <c r="AI113" s="228"/>
      <c r="AJ113" s="228"/>
      <c r="AK113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198" customFormat="1" x14ac:dyDescent="0.25">
      <c r="A114" s="290" t="str">
        <f t="shared" si="24"/>
        <v>Hudson View Park</v>
      </c>
      <c r="B114" s="195">
        <f t="shared" si="31"/>
        <v>16</v>
      </c>
      <c r="C114" s="196" t="str">
        <f t="shared" si="32"/>
        <v>Occ</v>
      </c>
      <c r="D114" s="196" t="e" cm="1">
        <f t="array" ref="D114">INDEX($C$5:$C$61,MATCH(1,(K114=$D$5:$D$61)*(A114=$B$5:$B$61),0))</f>
        <v>#N/A</v>
      </c>
      <c r="E114" s="196" t="e" cm="1">
        <f t="array" ref="E114">INDEX($E$5:$E$61,MATCH(1,(D114=$C$5:$C$61)*(A114=$B$5:$B$61),0))</f>
        <v>#N/A</v>
      </c>
      <c r="F114" s="196" t="e" cm="1">
        <f t="array" ref="F114">INDEX($F$5:$F$61,MATCH(1,(D114=$C$5:$C$61)*(A114=$B$5:$B$61),0))</f>
        <v>#N/A</v>
      </c>
      <c r="G114" s="196" t="e" cm="1">
        <f t="array" ref="G114">INDEX($G$5:$G$61,MATCH(1,(D114=$C$5:$C$61)*(A114=$B$5:$B$61),0))</f>
        <v>#N/A</v>
      </c>
      <c r="H114" s="196" t="e" cm="1">
        <f t="array" ref="H114">INDEX($H$5:$H$61,MATCH(1,(D114=$C$5:$C$61)*(A114=$B$5:$B$61),0))</f>
        <v>#N/A</v>
      </c>
      <c r="I114" s="196" t="e" cm="1">
        <f t="array" ref="I114">INDEX($I$5:$I$61,MATCH(1,(D114=$C$5:$C$61)*(A114=$B$5:$B$61),0))</f>
        <v>#N/A</v>
      </c>
      <c r="J114" s="273"/>
      <c r="K114" s="273"/>
      <c r="L114" s="272"/>
      <c r="M114" s="273"/>
      <c r="N114" s="197"/>
      <c r="O114" s="200">
        <f t="shared" si="26"/>
        <v>0</v>
      </c>
      <c r="P114" s="274"/>
      <c r="Q114" s="274"/>
      <c r="R114" s="276"/>
      <c r="S114" s="274"/>
      <c r="T114" s="197">
        <f t="shared" si="27"/>
        <v>0</v>
      </c>
      <c r="U114" s="197">
        <f t="shared" si="28"/>
        <v>0</v>
      </c>
      <c r="V114" s="197">
        <f t="shared" si="29"/>
        <v>0</v>
      </c>
      <c r="W114" s="197">
        <f t="shared" si="30"/>
        <v>0</v>
      </c>
      <c r="Z114" s="197"/>
      <c r="AA114" s="228"/>
      <c r="AB114" s="228"/>
      <c r="AD114" s="228"/>
      <c r="AE114" s="228"/>
      <c r="AF114" s="228"/>
      <c r="AG114" s="228"/>
      <c r="AH114" s="228"/>
      <c r="AI114" s="228"/>
      <c r="AJ114" s="228"/>
      <c r="AK114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198" customFormat="1" x14ac:dyDescent="0.25">
      <c r="A115" s="290" t="str">
        <f t="shared" si="24"/>
        <v>Hudson View Park</v>
      </c>
      <c r="B115" s="195">
        <f t="shared" si="31"/>
        <v>17</v>
      </c>
      <c r="C115" s="196" t="str">
        <f t="shared" si="32"/>
        <v>Occ</v>
      </c>
      <c r="D115" s="196" t="e" cm="1">
        <f t="array" ref="D115">INDEX($C$5:$C$61,MATCH(1,(K115=$D$5:$D$61)*(A115=$B$5:$B$61),0))</f>
        <v>#N/A</v>
      </c>
      <c r="E115" s="196" t="e" cm="1">
        <f t="array" ref="E115">INDEX($E$5:$E$61,MATCH(1,(D115=$C$5:$C$61)*(A115=$B$5:$B$61),0))</f>
        <v>#N/A</v>
      </c>
      <c r="F115" s="196" t="e" cm="1">
        <f t="array" ref="F115">INDEX($F$5:$F$61,MATCH(1,(D115=$C$5:$C$61)*(A115=$B$5:$B$61),0))</f>
        <v>#N/A</v>
      </c>
      <c r="G115" s="196" t="e" cm="1">
        <f t="array" ref="G115">INDEX($G$5:$G$61,MATCH(1,(D115=$C$5:$C$61)*(A115=$B$5:$B$61),0))</f>
        <v>#N/A</v>
      </c>
      <c r="H115" s="196" t="e" cm="1">
        <f t="array" ref="H115">INDEX($H$5:$H$61,MATCH(1,(D115=$C$5:$C$61)*(A115=$B$5:$B$61),0))</f>
        <v>#N/A</v>
      </c>
      <c r="I115" s="196" t="e" cm="1">
        <f t="array" ref="I115">INDEX($I$5:$I$61,MATCH(1,(D115=$C$5:$C$61)*(A115=$B$5:$B$61),0))</f>
        <v>#N/A</v>
      </c>
      <c r="J115" s="273"/>
      <c r="K115" s="273"/>
      <c r="L115" s="272"/>
      <c r="M115" s="273"/>
      <c r="N115" s="197"/>
      <c r="O115" s="200">
        <f t="shared" si="26"/>
        <v>0</v>
      </c>
      <c r="P115" s="274"/>
      <c r="Q115" s="274"/>
      <c r="R115" s="276"/>
      <c r="S115" s="274"/>
      <c r="T115" s="197">
        <f t="shared" si="27"/>
        <v>0</v>
      </c>
      <c r="U115" s="197">
        <f t="shared" si="28"/>
        <v>0</v>
      </c>
      <c r="V115" s="197">
        <f t="shared" si="29"/>
        <v>0</v>
      </c>
      <c r="W115" s="197">
        <f t="shared" si="30"/>
        <v>0</v>
      </c>
      <c r="Z115" s="197"/>
      <c r="AA115" s="228"/>
      <c r="AB115" s="228"/>
      <c r="AD115" s="228"/>
      <c r="AE115" s="228"/>
      <c r="AF115" s="228"/>
      <c r="AG115" s="228"/>
      <c r="AH115" s="228"/>
      <c r="AI115" s="228"/>
      <c r="AJ115" s="228"/>
      <c r="AK115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s="198" customFormat="1" x14ac:dyDescent="0.25">
      <c r="A116" s="290" t="str">
        <f t="shared" si="24"/>
        <v>Hudson View Park</v>
      </c>
      <c r="B116" s="195">
        <f t="shared" si="31"/>
        <v>18</v>
      </c>
      <c r="C116" s="196" t="str">
        <f t="shared" si="32"/>
        <v>Occ</v>
      </c>
      <c r="D116" s="196" t="e" cm="1">
        <f t="array" ref="D116">INDEX($C$5:$C$61,MATCH(1,(K116=$D$5:$D$61)*(A116=$B$5:$B$61),0))</f>
        <v>#N/A</v>
      </c>
      <c r="E116" s="196" t="e" cm="1">
        <f t="array" ref="E116">INDEX($E$5:$E$61,MATCH(1,(D116=$C$5:$C$61)*(A116=$B$5:$B$61),0))</f>
        <v>#N/A</v>
      </c>
      <c r="F116" s="196" t="e" cm="1">
        <f t="array" ref="F116">INDEX($F$5:$F$61,MATCH(1,(D116=$C$5:$C$61)*(A116=$B$5:$B$61),0))</f>
        <v>#N/A</v>
      </c>
      <c r="G116" s="196" t="e" cm="1">
        <f t="array" ref="G116">INDEX($G$5:$G$61,MATCH(1,(D116=$C$5:$C$61)*(A116=$B$5:$B$61),0))</f>
        <v>#N/A</v>
      </c>
      <c r="H116" s="196" t="e" cm="1">
        <f t="array" ref="H116">INDEX($H$5:$H$61,MATCH(1,(D116=$C$5:$C$61)*(A116=$B$5:$B$61),0))</f>
        <v>#N/A</v>
      </c>
      <c r="I116" s="196" t="e" cm="1">
        <f t="array" ref="I116">INDEX($I$5:$I$61,MATCH(1,(D116=$C$5:$C$61)*(A116=$B$5:$B$61),0))</f>
        <v>#N/A</v>
      </c>
      <c r="J116" s="273"/>
      <c r="K116" s="273"/>
      <c r="L116" s="272"/>
      <c r="M116" s="273"/>
      <c r="N116" s="197"/>
      <c r="O116" s="200">
        <f t="shared" si="26"/>
        <v>0</v>
      </c>
      <c r="P116" s="274"/>
      <c r="Q116" s="274"/>
      <c r="R116" s="276"/>
      <c r="S116" s="274"/>
      <c r="T116" s="197">
        <f t="shared" si="27"/>
        <v>0</v>
      </c>
      <c r="U116" s="197">
        <f t="shared" si="28"/>
        <v>0</v>
      </c>
      <c r="V116" s="197">
        <f t="shared" si="29"/>
        <v>0</v>
      </c>
      <c r="W116" s="197">
        <f t="shared" si="30"/>
        <v>0</v>
      </c>
      <c r="Z116" s="197"/>
      <c r="AA116" s="228"/>
      <c r="AB116" s="228"/>
      <c r="AD116" s="228"/>
      <c r="AE116" s="228"/>
      <c r="AF116" s="228"/>
      <c r="AG116" s="228"/>
      <c r="AH116" s="228"/>
      <c r="AI116" s="228"/>
      <c r="AJ116" s="228"/>
      <c r="AK116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s="198" customFormat="1" x14ac:dyDescent="0.25">
      <c r="A117" s="290" t="str">
        <f t="shared" si="24"/>
        <v>Hudson View Park</v>
      </c>
      <c r="B117" s="195">
        <f t="shared" si="31"/>
        <v>19</v>
      </c>
      <c r="C117" s="196" t="str">
        <f t="shared" si="32"/>
        <v>Occ</v>
      </c>
      <c r="D117" s="196" t="e" cm="1">
        <f t="array" ref="D117">INDEX($C$5:$C$61,MATCH(1,(K117=$D$5:$D$61)*(A117=$B$5:$B$61),0))</f>
        <v>#N/A</v>
      </c>
      <c r="E117" s="196" t="e" cm="1">
        <f t="array" ref="E117">INDEX($E$5:$E$61,MATCH(1,(D117=$C$5:$C$61)*(A117=$B$5:$B$61),0))</f>
        <v>#N/A</v>
      </c>
      <c r="F117" s="196" t="e" cm="1">
        <f t="array" ref="F117">INDEX($F$5:$F$61,MATCH(1,(D117=$C$5:$C$61)*(A117=$B$5:$B$61),0))</f>
        <v>#N/A</v>
      </c>
      <c r="G117" s="196" t="e" cm="1">
        <f t="array" ref="G117">INDEX($G$5:$G$61,MATCH(1,(D117=$C$5:$C$61)*(A117=$B$5:$B$61),0))</f>
        <v>#N/A</v>
      </c>
      <c r="H117" s="196" t="e" cm="1">
        <f t="array" ref="H117">INDEX($H$5:$H$61,MATCH(1,(D117=$C$5:$C$61)*(A117=$B$5:$B$61),0))</f>
        <v>#N/A</v>
      </c>
      <c r="I117" s="196" t="e" cm="1">
        <f t="array" ref="I117">INDEX($I$5:$I$61,MATCH(1,(D117=$C$5:$C$61)*(A117=$B$5:$B$61),0))</f>
        <v>#N/A</v>
      </c>
      <c r="J117" s="273"/>
      <c r="K117" s="273"/>
      <c r="L117" s="272"/>
      <c r="M117" s="273"/>
      <c r="N117" s="197"/>
      <c r="O117" s="200">
        <f t="shared" si="26"/>
        <v>0</v>
      </c>
      <c r="P117" s="274"/>
      <c r="Q117" s="274"/>
      <c r="R117" s="276"/>
      <c r="S117" s="274"/>
      <c r="T117" s="197">
        <f t="shared" si="27"/>
        <v>0</v>
      </c>
      <c r="U117" s="197">
        <f t="shared" si="28"/>
        <v>0</v>
      </c>
      <c r="V117" s="197">
        <f t="shared" si="29"/>
        <v>0</v>
      </c>
      <c r="W117" s="197">
        <f t="shared" si="30"/>
        <v>0</v>
      </c>
      <c r="Z117" s="197"/>
      <c r="AA117" s="228"/>
      <c r="AB117" s="228"/>
      <c r="AD117" s="228"/>
      <c r="AE117" s="228"/>
      <c r="AF117" s="228"/>
      <c r="AG117" s="228"/>
      <c r="AH117" s="228"/>
      <c r="AI117" s="228"/>
      <c r="AJ117" s="228"/>
      <c r="AK117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s="198" customFormat="1" x14ac:dyDescent="0.25">
      <c r="A118" s="290" t="str">
        <f t="shared" si="24"/>
        <v>Hudson View Park</v>
      </c>
      <c r="B118" s="195">
        <f t="shared" si="31"/>
        <v>20</v>
      </c>
      <c r="C118" s="196" t="str">
        <f t="shared" si="32"/>
        <v>Occ</v>
      </c>
      <c r="D118" s="196" t="e" cm="1">
        <f t="array" ref="D118">INDEX($C$5:$C$61,MATCH(1,(K118=$D$5:$D$61)*(A118=$B$5:$B$61),0))</f>
        <v>#N/A</v>
      </c>
      <c r="E118" s="196" t="e" cm="1">
        <f t="array" ref="E118">INDEX($E$5:$E$61,MATCH(1,(D118=$C$5:$C$61)*(A118=$B$5:$B$61),0))</f>
        <v>#N/A</v>
      </c>
      <c r="F118" s="196" t="e" cm="1">
        <f t="array" ref="F118">INDEX($F$5:$F$61,MATCH(1,(D118=$C$5:$C$61)*(A118=$B$5:$B$61),0))</f>
        <v>#N/A</v>
      </c>
      <c r="G118" s="196" t="e" cm="1">
        <f t="array" ref="G118">INDEX($G$5:$G$61,MATCH(1,(D118=$C$5:$C$61)*(A118=$B$5:$B$61),0))</f>
        <v>#N/A</v>
      </c>
      <c r="H118" s="196" t="e" cm="1">
        <f t="array" ref="H118">INDEX($H$5:$H$61,MATCH(1,(D118=$C$5:$C$61)*(A118=$B$5:$B$61),0))</f>
        <v>#N/A</v>
      </c>
      <c r="I118" s="196" t="e" cm="1">
        <f t="array" ref="I118">INDEX($I$5:$I$61,MATCH(1,(D118=$C$5:$C$61)*(A118=$B$5:$B$61),0))</f>
        <v>#N/A</v>
      </c>
      <c r="J118" s="273"/>
      <c r="K118" s="273"/>
      <c r="L118" s="272"/>
      <c r="M118" s="273"/>
      <c r="N118" s="197"/>
      <c r="O118" s="200">
        <f t="shared" si="26"/>
        <v>0</v>
      </c>
      <c r="P118" s="274"/>
      <c r="Q118" s="274"/>
      <c r="R118" s="276"/>
      <c r="S118" s="274"/>
      <c r="T118" s="197">
        <f t="shared" si="27"/>
        <v>0</v>
      </c>
      <c r="U118" s="197">
        <f t="shared" si="28"/>
        <v>0</v>
      </c>
      <c r="V118" s="197">
        <f t="shared" si="29"/>
        <v>0</v>
      </c>
      <c r="W118" s="197">
        <f t="shared" si="30"/>
        <v>0</v>
      </c>
      <c r="Z118" s="197"/>
      <c r="AA118" s="228"/>
      <c r="AB118" s="228"/>
      <c r="AD118" s="228"/>
      <c r="AE118" s="228"/>
      <c r="AF118" s="228"/>
      <c r="AG118" s="228"/>
      <c r="AH118" s="228"/>
      <c r="AI118" s="228"/>
      <c r="AJ118" s="228"/>
      <c r="AK11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s="198" customFormat="1" x14ac:dyDescent="0.25">
      <c r="A119" s="290" t="str">
        <f t="shared" si="24"/>
        <v>Hudson View Park</v>
      </c>
      <c r="B119" s="195">
        <f t="shared" si="31"/>
        <v>21</v>
      </c>
      <c r="C119" s="196" t="str">
        <f t="shared" si="32"/>
        <v>Occ</v>
      </c>
      <c r="D119" s="196" t="e" cm="1">
        <f t="array" ref="D119">INDEX($C$5:$C$61,MATCH(1,(K119=$D$5:$D$61)*(A119=$B$5:$B$61),0))</f>
        <v>#N/A</v>
      </c>
      <c r="E119" s="196" t="e" cm="1">
        <f t="array" ref="E119">INDEX($E$5:$E$61,MATCH(1,(D119=$C$5:$C$61)*(A119=$B$5:$B$61),0))</f>
        <v>#N/A</v>
      </c>
      <c r="F119" s="196" t="e" cm="1">
        <f t="array" ref="F119">INDEX($F$5:$F$61,MATCH(1,(D119=$C$5:$C$61)*(A119=$B$5:$B$61),0))</f>
        <v>#N/A</v>
      </c>
      <c r="G119" s="196" t="e" cm="1">
        <f t="array" ref="G119">INDEX($G$5:$G$61,MATCH(1,(D119=$C$5:$C$61)*(A119=$B$5:$B$61),0))</f>
        <v>#N/A</v>
      </c>
      <c r="H119" s="196" t="e" cm="1">
        <f t="array" ref="H119">INDEX($H$5:$H$61,MATCH(1,(D119=$C$5:$C$61)*(A119=$B$5:$B$61),0))</f>
        <v>#N/A</v>
      </c>
      <c r="I119" s="196" t="e" cm="1">
        <f t="array" ref="I119">INDEX($I$5:$I$61,MATCH(1,(D119=$C$5:$C$61)*(A119=$B$5:$B$61),0))</f>
        <v>#N/A</v>
      </c>
      <c r="J119" s="273"/>
      <c r="K119" s="273"/>
      <c r="L119" s="272"/>
      <c r="M119" s="273"/>
      <c r="N119" s="197"/>
      <c r="O119" s="200">
        <f t="shared" si="26"/>
        <v>0</v>
      </c>
      <c r="P119" s="274"/>
      <c r="Q119" s="274"/>
      <c r="R119" s="276"/>
      <c r="S119" s="274"/>
      <c r="T119" s="197">
        <f t="shared" si="27"/>
        <v>0</v>
      </c>
      <c r="U119" s="197">
        <f t="shared" si="28"/>
        <v>0</v>
      </c>
      <c r="V119" s="197">
        <f t="shared" si="29"/>
        <v>0</v>
      </c>
      <c r="W119" s="197">
        <f t="shared" si="30"/>
        <v>0</v>
      </c>
      <c r="Z119" s="197"/>
      <c r="AA119" s="228"/>
      <c r="AB119" s="228"/>
      <c r="AD119" s="228"/>
      <c r="AE119" s="228"/>
      <c r="AF119" s="228"/>
      <c r="AG119" s="228"/>
      <c r="AH119" s="228"/>
      <c r="AI119" s="228"/>
      <c r="AJ119" s="228"/>
      <c r="AK119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s="198" customFormat="1" x14ac:dyDescent="0.25">
      <c r="A120" s="290" t="str">
        <f t="shared" si="24"/>
        <v>Hudson View Park</v>
      </c>
      <c r="B120" s="195">
        <f t="shared" si="31"/>
        <v>22</v>
      </c>
      <c r="C120" s="196" t="str">
        <f t="shared" si="32"/>
        <v>Occ</v>
      </c>
      <c r="D120" s="196" t="e" cm="1">
        <f t="array" ref="D120">INDEX($C$5:$C$61,MATCH(1,(K120=$D$5:$D$61)*(A120=$B$5:$B$61),0))</f>
        <v>#N/A</v>
      </c>
      <c r="E120" s="196" t="e" cm="1">
        <f t="array" ref="E120">INDEX($E$5:$E$61,MATCH(1,(D120=$C$5:$C$61)*(A120=$B$5:$B$61),0))</f>
        <v>#N/A</v>
      </c>
      <c r="F120" s="196" t="e" cm="1">
        <f t="array" ref="F120">INDEX($F$5:$F$61,MATCH(1,(D120=$C$5:$C$61)*(A120=$B$5:$B$61),0))</f>
        <v>#N/A</v>
      </c>
      <c r="G120" s="196" t="e" cm="1">
        <f t="array" ref="G120">INDEX($G$5:$G$61,MATCH(1,(D120=$C$5:$C$61)*(A120=$B$5:$B$61),0))</f>
        <v>#N/A</v>
      </c>
      <c r="H120" s="196" t="e" cm="1">
        <f t="array" ref="H120">INDEX($H$5:$H$61,MATCH(1,(D120=$C$5:$C$61)*(A120=$B$5:$B$61),0))</f>
        <v>#N/A</v>
      </c>
      <c r="I120" s="196" t="e" cm="1">
        <f t="array" ref="I120">INDEX($I$5:$I$61,MATCH(1,(D120=$C$5:$C$61)*(A120=$B$5:$B$61),0))</f>
        <v>#N/A</v>
      </c>
      <c r="J120" s="273"/>
      <c r="K120" s="273"/>
      <c r="L120" s="272"/>
      <c r="M120" s="273"/>
      <c r="N120" s="197"/>
      <c r="O120" s="200">
        <f t="shared" si="26"/>
        <v>0</v>
      </c>
      <c r="P120" s="274"/>
      <c r="Q120" s="274"/>
      <c r="R120" s="276"/>
      <c r="S120" s="274"/>
      <c r="T120" s="197">
        <f t="shared" si="27"/>
        <v>0</v>
      </c>
      <c r="U120" s="197">
        <f t="shared" si="28"/>
        <v>0</v>
      </c>
      <c r="V120" s="197">
        <f t="shared" si="29"/>
        <v>0</v>
      </c>
      <c r="W120" s="197">
        <f t="shared" si="30"/>
        <v>0</v>
      </c>
      <c r="Z120" s="197"/>
      <c r="AA120" s="228"/>
      <c r="AB120" s="228"/>
      <c r="AD120" s="228"/>
      <c r="AE120" s="228"/>
      <c r="AF120" s="228"/>
      <c r="AG120" s="228"/>
      <c r="AH120" s="228"/>
      <c r="AI120" s="228"/>
      <c r="AJ120" s="228"/>
      <c r="AK120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s="198" customFormat="1" x14ac:dyDescent="0.25">
      <c r="A121" s="290" t="str">
        <f t="shared" si="24"/>
        <v>Hudson View Park</v>
      </c>
      <c r="B121" s="195">
        <f t="shared" si="31"/>
        <v>23</v>
      </c>
      <c r="C121" s="196" t="str">
        <f t="shared" si="32"/>
        <v>Occ</v>
      </c>
      <c r="D121" s="196" t="e" cm="1">
        <f t="array" ref="D121">INDEX($C$5:$C$61,MATCH(1,(K121=$D$5:$D$61)*(A121=$B$5:$B$61),0))</f>
        <v>#N/A</v>
      </c>
      <c r="E121" s="196" t="e" cm="1">
        <f t="array" ref="E121">INDEX($E$5:$E$61,MATCH(1,(D121=$C$5:$C$61)*(A121=$B$5:$B$61),0))</f>
        <v>#N/A</v>
      </c>
      <c r="F121" s="196" t="e" cm="1">
        <f t="array" ref="F121">INDEX($F$5:$F$61,MATCH(1,(D121=$C$5:$C$61)*(A121=$B$5:$B$61),0))</f>
        <v>#N/A</v>
      </c>
      <c r="G121" s="196" t="e" cm="1">
        <f t="array" ref="G121">INDEX($G$5:$G$61,MATCH(1,(D121=$C$5:$C$61)*(A121=$B$5:$B$61),0))</f>
        <v>#N/A</v>
      </c>
      <c r="H121" s="196" t="e" cm="1">
        <f t="array" ref="H121">INDEX($H$5:$H$61,MATCH(1,(D121=$C$5:$C$61)*(A121=$B$5:$B$61),0))</f>
        <v>#N/A</v>
      </c>
      <c r="I121" s="196" t="e" cm="1">
        <f t="array" ref="I121">INDEX($I$5:$I$61,MATCH(1,(D121=$C$5:$C$61)*(A121=$B$5:$B$61),0))</f>
        <v>#N/A</v>
      </c>
      <c r="J121" s="273"/>
      <c r="K121" s="273"/>
      <c r="L121" s="272"/>
      <c r="M121" s="273"/>
      <c r="N121" s="197"/>
      <c r="O121" s="200">
        <f t="shared" si="26"/>
        <v>0</v>
      </c>
      <c r="P121" s="274"/>
      <c r="Q121" s="274"/>
      <c r="R121" s="276"/>
      <c r="S121" s="274"/>
      <c r="T121" s="197">
        <f t="shared" si="27"/>
        <v>0</v>
      </c>
      <c r="U121" s="197">
        <f t="shared" si="28"/>
        <v>0</v>
      </c>
      <c r="V121" s="197">
        <f t="shared" si="29"/>
        <v>0</v>
      </c>
      <c r="W121" s="197">
        <f t="shared" si="30"/>
        <v>0</v>
      </c>
      <c r="Z121" s="197"/>
      <c r="AA121" s="228"/>
      <c r="AB121" s="228"/>
      <c r="AD121" s="228"/>
      <c r="AE121" s="228"/>
      <c r="AF121" s="228"/>
      <c r="AG121" s="228"/>
      <c r="AH121" s="228"/>
      <c r="AI121" s="228"/>
      <c r="AJ121" s="228"/>
      <c r="AK121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s="198" customFormat="1" x14ac:dyDescent="0.25">
      <c r="A122" s="290" t="str">
        <f t="shared" si="24"/>
        <v>Hudson View Park</v>
      </c>
      <c r="B122" s="195">
        <f t="shared" si="31"/>
        <v>24</v>
      </c>
      <c r="C122" s="196" t="str">
        <f t="shared" si="32"/>
        <v>Occ</v>
      </c>
      <c r="D122" s="196" t="e" cm="1">
        <f t="array" ref="D122">INDEX($C$5:$C$61,MATCH(1,(K122=$D$5:$D$61)*(A122=$B$5:$B$61),0))</f>
        <v>#N/A</v>
      </c>
      <c r="E122" s="196" t="e" cm="1">
        <f t="array" ref="E122">INDEX($E$5:$E$61,MATCH(1,(D122=$C$5:$C$61)*(A122=$B$5:$B$61),0))</f>
        <v>#N/A</v>
      </c>
      <c r="F122" s="196" t="e" cm="1">
        <f t="array" ref="F122">INDEX($F$5:$F$61,MATCH(1,(D122=$C$5:$C$61)*(A122=$B$5:$B$61),0))</f>
        <v>#N/A</v>
      </c>
      <c r="G122" s="196" t="e" cm="1">
        <f t="array" ref="G122">INDEX($G$5:$G$61,MATCH(1,(D122=$C$5:$C$61)*(A122=$B$5:$B$61),0))</f>
        <v>#N/A</v>
      </c>
      <c r="H122" s="196" t="e" cm="1">
        <f t="array" ref="H122">INDEX($H$5:$H$61,MATCH(1,(D122=$C$5:$C$61)*(A122=$B$5:$B$61),0))</f>
        <v>#N/A</v>
      </c>
      <c r="I122" s="196" t="e" cm="1">
        <f t="array" ref="I122">INDEX($I$5:$I$61,MATCH(1,(D122=$C$5:$C$61)*(A122=$B$5:$B$61),0))</f>
        <v>#N/A</v>
      </c>
      <c r="J122" s="273"/>
      <c r="K122" s="273"/>
      <c r="L122" s="272"/>
      <c r="M122" s="273"/>
      <c r="N122" s="197"/>
      <c r="O122" s="200">
        <f t="shared" si="26"/>
        <v>0</v>
      </c>
      <c r="P122" s="274"/>
      <c r="Q122" s="274"/>
      <c r="R122" s="276"/>
      <c r="S122" s="274"/>
      <c r="T122" s="197">
        <f t="shared" si="27"/>
        <v>0</v>
      </c>
      <c r="U122" s="197">
        <f t="shared" si="28"/>
        <v>0</v>
      </c>
      <c r="V122" s="197">
        <f t="shared" si="29"/>
        <v>0</v>
      </c>
      <c r="W122" s="197">
        <f t="shared" si="30"/>
        <v>0</v>
      </c>
      <c r="Z122" s="197"/>
      <c r="AA122" s="228"/>
      <c r="AB122" s="228"/>
      <c r="AD122" s="228"/>
      <c r="AE122" s="228"/>
      <c r="AF122" s="228"/>
      <c r="AG122" s="228"/>
      <c r="AH122" s="228"/>
      <c r="AI122" s="228"/>
      <c r="AJ122" s="228"/>
      <c r="AK122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s="198" customFormat="1" x14ac:dyDescent="0.25">
      <c r="A123" s="290" t="str">
        <f t="shared" si="24"/>
        <v>Hudson View Park</v>
      </c>
      <c r="B123" s="195">
        <f t="shared" si="31"/>
        <v>25</v>
      </c>
      <c r="C123" s="196" t="str">
        <f t="shared" si="32"/>
        <v>Occ</v>
      </c>
      <c r="D123" s="196" t="e" cm="1">
        <f t="array" ref="D123">INDEX($C$5:$C$61,MATCH(1,(K123=$D$5:$D$61)*(A123=$B$5:$B$61),0))</f>
        <v>#N/A</v>
      </c>
      <c r="E123" s="196" t="e" cm="1">
        <f t="array" ref="E123">INDEX($E$5:$E$61,MATCH(1,(D123=$C$5:$C$61)*(A123=$B$5:$B$61),0))</f>
        <v>#N/A</v>
      </c>
      <c r="F123" s="196" t="e" cm="1">
        <f t="array" ref="F123">INDEX($F$5:$F$61,MATCH(1,(D123=$C$5:$C$61)*(A123=$B$5:$B$61),0))</f>
        <v>#N/A</v>
      </c>
      <c r="G123" s="196" t="e" cm="1">
        <f t="array" ref="G123">INDEX($G$5:$G$61,MATCH(1,(D123=$C$5:$C$61)*(A123=$B$5:$B$61),0))</f>
        <v>#N/A</v>
      </c>
      <c r="H123" s="196" t="e" cm="1">
        <f t="array" ref="H123">INDEX($H$5:$H$61,MATCH(1,(D123=$C$5:$C$61)*(A123=$B$5:$B$61),0))</f>
        <v>#N/A</v>
      </c>
      <c r="I123" s="196" t="e" cm="1">
        <f t="array" ref="I123">INDEX($I$5:$I$61,MATCH(1,(D123=$C$5:$C$61)*(A123=$B$5:$B$61),0))</f>
        <v>#N/A</v>
      </c>
      <c r="J123" s="273"/>
      <c r="K123" s="273"/>
      <c r="L123" s="272"/>
      <c r="M123" s="273"/>
      <c r="N123" s="197"/>
      <c r="O123" s="200">
        <f t="shared" si="26"/>
        <v>0</v>
      </c>
      <c r="P123" s="274"/>
      <c r="Q123" s="274"/>
      <c r="R123" s="276"/>
      <c r="S123" s="274"/>
      <c r="T123" s="197">
        <f t="shared" si="27"/>
        <v>0</v>
      </c>
      <c r="U123" s="197">
        <f t="shared" si="28"/>
        <v>0</v>
      </c>
      <c r="V123" s="197">
        <f t="shared" si="29"/>
        <v>0</v>
      </c>
      <c r="W123" s="197">
        <f t="shared" si="30"/>
        <v>0</v>
      </c>
      <c r="Z123" s="197"/>
      <c r="AA123" s="228"/>
      <c r="AB123" s="228"/>
      <c r="AD123" s="228"/>
      <c r="AE123" s="228"/>
      <c r="AF123" s="228"/>
      <c r="AG123" s="228"/>
      <c r="AH123" s="228"/>
      <c r="AI123" s="228"/>
      <c r="AJ123" s="228"/>
      <c r="AK123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s="198" customFormat="1" x14ac:dyDescent="0.25">
      <c r="A124" s="290" t="str">
        <f t="shared" si="24"/>
        <v>Hudson View Park</v>
      </c>
      <c r="B124" s="195">
        <f t="shared" si="31"/>
        <v>26</v>
      </c>
      <c r="C124" s="196" t="str">
        <f t="shared" si="32"/>
        <v>Occ</v>
      </c>
      <c r="D124" s="196" t="e" cm="1">
        <f t="array" ref="D124">INDEX($C$5:$C$61,MATCH(1,(K124=$D$5:$D$61)*(A124=$B$5:$B$61),0))</f>
        <v>#N/A</v>
      </c>
      <c r="E124" s="196" t="e" cm="1">
        <f t="array" ref="E124">INDEX($E$5:$E$61,MATCH(1,(D124=$C$5:$C$61)*(A124=$B$5:$B$61),0))</f>
        <v>#N/A</v>
      </c>
      <c r="F124" s="196" t="e" cm="1">
        <f t="array" ref="F124">INDEX($F$5:$F$61,MATCH(1,(D124=$C$5:$C$61)*(A124=$B$5:$B$61),0))</f>
        <v>#N/A</v>
      </c>
      <c r="G124" s="196" t="e" cm="1">
        <f t="array" ref="G124">INDEX($G$5:$G$61,MATCH(1,(D124=$C$5:$C$61)*(A124=$B$5:$B$61),0))</f>
        <v>#N/A</v>
      </c>
      <c r="H124" s="196" t="e" cm="1">
        <f t="array" ref="H124">INDEX($H$5:$H$61,MATCH(1,(D124=$C$5:$C$61)*(A124=$B$5:$B$61),0))</f>
        <v>#N/A</v>
      </c>
      <c r="I124" s="196" t="e" cm="1">
        <f t="array" ref="I124">INDEX($I$5:$I$61,MATCH(1,(D124=$C$5:$C$61)*(A124=$B$5:$B$61),0))</f>
        <v>#N/A</v>
      </c>
      <c r="J124" s="273"/>
      <c r="K124" s="273"/>
      <c r="L124" s="272"/>
      <c r="M124" s="273"/>
      <c r="N124" s="197"/>
      <c r="O124" s="200">
        <f t="shared" si="26"/>
        <v>0</v>
      </c>
      <c r="P124" s="274"/>
      <c r="Q124" s="274"/>
      <c r="R124" s="276"/>
      <c r="S124" s="274"/>
      <c r="T124" s="197">
        <f t="shared" si="27"/>
        <v>0</v>
      </c>
      <c r="U124" s="197">
        <f t="shared" si="28"/>
        <v>0</v>
      </c>
      <c r="V124" s="197">
        <f t="shared" si="29"/>
        <v>0</v>
      </c>
      <c r="W124" s="197">
        <f t="shared" si="30"/>
        <v>0</v>
      </c>
      <c r="Z124" s="197"/>
      <c r="AA124" s="228"/>
      <c r="AB124" s="228"/>
      <c r="AD124" s="228"/>
      <c r="AE124" s="228"/>
      <c r="AF124" s="228"/>
      <c r="AG124" s="228"/>
      <c r="AH124" s="228"/>
      <c r="AI124" s="228"/>
      <c r="AJ124" s="228"/>
      <c r="AK124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s="198" customFormat="1" x14ac:dyDescent="0.25">
      <c r="A125" s="290" t="str">
        <f t="shared" si="24"/>
        <v>Hudson View Park</v>
      </c>
      <c r="B125" s="195">
        <f t="shared" si="31"/>
        <v>27</v>
      </c>
      <c r="C125" s="196" t="str">
        <f t="shared" si="32"/>
        <v>Occ</v>
      </c>
      <c r="D125" s="196" t="e" cm="1">
        <f t="array" ref="D125">INDEX($C$5:$C$61,MATCH(1,(K125=$D$5:$D$61)*(A125=$B$5:$B$61),0))</f>
        <v>#N/A</v>
      </c>
      <c r="E125" s="196" t="e" cm="1">
        <f t="array" ref="E125">INDEX($E$5:$E$61,MATCH(1,(D125=$C$5:$C$61)*(A125=$B$5:$B$61),0))</f>
        <v>#N/A</v>
      </c>
      <c r="F125" s="196" t="e" cm="1">
        <f t="array" ref="F125">INDEX($F$5:$F$61,MATCH(1,(D125=$C$5:$C$61)*(A125=$B$5:$B$61),0))</f>
        <v>#N/A</v>
      </c>
      <c r="G125" s="196" t="e" cm="1">
        <f t="array" ref="G125">INDEX($G$5:$G$61,MATCH(1,(D125=$C$5:$C$61)*(A125=$B$5:$B$61),0))</f>
        <v>#N/A</v>
      </c>
      <c r="H125" s="196" t="e" cm="1">
        <f t="array" ref="H125">INDEX($H$5:$H$61,MATCH(1,(D125=$C$5:$C$61)*(A125=$B$5:$B$61),0))</f>
        <v>#N/A</v>
      </c>
      <c r="I125" s="196" t="e" cm="1">
        <f t="array" ref="I125">INDEX($I$5:$I$61,MATCH(1,(D125=$C$5:$C$61)*(A125=$B$5:$B$61),0))</f>
        <v>#N/A</v>
      </c>
      <c r="J125" s="273"/>
      <c r="K125" s="273"/>
      <c r="L125" s="272"/>
      <c r="M125" s="273"/>
      <c r="N125" s="197"/>
      <c r="O125" s="200">
        <f t="shared" si="26"/>
        <v>0</v>
      </c>
      <c r="P125" s="274"/>
      <c r="Q125" s="274"/>
      <c r="R125" s="276"/>
      <c r="S125" s="274"/>
      <c r="T125" s="197">
        <f t="shared" si="27"/>
        <v>0</v>
      </c>
      <c r="U125" s="197">
        <f t="shared" si="28"/>
        <v>0</v>
      </c>
      <c r="V125" s="197">
        <f t="shared" si="29"/>
        <v>0</v>
      </c>
      <c r="W125" s="197">
        <f t="shared" si="30"/>
        <v>0</v>
      </c>
      <c r="Z125" s="197"/>
      <c r="AA125" s="228"/>
      <c r="AB125" s="228"/>
      <c r="AD125" s="228"/>
      <c r="AE125" s="228"/>
      <c r="AF125" s="228"/>
      <c r="AG125" s="228"/>
      <c r="AH125" s="228"/>
      <c r="AI125" s="228"/>
      <c r="AJ125" s="228"/>
      <c r="AK125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s="198" customFormat="1" x14ac:dyDescent="0.25">
      <c r="A126" s="290" t="str">
        <f t="shared" si="24"/>
        <v>Hudson View Park</v>
      </c>
      <c r="B126" s="195">
        <f t="shared" si="31"/>
        <v>28</v>
      </c>
      <c r="C126" s="196" t="str">
        <f t="shared" si="32"/>
        <v>Occ</v>
      </c>
      <c r="D126" s="196" t="e" cm="1">
        <f t="array" ref="D126">INDEX($C$5:$C$61,MATCH(1,(K126=$D$5:$D$61)*(A126=$B$5:$B$61),0))</f>
        <v>#N/A</v>
      </c>
      <c r="E126" s="196" t="e" cm="1">
        <f t="array" ref="E126">INDEX($E$5:$E$61,MATCH(1,(D126=$C$5:$C$61)*(A126=$B$5:$B$61),0))</f>
        <v>#N/A</v>
      </c>
      <c r="F126" s="196" t="e" cm="1">
        <f t="array" ref="F126">INDEX($F$5:$F$61,MATCH(1,(D126=$C$5:$C$61)*(A126=$B$5:$B$61),0))</f>
        <v>#N/A</v>
      </c>
      <c r="G126" s="196" t="e" cm="1">
        <f t="array" ref="G126">INDEX($G$5:$G$61,MATCH(1,(D126=$C$5:$C$61)*(A126=$B$5:$B$61),0))</f>
        <v>#N/A</v>
      </c>
      <c r="H126" s="196" t="e" cm="1">
        <f t="array" ref="H126">INDEX($H$5:$H$61,MATCH(1,(D126=$C$5:$C$61)*(A126=$B$5:$B$61),0))</f>
        <v>#N/A</v>
      </c>
      <c r="I126" s="196" t="e" cm="1">
        <f t="array" ref="I126">INDEX($I$5:$I$61,MATCH(1,(D126=$C$5:$C$61)*(A126=$B$5:$B$61),0))</f>
        <v>#N/A</v>
      </c>
      <c r="J126" s="273"/>
      <c r="K126" s="273"/>
      <c r="L126" s="272"/>
      <c r="M126" s="273"/>
      <c r="N126" s="197"/>
      <c r="O126" s="200">
        <f t="shared" si="26"/>
        <v>0</v>
      </c>
      <c r="P126" s="274"/>
      <c r="Q126" s="274"/>
      <c r="R126" s="276"/>
      <c r="S126" s="274"/>
      <c r="T126" s="197">
        <f t="shared" si="27"/>
        <v>0</v>
      </c>
      <c r="U126" s="197">
        <f t="shared" si="28"/>
        <v>0</v>
      </c>
      <c r="V126" s="197">
        <f t="shared" si="29"/>
        <v>0</v>
      </c>
      <c r="W126" s="197">
        <f t="shared" si="30"/>
        <v>0</v>
      </c>
      <c r="Z126" s="197"/>
      <c r="AA126" s="228"/>
      <c r="AB126" s="228"/>
      <c r="AD126" s="228"/>
      <c r="AE126" s="228"/>
      <c r="AF126" s="228"/>
      <c r="AG126" s="228"/>
      <c r="AH126" s="228"/>
      <c r="AI126" s="228"/>
      <c r="AJ126" s="228"/>
      <c r="AK126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s="198" customFormat="1" x14ac:dyDescent="0.25">
      <c r="A127" s="290" t="str">
        <f t="shared" si="24"/>
        <v>Hudson View Park</v>
      </c>
      <c r="B127" s="195">
        <f t="shared" si="31"/>
        <v>29</v>
      </c>
      <c r="C127" s="196" t="str">
        <f t="shared" si="32"/>
        <v>Occ</v>
      </c>
      <c r="D127" s="196" t="e" cm="1">
        <f t="array" ref="D127">INDEX($C$5:$C$61,MATCH(1,(K127=$D$5:$D$61)*(A127=$B$5:$B$61),0))</f>
        <v>#N/A</v>
      </c>
      <c r="E127" s="196" t="e" cm="1">
        <f t="array" ref="E127">INDEX($E$5:$E$61,MATCH(1,(D127=$C$5:$C$61)*(A127=$B$5:$B$61),0))</f>
        <v>#N/A</v>
      </c>
      <c r="F127" s="196" t="e" cm="1">
        <f t="array" ref="F127">INDEX($F$5:$F$61,MATCH(1,(D127=$C$5:$C$61)*(A127=$B$5:$B$61),0))</f>
        <v>#N/A</v>
      </c>
      <c r="G127" s="196" t="e" cm="1">
        <f t="array" ref="G127">INDEX($G$5:$G$61,MATCH(1,(D127=$C$5:$C$61)*(A127=$B$5:$B$61),0))</f>
        <v>#N/A</v>
      </c>
      <c r="H127" s="196" t="e" cm="1">
        <f t="array" ref="H127">INDEX($H$5:$H$61,MATCH(1,(D127=$C$5:$C$61)*(A127=$B$5:$B$61),0))</f>
        <v>#N/A</v>
      </c>
      <c r="I127" s="196" t="e" cm="1">
        <f t="array" ref="I127">INDEX($I$5:$I$61,MATCH(1,(D127=$C$5:$C$61)*(A127=$B$5:$B$61),0))</f>
        <v>#N/A</v>
      </c>
      <c r="J127" s="273"/>
      <c r="K127" s="273"/>
      <c r="L127" s="272"/>
      <c r="M127" s="273"/>
      <c r="N127" s="197"/>
      <c r="O127" s="200">
        <f t="shared" si="26"/>
        <v>0</v>
      </c>
      <c r="P127" s="274"/>
      <c r="Q127" s="274"/>
      <c r="R127" s="276"/>
      <c r="S127" s="274"/>
      <c r="T127" s="197">
        <f t="shared" si="27"/>
        <v>0</v>
      </c>
      <c r="U127" s="197">
        <f t="shared" si="28"/>
        <v>0</v>
      </c>
      <c r="V127" s="197">
        <f t="shared" si="29"/>
        <v>0</v>
      </c>
      <c r="W127" s="197">
        <f t="shared" si="30"/>
        <v>0</v>
      </c>
      <c r="Z127" s="197"/>
      <c r="AA127" s="228"/>
      <c r="AB127" s="228"/>
      <c r="AD127" s="228"/>
      <c r="AE127" s="228"/>
      <c r="AF127" s="228"/>
      <c r="AG127" s="228"/>
      <c r="AH127" s="228"/>
      <c r="AI127" s="228"/>
      <c r="AJ127" s="228"/>
      <c r="AK127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s="198" customFormat="1" x14ac:dyDescent="0.25">
      <c r="A128" s="290" t="str">
        <f t="shared" si="24"/>
        <v>Hudson View Park</v>
      </c>
      <c r="B128" s="195">
        <f t="shared" si="31"/>
        <v>30</v>
      </c>
      <c r="C128" s="196" t="str">
        <f t="shared" si="32"/>
        <v>Occ</v>
      </c>
      <c r="D128" s="196" t="e" cm="1">
        <f t="array" ref="D128">INDEX($C$5:$C$61,MATCH(1,(K128=$D$5:$D$61)*(A128=$B$5:$B$61),0))</f>
        <v>#N/A</v>
      </c>
      <c r="E128" s="196" t="e" cm="1">
        <f t="array" ref="E128">INDEX($E$5:$E$61,MATCH(1,(D128=$C$5:$C$61)*(A128=$B$5:$B$61),0))</f>
        <v>#N/A</v>
      </c>
      <c r="F128" s="196" t="e" cm="1">
        <f t="array" ref="F128">INDEX($F$5:$F$61,MATCH(1,(D128=$C$5:$C$61)*(A128=$B$5:$B$61),0))</f>
        <v>#N/A</v>
      </c>
      <c r="G128" s="196" t="e" cm="1">
        <f t="array" ref="G128">INDEX($G$5:$G$61,MATCH(1,(D128=$C$5:$C$61)*(A128=$B$5:$B$61),0))</f>
        <v>#N/A</v>
      </c>
      <c r="H128" s="196" t="e" cm="1">
        <f t="array" ref="H128">INDEX($H$5:$H$61,MATCH(1,(D128=$C$5:$C$61)*(A128=$B$5:$B$61),0))</f>
        <v>#N/A</v>
      </c>
      <c r="I128" s="196" t="e" cm="1">
        <f t="array" ref="I128">INDEX($I$5:$I$61,MATCH(1,(D128=$C$5:$C$61)*(A128=$B$5:$B$61),0))</f>
        <v>#N/A</v>
      </c>
      <c r="J128" s="273"/>
      <c r="K128" s="273"/>
      <c r="L128" s="272"/>
      <c r="M128" s="273"/>
      <c r="N128" s="197"/>
      <c r="O128" s="200">
        <f t="shared" si="26"/>
        <v>0</v>
      </c>
      <c r="P128" s="274"/>
      <c r="Q128" s="274"/>
      <c r="R128" s="276"/>
      <c r="S128" s="274"/>
      <c r="T128" s="197">
        <f t="shared" si="27"/>
        <v>0</v>
      </c>
      <c r="U128" s="197">
        <f t="shared" si="28"/>
        <v>0</v>
      </c>
      <c r="V128" s="197">
        <f t="shared" si="29"/>
        <v>0</v>
      </c>
      <c r="W128" s="197">
        <f t="shared" si="30"/>
        <v>0</v>
      </c>
      <c r="Z128" s="197"/>
      <c r="AA128" s="228"/>
      <c r="AB128" s="228"/>
      <c r="AD128" s="228"/>
      <c r="AE128" s="228"/>
      <c r="AF128" s="228"/>
      <c r="AG128" s="228"/>
      <c r="AH128" s="228"/>
      <c r="AI128" s="228"/>
      <c r="AJ128" s="228"/>
      <c r="AK1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s="198" customFormat="1" x14ac:dyDescent="0.25">
      <c r="A129" s="290" t="str">
        <f t="shared" si="24"/>
        <v>Hudson View Park</v>
      </c>
      <c r="B129" s="195">
        <f t="shared" si="31"/>
        <v>31</v>
      </c>
      <c r="C129" s="196" t="str">
        <f t="shared" si="32"/>
        <v>Occ</v>
      </c>
      <c r="D129" s="196" t="e" cm="1">
        <f t="array" ref="D129">INDEX($C$5:$C$61,MATCH(1,(K129=$D$5:$D$61)*(A129=$B$5:$B$61),0))</f>
        <v>#N/A</v>
      </c>
      <c r="E129" s="196" t="e" cm="1">
        <f t="array" ref="E129">INDEX($E$5:$E$61,MATCH(1,(D129=$C$5:$C$61)*(A129=$B$5:$B$61),0))</f>
        <v>#N/A</v>
      </c>
      <c r="F129" s="196" t="e" cm="1">
        <f t="array" ref="F129">INDEX($F$5:$F$61,MATCH(1,(D129=$C$5:$C$61)*(A129=$B$5:$B$61),0))</f>
        <v>#N/A</v>
      </c>
      <c r="G129" s="196" t="e" cm="1">
        <f t="array" ref="G129">INDEX($G$5:$G$61,MATCH(1,(D129=$C$5:$C$61)*(A129=$B$5:$B$61),0))</f>
        <v>#N/A</v>
      </c>
      <c r="H129" s="196" t="e" cm="1">
        <f t="array" ref="H129">INDEX($H$5:$H$61,MATCH(1,(D129=$C$5:$C$61)*(A129=$B$5:$B$61),0))</f>
        <v>#N/A</v>
      </c>
      <c r="I129" s="196" t="e" cm="1">
        <f t="array" ref="I129">INDEX($I$5:$I$61,MATCH(1,(D129=$C$5:$C$61)*(A129=$B$5:$B$61),0))</f>
        <v>#N/A</v>
      </c>
      <c r="J129" s="273"/>
      <c r="K129" s="273"/>
      <c r="L129" s="272"/>
      <c r="M129" s="273"/>
      <c r="N129" s="197"/>
      <c r="O129" s="200">
        <f t="shared" si="26"/>
        <v>0</v>
      </c>
      <c r="P129" s="274"/>
      <c r="Q129" s="274"/>
      <c r="R129" s="276"/>
      <c r="S129" s="274"/>
      <c r="T129" s="197">
        <f t="shared" si="27"/>
        <v>0</v>
      </c>
      <c r="U129" s="197">
        <f t="shared" si="28"/>
        <v>0</v>
      </c>
      <c r="V129" s="197">
        <f t="shared" si="29"/>
        <v>0</v>
      </c>
      <c r="W129" s="197">
        <f t="shared" si="30"/>
        <v>0</v>
      </c>
      <c r="Z129" s="197"/>
      <c r="AA129" s="228"/>
      <c r="AB129" s="228"/>
      <c r="AD129" s="228"/>
      <c r="AE129" s="228"/>
      <c r="AF129" s="228"/>
      <c r="AG129" s="228"/>
      <c r="AH129" s="228"/>
      <c r="AI129" s="228"/>
      <c r="AJ129" s="228"/>
      <c r="AK129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s="198" customFormat="1" x14ac:dyDescent="0.25">
      <c r="A130" s="290" t="str">
        <f t="shared" ref="A130:A161" si="33">$C$67</f>
        <v>Hudson View Park</v>
      </c>
      <c r="B130" s="195">
        <f t="shared" si="31"/>
        <v>32</v>
      </c>
      <c r="C130" s="196" t="str">
        <f t="shared" si="32"/>
        <v>Occ</v>
      </c>
      <c r="D130" s="196" t="e" cm="1">
        <f t="array" ref="D130">INDEX($C$5:$C$61,MATCH(1,(K130=$D$5:$D$61)*(A130=$B$5:$B$61),0))</f>
        <v>#N/A</v>
      </c>
      <c r="E130" s="196" t="e" cm="1">
        <f t="array" ref="E130">INDEX($E$5:$E$61,MATCH(1,(D130=$C$5:$C$61)*(A130=$B$5:$B$61),0))</f>
        <v>#N/A</v>
      </c>
      <c r="F130" s="196" t="e" cm="1">
        <f t="array" ref="F130">INDEX($F$5:$F$61,MATCH(1,(D130=$C$5:$C$61)*(A130=$B$5:$B$61),0))</f>
        <v>#N/A</v>
      </c>
      <c r="G130" s="196" t="e" cm="1">
        <f t="array" ref="G130">INDEX($G$5:$G$61,MATCH(1,(D130=$C$5:$C$61)*(A130=$B$5:$B$61),0))</f>
        <v>#N/A</v>
      </c>
      <c r="H130" s="196" t="e" cm="1">
        <f t="array" ref="H130">INDEX($H$5:$H$61,MATCH(1,(D130=$C$5:$C$61)*(A130=$B$5:$B$61),0))</f>
        <v>#N/A</v>
      </c>
      <c r="I130" s="196" t="e" cm="1">
        <f t="array" ref="I130">INDEX($I$5:$I$61,MATCH(1,(D130=$C$5:$C$61)*(A130=$B$5:$B$61),0))</f>
        <v>#N/A</v>
      </c>
      <c r="J130" s="273"/>
      <c r="K130" s="273"/>
      <c r="L130" s="272"/>
      <c r="M130" s="273"/>
      <c r="N130" s="197"/>
      <c r="O130" s="200">
        <f t="shared" si="26"/>
        <v>0</v>
      </c>
      <c r="P130" s="274"/>
      <c r="Q130" s="274"/>
      <c r="R130" s="276"/>
      <c r="S130" s="274"/>
      <c r="T130" s="197">
        <f t="shared" si="27"/>
        <v>0</v>
      </c>
      <c r="U130" s="197">
        <f t="shared" si="28"/>
        <v>0</v>
      </c>
      <c r="V130" s="197">
        <f t="shared" si="29"/>
        <v>0</v>
      </c>
      <c r="W130" s="197">
        <f t="shared" si="30"/>
        <v>0</v>
      </c>
      <c r="Z130" s="197"/>
      <c r="AA130" s="228"/>
      <c r="AB130" s="228"/>
      <c r="AD130" s="228"/>
      <c r="AE130" s="228"/>
      <c r="AF130" s="228"/>
      <c r="AG130" s="228"/>
      <c r="AH130" s="228"/>
      <c r="AI130" s="228"/>
      <c r="AJ130" s="228"/>
      <c r="AK130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s="198" customFormat="1" x14ac:dyDescent="0.25">
      <c r="A131" s="290" t="str">
        <f t="shared" si="33"/>
        <v>Hudson View Park</v>
      </c>
      <c r="B131" s="195">
        <f t="shared" si="31"/>
        <v>33</v>
      </c>
      <c r="C131" s="196" t="str">
        <f t="shared" si="32"/>
        <v>Occ</v>
      </c>
      <c r="D131" s="196" t="e" cm="1">
        <f t="array" ref="D131">INDEX($C$5:$C$61,MATCH(1,(K131=$D$5:$D$61)*(A131=$B$5:$B$61),0))</f>
        <v>#N/A</v>
      </c>
      <c r="E131" s="196" t="e" cm="1">
        <f t="array" ref="E131">INDEX($E$5:$E$61,MATCH(1,(D131=$C$5:$C$61)*(A131=$B$5:$B$61),0))</f>
        <v>#N/A</v>
      </c>
      <c r="F131" s="196" t="e" cm="1">
        <f t="array" ref="F131">INDEX($F$5:$F$61,MATCH(1,(D131=$C$5:$C$61)*(A131=$B$5:$B$61),0))</f>
        <v>#N/A</v>
      </c>
      <c r="G131" s="196" t="e" cm="1">
        <f t="array" ref="G131">INDEX($G$5:$G$61,MATCH(1,(D131=$C$5:$C$61)*(A131=$B$5:$B$61),0))</f>
        <v>#N/A</v>
      </c>
      <c r="H131" s="196" t="e" cm="1">
        <f t="array" ref="H131">INDEX($H$5:$H$61,MATCH(1,(D131=$C$5:$C$61)*(A131=$B$5:$B$61),0))</f>
        <v>#N/A</v>
      </c>
      <c r="I131" s="196" t="e" cm="1">
        <f t="array" ref="I131">INDEX($I$5:$I$61,MATCH(1,(D131=$C$5:$C$61)*(A131=$B$5:$B$61),0))</f>
        <v>#N/A</v>
      </c>
      <c r="J131" s="273"/>
      <c r="K131" s="273"/>
      <c r="L131" s="272"/>
      <c r="M131" s="273"/>
      <c r="N131" s="197"/>
      <c r="O131" s="200">
        <f t="shared" si="26"/>
        <v>0</v>
      </c>
      <c r="P131" s="274"/>
      <c r="Q131" s="274"/>
      <c r="R131" s="276"/>
      <c r="S131" s="274"/>
      <c r="T131" s="197">
        <f t="shared" si="27"/>
        <v>0</v>
      </c>
      <c r="U131" s="197">
        <f t="shared" si="28"/>
        <v>0</v>
      </c>
      <c r="V131" s="197">
        <f t="shared" si="29"/>
        <v>0</v>
      </c>
      <c r="W131" s="197">
        <f t="shared" si="30"/>
        <v>0</v>
      </c>
      <c r="Z131" s="197"/>
      <c r="AA131" s="228"/>
      <c r="AB131" s="228"/>
      <c r="AD131" s="228"/>
      <c r="AE131" s="228"/>
      <c r="AF131" s="228"/>
      <c r="AG131" s="228"/>
      <c r="AH131" s="228"/>
      <c r="AI131" s="228"/>
      <c r="AJ131" s="228"/>
      <c r="AK131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s="198" customFormat="1" x14ac:dyDescent="0.25">
      <c r="A132" s="290" t="str">
        <f t="shared" si="33"/>
        <v>Hudson View Park</v>
      </c>
      <c r="B132" s="195">
        <f t="shared" si="31"/>
        <v>34</v>
      </c>
      <c r="C132" s="196" t="str">
        <f t="shared" si="32"/>
        <v>Occ</v>
      </c>
      <c r="D132" s="196" t="e" cm="1">
        <f t="array" ref="D132">INDEX($C$5:$C$61,MATCH(1,(K132=$D$5:$D$61)*(A132=$B$5:$B$61),0))</f>
        <v>#N/A</v>
      </c>
      <c r="E132" s="196" t="e" cm="1">
        <f t="array" ref="E132">INDEX($E$5:$E$61,MATCH(1,(D132=$C$5:$C$61)*(A132=$B$5:$B$61),0))</f>
        <v>#N/A</v>
      </c>
      <c r="F132" s="196" t="e" cm="1">
        <f t="array" ref="F132">INDEX($F$5:$F$61,MATCH(1,(D132=$C$5:$C$61)*(A132=$B$5:$B$61),0))</f>
        <v>#N/A</v>
      </c>
      <c r="G132" s="196" t="e" cm="1">
        <f t="array" ref="G132">INDEX($G$5:$G$61,MATCH(1,(D132=$C$5:$C$61)*(A132=$B$5:$B$61),0))</f>
        <v>#N/A</v>
      </c>
      <c r="H132" s="196" t="e" cm="1">
        <f t="array" ref="H132">INDEX($H$5:$H$61,MATCH(1,(D132=$C$5:$C$61)*(A132=$B$5:$B$61),0))</f>
        <v>#N/A</v>
      </c>
      <c r="I132" s="196" t="e" cm="1">
        <f t="array" ref="I132">INDEX($I$5:$I$61,MATCH(1,(D132=$C$5:$C$61)*(A132=$B$5:$B$61),0))</f>
        <v>#N/A</v>
      </c>
      <c r="J132" s="273"/>
      <c r="K132" s="273"/>
      <c r="L132" s="272"/>
      <c r="M132" s="273"/>
      <c r="N132" s="197"/>
      <c r="O132" s="200">
        <f t="shared" si="26"/>
        <v>0</v>
      </c>
      <c r="P132" s="274"/>
      <c r="Q132" s="274"/>
      <c r="R132" s="276"/>
      <c r="S132" s="274"/>
      <c r="T132" s="197">
        <f t="shared" si="27"/>
        <v>0</v>
      </c>
      <c r="U132" s="197">
        <f t="shared" si="28"/>
        <v>0</v>
      </c>
      <c r="V132" s="197">
        <f t="shared" si="29"/>
        <v>0</v>
      </c>
      <c r="W132" s="197">
        <f t="shared" si="30"/>
        <v>0</v>
      </c>
      <c r="Z132" s="197"/>
      <c r="AA132" s="228"/>
      <c r="AB132" s="228"/>
      <c r="AD132" s="228"/>
      <c r="AE132" s="228"/>
      <c r="AF132" s="228"/>
      <c r="AG132" s="228"/>
      <c r="AH132" s="228"/>
      <c r="AI132" s="228"/>
      <c r="AJ132" s="228"/>
      <c r="AK132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s="198" customFormat="1" x14ac:dyDescent="0.25">
      <c r="A133" s="290" t="str">
        <f t="shared" si="33"/>
        <v>Hudson View Park</v>
      </c>
      <c r="B133" s="195">
        <f t="shared" si="31"/>
        <v>35</v>
      </c>
      <c r="C133" s="196" t="str">
        <f t="shared" si="32"/>
        <v>Occ</v>
      </c>
      <c r="D133" s="196" t="e" cm="1">
        <f t="array" ref="D133">INDEX($C$5:$C$61,MATCH(1,(K133=$D$5:$D$61)*(A133=$B$5:$B$61),0))</f>
        <v>#N/A</v>
      </c>
      <c r="E133" s="196" t="e" cm="1">
        <f t="array" ref="E133">INDEX($E$5:$E$61,MATCH(1,(D133=$C$5:$C$61)*(A133=$B$5:$B$61),0))</f>
        <v>#N/A</v>
      </c>
      <c r="F133" s="196" t="e" cm="1">
        <f t="array" ref="F133">INDEX($F$5:$F$61,MATCH(1,(D133=$C$5:$C$61)*(A133=$B$5:$B$61),0))</f>
        <v>#N/A</v>
      </c>
      <c r="G133" s="196" t="e" cm="1">
        <f t="array" ref="G133">INDEX($G$5:$G$61,MATCH(1,(D133=$C$5:$C$61)*(A133=$B$5:$B$61),0))</f>
        <v>#N/A</v>
      </c>
      <c r="H133" s="196" t="e" cm="1">
        <f t="array" ref="H133">INDEX($H$5:$H$61,MATCH(1,(D133=$C$5:$C$61)*(A133=$B$5:$B$61),0))</f>
        <v>#N/A</v>
      </c>
      <c r="I133" s="196" t="e" cm="1">
        <f t="array" ref="I133">INDEX($I$5:$I$61,MATCH(1,(D133=$C$5:$C$61)*(A133=$B$5:$B$61),0))</f>
        <v>#N/A</v>
      </c>
      <c r="J133" s="273"/>
      <c r="K133" s="273"/>
      <c r="L133" s="272"/>
      <c r="M133" s="273"/>
      <c r="N133" s="197"/>
      <c r="O133" s="200">
        <f t="shared" si="26"/>
        <v>0</v>
      </c>
      <c r="P133" s="274"/>
      <c r="Q133" s="274"/>
      <c r="R133" s="276"/>
      <c r="S133" s="274"/>
      <c r="T133" s="197">
        <f t="shared" si="27"/>
        <v>0</v>
      </c>
      <c r="U133" s="197">
        <f t="shared" si="28"/>
        <v>0</v>
      </c>
      <c r="V133" s="197">
        <f t="shared" si="29"/>
        <v>0</v>
      </c>
      <c r="W133" s="197">
        <f t="shared" si="30"/>
        <v>0</v>
      </c>
      <c r="Z133" s="197"/>
      <c r="AA133" s="228"/>
      <c r="AB133" s="228"/>
      <c r="AD133" s="228"/>
      <c r="AE133" s="228"/>
      <c r="AF133" s="228"/>
      <c r="AG133" s="228"/>
      <c r="AH133" s="228"/>
      <c r="AI133" s="228"/>
      <c r="AJ133" s="228"/>
      <c r="AK133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s="198" customFormat="1" x14ac:dyDescent="0.25">
      <c r="A134" s="290" t="str">
        <f t="shared" si="33"/>
        <v>Hudson View Park</v>
      </c>
      <c r="B134" s="195">
        <f t="shared" si="31"/>
        <v>36</v>
      </c>
      <c r="C134" s="196" t="str">
        <f t="shared" si="32"/>
        <v>Occ</v>
      </c>
      <c r="D134" s="196" t="e" cm="1">
        <f t="array" ref="D134">INDEX($C$5:$C$61,MATCH(1,(K134=$D$5:$D$61)*(A134=$B$5:$B$61),0))</f>
        <v>#N/A</v>
      </c>
      <c r="E134" s="196" t="e" cm="1">
        <f t="array" ref="E134">INDEX($E$5:$E$61,MATCH(1,(D134=$C$5:$C$61)*(A134=$B$5:$B$61),0))</f>
        <v>#N/A</v>
      </c>
      <c r="F134" s="196" t="e" cm="1">
        <f t="array" ref="F134">INDEX($F$5:$F$61,MATCH(1,(D134=$C$5:$C$61)*(A134=$B$5:$B$61),0))</f>
        <v>#N/A</v>
      </c>
      <c r="G134" s="196" t="e" cm="1">
        <f t="array" ref="G134">INDEX($G$5:$G$61,MATCH(1,(D134=$C$5:$C$61)*(A134=$B$5:$B$61),0))</f>
        <v>#N/A</v>
      </c>
      <c r="H134" s="196" t="e" cm="1">
        <f t="array" ref="H134">INDEX($H$5:$H$61,MATCH(1,(D134=$C$5:$C$61)*(A134=$B$5:$B$61),0))</f>
        <v>#N/A</v>
      </c>
      <c r="I134" s="196" t="e" cm="1">
        <f t="array" ref="I134">INDEX($I$5:$I$61,MATCH(1,(D134=$C$5:$C$61)*(A134=$B$5:$B$61),0))</f>
        <v>#N/A</v>
      </c>
      <c r="J134" s="273"/>
      <c r="K134" s="273"/>
      <c r="L134" s="272"/>
      <c r="M134" s="273"/>
      <c r="N134" s="197"/>
      <c r="O134" s="200">
        <f t="shared" si="26"/>
        <v>0</v>
      </c>
      <c r="P134" s="274"/>
      <c r="Q134" s="274"/>
      <c r="R134" s="276"/>
      <c r="S134" s="274"/>
      <c r="T134" s="197">
        <f t="shared" si="27"/>
        <v>0</v>
      </c>
      <c r="U134" s="197">
        <f t="shared" si="28"/>
        <v>0</v>
      </c>
      <c r="V134" s="197">
        <f t="shared" si="29"/>
        <v>0</v>
      </c>
      <c r="W134" s="197">
        <f t="shared" si="30"/>
        <v>0</v>
      </c>
      <c r="Z134" s="197"/>
      <c r="AA134" s="228"/>
      <c r="AB134" s="228"/>
      <c r="AD134" s="228"/>
      <c r="AE134" s="228"/>
      <c r="AF134" s="228"/>
      <c r="AG134" s="228"/>
      <c r="AH134" s="228"/>
      <c r="AI134" s="228"/>
      <c r="AJ134" s="228"/>
      <c r="AK134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s="198" customFormat="1" x14ac:dyDescent="0.25">
      <c r="A135" s="290" t="str">
        <f t="shared" si="33"/>
        <v>Hudson View Park</v>
      </c>
      <c r="B135" s="195">
        <f t="shared" si="31"/>
        <v>37</v>
      </c>
      <c r="C135" s="196" t="str">
        <f t="shared" si="32"/>
        <v>Occ</v>
      </c>
      <c r="D135" s="196" t="e" cm="1">
        <f t="array" ref="D135">INDEX($C$5:$C$61,MATCH(1,(K135=$D$5:$D$61)*(A135=$B$5:$B$61),0))</f>
        <v>#N/A</v>
      </c>
      <c r="E135" s="196" t="e" cm="1">
        <f t="array" ref="E135">INDEX($E$5:$E$61,MATCH(1,(D135=$C$5:$C$61)*(A135=$B$5:$B$61),0))</f>
        <v>#N/A</v>
      </c>
      <c r="F135" s="196" t="e" cm="1">
        <f t="array" ref="F135">INDEX($F$5:$F$61,MATCH(1,(D135=$C$5:$C$61)*(A135=$B$5:$B$61),0))</f>
        <v>#N/A</v>
      </c>
      <c r="G135" s="196" t="e" cm="1">
        <f t="array" ref="G135">INDEX($G$5:$G$61,MATCH(1,(D135=$C$5:$C$61)*(A135=$B$5:$B$61),0))</f>
        <v>#N/A</v>
      </c>
      <c r="H135" s="196" t="e" cm="1">
        <f t="array" ref="H135">INDEX($H$5:$H$61,MATCH(1,(D135=$C$5:$C$61)*(A135=$B$5:$B$61),0))</f>
        <v>#N/A</v>
      </c>
      <c r="I135" s="196" t="e" cm="1">
        <f t="array" ref="I135">INDEX($I$5:$I$61,MATCH(1,(D135=$C$5:$C$61)*(A135=$B$5:$B$61),0))</f>
        <v>#N/A</v>
      </c>
      <c r="J135" s="273"/>
      <c r="K135" s="273"/>
      <c r="L135" s="272"/>
      <c r="M135" s="273"/>
      <c r="N135" s="197"/>
      <c r="O135" s="200">
        <f t="shared" si="26"/>
        <v>0</v>
      </c>
      <c r="P135" s="274"/>
      <c r="Q135" s="274"/>
      <c r="R135" s="276"/>
      <c r="S135" s="274"/>
      <c r="T135" s="197">
        <f t="shared" si="27"/>
        <v>0</v>
      </c>
      <c r="U135" s="197">
        <f t="shared" si="28"/>
        <v>0</v>
      </c>
      <c r="V135" s="197">
        <f t="shared" si="29"/>
        <v>0</v>
      </c>
      <c r="W135" s="197">
        <f t="shared" si="30"/>
        <v>0</v>
      </c>
      <c r="Z135" s="197"/>
      <c r="AA135" s="228"/>
      <c r="AB135" s="228"/>
      <c r="AD135" s="228"/>
      <c r="AE135" s="228"/>
      <c r="AF135" s="228"/>
      <c r="AG135" s="228"/>
      <c r="AH135" s="228"/>
      <c r="AI135" s="228"/>
      <c r="AJ135" s="228"/>
      <c r="AK135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s="198" customFormat="1" x14ac:dyDescent="0.25">
      <c r="A136" s="290" t="str">
        <f t="shared" si="33"/>
        <v>Hudson View Park</v>
      </c>
      <c r="B136" s="195">
        <f t="shared" si="31"/>
        <v>38</v>
      </c>
      <c r="C136" s="196" t="str">
        <f t="shared" si="32"/>
        <v>Occ</v>
      </c>
      <c r="D136" s="196" t="e" cm="1">
        <f t="array" ref="D136">INDEX($C$5:$C$61,MATCH(1,(K136=$D$5:$D$61)*(A136=$B$5:$B$61),0))</f>
        <v>#N/A</v>
      </c>
      <c r="E136" s="196" t="e" cm="1">
        <f t="array" ref="E136">INDEX($E$5:$E$61,MATCH(1,(D136=$C$5:$C$61)*(A136=$B$5:$B$61),0))</f>
        <v>#N/A</v>
      </c>
      <c r="F136" s="196" t="e" cm="1">
        <f t="array" ref="F136">INDEX($F$5:$F$61,MATCH(1,(D136=$C$5:$C$61)*(A136=$B$5:$B$61),0))</f>
        <v>#N/A</v>
      </c>
      <c r="G136" s="196" t="e" cm="1">
        <f t="array" ref="G136">INDEX($G$5:$G$61,MATCH(1,(D136=$C$5:$C$61)*(A136=$B$5:$B$61),0))</f>
        <v>#N/A</v>
      </c>
      <c r="H136" s="196" t="e" cm="1">
        <f t="array" ref="H136">INDEX($H$5:$H$61,MATCH(1,(D136=$C$5:$C$61)*(A136=$B$5:$B$61),0))</f>
        <v>#N/A</v>
      </c>
      <c r="I136" s="196" t="e" cm="1">
        <f t="array" ref="I136">INDEX($I$5:$I$61,MATCH(1,(D136=$C$5:$C$61)*(A136=$B$5:$B$61),0))</f>
        <v>#N/A</v>
      </c>
      <c r="J136" s="273"/>
      <c r="K136" s="273"/>
      <c r="L136" s="272"/>
      <c r="M136" s="273"/>
      <c r="N136" s="197"/>
      <c r="O136" s="200">
        <f t="shared" si="26"/>
        <v>0</v>
      </c>
      <c r="P136" s="274"/>
      <c r="Q136" s="274"/>
      <c r="R136" s="276"/>
      <c r="S136" s="274"/>
      <c r="T136" s="197">
        <f t="shared" si="27"/>
        <v>0</v>
      </c>
      <c r="U136" s="197">
        <f t="shared" si="28"/>
        <v>0</v>
      </c>
      <c r="V136" s="197">
        <f t="shared" si="29"/>
        <v>0</v>
      </c>
      <c r="W136" s="197">
        <f t="shared" si="30"/>
        <v>0</v>
      </c>
      <c r="Z136" s="197"/>
      <c r="AA136" s="228"/>
      <c r="AB136" s="228"/>
      <c r="AD136" s="228"/>
      <c r="AE136" s="228"/>
      <c r="AF136" s="228"/>
      <c r="AG136" s="228"/>
      <c r="AH136" s="228"/>
      <c r="AI136" s="228"/>
      <c r="AJ136" s="228"/>
      <c r="AK136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s="198" customFormat="1" x14ac:dyDescent="0.25">
      <c r="A137" s="290" t="str">
        <f t="shared" si="33"/>
        <v>Hudson View Park</v>
      </c>
      <c r="B137" s="195">
        <f t="shared" si="31"/>
        <v>39</v>
      </c>
      <c r="C137" s="196" t="str">
        <f t="shared" si="32"/>
        <v>Occ</v>
      </c>
      <c r="D137" s="196" t="e" cm="1">
        <f t="array" ref="D137">INDEX($C$5:$C$61,MATCH(1,(K137=$D$5:$D$61)*(A137=$B$5:$B$61),0))</f>
        <v>#N/A</v>
      </c>
      <c r="E137" s="196" t="e" cm="1">
        <f t="array" ref="E137">INDEX($E$5:$E$61,MATCH(1,(D137=$C$5:$C$61)*(A137=$B$5:$B$61),0))</f>
        <v>#N/A</v>
      </c>
      <c r="F137" s="196" t="e" cm="1">
        <f t="array" ref="F137">INDEX($F$5:$F$61,MATCH(1,(D137=$C$5:$C$61)*(A137=$B$5:$B$61),0))</f>
        <v>#N/A</v>
      </c>
      <c r="G137" s="196" t="e" cm="1">
        <f t="array" ref="G137">INDEX($G$5:$G$61,MATCH(1,(D137=$C$5:$C$61)*(A137=$B$5:$B$61),0))</f>
        <v>#N/A</v>
      </c>
      <c r="H137" s="196" t="e" cm="1">
        <f t="array" ref="H137">INDEX($H$5:$H$61,MATCH(1,(D137=$C$5:$C$61)*(A137=$B$5:$B$61),0))</f>
        <v>#N/A</v>
      </c>
      <c r="I137" s="196" t="e" cm="1">
        <f t="array" ref="I137">INDEX($I$5:$I$61,MATCH(1,(D137=$C$5:$C$61)*(A137=$B$5:$B$61),0))</f>
        <v>#N/A</v>
      </c>
      <c r="J137" s="273"/>
      <c r="K137" s="273"/>
      <c r="L137" s="272"/>
      <c r="M137" s="273"/>
      <c r="N137" s="197"/>
      <c r="O137" s="200">
        <f t="shared" si="26"/>
        <v>0</v>
      </c>
      <c r="P137" s="274"/>
      <c r="Q137" s="274"/>
      <c r="R137" s="276"/>
      <c r="S137" s="274"/>
      <c r="T137" s="197">
        <f t="shared" si="27"/>
        <v>0</v>
      </c>
      <c r="U137" s="197">
        <f t="shared" si="28"/>
        <v>0</v>
      </c>
      <c r="V137" s="197">
        <f t="shared" si="29"/>
        <v>0</v>
      </c>
      <c r="W137" s="197">
        <f t="shared" si="30"/>
        <v>0</v>
      </c>
      <c r="Z137" s="197"/>
      <c r="AA137" s="228"/>
      <c r="AB137" s="228"/>
      <c r="AD137" s="228"/>
      <c r="AE137" s="228"/>
      <c r="AF137" s="228"/>
      <c r="AG137" s="228"/>
      <c r="AH137" s="228"/>
      <c r="AI137" s="228"/>
      <c r="AJ137" s="228"/>
      <c r="AK137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s="198" customFormat="1" x14ac:dyDescent="0.25">
      <c r="A138" s="290" t="str">
        <f t="shared" si="33"/>
        <v>Hudson View Park</v>
      </c>
      <c r="B138" s="195">
        <f t="shared" si="31"/>
        <v>40</v>
      </c>
      <c r="C138" s="196" t="str">
        <f t="shared" si="32"/>
        <v>Occ</v>
      </c>
      <c r="D138" s="196" t="e" cm="1">
        <f t="array" ref="D138">INDEX($C$5:$C$61,MATCH(1,(K138=$D$5:$D$61)*(A138=$B$5:$B$61),0))</f>
        <v>#N/A</v>
      </c>
      <c r="E138" s="196" t="e" cm="1">
        <f t="array" ref="E138">INDEX($E$5:$E$61,MATCH(1,(D138=$C$5:$C$61)*(A138=$B$5:$B$61),0))</f>
        <v>#N/A</v>
      </c>
      <c r="F138" s="196" t="e" cm="1">
        <f t="array" ref="F138">INDEX($F$5:$F$61,MATCH(1,(D138=$C$5:$C$61)*(A138=$B$5:$B$61),0))</f>
        <v>#N/A</v>
      </c>
      <c r="G138" s="196" t="e" cm="1">
        <f t="array" ref="G138">INDEX($G$5:$G$61,MATCH(1,(D138=$C$5:$C$61)*(A138=$B$5:$B$61),0))</f>
        <v>#N/A</v>
      </c>
      <c r="H138" s="196" t="e" cm="1">
        <f t="array" ref="H138">INDEX($H$5:$H$61,MATCH(1,(D138=$C$5:$C$61)*(A138=$B$5:$B$61),0))</f>
        <v>#N/A</v>
      </c>
      <c r="I138" s="196" t="e" cm="1">
        <f t="array" ref="I138">INDEX($I$5:$I$61,MATCH(1,(D138=$C$5:$C$61)*(A138=$B$5:$B$61),0))</f>
        <v>#N/A</v>
      </c>
      <c r="J138" s="273"/>
      <c r="K138" s="273"/>
      <c r="L138" s="272"/>
      <c r="M138" s="273"/>
      <c r="N138" s="197"/>
      <c r="O138" s="200">
        <f t="shared" si="26"/>
        <v>0</v>
      </c>
      <c r="P138" s="274"/>
      <c r="Q138" s="274"/>
      <c r="R138" s="276"/>
      <c r="S138" s="274"/>
      <c r="T138" s="197">
        <f t="shared" si="27"/>
        <v>0</v>
      </c>
      <c r="U138" s="197">
        <f t="shared" si="28"/>
        <v>0</v>
      </c>
      <c r="V138" s="197">
        <f t="shared" si="29"/>
        <v>0</v>
      </c>
      <c r="W138" s="197">
        <f t="shared" si="30"/>
        <v>0</v>
      </c>
      <c r="Z138" s="197"/>
      <c r="AA138" s="228"/>
      <c r="AB138" s="228"/>
      <c r="AD138" s="228"/>
      <c r="AE138" s="228"/>
      <c r="AF138" s="228"/>
      <c r="AG138" s="228"/>
      <c r="AH138" s="228"/>
      <c r="AI138" s="228"/>
      <c r="AJ138" s="228"/>
      <c r="AK13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s="198" customFormat="1" x14ac:dyDescent="0.25">
      <c r="A139" s="290" t="str">
        <f t="shared" si="33"/>
        <v>Hudson View Park</v>
      </c>
      <c r="B139" s="195">
        <f t="shared" si="31"/>
        <v>41</v>
      </c>
      <c r="C139" s="196" t="str">
        <f t="shared" si="32"/>
        <v>Occ</v>
      </c>
      <c r="D139" s="196" t="e" cm="1">
        <f t="array" ref="D139">INDEX($C$5:$C$61,MATCH(1,(K139=$D$5:$D$61)*(A139=$B$5:$B$61),0))</f>
        <v>#N/A</v>
      </c>
      <c r="E139" s="196" t="e" cm="1">
        <f t="array" ref="E139">INDEX($E$5:$E$61,MATCH(1,(D139=$C$5:$C$61)*(A139=$B$5:$B$61),0))</f>
        <v>#N/A</v>
      </c>
      <c r="F139" s="196" t="e" cm="1">
        <f t="array" ref="F139">INDEX($F$5:$F$61,MATCH(1,(D139=$C$5:$C$61)*(A139=$B$5:$B$61),0))</f>
        <v>#N/A</v>
      </c>
      <c r="G139" s="196" t="e" cm="1">
        <f t="array" ref="G139">INDEX($G$5:$G$61,MATCH(1,(D139=$C$5:$C$61)*(A139=$B$5:$B$61),0))</f>
        <v>#N/A</v>
      </c>
      <c r="H139" s="196" t="e" cm="1">
        <f t="array" ref="H139">INDEX($H$5:$H$61,MATCH(1,(D139=$C$5:$C$61)*(A139=$B$5:$B$61),0))</f>
        <v>#N/A</v>
      </c>
      <c r="I139" s="196" t="e" cm="1">
        <f t="array" ref="I139">INDEX($I$5:$I$61,MATCH(1,(D139=$C$5:$C$61)*(A139=$B$5:$B$61),0))</f>
        <v>#N/A</v>
      </c>
      <c r="J139" s="273"/>
      <c r="K139" s="273"/>
      <c r="L139" s="272"/>
      <c r="M139" s="273"/>
      <c r="N139" s="197"/>
      <c r="O139" s="200">
        <f t="shared" si="26"/>
        <v>0</v>
      </c>
      <c r="P139" s="274"/>
      <c r="Q139" s="274"/>
      <c r="R139" s="276"/>
      <c r="S139" s="274"/>
      <c r="T139" s="197">
        <f t="shared" si="27"/>
        <v>0</v>
      </c>
      <c r="U139" s="197">
        <f t="shared" si="28"/>
        <v>0</v>
      </c>
      <c r="V139" s="197">
        <f t="shared" si="29"/>
        <v>0</v>
      </c>
      <c r="W139" s="197">
        <f t="shared" si="30"/>
        <v>0</v>
      </c>
      <c r="Z139" s="197"/>
      <c r="AA139" s="228"/>
      <c r="AB139" s="228"/>
      <c r="AD139" s="228"/>
      <c r="AE139" s="228"/>
      <c r="AF139" s="228"/>
      <c r="AG139" s="228"/>
      <c r="AH139" s="228"/>
      <c r="AI139" s="228"/>
      <c r="AJ139" s="228"/>
      <c r="AK139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s="198" customFormat="1" x14ac:dyDescent="0.25">
      <c r="A140" s="290" t="str">
        <f t="shared" si="33"/>
        <v>Hudson View Park</v>
      </c>
      <c r="B140" s="195">
        <f t="shared" si="31"/>
        <v>42</v>
      </c>
      <c r="C140" s="196" t="str">
        <f t="shared" si="32"/>
        <v>Occ</v>
      </c>
      <c r="D140" s="196" t="e" cm="1">
        <f t="array" ref="D140">INDEX($C$5:$C$61,MATCH(1,(K140=$D$5:$D$61)*(A140=$B$5:$B$61),0))</f>
        <v>#N/A</v>
      </c>
      <c r="E140" s="196" t="e" cm="1">
        <f t="array" ref="E140">INDEX($E$5:$E$61,MATCH(1,(D140=$C$5:$C$61)*(A140=$B$5:$B$61),0))</f>
        <v>#N/A</v>
      </c>
      <c r="F140" s="196" t="e" cm="1">
        <f t="array" ref="F140">INDEX($F$5:$F$61,MATCH(1,(D140=$C$5:$C$61)*(A140=$B$5:$B$61),0))</f>
        <v>#N/A</v>
      </c>
      <c r="G140" s="196" t="e" cm="1">
        <f t="array" ref="G140">INDEX($G$5:$G$61,MATCH(1,(D140=$C$5:$C$61)*(A140=$B$5:$B$61),0))</f>
        <v>#N/A</v>
      </c>
      <c r="H140" s="196" t="e" cm="1">
        <f t="array" ref="H140">INDEX($H$5:$H$61,MATCH(1,(D140=$C$5:$C$61)*(A140=$B$5:$B$61),0))</f>
        <v>#N/A</v>
      </c>
      <c r="I140" s="196" t="e" cm="1">
        <f t="array" ref="I140">INDEX($I$5:$I$61,MATCH(1,(D140=$C$5:$C$61)*(A140=$B$5:$B$61),0))</f>
        <v>#N/A</v>
      </c>
      <c r="J140" s="273"/>
      <c r="K140" s="273"/>
      <c r="L140" s="272"/>
      <c r="M140" s="273"/>
      <c r="N140" s="197"/>
      <c r="O140" s="200">
        <f t="shared" si="26"/>
        <v>0</v>
      </c>
      <c r="P140" s="274"/>
      <c r="Q140" s="274"/>
      <c r="R140" s="276"/>
      <c r="S140" s="274"/>
      <c r="T140" s="197">
        <f t="shared" si="27"/>
        <v>0</v>
      </c>
      <c r="U140" s="197">
        <f t="shared" si="28"/>
        <v>0</v>
      </c>
      <c r="V140" s="197">
        <f t="shared" si="29"/>
        <v>0</v>
      </c>
      <c r="W140" s="197">
        <f t="shared" si="30"/>
        <v>0</v>
      </c>
      <c r="Z140" s="197"/>
      <c r="AA140" s="228"/>
      <c r="AB140" s="228"/>
      <c r="AD140" s="228"/>
      <c r="AE140" s="228"/>
      <c r="AF140" s="228"/>
      <c r="AG140" s="228"/>
      <c r="AH140" s="228"/>
      <c r="AI140" s="228"/>
      <c r="AJ140" s="228"/>
      <c r="AK140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s="198" customFormat="1" x14ac:dyDescent="0.25">
      <c r="A141" s="290" t="str">
        <f t="shared" si="33"/>
        <v>Hudson View Park</v>
      </c>
      <c r="B141" s="195">
        <f t="shared" si="31"/>
        <v>43</v>
      </c>
      <c r="C141" s="196" t="str">
        <f t="shared" si="32"/>
        <v>Occ</v>
      </c>
      <c r="D141" s="196" t="e" cm="1">
        <f t="array" ref="D141">INDEX($C$5:$C$61,MATCH(1,(K141=$D$5:$D$61)*(A141=$B$5:$B$61),0))</f>
        <v>#N/A</v>
      </c>
      <c r="E141" s="196" t="e" cm="1">
        <f t="array" ref="E141">INDEX($E$5:$E$61,MATCH(1,(D141=$C$5:$C$61)*(A141=$B$5:$B$61),0))</f>
        <v>#N/A</v>
      </c>
      <c r="F141" s="196" t="e" cm="1">
        <f t="array" ref="F141">INDEX($F$5:$F$61,MATCH(1,(D141=$C$5:$C$61)*(A141=$B$5:$B$61),0))</f>
        <v>#N/A</v>
      </c>
      <c r="G141" s="196" t="e" cm="1">
        <f t="array" ref="G141">INDEX($G$5:$G$61,MATCH(1,(D141=$C$5:$C$61)*(A141=$B$5:$B$61),0))</f>
        <v>#N/A</v>
      </c>
      <c r="H141" s="196" t="e" cm="1">
        <f t="array" ref="H141">INDEX($H$5:$H$61,MATCH(1,(D141=$C$5:$C$61)*(A141=$B$5:$B$61),0))</f>
        <v>#N/A</v>
      </c>
      <c r="I141" s="196" t="e" cm="1">
        <f t="array" ref="I141">INDEX($I$5:$I$61,MATCH(1,(D141=$C$5:$C$61)*(A141=$B$5:$B$61),0))</f>
        <v>#N/A</v>
      </c>
      <c r="J141" s="273"/>
      <c r="K141" s="273"/>
      <c r="L141" s="272"/>
      <c r="M141" s="273"/>
      <c r="N141" s="197"/>
      <c r="O141" s="200">
        <f t="shared" si="26"/>
        <v>0</v>
      </c>
      <c r="P141" s="274"/>
      <c r="Q141" s="274"/>
      <c r="R141" s="276"/>
      <c r="S141" s="274"/>
      <c r="T141" s="197">
        <f t="shared" si="27"/>
        <v>0</v>
      </c>
      <c r="U141" s="197">
        <f t="shared" si="28"/>
        <v>0</v>
      </c>
      <c r="V141" s="197">
        <f t="shared" si="29"/>
        <v>0</v>
      </c>
      <c r="W141" s="197">
        <f t="shared" si="30"/>
        <v>0</v>
      </c>
      <c r="Z141" s="197"/>
      <c r="AA141" s="228"/>
      <c r="AB141" s="228"/>
      <c r="AD141" s="228"/>
      <c r="AE141" s="228"/>
      <c r="AF141" s="228"/>
      <c r="AG141" s="228"/>
      <c r="AH141" s="228"/>
      <c r="AI141" s="228"/>
      <c r="AJ141" s="228"/>
      <c r="AK141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s="198" customFormat="1" x14ac:dyDescent="0.25">
      <c r="A142" s="290" t="str">
        <f t="shared" si="33"/>
        <v>Hudson View Park</v>
      </c>
      <c r="B142" s="195">
        <f t="shared" si="31"/>
        <v>44</v>
      </c>
      <c r="C142" s="196" t="str">
        <f t="shared" si="32"/>
        <v>Occ</v>
      </c>
      <c r="D142" s="196" t="e" cm="1">
        <f t="array" ref="D142">INDEX($C$5:$C$61,MATCH(1,(K142=$D$5:$D$61)*(A142=$B$5:$B$61),0))</f>
        <v>#N/A</v>
      </c>
      <c r="E142" s="196" t="e" cm="1">
        <f t="array" ref="E142">INDEX($E$5:$E$61,MATCH(1,(D142=$C$5:$C$61)*(A142=$B$5:$B$61),0))</f>
        <v>#N/A</v>
      </c>
      <c r="F142" s="196" t="e" cm="1">
        <f t="array" ref="F142">INDEX($F$5:$F$61,MATCH(1,(D142=$C$5:$C$61)*(A142=$B$5:$B$61),0))</f>
        <v>#N/A</v>
      </c>
      <c r="G142" s="196" t="e" cm="1">
        <f t="array" ref="G142">INDEX($G$5:$G$61,MATCH(1,(D142=$C$5:$C$61)*(A142=$B$5:$B$61),0))</f>
        <v>#N/A</v>
      </c>
      <c r="H142" s="196" t="e" cm="1">
        <f t="array" ref="H142">INDEX($H$5:$H$61,MATCH(1,(D142=$C$5:$C$61)*(A142=$B$5:$B$61),0))</f>
        <v>#N/A</v>
      </c>
      <c r="I142" s="196" t="e" cm="1">
        <f t="array" ref="I142">INDEX($I$5:$I$61,MATCH(1,(D142=$C$5:$C$61)*(A142=$B$5:$B$61),0))</f>
        <v>#N/A</v>
      </c>
      <c r="J142" s="273"/>
      <c r="K142" s="273"/>
      <c r="L142" s="272"/>
      <c r="M142" s="273"/>
      <c r="N142" s="197"/>
      <c r="O142" s="200">
        <f t="shared" si="26"/>
        <v>0</v>
      </c>
      <c r="P142" s="274"/>
      <c r="Q142" s="274"/>
      <c r="R142" s="276"/>
      <c r="S142" s="274"/>
      <c r="T142" s="197">
        <f t="shared" si="27"/>
        <v>0</v>
      </c>
      <c r="U142" s="197">
        <f t="shared" si="28"/>
        <v>0</v>
      </c>
      <c r="V142" s="197">
        <f t="shared" si="29"/>
        <v>0</v>
      </c>
      <c r="W142" s="197">
        <f t="shared" si="30"/>
        <v>0</v>
      </c>
      <c r="Z142" s="197"/>
      <c r="AA142" s="228"/>
      <c r="AB142" s="228"/>
      <c r="AD142" s="228"/>
      <c r="AE142" s="228"/>
      <c r="AF142" s="228"/>
      <c r="AG142" s="228"/>
      <c r="AH142" s="228"/>
      <c r="AI142" s="228"/>
      <c r="AJ142" s="228"/>
      <c r="AK142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s="198" customFormat="1" x14ac:dyDescent="0.25">
      <c r="A143" s="290" t="str">
        <f t="shared" si="33"/>
        <v>Hudson View Park</v>
      </c>
      <c r="B143" s="195">
        <f t="shared" si="31"/>
        <v>45</v>
      </c>
      <c r="C143" s="196" t="str">
        <f t="shared" si="32"/>
        <v>Occ</v>
      </c>
      <c r="D143" s="196" t="e" cm="1">
        <f t="array" ref="D143">INDEX($C$5:$C$61,MATCH(1,(K143=$D$5:$D$61)*(A143=$B$5:$B$61),0))</f>
        <v>#N/A</v>
      </c>
      <c r="E143" s="196" t="e" cm="1">
        <f t="array" ref="E143">INDEX($E$5:$E$61,MATCH(1,(D143=$C$5:$C$61)*(A143=$B$5:$B$61),0))</f>
        <v>#N/A</v>
      </c>
      <c r="F143" s="196" t="e" cm="1">
        <f t="array" ref="F143">INDEX($F$5:$F$61,MATCH(1,(D143=$C$5:$C$61)*(A143=$B$5:$B$61),0))</f>
        <v>#N/A</v>
      </c>
      <c r="G143" s="196" t="e" cm="1">
        <f t="array" ref="G143">INDEX($G$5:$G$61,MATCH(1,(D143=$C$5:$C$61)*(A143=$B$5:$B$61),0))</f>
        <v>#N/A</v>
      </c>
      <c r="H143" s="196" t="e" cm="1">
        <f t="array" ref="H143">INDEX($H$5:$H$61,MATCH(1,(D143=$C$5:$C$61)*(A143=$B$5:$B$61),0))</f>
        <v>#N/A</v>
      </c>
      <c r="I143" s="196" t="e" cm="1">
        <f t="array" ref="I143">INDEX($I$5:$I$61,MATCH(1,(D143=$C$5:$C$61)*(A143=$B$5:$B$61),0))</f>
        <v>#N/A</v>
      </c>
      <c r="J143" s="273"/>
      <c r="K143" s="273"/>
      <c r="L143" s="272"/>
      <c r="M143" s="273"/>
      <c r="N143" s="197"/>
      <c r="O143" s="200">
        <f t="shared" si="26"/>
        <v>0</v>
      </c>
      <c r="P143" s="274"/>
      <c r="Q143" s="274"/>
      <c r="R143" s="276"/>
      <c r="S143" s="274"/>
      <c r="T143" s="197">
        <f t="shared" si="27"/>
        <v>0</v>
      </c>
      <c r="U143" s="197">
        <f t="shared" si="28"/>
        <v>0</v>
      </c>
      <c r="V143" s="197">
        <f t="shared" si="29"/>
        <v>0</v>
      </c>
      <c r="W143" s="197">
        <f t="shared" si="30"/>
        <v>0</v>
      </c>
      <c r="Z143" s="197"/>
      <c r="AA143" s="228"/>
      <c r="AB143" s="228"/>
      <c r="AD143" s="228"/>
      <c r="AE143" s="228"/>
      <c r="AF143" s="228"/>
      <c r="AG143" s="228"/>
      <c r="AH143" s="228"/>
      <c r="AI143" s="228"/>
      <c r="AJ143" s="228"/>
      <c r="AK143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s="198" customFormat="1" x14ac:dyDescent="0.25">
      <c r="A144" s="290" t="str">
        <f t="shared" si="33"/>
        <v>Hudson View Park</v>
      </c>
      <c r="B144" s="195">
        <f t="shared" si="31"/>
        <v>46</v>
      </c>
      <c r="C144" s="196" t="str">
        <f t="shared" si="32"/>
        <v>Occ</v>
      </c>
      <c r="D144" s="196" t="e" cm="1">
        <f t="array" ref="D144">INDEX($C$5:$C$61,MATCH(1,(K144=$D$5:$D$61)*(A144=$B$5:$B$61),0))</f>
        <v>#N/A</v>
      </c>
      <c r="E144" s="196" t="e" cm="1">
        <f t="array" ref="E144">INDEX($E$5:$E$61,MATCH(1,(D144=$C$5:$C$61)*(A144=$B$5:$B$61),0))</f>
        <v>#N/A</v>
      </c>
      <c r="F144" s="196" t="e" cm="1">
        <f t="array" ref="F144">INDEX($F$5:$F$61,MATCH(1,(D144=$C$5:$C$61)*(A144=$B$5:$B$61),0))</f>
        <v>#N/A</v>
      </c>
      <c r="G144" s="196" t="e" cm="1">
        <f t="array" ref="G144">INDEX($G$5:$G$61,MATCH(1,(D144=$C$5:$C$61)*(A144=$B$5:$B$61),0))</f>
        <v>#N/A</v>
      </c>
      <c r="H144" s="196" t="e" cm="1">
        <f t="array" ref="H144">INDEX($H$5:$H$61,MATCH(1,(D144=$C$5:$C$61)*(A144=$B$5:$B$61),0))</f>
        <v>#N/A</v>
      </c>
      <c r="I144" s="196" t="e" cm="1">
        <f t="array" ref="I144">INDEX($I$5:$I$61,MATCH(1,(D144=$C$5:$C$61)*(A144=$B$5:$B$61),0))</f>
        <v>#N/A</v>
      </c>
      <c r="J144" s="273"/>
      <c r="K144" s="273"/>
      <c r="L144" s="272"/>
      <c r="M144" s="273"/>
      <c r="N144" s="197"/>
      <c r="O144" s="200">
        <f t="shared" si="26"/>
        <v>0</v>
      </c>
      <c r="P144" s="274"/>
      <c r="Q144" s="274"/>
      <c r="R144" s="276"/>
      <c r="S144" s="274"/>
      <c r="T144" s="197">
        <f t="shared" si="27"/>
        <v>0</v>
      </c>
      <c r="U144" s="197">
        <f t="shared" si="28"/>
        <v>0</v>
      </c>
      <c r="V144" s="197">
        <f t="shared" si="29"/>
        <v>0</v>
      </c>
      <c r="W144" s="197">
        <f t="shared" si="30"/>
        <v>0</v>
      </c>
      <c r="Z144" s="197"/>
      <c r="AA144" s="228"/>
      <c r="AB144" s="228"/>
      <c r="AD144" s="228"/>
      <c r="AE144" s="228"/>
      <c r="AF144" s="228"/>
      <c r="AG144" s="228"/>
      <c r="AH144" s="228"/>
      <c r="AI144" s="228"/>
      <c r="AJ144" s="228"/>
      <c r="AK144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s="198" customFormat="1" x14ac:dyDescent="0.25">
      <c r="A145" s="290" t="str">
        <f t="shared" si="33"/>
        <v>Hudson View Park</v>
      </c>
      <c r="B145" s="195">
        <f t="shared" si="31"/>
        <v>47</v>
      </c>
      <c r="C145" s="196" t="str">
        <f t="shared" si="32"/>
        <v>Occ</v>
      </c>
      <c r="D145" s="196" t="e" cm="1">
        <f t="array" ref="D145">INDEX($C$5:$C$61,MATCH(1,(K145=$D$5:$D$61)*(A145=$B$5:$B$61),0))</f>
        <v>#N/A</v>
      </c>
      <c r="E145" s="196" t="e" cm="1">
        <f t="array" ref="E145">INDEX($E$5:$E$61,MATCH(1,(D145=$C$5:$C$61)*(A145=$B$5:$B$61),0))</f>
        <v>#N/A</v>
      </c>
      <c r="F145" s="196" t="e" cm="1">
        <f t="array" ref="F145">INDEX($F$5:$F$61,MATCH(1,(D145=$C$5:$C$61)*(A145=$B$5:$B$61),0))</f>
        <v>#N/A</v>
      </c>
      <c r="G145" s="196" t="e" cm="1">
        <f t="array" ref="G145">INDEX($G$5:$G$61,MATCH(1,(D145=$C$5:$C$61)*(A145=$B$5:$B$61),0))</f>
        <v>#N/A</v>
      </c>
      <c r="H145" s="196" t="e" cm="1">
        <f t="array" ref="H145">INDEX($H$5:$H$61,MATCH(1,(D145=$C$5:$C$61)*(A145=$B$5:$B$61),0))</f>
        <v>#N/A</v>
      </c>
      <c r="I145" s="196" t="e" cm="1">
        <f t="array" ref="I145">INDEX($I$5:$I$61,MATCH(1,(D145=$C$5:$C$61)*(A145=$B$5:$B$61),0))</f>
        <v>#N/A</v>
      </c>
      <c r="J145" s="273"/>
      <c r="K145" s="273"/>
      <c r="L145" s="272"/>
      <c r="M145" s="273"/>
      <c r="N145" s="197"/>
      <c r="O145" s="200">
        <f t="shared" si="26"/>
        <v>0</v>
      </c>
      <c r="P145" s="274"/>
      <c r="Q145" s="274"/>
      <c r="R145" s="276"/>
      <c r="S145" s="274"/>
      <c r="T145" s="197">
        <f t="shared" si="27"/>
        <v>0</v>
      </c>
      <c r="U145" s="197">
        <f t="shared" si="28"/>
        <v>0</v>
      </c>
      <c r="V145" s="197">
        <f t="shared" si="29"/>
        <v>0</v>
      </c>
      <c r="W145" s="197">
        <f t="shared" si="30"/>
        <v>0</v>
      </c>
      <c r="Z145" s="197"/>
      <c r="AA145" s="228"/>
      <c r="AB145" s="228"/>
      <c r="AD145" s="228"/>
      <c r="AE145" s="228"/>
      <c r="AF145" s="228"/>
      <c r="AG145" s="228"/>
      <c r="AH145" s="228"/>
      <c r="AI145" s="228"/>
      <c r="AJ145" s="228"/>
      <c r="AK145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1:64" s="198" customFormat="1" x14ac:dyDescent="0.25">
      <c r="A146" s="290" t="str">
        <f t="shared" si="33"/>
        <v>Hudson View Park</v>
      </c>
      <c r="B146" s="195">
        <f t="shared" si="31"/>
        <v>48</v>
      </c>
      <c r="C146" s="196" t="str">
        <f t="shared" si="32"/>
        <v>Occ</v>
      </c>
      <c r="D146" s="196" t="e" cm="1">
        <f t="array" ref="D146">INDEX($C$5:$C$61,MATCH(1,(K146=$D$5:$D$61)*(A146=$B$5:$B$61),0))</f>
        <v>#N/A</v>
      </c>
      <c r="E146" s="196" t="e" cm="1">
        <f t="array" ref="E146">INDEX($E$5:$E$61,MATCH(1,(D146=$C$5:$C$61)*(A146=$B$5:$B$61),0))</f>
        <v>#N/A</v>
      </c>
      <c r="F146" s="196" t="e" cm="1">
        <f t="array" ref="F146">INDEX($F$5:$F$61,MATCH(1,(D146=$C$5:$C$61)*(A146=$B$5:$B$61),0))</f>
        <v>#N/A</v>
      </c>
      <c r="G146" s="196" t="e" cm="1">
        <f t="array" ref="G146">INDEX($G$5:$G$61,MATCH(1,(D146=$C$5:$C$61)*(A146=$B$5:$B$61),0))</f>
        <v>#N/A</v>
      </c>
      <c r="H146" s="196" t="e" cm="1">
        <f t="array" ref="H146">INDEX($H$5:$H$61,MATCH(1,(D146=$C$5:$C$61)*(A146=$B$5:$B$61),0))</f>
        <v>#N/A</v>
      </c>
      <c r="I146" s="196" t="e" cm="1">
        <f t="array" ref="I146">INDEX($I$5:$I$61,MATCH(1,(D146=$C$5:$C$61)*(A146=$B$5:$B$61),0))</f>
        <v>#N/A</v>
      </c>
      <c r="J146" s="273"/>
      <c r="K146" s="273"/>
      <c r="L146" s="272"/>
      <c r="M146" s="273"/>
      <c r="N146" s="197"/>
      <c r="O146" s="200">
        <f t="shared" si="26"/>
        <v>0</v>
      </c>
      <c r="P146" s="274"/>
      <c r="Q146" s="274"/>
      <c r="R146" s="276"/>
      <c r="S146" s="274"/>
      <c r="T146" s="197">
        <f t="shared" si="27"/>
        <v>0</v>
      </c>
      <c r="U146" s="197">
        <f t="shared" si="28"/>
        <v>0</v>
      </c>
      <c r="V146" s="197">
        <f t="shared" si="29"/>
        <v>0</v>
      </c>
      <c r="W146" s="197">
        <f t="shared" si="30"/>
        <v>0</v>
      </c>
      <c r="Z146" s="197"/>
      <c r="AA146" s="228"/>
      <c r="AB146" s="228"/>
      <c r="AD146" s="228"/>
      <c r="AE146" s="228"/>
      <c r="AF146" s="228"/>
      <c r="AG146" s="228"/>
      <c r="AH146" s="228"/>
      <c r="AI146" s="228"/>
      <c r="AJ146" s="228"/>
      <c r="AK146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1:64" s="198" customFormat="1" x14ac:dyDescent="0.25">
      <c r="A147" s="290" t="str">
        <f t="shared" si="33"/>
        <v>Hudson View Park</v>
      </c>
      <c r="B147" s="195">
        <f t="shared" si="31"/>
        <v>49</v>
      </c>
      <c r="C147" s="196" t="str">
        <f t="shared" si="32"/>
        <v>Occ</v>
      </c>
      <c r="D147" s="196" t="e" cm="1">
        <f t="array" ref="D147">INDEX($C$5:$C$61,MATCH(1,(K147=$D$5:$D$61)*(A147=$B$5:$B$61),0))</f>
        <v>#N/A</v>
      </c>
      <c r="E147" s="196" t="e" cm="1">
        <f t="array" ref="E147">INDEX($E$5:$E$61,MATCH(1,(D147=$C$5:$C$61)*(A147=$B$5:$B$61),0))</f>
        <v>#N/A</v>
      </c>
      <c r="F147" s="196" t="e" cm="1">
        <f t="array" ref="F147">INDEX($F$5:$F$61,MATCH(1,(D147=$C$5:$C$61)*(A147=$B$5:$B$61),0))</f>
        <v>#N/A</v>
      </c>
      <c r="G147" s="196" t="e" cm="1">
        <f t="array" ref="G147">INDEX($G$5:$G$61,MATCH(1,(D147=$C$5:$C$61)*(A147=$B$5:$B$61),0))</f>
        <v>#N/A</v>
      </c>
      <c r="H147" s="196" t="e" cm="1">
        <f t="array" ref="H147">INDEX($H$5:$H$61,MATCH(1,(D147=$C$5:$C$61)*(A147=$B$5:$B$61),0))</f>
        <v>#N/A</v>
      </c>
      <c r="I147" s="196" t="e" cm="1">
        <f t="array" ref="I147">INDEX($I$5:$I$61,MATCH(1,(D147=$C$5:$C$61)*(A147=$B$5:$B$61),0))</f>
        <v>#N/A</v>
      </c>
      <c r="J147" s="273"/>
      <c r="K147" s="273"/>
      <c r="L147" s="272"/>
      <c r="M147" s="273"/>
      <c r="N147" s="197"/>
      <c r="O147" s="200">
        <f t="shared" si="26"/>
        <v>0</v>
      </c>
      <c r="P147" s="274"/>
      <c r="Q147" s="274"/>
      <c r="R147" s="276"/>
      <c r="S147" s="274"/>
      <c r="T147" s="197">
        <f t="shared" si="27"/>
        <v>0</v>
      </c>
      <c r="U147" s="197">
        <f t="shared" si="28"/>
        <v>0</v>
      </c>
      <c r="V147" s="197">
        <f t="shared" si="29"/>
        <v>0</v>
      </c>
      <c r="W147" s="197">
        <f t="shared" si="30"/>
        <v>0</v>
      </c>
      <c r="Z147" s="197"/>
      <c r="AA147" s="228"/>
      <c r="AB147" s="228"/>
      <c r="AD147" s="228"/>
      <c r="AE147" s="228"/>
      <c r="AF147" s="228"/>
      <c r="AG147" s="228"/>
      <c r="AH147" s="228"/>
      <c r="AI147" s="228"/>
      <c r="AJ147" s="228"/>
      <c r="AK147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s="198" customFormat="1" x14ac:dyDescent="0.25">
      <c r="A148" s="290" t="str">
        <f t="shared" si="33"/>
        <v>Hudson View Park</v>
      </c>
      <c r="B148" s="195">
        <f t="shared" si="31"/>
        <v>50</v>
      </c>
      <c r="C148" s="196" t="str">
        <f t="shared" si="32"/>
        <v>Occ</v>
      </c>
      <c r="D148" s="196" t="e" cm="1">
        <f t="array" ref="D148">INDEX($C$5:$C$61,MATCH(1,(K148=$D$5:$D$61)*(A148=$B$5:$B$61),0))</f>
        <v>#N/A</v>
      </c>
      <c r="E148" s="196" t="e" cm="1">
        <f t="array" ref="E148">INDEX($E$5:$E$61,MATCH(1,(D148=$C$5:$C$61)*(A148=$B$5:$B$61),0))</f>
        <v>#N/A</v>
      </c>
      <c r="F148" s="196" t="e" cm="1">
        <f t="array" ref="F148">INDEX($F$5:$F$61,MATCH(1,(D148=$C$5:$C$61)*(A148=$B$5:$B$61),0))</f>
        <v>#N/A</v>
      </c>
      <c r="G148" s="196" t="e" cm="1">
        <f t="array" ref="G148">INDEX($G$5:$G$61,MATCH(1,(D148=$C$5:$C$61)*(A148=$B$5:$B$61),0))</f>
        <v>#N/A</v>
      </c>
      <c r="H148" s="196" t="e" cm="1">
        <f t="array" ref="H148">INDEX($H$5:$H$61,MATCH(1,(D148=$C$5:$C$61)*(A148=$B$5:$B$61),0))</f>
        <v>#N/A</v>
      </c>
      <c r="I148" s="196" t="e" cm="1">
        <f t="array" ref="I148">INDEX($I$5:$I$61,MATCH(1,(D148=$C$5:$C$61)*(A148=$B$5:$B$61),0))</f>
        <v>#N/A</v>
      </c>
      <c r="J148" s="273"/>
      <c r="K148" s="273"/>
      <c r="L148" s="272"/>
      <c r="M148" s="273"/>
      <c r="N148" s="197"/>
      <c r="O148" s="200">
        <f t="shared" si="26"/>
        <v>0</v>
      </c>
      <c r="P148" s="274"/>
      <c r="Q148" s="274"/>
      <c r="R148" s="276"/>
      <c r="S148" s="274"/>
      <c r="T148" s="197">
        <f t="shared" si="27"/>
        <v>0</v>
      </c>
      <c r="U148" s="197">
        <f t="shared" si="28"/>
        <v>0</v>
      </c>
      <c r="V148" s="197">
        <f t="shared" si="29"/>
        <v>0</v>
      </c>
      <c r="W148" s="197">
        <f t="shared" si="30"/>
        <v>0</v>
      </c>
      <c r="Z148" s="197"/>
      <c r="AA148" s="228"/>
      <c r="AB148" s="228"/>
      <c r="AD148" s="228"/>
      <c r="AE148" s="228"/>
      <c r="AF148" s="228"/>
      <c r="AG148" s="228"/>
      <c r="AH148" s="228"/>
      <c r="AI148" s="228"/>
      <c r="AJ148" s="228"/>
      <c r="AK14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s="198" customFormat="1" x14ac:dyDescent="0.25">
      <c r="A149" s="290" t="str">
        <f t="shared" si="33"/>
        <v>Hudson View Park</v>
      </c>
      <c r="B149" s="195">
        <f t="shared" si="31"/>
        <v>51</v>
      </c>
      <c r="C149" s="196" t="str">
        <f t="shared" si="32"/>
        <v>Occ</v>
      </c>
      <c r="D149" s="196" t="e" cm="1">
        <f t="array" ref="D149">INDEX($C$5:$C$61,MATCH(1,(K149=$D$5:$D$61)*(A149=$B$5:$B$61),0))</f>
        <v>#N/A</v>
      </c>
      <c r="E149" s="196" t="e" cm="1">
        <f t="array" ref="E149">INDEX($E$5:$E$61,MATCH(1,(D149=$C$5:$C$61)*(A149=$B$5:$B$61),0))</f>
        <v>#N/A</v>
      </c>
      <c r="F149" s="196" t="e" cm="1">
        <f t="array" ref="F149">INDEX($F$5:$F$61,MATCH(1,(D149=$C$5:$C$61)*(A149=$B$5:$B$61),0))</f>
        <v>#N/A</v>
      </c>
      <c r="G149" s="196" t="e" cm="1">
        <f t="array" ref="G149">INDEX($G$5:$G$61,MATCH(1,(D149=$C$5:$C$61)*(A149=$B$5:$B$61),0))</f>
        <v>#N/A</v>
      </c>
      <c r="H149" s="196" t="e" cm="1">
        <f t="array" ref="H149">INDEX($H$5:$H$61,MATCH(1,(D149=$C$5:$C$61)*(A149=$B$5:$B$61),0))</f>
        <v>#N/A</v>
      </c>
      <c r="I149" s="196" t="e" cm="1">
        <f t="array" ref="I149">INDEX($I$5:$I$61,MATCH(1,(D149=$C$5:$C$61)*(A149=$B$5:$B$61),0))</f>
        <v>#N/A</v>
      </c>
      <c r="J149" s="273"/>
      <c r="K149" s="273"/>
      <c r="L149" s="272"/>
      <c r="M149" s="273"/>
      <c r="N149" s="197"/>
      <c r="O149" s="200">
        <f t="shared" si="26"/>
        <v>0</v>
      </c>
      <c r="P149" s="274"/>
      <c r="Q149" s="274"/>
      <c r="R149" s="276"/>
      <c r="S149" s="274"/>
      <c r="T149" s="197">
        <f t="shared" si="27"/>
        <v>0</v>
      </c>
      <c r="U149" s="197">
        <f t="shared" si="28"/>
        <v>0</v>
      </c>
      <c r="V149" s="197">
        <f t="shared" si="29"/>
        <v>0</v>
      </c>
      <c r="W149" s="197">
        <f t="shared" si="30"/>
        <v>0</v>
      </c>
      <c r="Z149" s="197"/>
      <c r="AA149" s="228"/>
      <c r="AB149" s="228"/>
      <c r="AD149" s="228"/>
      <c r="AE149" s="228"/>
      <c r="AF149" s="228"/>
      <c r="AG149" s="228"/>
      <c r="AH149" s="228"/>
      <c r="AI149" s="228"/>
      <c r="AJ149" s="228"/>
      <c r="AK149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s="198" customFormat="1" x14ac:dyDescent="0.25">
      <c r="A150" s="290" t="str">
        <f t="shared" si="33"/>
        <v>Hudson View Park</v>
      </c>
      <c r="B150" s="195">
        <f t="shared" si="31"/>
        <v>52</v>
      </c>
      <c r="C150" s="196" t="str">
        <f t="shared" si="32"/>
        <v>Occ</v>
      </c>
      <c r="D150" s="196" t="e" cm="1">
        <f t="array" ref="D150">INDEX($C$5:$C$61,MATCH(1,(K150=$D$5:$D$61)*(A150=$B$5:$B$61),0))</f>
        <v>#N/A</v>
      </c>
      <c r="E150" s="196" t="e" cm="1">
        <f t="array" ref="E150">INDEX($E$5:$E$61,MATCH(1,(D150=$C$5:$C$61)*(A150=$B$5:$B$61),0))</f>
        <v>#N/A</v>
      </c>
      <c r="F150" s="196" t="e" cm="1">
        <f t="array" ref="F150">INDEX($F$5:$F$61,MATCH(1,(D150=$C$5:$C$61)*(A150=$B$5:$B$61),0))</f>
        <v>#N/A</v>
      </c>
      <c r="G150" s="196" t="e" cm="1">
        <f t="array" ref="G150">INDEX($G$5:$G$61,MATCH(1,(D150=$C$5:$C$61)*(A150=$B$5:$B$61),0))</f>
        <v>#N/A</v>
      </c>
      <c r="H150" s="196" t="e" cm="1">
        <f t="array" ref="H150">INDEX($H$5:$H$61,MATCH(1,(D150=$C$5:$C$61)*(A150=$B$5:$B$61),0))</f>
        <v>#N/A</v>
      </c>
      <c r="I150" s="196" t="e" cm="1">
        <f t="array" ref="I150">INDEX($I$5:$I$61,MATCH(1,(D150=$C$5:$C$61)*(A150=$B$5:$B$61),0))</f>
        <v>#N/A</v>
      </c>
      <c r="J150" s="273"/>
      <c r="K150" s="273"/>
      <c r="L150" s="272"/>
      <c r="M150" s="273"/>
      <c r="N150" s="197"/>
      <c r="O150" s="200">
        <f t="shared" si="26"/>
        <v>0</v>
      </c>
      <c r="P150" s="274"/>
      <c r="Q150" s="274"/>
      <c r="R150" s="276"/>
      <c r="S150" s="274"/>
      <c r="T150" s="197">
        <f t="shared" si="27"/>
        <v>0</v>
      </c>
      <c r="U150" s="197">
        <f t="shared" si="28"/>
        <v>0</v>
      </c>
      <c r="V150" s="197">
        <f t="shared" si="29"/>
        <v>0</v>
      </c>
      <c r="W150" s="197">
        <f t="shared" si="30"/>
        <v>0</v>
      </c>
      <c r="Z150" s="197"/>
      <c r="AA150" s="228"/>
      <c r="AB150" s="228"/>
      <c r="AD150" s="228"/>
      <c r="AE150" s="228"/>
      <c r="AF150" s="228"/>
      <c r="AG150" s="228"/>
      <c r="AH150" s="228"/>
      <c r="AI150" s="228"/>
      <c r="AJ150" s="228"/>
      <c r="AK150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s="198" customFormat="1" x14ac:dyDescent="0.25">
      <c r="A151" s="290" t="str">
        <f t="shared" si="33"/>
        <v>Hudson View Park</v>
      </c>
      <c r="B151" s="195">
        <f t="shared" si="31"/>
        <v>53</v>
      </c>
      <c r="C151" s="196" t="str">
        <f t="shared" si="32"/>
        <v>Occ</v>
      </c>
      <c r="D151" s="196" t="e" cm="1">
        <f t="array" ref="D151">INDEX($C$5:$C$61,MATCH(1,(K151=$D$5:$D$61)*(A151=$B$5:$B$61),0))</f>
        <v>#N/A</v>
      </c>
      <c r="E151" s="196" t="e" cm="1">
        <f t="array" ref="E151">INDEX($E$5:$E$61,MATCH(1,(D151=$C$5:$C$61)*(A151=$B$5:$B$61),0))</f>
        <v>#N/A</v>
      </c>
      <c r="F151" s="196" t="e" cm="1">
        <f t="array" ref="F151">INDEX($F$5:$F$61,MATCH(1,(D151=$C$5:$C$61)*(A151=$B$5:$B$61),0))</f>
        <v>#N/A</v>
      </c>
      <c r="G151" s="196" t="e" cm="1">
        <f t="array" ref="G151">INDEX($G$5:$G$61,MATCH(1,(D151=$C$5:$C$61)*(A151=$B$5:$B$61),0))</f>
        <v>#N/A</v>
      </c>
      <c r="H151" s="196" t="e" cm="1">
        <f t="array" ref="H151">INDEX($H$5:$H$61,MATCH(1,(D151=$C$5:$C$61)*(A151=$B$5:$B$61),0))</f>
        <v>#N/A</v>
      </c>
      <c r="I151" s="196" t="e" cm="1">
        <f t="array" ref="I151">INDEX($I$5:$I$61,MATCH(1,(D151=$C$5:$C$61)*(A151=$B$5:$B$61),0))</f>
        <v>#N/A</v>
      </c>
      <c r="J151" s="273"/>
      <c r="K151" s="273"/>
      <c r="L151" s="272"/>
      <c r="M151" s="273"/>
      <c r="N151" s="197"/>
      <c r="O151" s="200">
        <f t="shared" si="26"/>
        <v>0</v>
      </c>
      <c r="P151" s="274"/>
      <c r="Q151" s="274"/>
      <c r="R151" s="276"/>
      <c r="S151" s="274"/>
      <c r="T151" s="197">
        <f t="shared" si="27"/>
        <v>0</v>
      </c>
      <c r="U151" s="197">
        <f t="shared" si="28"/>
        <v>0</v>
      </c>
      <c r="V151" s="197">
        <f t="shared" si="29"/>
        <v>0</v>
      </c>
      <c r="W151" s="197">
        <f t="shared" si="30"/>
        <v>0</v>
      </c>
      <c r="Z151" s="197"/>
      <c r="AA151" s="228"/>
      <c r="AB151" s="228"/>
      <c r="AD151" s="228"/>
      <c r="AE151" s="228"/>
      <c r="AF151" s="228"/>
      <c r="AG151" s="228"/>
      <c r="AH151" s="228"/>
      <c r="AI151" s="228"/>
      <c r="AJ151" s="228"/>
      <c r="AK151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s="198" customFormat="1" x14ac:dyDescent="0.25">
      <c r="A152" s="290" t="str">
        <f t="shared" si="33"/>
        <v>Hudson View Park</v>
      </c>
      <c r="B152" s="195">
        <f t="shared" si="31"/>
        <v>54</v>
      </c>
      <c r="C152" s="196" t="str">
        <f t="shared" si="32"/>
        <v>Occ</v>
      </c>
      <c r="D152" s="196" t="e" cm="1">
        <f t="array" ref="D152">INDEX($C$5:$C$61,MATCH(1,(K152=$D$5:$D$61)*(A152=$B$5:$B$61),0))</f>
        <v>#N/A</v>
      </c>
      <c r="E152" s="196" t="e" cm="1">
        <f t="array" ref="E152">INDEX($E$5:$E$61,MATCH(1,(D152=$C$5:$C$61)*(A152=$B$5:$B$61),0))</f>
        <v>#N/A</v>
      </c>
      <c r="F152" s="196" t="e" cm="1">
        <f t="array" ref="F152">INDEX($F$5:$F$61,MATCH(1,(D152=$C$5:$C$61)*(A152=$B$5:$B$61),0))</f>
        <v>#N/A</v>
      </c>
      <c r="G152" s="196" t="e" cm="1">
        <f t="array" ref="G152">INDEX($G$5:$G$61,MATCH(1,(D152=$C$5:$C$61)*(A152=$B$5:$B$61),0))</f>
        <v>#N/A</v>
      </c>
      <c r="H152" s="196" t="e" cm="1">
        <f t="array" ref="H152">INDEX($H$5:$H$61,MATCH(1,(D152=$C$5:$C$61)*(A152=$B$5:$B$61),0))</f>
        <v>#N/A</v>
      </c>
      <c r="I152" s="196" t="e" cm="1">
        <f t="array" ref="I152">INDEX($I$5:$I$61,MATCH(1,(D152=$C$5:$C$61)*(A152=$B$5:$B$61),0))</f>
        <v>#N/A</v>
      </c>
      <c r="J152" s="273"/>
      <c r="K152" s="273"/>
      <c r="L152" s="272"/>
      <c r="M152" s="273"/>
      <c r="N152" s="197"/>
      <c r="O152" s="200">
        <f t="shared" si="26"/>
        <v>0</v>
      </c>
      <c r="P152" s="274"/>
      <c r="Q152" s="274"/>
      <c r="R152" s="276"/>
      <c r="S152" s="274"/>
      <c r="T152" s="197">
        <f t="shared" si="27"/>
        <v>0</v>
      </c>
      <c r="U152" s="197">
        <f t="shared" si="28"/>
        <v>0</v>
      </c>
      <c r="V152" s="197">
        <f t="shared" si="29"/>
        <v>0</v>
      </c>
      <c r="W152" s="197">
        <f t="shared" si="30"/>
        <v>0</v>
      </c>
      <c r="Z152" s="197"/>
      <c r="AA152" s="228"/>
      <c r="AB152" s="228"/>
      <c r="AD152" s="228"/>
      <c r="AE152" s="228"/>
      <c r="AF152" s="228"/>
      <c r="AG152" s="228"/>
      <c r="AH152" s="228"/>
      <c r="AI152" s="228"/>
      <c r="AJ152" s="228"/>
      <c r="AK152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s="198" customFormat="1" x14ac:dyDescent="0.25">
      <c r="A153" s="290" t="str">
        <f t="shared" si="33"/>
        <v>Hudson View Park</v>
      </c>
      <c r="B153" s="195">
        <f t="shared" si="31"/>
        <v>55</v>
      </c>
      <c r="C153" s="196" t="str">
        <f t="shared" si="32"/>
        <v>Occ</v>
      </c>
      <c r="D153" s="196" t="e" cm="1">
        <f t="array" ref="D153">INDEX($C$5:$C$61,MATCH(1,(K153=$D$5:$D$61)*(A153=$B$5:$B$61),0))</f>
        <v>#N/A</v>
      </c>
      <c r="E153" s="196" t="e" cm="1">
        <f t="array" ref="E153">INDEX($E$5:$E$61,MATCH(1,(D153=$C$5:$C$61)*(A153=$B$5:$B$61),0))</f>
        <v>#N/A</v>
      </c>
      <c r="F153" s="196" t="e" cm="1">
        <f t="array" ref="F153">INDEX($F$5:$F$61,MATCH(1,(D153=$C$5:$C$61)*(A153=$B$5:$B$61),0))</f>
        <v>#N/A</v>
      </c>
      <c r="G153" s="196" t="e" cm="1">
        <f t="array" ref="G153">INDEX($G$5:$G$61,MATCH(1,(D153=$C$5:$C$61)*(A153=$B$5:$B$61),0))</f>
        <v>#N/A</v>
      </c>
      <c r="H153" s="196" t="e" cm="1">
        <f t="array" ref="H153">INDEX($H$5:$H$61,MATCH(1,(D153=$C$5:$C$61)*(A153=$B$5:$B$61),0))</f>
        <v>#N/A</v>
      </c>
      <c r="I153" s="196" t="e" cm="1">
        <f t="array" ref="I153">INDEX($I$5:$I$61,MATCH(1,(D153=$C$5:$C$61)*(A153=$B$5:$B$61),0))</f>
        <v>#N/A</v>
      </c>
      <c r="J153" s="273"/>
      <c r="K153" s="273"/>
      <c r="L153" s="272"/>
      <c r="M153" s="273"/>
      <c r="N153" s="197"/>
      <c r="O153" s="200">
        <f t="shared" si="26"/>
        <v>0</v>
      </c>
      <c r="P153" s="274"/>
      <c r="Q153" s="274"/>
      <c r="R153" s="276"/>
      <c r="S153" s="274"/>
      <c r="T153" s="197">
        <f t="shared" si="27"/>
        <v>0</v>
      </c>
      <c r="U153" s="197">
        <f t="shared" si="28"/>
        <v>0</v>
      </c>
      <c r="V153" s="197">
        <f t="shared" si="29"/>
        <v>0</v>
      </c>
      <c r="W153" s="197">
        <f t="shared" si="30"/>
        <v>0</v>
      </c>
      <c r="Z153" s="197"/>
      <c r="AA153" s="228"/>
      <c r="AB153" s="228"/>
      <c r="AD153" s="228"/>
      <c r="AE153" s="228"/>
      <c r="AF153" s="228"/>
      <c r="AG153" s="228"/>
      <c r="AH153" s="228"/>
      <c r="AI153" s="228"/>
      <c r="AJ153" s="228"/>
      <c r="AK153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s="198" customFormat="1" x14ac:dyDescent="0.25">
      <c r="A154" s="290" t="str">
        <f t="shared" si="33"/>
        <v>Hudson View Park</v>
      </c>
      <c r="B154" s="195">
        <f t="shared" si="31"/>
        <v>56</v>
      </c>
      <c r="C154" s="196" t="str">
        <f t="shared" si="32"/>
        <v>Occ</v>
      </c>
      <c r="D154" s="196" t="e" cm="1">
        <f t="array" ref="D154">INDEX($C$5:$C$61,MATCH(1,(K154=$D$5:$D$61)*(A154=$B$5:$B$61),0))</f>
        <v>#N/A</v>
      </c>
      <c r="E154" s="196" t="e" cm="1">
        <f t="array" ref="E154">INDEX($E$5:$E$61,MATCH(1,(D154=$C$5:$C$61)*(A154=$B$5:$B$61),0))</f>
        <v>#N/A</v>
      </c>
      <c r="F154" s="196" t="e" cm="1">
        <f t="array" ref="F154">INDEX($F$5:$F$61,MATCH(1,(D154=$C$5:$C$61)*(A154=$B$5:$B$61),0))</f>
        <v>#N/A</v>
      </c>
      <c r="G154" s="196" t="e" cm="1">
        <f t="array" ref="G154">INDEX($G$5:$G$61,MATCH(1,(D154=$C$5:$C$61)*(A154=$B$5:$B$61),0))</f>
        <v>#N/A</v>
      </c>
      <c r="H154" s="196" t="e" cm="1">
        <f t="array" ref="H154">INDEX($H$5:$H$61,MATCH(1,(D154=$C$5:$C$61)*(A154=$B$5:$B$61),0))</f>
        <v>#N/A</v>
      </c>
      <c r="I154" s="196" t="e" cm="1">
        <f t="array" ref="I154">INDEX($I$5:$I$61,MATCH(1,(D154=$C$5:$C$61)*(A154=$B$5:$B$61),0))</f>
        <v>#N/A</v>
      </c>
      <c r="J154" s="273"/>
      <c r="K154" s="273"/>
      <c r="L154" s="272"/>
      <c r="M154" s="273"/>
      <c r="N154" s="197"/>
      <c r="O154" s="200">
        <f t="shared" si="26"/>
        <v>0</v>
      </c>
      <c r="P154" s="274"/>
      <c r="Q154" s="274"/>
      <c r="R154" s="276"/>
      <c r="S154" s="274"/>
      <c r="T154" s="197">
        <f t="shared" si="27"/>
        <v>0</v>
      </c>
      <c r="U154" s="197">
        <f t="shared" si="28"/>
        <v>0</v>
      </c>
      <c r="V154" s="197">
        <f t="shared" si="29"/>
        <v>0</v>
      </c>
      <c r="W154" s="197">
        <f t="shared" si="30"/>
        <v>0</v>
      </c>
      <c r="Z154" s="197"/>
      <c r="AA154" s="228"/>
      <c r="AB154" s="228"/>
      <c r="AD154" s="228"/>
      <c r="AE154" s="228"/>
      <c r="AF154" s="228"/>
      <c r="AG154" s="228"/>
      <c r="AH154" s="228"/>
      <c r="AI154" s="228"/>
      <c r="AJ154" s="228"/>
      <c r="AK154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s="198" customFormat="1" x14ac:dyDescent="0.25">
      <c r="A155" s="290" t="str">
        <f t="shared" si="33"/>
        <v>Hudson View Park</v>
      </c>
      <c r="B155" s="195">
        <f t="shared" si="31"/>
        <v>57</v>
      </c>
      <c r="C155" s="196" t="str">
        <f t="shared" si="32"/>
        <v>Occ</v>
      </c>
      <c r="D155" s="196" t="e" cm="1">
        <f t="array" ref="D155">INDEX($C$5:$C$61,MATCH(1,(K155=$D$5:$D$61)*(A155=$B$5:$B$61),0))</f>
        <v>#N/A</v>
      </c>
      <c r="E155" s="196" t="e" cm="1">
        <f t="array" ref="E155">INDEX($E$5:$E$61,MATCH(1,(D155=$C$5:$C$61)*(A155=$B$5:$B$61),0))</f>
        <v>#N/A</v>
      </c>
      <c r="F155" s="196" t="e" cm="1">
        <f t="array" ref="F155">INDEX($F$5:$F$61,MATCH(1,(D155=$C$5:$C$61)*(A155=$B$5:$B$61),0))</f>
        <v>#N/A</v>
      </c>
      <c r="G155" s="196" t="e" cm="1">
        <f t="array" ref="G155">INDEX($G$5:$G$61,MATCH(1,(D155=$C$5:$C$61)*(A155=$B$5:$B$61),0))</f>
        <v>#N/A</v>
      </c>
      <c r="H155" s="196" t="e" cm="1">
        <f t="array" ref="H155">INDEX($H$5:$H$61,MATCH(1,(D155=$C$5:$C$61)*(A155=$B$5:$B$61),0))</f>
        <v>#N/A</v>
      </c>
      <c r="I155" s="196" t="e" cm="1">
        <f t="array" ref="I155">INDEX($I$5:$I$61,MATCH(1,(D155=$C$5:$C$61)*(A155=$B$5:$B$61),0))</f>
        <v>#N/A</v>
      </c>
      <c r="J155" s="273"/>
      <c r="K155" s="273"/>
      <c r="L155" s="272"/>
      <c r="M155" s="273"/>
      <c r="N155" s="197"/>
      <c r="O155" s="200">
        <f t="shared" si="26"/>
        <v>0</v>
      </c>
      <c r="P155" s="274"/>
      <c r="Q155" s="274"/>
      <c r="R155" s="276"/>
      <c r="S155" s="274"/>
      <c r="T155" s="197">
        <f t="shared" si="27"/>
        <v>0</v>
      </c>
      <c r="U155" s="197">
        <f t="shared" si="28"/>
        <v>0</v>
      </c>
      <c r="V155" s="197">
        <f t="shared" si="29"/>
        <v>0</v>
      </c>
      <c r="W155" s="197">
        <f t="shared" si="30"/>
        <v>0</v>
      </c>
      <c r="Z155" s="197"/>
      <c r="AA155" s="228"/>
      <c r="AB155" s="228"/>
      <c r="AD155" s="228"/>
      <c r="AE155" s="228"/>
      <c r="AF155" s="228"/>
      <c r="AG155" s="228"/>
      <c r="AH155" s="228"/>
      <c r="AI155" s="228"/>
      <c r="AJ155" s="228"/>
      <c r="AK155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s="198" customFormat="1" x14ac:dyDescent="0.25">
      <c r="A156" s="290" t="str">
        <f t="shared" si="33"/>
        <v>Hudson View Park</v>
      </c>
      <c r="B156" s="195">
        <f t="shared" si="31"/>
        <v>58</v>
      </c>
      <c r="C156" s="196" t="str">
        <f t="shared" si="32"/>
        <v>Occ</v>
      </c>
      <c r="D156" s="196" t="e" cm="1">
        <f t="array" ref="D156">INDEX($C$5:$C$61,MATCH(1,(K156=$D$5:$D$61)*(A156=$B$5:$B$61),0))</f>
        <v>#N/A</v>
      </c>
      <c r="E156" s="196" t="e" cm="1">
        <f t="array" ref="E156">INDEX($E$5:$E$61,MATCH(1,(D156=$C$5:$C$61)*(A156=$B$5:$B$61),0))</f>
        <v>#N/A</v>
      </c>
      <c r="F156" s="196" t="e" cm="1">
        <f t="array" ref="F156">INDEX($F$5:$F$61,MATCH(1,(D156=$C$5:$C$61)*(A156=$B$5:$B$61),0))</f>
        <v>#N/A</v>
      </c>
      <c r="G156" s="196" t="e" cm="1">
        <f t="array" ref="G156">INDEX($G$5:$G$61,MATCH(1,(D156=$C$5:$C$61)*(A156=$B$5:$B$61),0))</f>
        <v>#N/A</v>
      </c>
      <c r="H156" s="196" t="e" cm="1">
        <f t="array" ref="H156">INDEX($H$5:$H$61,MATCH(1,(D156=$C$5:$C$61)*(A156=$B$5:$B$61),0))</f>
        <v>#N/A</v>
      </c>
      <c r="I156" s="196" t="e" cm="1">
        <f t="array" ref="I156">INDEX($I$5:$I$61,MATCH(1,(D156=$C$5:$C$61)*(A156=$B$5:$B$61),0))</f>
        <v>#N/A</v>
      </c>
      <c r="J156" s="273"/>
      <c r="K156" s="273"/>
      <c r="L156" s="272"/>
      <c r="M156" s="273"/>
      <c r="N156" s="197"/>
      <c r="O156" s="200">
        <f t="shared" si="26"/>
        <v>0</v>
      </c>
      <c r="P156" s="274"/>
      <c r="Q156" s="274"/>
      <c r="R156" s="276"/>
      <c r="S156" s="274"/>
      <c r="T156" s="197">
        <f t="shared" si="27"/>
        <v>0</v>
      </c>
      <c r="U156" s="197">
        <f t="shared" si="28"/>
        <v>0</v>
      </c>
      <c r="V156" s="197">
        <f t="shared" si="29"/>
        <v>0</v>
      </c>
      <c r="W156" s="197">
        <f t="shared" si="30"/>
        <v>0</v>
      </c>
      <c r="Z156" s="197"/>
      <c r="AA156" s="228"/>
      <c r="AB156" s="228"/>
      <c r="AD156" s="228"/>
      <c r="AE156" s="228"/>
      <c r="AF156" s="228"/>
      <c r="AG156" s="228"/>
      <c r="AH156" s="228"/>
      <c r="AI156" s="228"/>
      <c r="AJ156" s="228"/>
      <c r="AK156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s="198" customFormat="1" x14ac:dyDescent="0.25">
      <c r="A157" s="290" t="str">
        <f t="shared" si="33"/>
        <v>Hudson View Park</v>
      </c>
      <c r="B157" s="195">
        <f t="shared" si="31"/>
        <v>59</v>
      </c>
      <c r="C157" s="196" t="str">
        <f t="shared" si="32"/>
        <v>Occ</v>
      </c>
      <c r="D157" s="196" t="e" cm="1">
        <f t="array" ref="D157">INDEX($C$5:$C$61,MATCH(1,(K157=$D$5:$D$61)*(A157=$B$5:$B$61),0))</f>
        <v>#N/A</v>
      </c>
      <c r="E157" s="196" t="e" cm="1">
        <f t="array" ref="E157">INDEX($E$5:$E$61,MATCH(1,(D157=$C$5:$C$61)*(A157=$B$5:$B$61),0))</f>
        <v>#N/A</v>
      </c>
      <c r="F157" s="196" t="e" cm="1">
        <f t="array" ref="F157">INDEX($F$5:$F$61,MATCH(1,(D157=$C$5:$C$61)*(A157=$B$5:$B$61),0))</f>
        <v>#N/A</v>
      </c>
      <c r="G157" s="196" t="e" cm="1">
        <f t="array" ref="G157">INDEX($G$5:$G$61,MATCH(1,(D157=$C$5:$C$61)*(A157=$B$5:$B$61),0))</f>
        <v>#N/A</v>
      </c>
      <c r="H157" s="196" t="e" cm="1">
        <f t="array" ref="H157">INDEX($H$5:$H$61,MATCH(1,(D157=$C$5:$C$61)*(A157=$B$5:$B$61),0))</f>
        <v>#N/A</v>
      </c>
      <c r="I157" s="196" t="e" cm="1">
        <f t="array" ref="I157">INDEX($I$5:$I$61,MATCH(1,(D157=$C$5:$C$61)*(A157=$B$5:$B$61),0))</f>
        <v>#N/A</v>
      </c>
      <c r="J157" s="273"/>
      <c r="K157" s="273"/>
      <c r="L157" s="272"/>
      <c r="M157" s="273"/>
      <c r="N157" s="197"/>
      <c r="O157" s="200">
        <f t="shared" si="26"/>
        <v>0</v>
      </c>
      <c r="P157" s="274"/>
      <c r="Q157" s="274"/>
      <c r="R157" s="276"/>
      <c r="S157" s="274"/>
      <c r="T157" s="197">
        <f t="shared" si="27"/>
        <v>0</v>
      </c>
      <c r="U157" s="197">
        <f t="shared" si="28"/>
        <v>0</v>
      </c>
      <c r="V157" s="197">
        <f t="shared" si="29"/>
        <v>0</v>
      </c>
      <c r="W157" s="197">
        <f t="shared" si="30"/>
        <v>0</v>
      </c>
      <c r="Z157" s="197"/>
      <c r="AA157" s="228"/>
      <c r="AB157" s="228"/>
      <c r="AD157" s="228"/>
      <c r="AE157" s="228"/>
      <c r="AF157" s="228"/>
      <c r="AG157" s="228"/>
      <c r="AH157" s="228"/>
      <c r="AI157" s="228"/>
      <c r="AJ157" s="228"/>
      <c r="AK157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s="198" customFormat="1" x14ac:dyDescent="0.25">
      <c r="A158" s="290" t="str">
        <f t="shared" si="33"/>
        <v>Hudson View Park</v>
      </c>
      <c r="B158" s="195">
        <f t="shared" si="31"/>
        <v>60</v>
      </c>
      <c r="C158" s="196" t="str">
        <f t="shared" si="32"/>
        <v>Occ</v>
      </c>
      <c r="D158" s="196" t="e" cm="1">
        <f t="array" ref="D158">INDEX($C$5:$C$61,MATCH(1,(K158=$D$5:$D$61)*(A158=$B$5:$B$61),0))</f>
        <v>#N/A</v>
      </c>
      <c r="E158" s="196" t="e" cm="1">
        <f t="array" ref="E158">INDEX($E$5:$E$61,MATCH(1,(D158=$C$5:$C$61)*(A158=$B$5:$B$61),0))</f>
        <v>#N/A</v>
      </c>
      <c r="F158" s="196" t="e" cm="1">
        <f t="array" ref="F158">INDEX($F$5:$F$61,MATCH(1,(D158=$C$5:$C$61)*(A158=$B$5:$B$61),0))</f>
        <v>#N/A</v>
      </c>
      <c r="G158" s="196" t="e" cm="1">
        <f t="array" ref="G158">INDEX($G$5:$G$61,MATCH(1,(D158=$C$5:$C$61)*(A158=$B$5:$B$61),0))</f>
        <v>#N/A</v>
      </c>
      <c r="H158" s="196" t="e" cm="1">
        <f t="array" ref="H158">INDEX($H$5:$H$61,MATCH(1,(D158=$C$5:$C$61)*(A158=$B$5:$B$61),0))</f>
        <v>#N/A</v>
      </c>
      <c r="I158" s="196" t="e" cm="1">
        <f t="array" ref="I158">INDEX($I$5:$I$61,MATCH(1,(D158=$C$5:$C$61)*(A158=$B$5:$B$61),0))</f>
        <v>#N/A</v>
      </c>
      <c r="J158" s="273"/>
      <c r="K158" s="273"/>
      <c r="L158" s="272"/>
      <c r="M158" s="273"/>
      <c r="N158" s="197"/>
      <c r="O158" s="200">
        <f t="shared" si="26"/>
        <v>0</v>
      </c>
      <c r="P158" s="274"/>
      <c r="Q158" s="274"/>
      <c r="R158" s="276"/>
      <c r="S158" s="274"/>
      <c r="T158" s="197">
        <f t="shared" si="27"/>
        <v>0</v>
      </c>
      <c r="U158" s="197">
        <f t="shared" si="28"/>
        <v>0</v>
      </c>
      <c r="V158" s="197">
        <f t="shared" si="29"/>
        <v>0</v>
      </c>
      <c r="W158" s="197">
        <f t="shared" si="30"/>
        <v>0</v>
      </c>
      <c r="Z158" s="197"/>
      <c r="AA158" s="228"/>
      <c r="AB158" s="228"/>
      <c r="AD158" s="228"/>
      <c r="AE158" s="228"/>
      <c r="AF158" s="228"/>
      <c r="AG158" s="228"/>
      <c r="AH158" s="228"/>
      <c r="AI158" s="228"/>
      <c r="AJ158" s="228"/>
      <c r="AK15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s="198" customFormat="1" x14ac:dyDescent="0.25">
      <c r="A159" s="290" t="str">
        <f t="shared" si="33"/>
        <v>Hudson View Park</v>
      </c>
      <c r="B159" s="195">
        <f t="shared" si="31"/>
        <v>61</v>
      </c>
      <c r="C159" s="196" t="str">
        <f t="shared" si="32"/>
        <v>Occ</v>
      </c>
      <c r="D159" s="196" t="e" cm="1">
        <f t="array" ref="D159">INDEX($C$5:$C$61,MATCH(1,(K159=$D$5:$D$61)*(A159=$B$5:$B$61),0))</f>
        <v>#N/A</v>
      </c>
      <c r="E159" s="196" t="e" cm="1">
        <f t="array" ref="E159">INDEX($E$5:$E$61,MATCH(1,(D159=$C$5:$C$61)*(A159=$B$5:$B$61),0))</f>
        <v>#N/A</v>
      </c>
      <c r="F159" s="196" t="e" cm="1">
        <f t="array" ref="F159">INDEX($F$5:$F$61,MATCH(1,(D159=$C$5:$C$61)*(A159=$B$5:$B$61),0))</f>
        <v>#N/A</v>
      </c>
      <c r="G159" s="196" t="e" cm="1">
        <f t="array" ref="G159">INDEX($G$5:$G$61,MATCH(1,(D159=$C$5:$C$61)*(A159=$B$5:$B$61),0))</f>
        <v>#N/A</v>
      </c>
      <c r="H159" s="196" t="e" cm="1">
        <f t="array" ref="H159">INDEX($H$5:$H$61,MATCH(1,(D159=$C$5:$C$61)*(A159=$B$5:$B$61),0))</f>
        <v>#N/A</v>
      </c>
      <c r="I159" s="196" t="e" cm="1">
        <f t="array" ref="I159">INDEX($I$5:$I$61,MATCH(1,(D159=$C$5:$C$61)*(A159=$B$5:$B$61),0))</f>
        <v>#N/A</v>
      </c>
      <c r="J159" s="273"/>
      <c r="K159" s="273"/>
      <c r="L159" s="272"/>
      <c r="M159" s="273"/>
      <c r="N159" s="197"/>
      <c r="O159" s="200">
        <f t="shared" si="26"/>
        <v>0</v>
      </c>
      <c r="P159" s="274"/>
      <c r="Q159" s="274"/>
      <c r="R159" s="276"/>
      <c r="S159" s="274"/>
      <c r="T159" s="197">
        <f t="shared" si="27"/>
        <v>0</v>
      </c>
      <c r="U159" s="197">
        <f t="shared" si="28"/>
        <v>0</v>
      </c>
      <c r="V159" s="197">
        <f t="shared" si="29"/>
        <v>0</v>
      </c>
      <c r="W159" s="197">
        <f t="shared" si="30"/>
        <v>0</v>
      </c>
      <c r="Z159" s="197"/>
      <c r="AA159" s="228"/>
      <c r="AB159" s="228"/>
      <c r="AD159" s="228"/>
      <c r="AE159" s="228"/>
      <c r="AF159" s="228"/>
      <c r="AG159" s="228"/>
      <c r="AH159" s="228"/>
      <c r="AI159" s="228"/>
      <c r="AJ159" s="228"/>
      <c r="AK159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s="198" customFormat="1" x14ac:dyDescent="0.25">
      <c r="A160" s="290" t="str">
        <f t="shared" si="33"/>
        <v>Hudson View Park</v>
      </c>
      <c r="B160" s="195">
        <f t="shared" si="31"/>
        <v>62</v>
      </c>
      <c r="C160" s="196" t="str">
        <f t="shared" si="32"/>
        <v>Occ</v>
      </c>
      <c r="D160" s="196" t="e" cm="1">
        <f t="array" ref="D160">INDEX($C$5:$C$61,MATCH(1,(K160=$D$5:$D$61)*(A160=$B$5:$B$61),0))</f>
        <v>#N/A</v>
      </c>
      <c r="E160" s="196" t="e" cm="1">
        <f t="array" ref="E160">INDEX($E$5:$E$61,MATCH(1,(D160=$C$5:$C$61)*(A160=$B$5:$B$61),0))</f>
        <v>#N/A</v>
      </c>
      <c r="F160" s="196" t="e" cm="1">
        <f t="array" ref="F160">INDEX($F$5:$F$61,MATCH(1,(D160=$C$5:$C$61)*(A160=$B$5:$B$61),0))</f>
        <v>#N/A</v>
      </c>
      <c r="G160" s="196" t="e" cm="1">
        <f t="array" ref="G160">INDEX($G$5:$G$61,MATCH(1,(D160=$C$5:$C$61)*(A160=$B$5:$B$61),0))</f>
        <v>#N/A</v>
      </c>
      <c r="H160" s="196" t="e" cm="1">
        <f t="array" ref="H160">INDEX($H$5:$H$61,MATCH(1,(D160=$C$5:$C$61)*(A160=$B$5:$B$61),0))</f>
        <v>#N/A</v>
      </c>
      <c r="I160" s="196" t="e" cm="1">
        <f t="array" ref="I160">INDEX($I$5:$I$61,MATCH(1,(D160=$C$5:$C$61)*(A160=$B$5:$B$61),0))</f>
        <v>#N/A</v>
      </c>
      <c r="J160" s="273"/>
      <c r="K160" s="273"/>
      <c r="L160" s="272"/>
      <c r="M160" s="273"/>
      <c r="N160" s="197"/>
      <c r="O160" s="200">
        <f t="shared" si="26"/>
        <v>0</v>
      </c>
      <c r="P160" s="274"/>
      <c r="Q160" s="274"/>
      <c r="R160" s="276"/>
      <c r="S160" s="274"/>
      <c r="T160" s="197">
        <f t="shared" si="27"/>
        <v>0</v>
      </c>
      <c r="U160" s="197">
        <f t="shared" si="28"/>
        <v>0</v>
      </c>
      <c r="V160" s="197">
        <f t="shared" si="29"/>
        <v>0</v>
      </c>
      <c r="W160" s="197">
        <f t="shared" si="30"/>
        <v>0</v>
      </c>
      <c r="Z160" s="197"/>
      <c r="AA160" s="228"/>
      <c r="AB160" s="228"/>
      <c r="AD160" s="228"/>
      <c r="AE160" s="228"/>
      <c r="AF160" s="228"/>
      <c r="AG160" s="228"/>
      <c r="AH160" s="228"/>
      <c r="AI160" s="228"/>
      <c r="AJ160" s="228"/>
      <c r="AK160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64" s="198" customFormat="1" x14ac:dyDescent="0.25">
      <c r="A161" s="290" t="str">
        <f t="shared" si="33"/>
        <v>Hudson View Park</v>
      </c>
      <c r="B161" s="195">
        <f t="shared" si="31"/>
        <v>63</v>
      </c>
      <c r="C161" s="196" t="str">
        <f t="shared" si="32"/>
        <v>Occ</v>
      </c>
      <c r="D161" s="196" t="e" cm="1">
        <f t="array" ref="D161">INDEX($C$5:$C$61,MATCH(1,(K161=$D$5:$D$61)*(A161=$B$5:$B$61),0))</f>
        <v>#N/A</v>
      </c>
      <c r="E161" s="196" t="e" cm="1">
        <f t="array" ref="E161">INDEX($E$5:$E$61,MATCH(1,(D161=$C$5:$C$61)*(A161=$B$5:$B$61),0))</f>
        <v>#N/A</v>
      </c>
      <c r="F161" s="196" t="e" cm="1">
        <f t="array" ref="F161">INDEX($F$5:$F$61,MATCH(1,(D161=$C$5:$C$61)*(A161=$B$5:$B$61),0))</f>
        <v>#N/A</v>
      </c>
      <c r="G161" s="196" t="e" cm="1">
        <f t="array" ref="G161">INDEX($G$5:$G$61,MATCH(1,(D161=$C$5:$C$61)*(A161=$B$5:$B$61),0))</f>
        <v>#N/A</v>
      </c>
      <c r="H161" s="196" t="e" cm="1">
        <f t="array" ref="H161">INDEX($H$5:$H$61,MATCH(1,(D161=$C$5:$C$61)*(A161=$B$5:$B$61),0))</f>
        <v>#N/A</v>
      </c>
      <c r="I161" s="196" t="e" cm="1">
        <f t="array" ref="I161">INDEX($I$5:$I$61,MATCH(1,(D161=$C$5:$C$61)*(A161=$B$5:$B$61),0))</f>
        <v>#N/A</v>
      </c>
      <c r="J161" s="273"/>
      <c r="K161" s="273"/>
      <c r="L161" s="272"/>
      <c r="M161" s="273"/>
      <c r="N161" s="197"/>
      <c r="O161" s="200">
        <f t="shared" si="26"/>
        <v>0</v>
      </c>
      <c r="P161" s="274"/>
      <c r="Q161" s="274"/>
      <c r="R161" s="276"/>
      <c r="S161" s="274"/>
      <c r="T161" s="197">
        <f t="shared" si="27"/>
        <v>0</v>
      </c>
      <c r="U161" s="197">
        <f t="shared" si="28"/>
        <v>0</v>
      </c>
      <c r="V161" s="197">
        <f t="shared" si="29"/>
        <v>0</v>
      </c>
      <c r="W161" s="197">
        <f t="shared" si="30"/>
        <v>0</v>
      </c>
      <c r="Z161" s="197"/>
      <c r="AA161" s="228"/>
      <c r="AB161" s="228"/>
      <c r="AD161" s="228"/>
      <c r="AE161" s="228"/>
      <c r="AF161" s="228"/>
      <c r="AG161" s="228"/>
      <c r="AH161" s="228"/>
      <c r="AI161" s="228"/>
      <c r="AJ161" s="228"/>
      <c r="AK161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s="198" customFormat="1" x14ac:dyDescent="0.25">
      <c r="A162" s="290" t="str">
        <f t="shared" ref="A162:A183" si="34">$C$67</f>
        <v>Hudson View Park</v>
      </c>
      <c r="B162" s="195">
        <f t="shared" si="31"/>
        <v>64</v>
      </c>
      <c r="C162" s="196" t="str">
        <f t="shared" si="32"/>
        <v>Occ</v>
      </c>
      <c r="D162" s="196" t="e" cm="1">
        <f t="array" ref="D162">INDEX($C$5:$C$61,MATCH(1,(K162=$D$5:$D$61)*(A162=$B$5:$B$61),0))</f>
        <v>#N/A</v>
      </c>
      <c r="E162" s="196" t="e" cm="1">
        <f t="array" ref="E162">INDEX($E$5:$E$61,MATCH(1,(D162=$C$5:$C$61)*(A162=$B$5:$B$61),0))</f>
        <v>#N/A</v>
      </c>
      <c r="F162" s="196" t="e" cm="1">
        <f t="array" ref="F162">INDEX($F$5:$F$61,MATCH(1,(D162=$C$5:$C$61)*(A162=$B$5:$B$61),0))</f>
        <v>#N/A</v>
      </c>
      <c r="G162" s="196" t="e" cm="1">
        <f t="array" ref="G162">INDEX($G$5:$G$61,MATCH(1,(D162=$C$5:$C$61)*(A162=$B$5:$B$61),0))</f>
        <v>#N/A</v>
      </c>
      <c r="H162" s="196" t="e" cm="1">
        <f t="array" ref="H162">INDEX($H$5:$H$61,MATCH(1,(D162=$C$5:$C$61)*(A162=$B$5:$B$61),0))</f>
        <v>#N/A</v>
      </c>
      <c r="I162" s="196" t="e" cm="1">
        <f t="array" ref="I162">INDEX($I$5:$I$61,MATCH(1,(D162=$C$5:$C$61)*(A162=$B$5:$B$61),0))</f>
        <v>#N/A</v>
      </c>
      <c r="J162" s="273"/>
      <c r="K162" s="273"/>
      <c r="L162" s="272"/>
      <c r="M162" s="273"/>
      <c r="N162" s="197"/>
      <c r="O162" s="200">
        <f t="shared" si="26"/>
        <v>0</v>
      </c>
      <c r="P162" s="274"/>
      <c r="Q162" s="274"/>
      <c r="R162" s="276"/>
      <c r="S162" s="274"/>
      <c r="T162" s="197">
        <f t="shared" si="27"/>
        <v>0</v>
      </c>
      <c r="U162" s="197">
        <f t="shared" si="28"/>
        <v>0</v>
      </c>
      <c r="V162" s="197">
        <f t="shared" si="29"/>
        <v>0</v>
      </c>
      <c r="W162" s="197">
        <f t="shared" si="30"/>
        <v>0</v>
      </c>
      <c r="Z162" s="197"/>
      <c r="AA162" s="228"/>
      <c r="AB162" s="228"/>
      <c r="AD162" s="228"/>
      <c r="AE162" s="228"/>
      <c r="AF162" s="228"/>
      <c r="AG162" s="228"/>
      <c r="AH162" s="228"/>
      <c r="AI162" s="228"/>
      <c r="AJ162" s="228"/>
      <c r="AK162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s="198" customFormat="1" x14ac:dyDescent="0.25">
      <c r="A163" s="290" t="str">
        <f t="shared" si="34"/>
        <v>Hudson View Park</v>
      </c>
      <c r="B163" s="195">
        <f t="shared" si="31"/>
        <v>65</v>
      </c>
      <c r="C163" s="196" t="str">
        <f t="shared" si="32"/>
        <v>Occ</v>
      </c>
      <c r="D163" s="196" t="e" cm="1">
        <f t="array" ref="D163">INDEX($C$5:$C$61,MATCH(1,(K163=$D$5:$D$61)*(A163=$B$5:$B$61),0))</f>
        <v>#N/A</v>
      </c>
      <c r="E163" s="196" t="e" cm="1">
        <f t="array" ref="E163">INDEX($E$5:$E$61,MATCH(1,(D163=$C$5:$C$61)*(A163=$B$5:$B$61),0))</f>
        <v>#N/A</v>
      </c>
      <c r="F163" s="196" t="e" cm="1">
        <f t="array" ref="F163">INDEX($F$5:$F$61,MATCH(1,(D163=$C$5:$C$61)*(A163=$B$5:$B$61),0))</f>
        <v>#N/A</v>
      </c>
      <c r="G163" s="196" t="e" cm="1">
        <f t="array" ref="G163">INDEX($G$5:$G$61,MATCH(1,(D163=$C$5:$C$61)*(A163=$B$5:$B$61),0))</f>
        <v>#N/A</v>
      </c>
      <c r="H163" s="196" t="e" cm="1">
        <f t="array" ref="H163">INDEX($H$5:$H$61,MATCH(1,(D163=$C$5:$C$61)*(A163=$B$5:$B$61),0))</f>
        <v>#N/A</v>
      </c>
      <c r="I163" s="196" t="e" cm="1">
        <f t="array" ref="I163">INDEX($I$5:$I$61,MATCH(1,(D163=$C$5:$C$61)*(A163=$B$5:$B$61),0))</f>
        <v>#N/A</v>
      </c>
      <c r="J163" s="273"/>
      <c r="K163" s="273"/>
      <c r="L163" s="272"/>
      <c r="M163" s="273"/>
      <c r="N163" s="197"/>
      <c r="O163" s="200">
        <f t="shared" si="26"/>
        <v>0</v>
      </c>
      <c r="P163" s="274"/>
      <c r="Q163" s="274"/>
      <c r="R163" s="276"/>
      <c r="S163" s="274"/>
      <c r="T163" s="197">
        <f t="shared" si="27"/>
        <v>0</v>
      </c>
      <c r="U163" s="197">
        <f t="shared" si="28"/>
        <v>0</v>
      </c>
      <c r="V163" s="197">
        <f t="shared" si="29"/>
        <v>0</v>
      </c>
      <c r="W163" s="197">
        <f t="shared" si="30"/>
        <v>0</v>
      </c>
      <c r="Z163" s="197"/>
      <c r="AA163" s="228"/>
      <c r="AB163" s="228"/>
      <c r="AD163" s="228"/>
      <c r="AE163" s="228"/>
      <c r="AF163" s="228"/>
      <c r="AG163" s="228"/>
      <c r="AH163" s="228"/>
      <c r="AI163" s="228"/>
      <c r="AJ163" s="228"/>
      <c r="AK163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s="198" customFormat="1" x14ac:dyDescent="0.25">
      <c r="A164" s="290" t="str">
        <f t="shared" si="34"/>
        <v>Hudson View Park</v>
      </c>
      <c r="B164" s="195">
        <f t="shared" si="31"/>
        <v>66</v>
      </c>
      <c r="C164" s="196" t="str">
        <f t="shared" si="32"/>
        <v>Occ</v>
      </c>
      <c r="D164" s="196" t="e" cm="1">
        <f t="array" ref="D164">INDEX($C$5:$C$61,MATCH(1,(K164=$D$5:$D$61)*(A164=$B$5:$B$61),0))</f>
        <v>#N/A</v>
      </c>
      <c r="E164" s="196" t="e" cm="1">
        <f t="array" ref="E164">INDEX($E$5:$E$61,MATCH(1,(D164=$C$5:$C$61)*(A164=$B$5:$B$61),0))</f>
        <v>#N/A</v>
      </c>
      <c r="F164" s="196" t="e" cm="1">
        <f t="array" ref="F164">INDEX($F$5:$F$61,MATCH(1,(D164=$C$5:$C$61)*(A164=$B$5:$B$61),0))</f>
        <v>#N/A</v>
      </c>
      <c r="G164" s="196" t="e" cm="1">
        <f t="array" ref="G164">INDEX($G$5:$G$61,MATCH(1,(D164=$C$5:$C$61)*(A164=$B$5:$B$61),0))</f>
        <v>#N/A</v>
      </c>
      <c r="H164" s="196" t="e" cm="1">
        <f t="array" ref="H164">INDEX($H$5:$H$61,MATCH(1,(D164=$C$5:$C$61)*(A164=$B$5:$B$61),0))</f>
        <v>#N/A</v>
      </c>
      <c r="I164" s="196" t="e" cm="1">
        <f t="array" ref="I164">INDEX($I$5:$I$61,MATCH(1,(D164=$C$5:$C$61)*(A164=$B$5:$B$61),0))</f>
        <v>#N/A</v>
      </c>
      <c r="J164" s="273"/>
      <c r="K164" s="273"/>
      <c r="L164" s="272"/>
      <c r="M164" s="273"/>
      <c r="N164" s="197"/>
      <c r="O164" s="200">
        <f t="shared" ref="O164:O227" si="35">SUM(AA164:AB164)</f>
        <v>0</v>
      </c>
      <c r="P164" s="274"/>
      <c r="Q164" s="274"/>
      <c r="R164" s="276"/>
      <c r="S164" s="274"/>
      <c r="T164" s="197">
        <f t="shared" ref="T164:T227" si="36">SUM(AD164:AJ164)</f>
        <v>0</v>
      </c>
      <c r="U164" s="197">
        <f t="shared" ref="U164:U227" si="37">SUM(AL164:AO164)</f>
        <v>0</v>
      </c>
      <c r="V164" s="197">
        <f t="shared" ref="V164:V227" si="38">SUM(AQ164:AR164)</f>
        <v>0</v>
      </c>
      <c r="W164" s="197">
        <f t="shared" ref="W164:W227" si="39">SUM(AT164:AV164)</f>
        <v>0</v>
      </c>
      <c r="Z164" s="197"/>
      <c r="AA164" s="228"/>
      <c r="AB164" s="228"/>
      <c r="AD164" s="228"/>
      <c r="AE164" s="228"/>
      <c r="AF164" s="228"/>
      <c r="AG164" s="228"/>
      <c r="AH164" s="228"/>
      <c r="AI164" s="228"/>
      <c r="AJ164" s="228"/>
      <c r="AK164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s="198" customFormat="1" x14ac:dyDescent="0.25">
      <c r="A165" s="290" t="str">
        <f t="shared" si="34"/>
        <v>Hudson View Park</v>
      </c>
      <c r="B165" s="195">
        <f t="shared" ref="B165:B228" si="40">B164+1</f>
        <v>67</v>
      </c>
      <c r="C165" s="196" t="str">
        <f t="shared" ref="C165:C228" si="41">IF(M165="Vacant","Vac",IF(M165="Model","Model",IF(M165="Admin","Admin",IF(M165="Down","Down","Occ"))))</f>
        <v>Occ</v>
      </c>
      <c r="D165" s="196" t="e" cm="1">
        <f t="array" ref="D165">INDEX($C$5:$C$61,MATCH(1,(K165=$D$5:$D$61)*(A165=$B$5:$B$61),0))</f>
        <v>#N/A</v>
      </c>
      <c r="E165" s="196" t="e" cm="1">
        <f t="array" ref="E165">INDEX($E$5:$E$61,MATCH(1,(D165=$C$5:$C$61)*(A165=$B$5:$B$61),0))</f>
        <v>#N/A</v>
      </c>
      <c r="F165" s="196" t="e" cm="1">
        <f t="array" ref="F165">INDEX($F$5:$F$61,MATCH(1,(D165=$C$5:$C$61)*(A165=$B$5:$B$61),0))</f>
        <v>#N/A</v>
      </c>
      <c r="G165" s="196" t="e" cm="1">
        <f t="array" ref="G165">INDEX($G$5:$G$61,MATCH(1,(D165=$C$5:$C$61)*(A165=$B$5:$B$61),0))</f>
        <v>#N/A</v>
      </c>
      <c r="H165" s="196" t="e" cm="1">
        <f t="array" ref="H165">INDEX($H$5:$H$61,MATCH(1,(D165=$C$5:$C$61)*(A165=$B$5:$B$61),0))</f>
        <v>#N/A</v>
      </c>
      <c r="I165" s="196" t="e" cm="1">
        <f t="array" ref="I165">INDEX($I$5:$I$61,MATCH(1,(D165=$C$5:$C$61)*(A165=$B$5:$B$61),0))</f>
        <v>#N/A</v>
      </c>
      <c r="J165" s="273"/>
      <c r="K165" s="273"/>
      <c r="L165" s="272"/>
      <c r="M165" s="273"/>
      <c r="N165" s="197"/>
      <c r="O165" s="200">
        <f t="shared" si="35"/>
        <v>0</v>
      </c>
      <c r="P165" s="274"/>
      <c r="Q165" s="274"/>
      <c r="R165" s="276"/>
      <c r="S165" s="274"/>
      <c r="T165" s="197">
        <f t="shared" si="36"/>
        <v>0</v>
      </c>
      <c r="U165" s="197">
        <f t="shared" si="37"/>
        <v>0</v>
      </c>
      <c r="V165" s="197">
        <f t="shared" si="38"/>
        <v>0</v>
      </c>
      <c r="W165" s="197">
        <f t="shared" si="39"/>
        <v>0</v>
      </c>
      <c r="Z165" s="197"/>
      <c r="AA165" s="228"/>
      <c r="AB165" s="228"/>
      <c r="AD165" s="228"/>
      <c r="AE165" s="228"/>
      <c r="AF165" s="228"/>
      <c r="AG165" s="228"/>
      <c r="AH165" s="228"/>
      <c r="AI165" s="228"/>
      <c r="AJ165" s="228"/>
      <c r="AK165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s="198" customFormat="1" x14ac:dyDescent="0.25">
      <c r="A166" s="290" t="str">
        <f t="shared" si="34"/>
        <v>Hudson View Park</v>
      </c>
      <c r="B166" s="195">
        <f t="shared" si="40"/>
        <v>68</v>
      </c>
      <c r="C166" s="196" t="str">
        <f t="shared" si="41"/>
        <v>Occ</v>
      </c>
      <c r="D166" s="196" t="e" cm="1">
        <f t="array" ref="D166">INDEX($C$5:$C$61,MATCH(1,(K166=$D$5:$D$61)*(A166=$B$5:$B$61),0))</f>
        <v>#N/A</v>
      </c>
      <c r="E166" s="196" t="e" cm="1">
        <f t="array" ref="E166">INDEX($E$5:$E$61,MATCH(1,(D166=$C$5:$C$61)*(A166=$B$5:$B$61),0))</f>
        <v>#N/A</v>
      </c>
      <c r="F166" s="196" t="e" cm="1">
        <f t="array" ref="F166">INDEX($F$5:$F$61,MATCH(1,(D166=$C$5:$C$61)*(A166=$B$5:$B$61),0))</f>
        <v>#N/A</v>
      </c>
      <c r="G166" s="196" t="e" cm="1">
        <f t="array" ref="G166">INDEX($G$5:$G$61,MATCH(1,(D166=$C$5:$C$61)*(A166=$B$5:$B$61),0))</f>
        <v>#N/A</v>
      </c>
      <c r="H166" s="196" t="e" cm="1">
        <f t="array" ref="H166">INDEX($H$5:$H$61,MATCH(1,(D166=$C$5:$C$61)*(A166=$B$5:$B$61),0))</f>
        <v>#N/A</v>
      </c>
      <c r="I166" s="196" t="e" cm="1">
        <f t="array" ref="I166">INDEX($I$5:$I$61,MATCH(1,(D166=$C$5:$C$61)*(A166=$B$5:$B$61),0))</f>
        <v>#N/A</v>
      </c>
      <c r="J166" s="273"/>
      <c r="K166" s="273"/>
      <c r="L166" s="272"/>
      <c r="M166" s="273"/>
      <c r="N166" s="197"/>
      <c r="O166" s="200">
        <f t="shared" si="35"/>
        <v>0</v>
      </c>
      <c r="P166" s="274"/>
      <c r="Q166" s="274"/>
      <c r="R166" s="276"/>
      <c r="S166" s="274"/>
      <c r="T166" s="197">
        <f t="shared" si="36"/>
        <v>0</v>
      </c>
      <c r="U166" s="197">
        <f t="shared" si="37"/>
        <v>0</v>
      </c>
      <c r="V166" s="197">
        <f t="shared" si="38"/>
        <v>0</v>
      </c>
      <c r="W166" s="197">
        <f t="shared" si="39"/>
        <v>0</v>
      </c>
      <c r="Z166" s="197"/>
      <c r="AA166" s="228"/>
      <c r="AB166" s="228"/>
      <c r="AD166" s="228"/>
      <c r="AE166" s="228"/>
      <c r="AF166" s="228"/>
      <c r="AG166" s="228"/>
      <c r="AH166" s="228"/>
      <c r="AI166" s="228"/>
      <c r="AJ166" s="228"/>
      <c r="AK166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s="198" customFormat="1" x14ac:dyDescent="0.25">
      <c r="A167" s="290" t="str">
        <f t="shared" si="34"/>
        <v>Hudson View Park</v>
      </c>
      <c r="B167" s="195">
        <f t="shared" si="40"/>
        <v>69</v>
      </c>
      <c r="C167" s="196" t="str">
        <f t="shared" si="41"/>
        <v>Occ</v>
      </c>
      <c r="D167" s="196" t="e" cm="1">
        <f t="array" ref="D167">INDEX($C$5:$C$61,MATCH(1,(K167=$D$5:$D$61)*(A167=$B$5:$B$61),0))</f>
        <v>#N/A</v>
      </c>
      <c r="E167" s="196" t="e" cm="1">
        <f t="array" ref="E167">INDEX($E$5:$E$61,MATCH(1,(D167=$C$5:$C$61)*(A167=$B$5:$B$61),0))</f>
        <v>#N/A</v>
      </c>
      <c r="F167" s="196" t="e" cm="1">
        <f t="array" ref="F167">INDEX($F$5:$F$61,MATCH(1,(D167=$C$5:$C$61)*(A167=$B$5:$B$61),0))</f>
        <v>#N/A</v>
      </c>
      <c r="G167" s="196" t="e" cm="1">
        <f t="array" ref="G167">INDEX($G$5:$G$61,MATCH(1,(D167=$C$5:$C$61)*(A167=$B$5:$B$61),0))</f>
        <v>#N/A</v>
      </c>
      <c r="H167" s="196" t="e" cm="1">
        <f t="array" ref="H167">INDEX($H$5:$H$61,MATCH(1,(D167=$C$5:$C$61)*(A167=$B$5:$B$61),0))</f>
        <v>#N/A</v>
      </c>
      <c r="I167" s="196" t="e" cm="1">
        <f t="array" ref="I167">INDEX($I$5:$I$61,MATCH(1,(D167=$C$5:$C$61)*(A167=$B$5:$B$61),0))</f>
        <v>#N/A</v>
      </c>
      <c r="J167" s="273"/>
      <c r="K167" s="273"/>
      <c r="L167" s="272"/>
      <c r="M167" s="273"/>
      <c r="N167" s="197"/>
      <c r="O167" s="200">
        <f t="shared" si="35"/>
        <v>0</v>
      </c>
      <c r="P167" s="274"/>
      <c r="Q167" s="274"/>
      <c r="R167" s="276"/>
      <c r="S167" s="274"/>
      <c r="T167" s="197">
        <f t="shared" si="36"/>
        <v>0</v>
      </c>
      <c r="U167" s="197">
        <f t="shared" si="37"/>
        <v>0</v>
      </c>
      <c r="V167" s="197">
        <f t="shared" si="38"/>
        <v>0</v>
      </c>
      <c r="W167" s="197">
        <f t="shared" si="39"/>
        <v>0</v>
      </c>
      <c r="Z167" s="197"/>
      <c r="AA167" s="228"/>
      <c r="AB167" s="228"/>
      <c r="AD167" s="228"/>
      <c r="AE167" s="228"/>
      <c r="AF167" s="228"/>
      <c r="AG167" s="228"/>
      <c r="AH167" s="228"/>
      <c r="AI167" s="228"/>
      <c r="AJ167" s="228"/>
      <c r="AK167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s="198" customFormat="1" x14ac:dyDescent="0.25">
      <c r="A168" s="290" t="str">
        <f t="shared" si="34"/>
        <v>Hudson View Park</v>
      </c>
      <c r="B168" s="195">
        <f t="shared" si="40"/>
        <v>70</v>
      </c>
      <c r="C168" s="196" t="str">
        <f t="shared" si="41"/>
        <v>Occ</v>
      </c>
      <c r="D168" s="196" t="e" cm="1">
        <f t="array" ref="D168">INDEX($C$5:$C$61,MATCH(1,(K168=$D$5:$D$61)*(A168=$B$5:$B$61),0))</f>
        <v>#N/A</v>
      </c>
      <c r="E168" s="196" t="e" cm="1">
        <f t="array" ref="E168">INDEX($E$5:$E$61,MATCH(1,(D168=$C$5:$C$61)*(A168=$B$5:$B$61),0))</f>
        <v>#N/A</v>
      </c>
      <c r="F168" s="196" t="e" cm="1">
        <f t="array" ref="F168">INDEX($F$5:$F$61,MATCH(1,(D168=$C$5:$C$61)*(A168=$B$5:$B$61),0))</f>
        <v>#N/A</v>
      </c>
      <c r="G168" s="196" t="e" cm="1">
        <f t="array" ref="G168">INDEX($G$5:$G$61,MATCH(1,(D168=$C$5:$C$61)*(A168=$B$5:$B$61),0))</f>
        <v>#N/A</v>
      </c>
      <c r="H168" s="196" t="e" cm="1">
        <f t="array" ref="H168">INDEX($H$5:$H$61,MATCH(1,(D168=$C$5:$C$61)*(A168=$B$5:$B$61),0))</f>
        <v>#N/A</v>
      </c>
      <c r="I168" s="196" t="e" cm="1">
        <f t="array" ref="I168">INDEX($I$5:$I$61,MATCH(1,(D168=$C$5:$C$61)*(A168=$B$5:$B$61),0))</f>
        <v>#N/A</v>
      </c>
      <c r="J168" s="273"/>
      <c r="K168" s="273"/>
      <c r="L168" s="272"/>
      <c r="M168" s="273"/>
      <c r="N168" s="197"/>
      <c r="O168" s="200">
        <f t="shared" si="35"/>
        <v>0</v>
      </c>
      <c r="P168" s="274"/>
      <c r="Q168" s="274"/>
      <c r="R168" s="276"/>
      <c r="S168" s="274"/>
      <c r="T168" s="197">
        <f t="shared" si="36"/>
        <v>0</v>
      </c>
      <c r="U168" s="197">
        <f t="shared" si="37"/>
        <v>0</v>
      </c>
      <c r="V168" s="197">
        <f t="shared" si="38"/>
        <v>0</v>
      </c>
      <c r="W168" s="197">
        <f t="shared" si="39"/>
        <v>0</v>
      </c>
      <c r="Z168" s="197"/>
      <c r="AA168" s="228"/>
      <c r="AB168" s="228"/>
      <c r="AD168" s="228"/>
      <c r="AE168" s="228"/>
      <c r="AF168" s="228"/>
      <c r="AG168" s="228"/>
      <c r="AH168" s="228"/>
      <c r="AI168" s="228"/>
      <c r="AJ168" s="228"/>
      <c r="AK16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s="198" customFormat="1" x14ac:dyDescent="0.25">
      <c r="A169" s="290" t="str">
        <f t="shared" si="34"/>
        <v>Hudson View Park</v>
      </c>
      <c r="B169" s="195">
        <f t="shared" si="40"/>
        <v>71</v>
      </c>
      <c r="C169" s="196" t="str">
        <f t="shared" si="41"/>
        <v>Occ</v>
      </c>
      <c r="D169" s="196" t="e" cm="1">
        <f t="array" ref="D169">INDEX($C$5:$C$61,MATCH(1,(K169=$D$5:$D$61)*(A169=$B$5:$B$61),0))</f>
        <v>#N/A</v>
      </c>
      <c r="E169" s="196" t="e" cm="1">
        <f t="array" ref="E169">INDEX($E$5:$E$61,MATCH(1,(D169=$C$5:$C$61)*(A169=$B$5:$B$61),0))</f>
        <v>#N/A</v>
      </c>
      <c r="F169" s="196" t="e" cm="1">
        <f t="array" ref="F169">INDEX($F$5:$F$61,MATCH(1,(D169=$C$5:$C$61)*(A169=$B$5:$B$61),0))</f>
        <v>#N/A</v>
      </c>
      <c r="G169" s="196" t="e" cm="1">
        <f t="array" ref="G169">INDEX($G$5:$G$61,MATCH(1,(D169=$C$5:$C$61)*(A169=$B$5:$B$61),0))</f>
        <v>#N/A</v>
      </c>
      <c r="H169" s="196" t="e" cm="1">
        <f t="array" ref="H169">INDEX($H$5:$H$61,MATCH(1,(D169=$C$5:$C$61)*(A169=$B$5:$B$61),0))</f>
        <v>#N/A</v>
      </c>
      <c r="I169" s="196" t="e" cm="1">
        <f t="array" ref="I169">INDEX($I$5:$I$61,MATCH(1,(D169=$C$5:$C$61)*(A169=$B$5:$B$61),0))</f>
        <v>#N/A</v>
      </c>
      <c r="J169" s="273"/>
      <c r="K169" s="273"/>
      <c r="L169" s="272"/>
      <c r="M169" s="273"/>
      <c r="N169" s="197"/>
      <c r="O169" s="200">
        <f t="shared" si="35"/>
        <v>0</v>
      </c>
      <c r="P169" s="274"/>
      <c r="Q169" s="274"/>
      <c r="R169" s="276"/>
      <c r="S169" s="274"/>
      <c r="T169" s="197">
        <f t="shared" si="36"/>
        <v>0</v>
      </c>
      <c r="U169" s="197">
        <f t="shared" si="37"/>
        <v>0</v>
      </c>
      <c r="V169" s="197">
        <f t="shared" si="38"/>
        <v>0</v>
      </c>
      <c r="W169" s="197">
        <f t="shared" si="39"/>
        <v>0</v>
      </c>
      <c r="Z169" s="197"/>
      <c r="AA169" s="228"/>
      <c r="AB169" s="228"/>
      <c r="AD169" s="228"/>
      <c r="AE169" s="228"/>
      <c r="AF169" s="228"/>
      <c r="AG169" s="228"/>
      <c r="AH169" s="228"/>
      <c r="AI169" s="228"/>
      <c r="AJ169" s="228"/>
      <c r="AK169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s="198" customFormat="1" x14ac:dyDescent="0.25">
      <c r="A170" s="290" t="str">
        <f t="shared" si="34"/>
        <v>Hudson View Park</v>
      </c>
      <c r="B170" s="195">
        <f t="shared" si="40"/>
        <v>72</v>
      </c>
      <c r="C170" s="196" t="str">
        <f t="shared" si="41"/>
        <v>Occ</v>
      </c>
      <c r="D170" s="196" t="e" cm="1">
        <f t="array" ref="D170">INDEX($C$5:$C$61,MATCH(1,(K170=$D$5:$D$61)*(A170=$B$5:$B$61),0))</f>
        <v>#N/A</v>
      </c>
      <c r="E170" s="196" t="e" cm="1">
        <f t="array" ref="E170">INDEX($E$5:$E$61,MATCH(1,(D170=$C$5:$C$61)*(A170=$B$5:$B$61),0))</f>
        <v>#N/A</v>
      </c>
      <c r="F170" s="196" t="e" cm="1">
        <f t="array" ref="F170">INDEX($F$5:$F$61,MATCH(1,(D170=$C$5:$C$61)*(A170=$B$5:$B$61),0))</f>
        <v>#N/A</v>
      </c>
      <c r="G170" s="196" t="e" cm="1">
        <f t="array" ref="G170">INDEX($G$5:$G$61,MATCH(1,(D170=$C$5:$C$61)*(A170=$B$5:$B$61),0))</f>
        <v>#N/A</v>
      </c>
      <c r="H170" s="196" t="e" cm="1">
        <f t="array" ref="H170">INDEX($H$5:$H$61,MATCH(1,(D170=$C$5:$C$61)*(A170=$B$5:$B$61),0))</f>
        <v>#N/A</v>
      </c>
      <c r="I170" s="196" t="e" cm="1">
        <f t="array" ref="I170">INDEX($I$5:$I$61,MATCH(1,(D170=$C$5:$C$61)*(A170=$B$5:$B$61),0))</f>
        <v>#N/A</v>
      </c>
      <c r="J170" s="273"/>
      <c r="K170" s="273"/>
      <c r="L170" s="272"/>
      <c r="M170" s="273"/>
      <c r="N170" s="197"/>
      <c r="O170" s="200">
        <f t="shared" si="35"/>
        <v>0</v>
      </c>
      <c r="P170" s="274"/>
      <c r="Q170" s="274"/>
      <c r="R170" s="276"/>
      <c r="S170" s="274"/>
      <c r="T170" s="197">
        <f t="shared" si="36"/>
        <v>0</v>
      </c>
      <c r="U170" s="197">
        <f t="shared" si="37"/>
        <v>0</v>
      </c>
      <c r="V170" s="197">
        <f t="shared" si="38"/>
        <v>0</v>
      </c>
      <c r="W170" s="197">
        <f t="shared" si="39"/>
        <v>0</v>
      </c>
      <c r="Z170" s="197"/>
      <c r="AA170" s="228"/>
      <c r="AB170" s="228"/>
      <c r="AD170" s="228"/>
      <c r="AE170" s="228"/>
      <c r="AF170" s="228"/>
      <c r="AG170" s="228"/>
      <c r="AH170" s="228"/>
      <c r="AI170" s="228"/>
      <c r="AJ170" s="228"/>
      <c r="AK170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s="198" customFormat="1" x14ac:dyDescent="0.25">
      <c r="A171" s="290" t="str">
        <f t="shared" si="34"/>
        <v>Hudson View Park</v>
      </c>
      <c r="B171" s="195">
        <f t="shared" si="40"/>
        <v>73</v>
      </c>
      <c r="C171" s="196" t="str">
        <f t="shared" si="41"/>
        <v>Occ</v>
      </c>
      <c r="D171" s="196" t="e" cm="1">
        <f t="array" ref="D171">INDEX($C$5:$C$61,MATCH(1,(K171=$D$5:$D$61)*(A171=$B$5:$B$61),0))</f>
        <v>#N/A</v>
      </c>
      <c r="E171" s="196" t="e" cm="1">
        <f t="array" ref="E171">INDEX($E$5:$E$61,MATCH(1,(D171=$C$5:$C$61)*(A171=$B$5:$B$61),0))</f>
        <v>#N/A</v>
      </c>
      <c r="F171" s="196" t="e" cm="1">
        <f t="array" ref="F171">INDEX($F$5:$F$61,MATCH(1,(D171=$C$5:$C$61)*(A171=$B$5:$B$61),0))</f>
        <v>#N/A</v>
      </c>
      <c r="G171" s="196" t="e" cm="1">
        <f t="array" ref="G171">INDEX($G$5:$G$61,MATCH(1,(D171=$C$5:$C$61)*(A171=$B$5:$B$61),0))</f>
        <v>#N/A</v>
      </c>
      <c r="H171" s="196" t="e" cm="1">
        <f t="array" ref="H171">INDEX($H$5:$H$61,MATCH(1,(D171=$C$5:$C$61)*(A171=$B$5:$B$61),0))</f>
        <v>#N/A</v>
      </c>
      <c r="I171" s="196" t="e" cm="1">
        <f t="array" ref="I171">INDEX($I$5:$I$61,MATCH(1,(D171=$C$5:$C$61)*(A171=$B$5:$B$61),0))</f>
        <v>#N/A</v>
      </c>
      <c r="J171" s="273"/>
      <c r="K171" s="273"/>
      <c r="L171" s="272"/>
      <c r="M171" s="273"/>
      <c r="N171" s="197"/>
      <c r="O171" s="200">
        <f t="shared" si="35"/>
        <v>0</v>
      </c>
      <c r="P171" s="274"/>
      <c r="Q171" s="274"/>
      <c r="R171" s="276"/>
      <c r="S171" s="274"/>
      <c r="T171" s="197">
        <f t="shared" si="36"/>
        <v>0</v>
      </c>
      <c r="U171" s="197">
        <f t="shared" si="37"/>
        <v>0</v>
      </c>
      <c r="V171" s="197">
        <f t="shared" si="38"/>
        <v>0</v>
      </c>
      <c r="W171" s="197">
        <f t="shared" si="39"/>
        <v>0</v>
      </c>
      <c r="Z171" s="197"/>
      <c r="AA171" s="228"/>
      <c r="AB171" s="228"/>
      <c r="AD171" s="228"/>
      <c r="AE171" s="228"/>
      <c r="AF171" s="228"/>
      <c r="AG171" s="228"/>
      <c r="AH171" s="228"/>
      <c r="AI171" s="228"/>
      <c r="AJ171" s="228"/>
      <c r="AK171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s="198" customFormat="1" x14ac:dyDescent="0.25">
      <c r="A172" s="290" t="str">
        <f t="shared" si="34"/>
        <v>Hudson View Park</v>
      </c>
      <c r="B172" s="195">
        <f t="shared" si="40"/>
        <v>74</v>
      </c>
      <c r="C172" s="196" t="str">
        <f t="shared" si="41"/>
        <v>Occ</v>
      </c>
      <c r="D172" s="196" t="e" cm="1">
        <f t="array" ref="D172">INDEX($C$5:$C$61,MATCH(1,(K172=$D$5:$D$61)*(A172=$B$5:$B$61),0))</f>
        <v>#N/A</v>
      </c>
      <c r="E172" s="196" t="e" cm="1">
        <f t="array" ref="E172">INDEX($E$5:$E$61,MATCH(1,(D172=$C$5:$C$61)*(A172=$B$5:$B$61),0))</f>
        <v>#N/A</v>
      </c>
      <c r="F172" s="196" t="e" cm="1">
        <f t="array" ref="F172">INDEX($F$5:$F$61,MATCH(1,(D172=$C$5:$C$61)*(A172=$B$5:$B$61),0))</f>
        <v>#N/A</v>
      </c>
      <c r="G172" s="196" t="e" cm="1">
        <f t="array" ref="G172">INDEX($G$5:$G$61,MATCH(1,(D172=$C$5:$C$61)*(A172=$B$5:$B$61),0))</f>
        <v>#N/A</v>
      </c>
      <c r="H172" s="196" t="e" cm="1">
        <f t="array" ref="H172">INDEX($H$5:$H$61,MATCH(1,(D172=$C$5:$C$61)*(A172=$B$5:$B$61),0))</f>
        <v>#N/A</v>
      </c>
      <c r="I172" s="196" t="e" cm="1">
        <f t="array" ref="I172">INDEX($I$5:$I$61,MATCH(1,(D172=$C$5:$C$61)*(A172=$B$5:$B$61),0))</f>
        <v>#N/A</v>
      </c>
      <c r="J172" s="273"/>
      <c r="K172" s="273"/>
      <c r="L172" s="272"/>
      <c r="M172" s="273"/>
      <c r="N172" s="197"/>
      <c r="O172" s="200">
        <f t="shared" si="35"/>
        <v>0</v>
      </c>
      <c r="P172" s="274"/>
      <c r="Q172" s="274"/>
      <c r="R172" s="276"/>
      <c r="S172" s="274"/>
      <c r="T172" s="197">
        <f t="shared" si="36"/>
        <v>0</v>
      </c>
      <c r="U172" s="197">
        <f t="shared" si="37"/>
        <v>0</v>
      </c>
      <c r="V172" s="197">
        <f t="shared" si="38"/>
        <v>0</v>
      </c>
      <c r="W172" s="197">
        <f t="shared" si="39"/>
        <v>0</v>
      </c>
      <c r="Z172" s="197"/>
      <c r="AA172" s="228"/>
      <c r="AB172" s="228"/>
      <c r="AD172" s="228"/>
      <c r="AE172" s="228"/>
      <c r="AF172" s="228"/>
      <c r="AG172" s="228"/>
      <c r="AH172" s="228"/>
      <c r="AI172" s="228"/>
      <c r="AJ172" s="228"/>
      <c r="AK172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s="198" customFormat="1" x14ac:dyDescent="0.25">
      <c r="A173" s="290" t="str">
        <f t="shared" si="34"/>
        <v>Hudson View Park</v>
      </c>
      <c r="B173" s="195">
        <f t="shared" si="40"/>
        <v>75</v>
      </c>
      <c r="C173" s="196" t="str">
        <f t="shared" si="41"/>
        <v>Occ</v>
      </c>
      <c r="D173" s="196" t="e" cm="1">
        <f t="array" ref="D173">INDEX($C$5:$C$61,MATCH(1,(K173=$D$5:$D$61)*(A173=$B$5:$B$61),0))</f>
        <v>#N/A</v>
      </c>
      <c r="E173" s="196" t="e" cm="1">
        <f t="array" ref="E173">INDEX($E$5:$E$61,MATCH(1,(D173=$C$5:$C$61)*(A173=$B$5:$B$61),0))</f>
        <v>#N/A</v>
      </c>
      <c r="F173" s="196" t="e" cm="1">
        <f t="array" ref="F173">INDEX($F$5:$F$61,MATCH(1,(D173=$C$5:$C$61)*(A173=$B$5:$B$61),0))</f>
        <v>#N/A</v>
      </c>
      <c r="G173" s="196" t="e" cm="1">
        <f t="array" ref="G173">INDEX($G$5:$G$61,MATCH(1,(D173=$C$5:$C$61)*(A173=$B$5:$B$61),0))</f>
        <v>#N/A</v>
      </c>
      <c r="H173" s="196" t="e" cm="1">
        <f t="array" ref="H173">INDEX($H$5:$H$61,MATCH(1,(D173=$C$5:$C$61)*(A173=$B$5:$B$61),0))</f>
        <v>#N/A</v>
      </c>
      <c r="I173" s="196" t="e" cm="1">
        <f t="array" ref="I173">INDEX($I$5:$I$61,MATCH(1,(D173=$C$5:$C$61)*(A173=$B$5:$B$61),0))</f>
        <v>#N/A</v>
      </c>
      <c r="J173" s="273"/>
      <c r="K173" s="273"/>
      <c r="L173" s="272"/>
      <c r="M173" s="273"/>
      <c r="N173" s="197"/>
      <c r="O173" s="200">
        <f t="shared" si="35"/>
        <v>0</v>
      </c>
      <c r="P173" s="274"/>
      <c r="Q173" s="274"/>
      <c r="R173" s="276"/>
      <c r="S173" s="274"/>
      <c r="T173" s="197">
        <f t="shared" si="36"/>
        <v>0</v>
      </c>
      <c r="U173" s="197">
        <f t="shared" si="37"/>
        <v>0</v>
      </c>
      <c r="V173" s="197">
        <f t="shared" si="38"/>
        <v>0</v>
      </c>
      <c r="W173" s="197">
        <f t="shared" si="39"/>
        <v>0</v>
      </c>
      <c r="Z173" s="197"/>
      <c r="AA173" s="228"/>
      <c r="AB173" s="228"/>
      <c r="AD173" s="228"/>
      <c r="AE173" s="228"/>
      <c r="AF173" s="228"/>
      <c r="AG173" s="228"/>
      <c r="AH173" s="228"/>
      <c r="AI173" s="228"/>
      <c r="AJ173" s="228"/>
      <c r="AK173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s="198" customFormat="1" x14ac:dyDescent="0.25">
      <c r="A174" s="290" t="str">
        <f t="shared" si="34"/>
        <v>Hudson View Park</v>
      </c>
      <c r="B174" s="195">
        <f t="shared" si="40"/>
        <v>76</v>
      </c>
      <c r="C174" s="196" t="str">
        <f t="shared" si="41"/>
        <v>Occ</v>
      </c>
      <c r="D174" s="196" t="e" cm="1">
        <f t="array" ref="D174">INDEX($C$5:$C$61,MATCH(1,(K174=$D$5:$D$61)*(A174=$B$5:$B$61),0))</f>
        <v>#N/A</v>
      </c>
      <c r="E174" s="196" t="e" cm="1">
        <f t="array" ref="E174">INDEX($E$5:$E$61,MATCH(1,(D174=$C$5:$C$61)*(A174=$B$5:$B$61),0))</f>
        <v>#N/A</v>
      </c>
      <c r="F174" s="196" t="e" cm="1">
        <f t="array" ref="F174">INDEX($F$5:$F$61,MATCH(1,(D174=$C$5:$C$61)*(A174=$B$5:$B$61),0))</f>
        <v>#N/A</v>
      </c>
      <c r="G174" s="196" t="e" cm="1">
        <f t="array" ref="G174">INDEX($G$5:$G$61,MATCH(1,(D174=$C$5:$C$61)*(A174=$B$5:$B$61),0))</f>
        <v>#N/A</v>
      </c>
      <c r="H174" s="196" t="e" cm="1">
        <f t="array" ref="H174">INDEX($H$5:$H$61,MATCH(1,(D174=$C$5:$C$61)*(A174=$B$5:$B$61),0))</f>
        <v>#N/A</v>
      </c>
      <c r="I174" s="196" t="e" cm="1">
        <f t="array" ref="I174">INDEX($I$5:$I$61,MATCH(1,(D174=$C$5:$C$61)*(A174=$B$5:$B$61),0))</f>
        <v>#N/A</v>
      </c>
      <c r="J174" s="273"/>
      <c r="K174" s="273"/>
      <c r="L174" s="272"/>
      <c r="M174" s="273"/>
      <c r="N174" s="197"/>
      <c r="O174" s="200">
        <f t="shared" si="35"/>
        <v>0</v>
      </c>
      <c r="P174" s="274"/>
      <c r="Q174" s="274"/>
      <c r="R174" s="276"/>
      <c r="S174" s="274"/>
      <c r="T174" s="197">
        <f t="shared" si="36"/>
        <v>0</v>
      </c>
      <c r="U174" s="197">
        <f t="shared" si="37"/>
        <v>0</v>
      </c>
      <c r="V174" s="197">
        <f t="shared" si="38"/>
        <v>0</v>
      </c>
      <c r="W174" s="197">
        <f t="shared" si="39"/>
        <v>0</v>
      </c>
      <c r="Z174" s="197"/>
      <c r="AA174" s="228"/>
      <c r="AB174" s="228"/>
      <c r="AD174" s="228"/>
      <c r="AE174" s="228"/>
      <c r="AF174" s="228"/>
      <c r="AG174" s="228"/>
      <c r="AH174" s="228"/>
      <c r="AI174" s="228"/>
      <c r="AJ174" s="228"/>
      <c r="AK174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s="198" customFormat="1" x14ac:dyDescent="0.25">
      <c r="A175" s="290" t="str">
        <f t="shared" si="34"/>
        <v>Hudson View Park</v>
      </c>
      <c r="B175" s="195">
        <f t="shared" si="40"/>
        <v>77</v>
      </c>
      <c r="C175" s="196" t="str">
        <f t="shared" si="41"/>
        <v>Occ</v>
      </c>
      <c r="D175" s="196" t="e" cm="1">
        <f t="array" ref="D175">INDEX($C$5:$C$61,MATCH(1,(K175=$D$5:$D$61)*(A175=$B$5:$B$61),0))</f>
        <v>#N/A</v>
      </c>
      <c r="E175" s="196" t="e" cm="1">
        <f t="array" ref="E175">INDEX($E$5:$E$61,MATCH(1,(D175=$C$5:$C$61)*(A175=$B$5:$B$61),0))</f>
        <v>#N/A</v>
      </c>
      <c r="F175" s="196" t="e" cm="1">
        <f t="array" ref="F175">INDEX($F$5:$F$61,MATCH(1,(D175=$C$5:$C$61)*(A175=$B$5:$B$61),0))</f>
        <v>#N/A</v>
      </c>
      <c r="G175" s="196" t="e" cm="1">
        <f t="array" ref="G175">INDEX($G$5:$G$61,MATCH(1,(D175=$C$5:$C$61)*(A175=$B$5:$B$61),0))</f>
        <v>#N/A</v>
      </c>
      <c r="H175" s="196" t="e" cm="1">
        <f t="array" ref="H175">INDEX($H$5:$H$61,MATCH(1,(D175=$C$5:$C$61)*(A175=$B$5:$B$61),0))</f>
        <v>#N/A</v>
      </c>
      <c r="I175" s="196" t="e" cm="1">
        <f t="array" ref="I175">INDEX($I$5:$I$61,MATCH(1,(D175=$C$5:$C$61)*(A175=$B$5:$B$61),0))</f>
        <v>#N/A</v>
      </c>
      <c r="J175" s="273"/>
      <c r="K175" s="273"/>
      <c r="L175" s="272"/>
      <c r="M175" s="273"/>
      <c r="N175" s="197"/>
      <c r="O175" s="200">
        <f t="shared" si="35"/>
        <v>0</v>
      </c>
      <c r="P175" s="274"/>
      <c r="Q175" s="274"/>
      <c r="R175" s="276"/>
      <c r="S175" s="274"/>
      <c r="T175" s="197">
        <f t="shared" si="36"/>
        <v>0</v>
      </c>
      <c r="U175" s="197">
        <f t="shared" si="37"/>
        <v>0</v>
      </c>
      <c r="V175" s="197">
        <f t="shared" si="38"/>
        <v>0</v>
      </c>
      <c r="W175" s="197">
        <f t="shared" si="39"/>
        <v>0</v>
      </c>
      <c r="Z175" s="197"/>
      <c r="AA175" s="228"/>
      <c r="AB175" s="228"/>
      <c r="AD175" s="228"/>
      <c r="AE175" s="228"/>
      <c r="AF175" s="228"/>
      <c r="AG175" s="228"/>
      <c r="AH175" s="228"/>
      <c r="AI175" s="228"/>
      <c r="AJ175" s="228"/>
      <c r="AK175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s="198" customFormat="1" x14ac:dyDescent="0.25">
      <c r="A176" s="290" t="str">
        <f t="shared" si="34"/>
        <v>Hudson View Park</v>
      </c>
      <c r="B176" s="195">
        <f t="shared" si="40"/>
        <v>78</v>
      </c>
      <c r="C176" s="196" t="str">
        <f t="shared" si="41"/>
        <v>Occ</v>
      </c>
      <c r="D176" s="196" t="e" cm="1">
        <f t="array" ref="D176">INDEX($C$5:$C$61,MATCH(1,(K176=$D$5:$D$61)*(A176=$B$5:$B$61),0))</f>
        <v>#N/A</v>
      </c>
      <c r="E176" s="196" t="e" cm="1">
        <f t="array" ref="E176">INDEX($E$5:$E$61,MATCH(1,(D176=$C$5:$C$61)*(A176=$B$5:$B$61),0))</f>
        <v>#N/A</v>
      </c>
      <c r="F176" s="196" t="e" cm="1">
        <f t="array" ref="F176">INDEX($F$5:$F$61,MATCH(1,(D176=$C$5:$C$61)*(A176=$B$5:$B$61),0))</f>
        <v>#N/A</v>
      </c>
      <c r="G176" s="196" t="e" cm="1">
        <f t="array" ref="G176">INDEX($G$5:$G$61,MATCH(1,(D176=$C$5:$C$61)*(A176=$B$5:$B$61),0))</f>
        <v>#N/A</v>
      </c>
      <c r="H176" s="196" t="e" cm="1">
        <f t="array" ref="H176">INDEX($H$5:$H$61,MATCH(1,(D176=$C$5:$C$61)*(A176=$B$5:$B$61),0))</f>
        <v>#N/A</v>
      </c>
      <c r="I176" s="196" t="e" cm="1">
        <f t="array" ref="I176">INDEX($I$5:$I$61,MATCH(1,(D176=$C$5:$C$61)*(A176=$B$5:$B$61),0))</f>
        <v>#N/A</v>
      </c>
      <c r="J176" s="273"/>
      <c r="K176" s="273"/>
      <c r="L176" s="272"/>
      <c r="M176" s="273"/>
      <c r="N176" s="197"/>
      <c r="O176" s="200">
        <f t="shared" si="35"/>
        <v>0</v>
      </c>
      <c r="P176" s="274"/>
      <c r="Q176" s="274"/>
      <c r="R176" s="276"/>
      <c r="S176" s="274"/>
      <c r="T176" s="197">
        <f t="shared" si="36"/>
        <v>0</v>
      </c>
      <c r="U176" s="197">
        <f t="shared" si="37"/>
        <v>0</v>
      </c>
      <c r="V176" s="197">
        <f t="shared" si="38"/>
        <v>0</v>
      </c>
      <c r="W176" s="197">
        <f t="shared" si="39"/>
        <v>0</v>
      </c>
      <c r="Z176" s="197"/>
      <c r="AA176" s="228"/>
      <c r="AB176" s="228"/>
      <c r="AD176" s="228"/>
      <c r="AE176" s="228"/>
      <c r="AF176" s="228"/>
      <c r="AG176" s="228"/>
      <c r="AH176" s="228"/>
      <c r="AI176" s="228"/>
      <c r="AJ176" s="228"/>
      <c r="AK176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s="198" customFormat="1" x14ac:dyDescent="0.25">
      <c r="A177" s="290" t="str">
        <f t="shared" si="34"/>
        <v>Hudson View Park</v>
      </c>
      <c r="B177" s="195">
        <f t="shared" si="40"/>
        <v>79</v>
      </c>
      <c r="C177" s="196" t="str">
        <f t="shared" si="41"/>
        <v>Occ</v>
      </c>
      <c r="D177" s="196" t="e" cm="1">
        <f t="array" ref="D177">INDEX($C$5:$C$61,MATCH(1,(K177=$D$5:$D$61)*(A177=$B$5:$B$61),0))</f>
        <v>#N/A</v>
      </c>
      <c r="E177" s="196" t="e" cm="1">
        <f t="array" ref="E177">INDEX($E$5:$E$61,MATCH(1,(D177=$C$5:$C$61)*(A177=$B$5:$B$61),0))</f>
        <v>#N/A</v>
      </c>
      <c r="F177" s="196" t="e" cm="1">
        <f t="array" ref="F177">INDEX($F$5:$F$61,MATCH(1,(D177=$C$5:$C$61)*(A177=$B$5:$B$61),0))</f>
        <v>#N/A</v>
      </c>
      <c r="G177" s="196" t="e" cm="1">
        <f t="array" ref="G177">INDEX($G$5:$G$61,MATCH(1,(D177=$C$5:$C$61)*(A177=$B$5:$B$61),0))</f>
        <v>#N/A</v>
      </c>
      <c r="H177" s="196" t="e" cm="1">
        <f t="array" ref="H177">INDEX($H$5:$H$61,MATCH(1,(D177=$C$5:$C$61)*(A177=$B$5:$B$61),0))</f>
        <v>#N/A</v>
      </c>
      <c r="I177" s="196" t="e" cm="1">
        <f t="array" ref="I177">INDEX($I$5:$I$61,MATCH(1,(D177=$C$5:$C$61)*(A177=$B$5:$B$61),0))</f>
        <v>#N/A</v>
      </c>
      <c r="J177" s="273"/>
      <c r="K177" s="273"/>
      <c r="L177" s="272"/>
      <c r="M177" s="273"/>
      <c r="N177" s="197"/>
      <c r="O177" s="200">
        <f t="shared" si="35"/>
        <v>0</v>
      </c>
      <c r="P177" s="274"/>
      <c r="Q177" s="274"/>
      <c r="R177" s="276"/>
      <c r="S177" s="274"/>
      <c r="T177" s="197">
        <f t="shared" si="36"/>
        <v>0</v>
      </c>
      <c r="U177" s="197">
        <f t="shared" si="37"/>
        <v>0</v>
      </c>
      <c r="V177" s="197">
        <f t="shared" si="38"/>
        <v>0</v>
      </c>
      <c r="W177" s="197">
        <f t="shared" si="39"/>
        <v>0</v>
      </c>
      <c r="Z177" s="197"/>
      <c r="AA177" s="228"/>
      <c r="AB177" s="228"/>
      <c r="AD177" s="228"/>
      <c r="AE177" s="228"/>
      <c r="AF177" s="228"/>
      <c r="AG177" s="228"/>
      <c r="AH177" s="228"/>
      <c r="AI177" s="228"/>
      <c r="AJ177" s="228"/>
      <c r="AK177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s="198" customFormat="1" x14ac:dyDescent="0.25">
      <c r="A178" s="290" t="str">
        <f t="shared" si="34"/>
        <v>Hudson View Park</v>
      </c>
      <c r="B178" s="195">
        <f t="shared" si="40"/>
        <v>80</v>
      </c>
      <c r="C178" s="196" t="str">
        <f t="shared" si="41"/>
        <v>Occ</v>
      </c>
      <c r="D178" s="196" t="e" cm="1">
        <f t="array" ref="D178">INDEX($C$5:$C$61,MATCH(1,(K178=$D$5:$D$61)*(A178=$B$5:$B$61),0))</f>
        <v>#N/A</v>
      </c>
      <c r="E178" s="196" t="e" cm="1">
        <f t="array" ref="E178">INDEX($E$5:$E$61,MATCH(1,(D178=$C$5:$C$61)*(A178=$B$5:$B$61),0))</f>
        <v>#N/A</v>
      </c>
      <c r="F178" s="196" t="e" cm="1">
        <f t="array" ref="F178">INDEX($F$5:$F$61,MATCH(1,(D178=$C$5:$C$61)*(A178=$B$5:$B$61),0))</f>
        <v>#N/A</v>
      </c>
      <c r="G178" s="196" t="e" cm="1">
        <f t="array" ref="G178">INDEX($G$5:$G$61,MATCH(1,(D178=$C$5:$C$61)*(A178=$B$5:$B$61),0))</f>
        <v>#N/A</v>
      </c>
      <c r="H178" s="196" t="e" cm="1">
        <f t="array" ref="H178">INDEX($H$5:$H$61,MATCH(1,(D178=$C$5:$C$61)*(A178=$B$5:$B$61),0))</f>
        <v>#N/A</v>
      </c>
      <c r="I178" s="196" t="e" cm="1">
        <f t="array" ref="I178">INDEX($I$5:$I$61,MATCH(1,(D178=$C$5:$C$61)*(A178=$B$5:$B$61),0))</f>
        <v>#N/A</v>
      </c>
      <c r="J178" s="273"/>
      <c r="K178" s="273"/>
      <c r="L178" s="272"/>
      <c r="M178" s="273"/>
      <c r="N178" s="197"/>
      <c r="O178" s="200">
        <f t="shared" si="35"/>
        <v>0</v>
      </c>
      <c r="P178" s="274"/>
      <c r="Q178" s="274"/>
      <c r="R178" s="276"/>
      <c r="S178" s="274"/>
      <c r="T178" s="197">
        <f t="shared" si="36"/>
        <v>0</v>
      </c>
      <c r="U178" s="197">
        <f t="shared" si="37"/>
        <v>0</v>
      </c>
      <c r="V178" s="197">
        <f t="shared" si="38"/>
        <v>0</v>
      </c>
      <c r="W178" s="197">
        <f t="shared" si="39"/>
        <v>0</v>
      </c>
      <c r="Z178" s="197"/>
      <c r="AA178" s="228"/>
      <c r="AB178" s="228"/>
      <c r="AD178" s="228"/>
      <c r="AE178" s="228"/>
      <c r="AF178" s="228"/>
      <c r="AG178" s="228"/>
      <c r="AH178" s="228"/>
      <c r="AI178" s="228"/>
      <c r="AJ178" s="228"/>
      <c r="AK17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s="198" customFormat="1" x14ac:dyDescent="0.25">
      <c r="A179" s="290" t="str">
        <f t="shared" si="34"/>
        <v>Hudson View Park</v>
      </c>
      <c r="B179" s="195">
        <f t="shared" si="40"/>
        <v>81</v>
      </c>
      <c r="C179" s="196" t="str">
        <f t="shared" si="41"/>
        <v>Occ</v>
      </c>
      <c r="D179" s="196" t="e" cm="1">
        <f t="array" ref="D179">INDEX($C$5:$C$61,MATCH(1,(K179=$D$5:$D$61)*(A179=$B$5:$B$61),0))</f>
        <v>#N/A</v>
      </c>
      <c r="E179" s="196" t="e" cm="1">
        <f t="array" ref="E179">INDEX($E$5:$E$61,MATCH(1,(D179=$C$5:$C$61)*(A179=$B$5:$B$61),0))</f>
        <v>#N/A</v>
      </c>
      <c r="F179" s="196" t="e" cm="1">
        <f t="array" ref="F179">INDEX($F$5:$F$61,MATCH(1,(D179=$C$5:$C$61)*(A179=$B$5:$B$61),0))</f>
        <v>#N/A</v>
      </c>
      <c r="G179" s="196" t="e" cm="1">
        <f t="array" ref="G179">INDEX($G$5:$G$61,MATCH(1,(D179=$C$5:$C$61)*(A179=$B$5:$B$61),0))</f>
        <v>#N/A</v>
      </c>
      <c r="H179" s="196" t="e" cm="1">
        <f t="array" ref="H179">INDEX($H$5:$H$61,MATCH(1,(D179=$C$5:$C$61)*(A179=$B$5:$B$61),0))</f>
        <v>#N/A</v>
      </c>
      <c r="I179" s="196" t="e" cm="1">
        <f t="array" ref="I179">INDEX($I$5:$I$61,MATCH(1,(D179=$C$5:$C$61)*(A179=$B$5:$B$61),0))</f>
        <v>#N/A</v>
      </c>
      <c r="J179" s="273"/>
      <c r="K179" s="273"/>
      <c r="L179" s="272"/>
      <c r="M179" s="273"/>
      <c r="N179" s="197"/>
      <c r="O179" s="200">
        <f t="shared" si="35"/>
        <v>0</v>
      </c>
      <c r="P179" s="274"/>
      <c r="Q179" s="274"/>
      <c r="R179" s="276"/>
      <c r="S179" s="274"/>
      <c r="T179" s="197">
        <f t="shared" si="36"/>
        <v>0</v>
      </c>
      <c r="U179" s="197">
        <f t="shared" si="37"/>
        <v>0</v>
      </c>
      <c r="V179" s="197">
        <f t="shared" si="38"/>
        <v>0</v>
      </c>
      <c r="W179" s="197">
        <f t="shared" si="39"/>
        <v>0</v>
      </c>
      <c r="Z179" s="197"/>
      <c r="AA179" s="228"/>
      <c r="AB179" s="228"/>
      <c r="AD179" s="228"/>
      <c r="AE179" s="228"/>
      <c r="AF179" s="228"/>
      <c r="AG179" s="228"/>
      <c r="AH179" s="228"/>
      <c r="AI179" s="228"/>
      <c r="AJ179" s="228"/>
      <c r="AK179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1:64" s="198" customFormat="1" x14ac:dyDescent="0.25">
      <c r="A180" s="290" t="str">
        <f t="shared" si="34"/>
        <v>Hudson View Park</v>
      </c>
      <c r="B180" s="195">
        <f t="shared" si="40"/>
        <v>82</v>
      </c>
      <c r="C180" s="196" t="str">
        <f t="shared" si="41"/>
        <v>Occ</v>
      </c>
      <c r="D180" s="196" t="e" cm="1">
        <f t="array" ref="D180">INDEX($C$5:$C$61,MATCH(1,(K180=$D$5:$D$61)*(A180=$B$5:$B$61),0))</f>
        <v>#N/A</v>
      </c>
      <c r="E180" s="196" t="e" cm="1">
        <f t="array" ref="E180">INDEX($E$5:$E$61,MATCH(1,(D180=$C$5:$C$61)*(A180=$B$5:$B$61),0))</f>
        <v>#N/A</v>
      </c>
      <c r="F180" s="196" t="e" cm="1">
        <f t="array" ref="F180">INDEX($F$5:$F$61,MATCH(1,(D180=$C$5:$C$61)*(A180=$B$5:$B$61),0))</f>
        <v>#N/A</v>
      </c>
      <c r="G180" s="196" t="e" cm="1">
        <f t="array" ref="G180">INDEX($G$5:$G$61,MATCH(1,(D180=$C$5:$C$61)*(A180=$B$5:$B$61),0))</f>
        <v>#N/A</v>
      </c>
      <c r="H180" s="196" t="e" cm="1">
        <f t="array" ref="H180">INDEX($H$5:$H$61,MATCH(1,(D180=$C$5:$C$61)*(A180=$B$5:$B$61),0))</f>
        <v>#N/A</v>
      </c>
      <c r="I180" s="196" t="e" cm="1">
        <f t="array" ref="I180">INDEX($I$5:$I$61,MATCH(1,(D180=$C$5:$C$61)*(A180=$B$5:$B$61),0))</f>
        <v>#N/A</v>
      </c>
      <c r="J180" s="273"/>
      <c r="K180" s="273"/>
      <c r="L180" s="272"/>
      <c r="M180" s="273"/>
      <c r="N180" s="197"/>
      <c r="O180" s="200">
        <f t="shared" si="35"/>
        <v>0</v>
      </c>
      <c r="P180" s="274"/>
      <c r="Q180" s="274"/>
      <c r="R180" s="276"/>
      <c r="S180" s="274"/>
      <c r="T180" s="197">
        <f t="shared" si="36"/>
        <v>0</v>
      </c>
      <c r="U180" s="197">
        <f t="shared" si="37"/>
        <v>0</v>
      </c>
      <c r="V180" s="197">
        <f t="shared" si="38"/>
        <v>0</v>
      </c>
      <c r="W180" s="197">
        <f t="shared" si="39"/>
        <v>0</v>
      </c>
      <c r="Z180" s="197"/>
      <c r="AA180" s="228"/>
      <c r="AB180" s="228"/>
      <c r="AD180" s="228"/>
      <c r="AE180" s="228"/>
      <c r="AF180" s="228"/>
      <c r="AG180" s="228"/>
      <c r="AH180" s="228"/>
      <c r="AI180" s="228"/>
      <c r="AJ180" s="228"/>
      <c r="AK180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1:64" s="198" customFormat="1" x14ac:dyDescent="0.25">
      <c r="A181" s="290" t="str">
        <f t="shared" si="34"/>
        <v>Hudson View Park</v>
      </c>
      <c r="B181" s="195">
        <f t="shared" si="40"/>
        <v>83</v>
      </c>
      <c r="C181" s="196" t="str">
        <f t="shared" si="41"/>
        <v>Occ</v>
      </c>
      <c r="D181" s="196" t="e" cm="1">
        <f t="array" ref="D181">INDEX($C$5:$C$61,MATCH(1,(K181=$D$5:$D$61)*(A181=$B$5:$B$61),0))</f>
        <v>#N/A</v>
      </c>
      <c r="E181" s="196" t="e" cm="1">
        <f t="array" ref="E181">INDEX($E$5:$E$61,MATCH(1,(D181=$C$5:$C$61)*(A181=$B$5:$B$61),0))</f>
        <v>#N/A</v>
      </c>
      <c r="F181" s="196" t="e" cm="1">
        <f t="array" ref="F181">INDEX($F$5:$F$61,MATCH(1,(D181=$C$5:$C$61)*(A181=$B$5:$B$61),0))</f>
        <v>#N/A</v>
      </c>
      <c r="G181" s="196" t="e" cm="1">
        <f t="array" ref="G181">INDEX($G$5:$G$61,MATCH(1,(D181=$C$5:$C$61)*(A181=$B$5:$B$61),0))</f>
        <v>#N/A</v>
      </c>
      <c r="H181" s="196" t="e" cm="1">
        <f t="array" ref="H181">INDEX($H$5:$H$61,MATCH(1,(D181=$C$5:$C$61)*(A181=$B$5:$B$61),0))</f>
        <v>#N/A</v>
      </c>
      <c r="I181" s="196" t="e" cm="1">
        <f t="array" ref="I181">INDEX($I$5:$I$61,MATCH(1,(D181=$C$5:$C$61)*(A181=$B$5:$B$61),0))</f>
        <v>#N/A</v>
      </c>
      <c r="J181" s="273"/>
      <c r="K181" s="273"/>
      <c r="L181" s="272"/>
      <c r="M181" s="273"/>
      <c r="N181" s="197"/>
      <c r="O181" s="200">
        <f t="shared" si="35"/>
        <v>0</v>
      </c>
      <c r="P181" s="274"/>
      <c r="Q181" s="274"/>
      <c r="R181" s="276"/>
      <c r="S181" s="274"/>
      <c r="T181" s="197">
        <f t="shared" si="36"/>
        <v>0</v>
      </c>
      <c r="U181" s="197">
        <f t="shared" si="37"/>
        <v>0</v>
      </c>
      <c r="V181" s="197">
        <f t="shared" si="38"/>
        <v>0</v>
      </c>
      <c r="W181" s="197">
        <f t="shared" si="39"/>
        <v>0</v>
      </c>
      <c r="Z181" s="197"/>
      <c r="AA181" s="228"/>
      <c r="AB181" s="228"/>
      <c r="AD181" s="228"/>
      <c r="AE181" s="228"/>
      <c r="AF181" s="228"/>
      <c r="AG181" s="228"/>
      <c r="AH181" s="228"/>
      <c r="AI181" s="228"/>
      <c r="AJ181" s="228"/>
      <c r="AK181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1:64" s="198" customFormat="1" x14ac:dyDescent="0.25">
      <c r="A182" s="290" t="str">
        <f t="shared" si="34"/>
        <v>Hudson View Park</v>
      </c>
      <c r="B182" s="195">
        <f t="shared" si="40"/>
        <v>84</v>
      </c>
      <c r="C182" s="196" t="str">
        <f t="shared" si="41"/>
        <v>Occ</v>
      </c>
      <c r="D182" s="196" t="e" cm="1">
        <f t="array" ref="D182">INDEX($C$5:$C$61,MATCH(1,(K182=$D$5:$D$61)*(A182=$B$5:$B$61),0))</f>
        <v>#N/A</v>
      </c>
      <c r="E182" s="196" t="e" cm="1">
        <f t="array" ref="E182">INDEX($E$5:$E$61,MATCH(1,(D182=$C$5:$C$61)*(A182=$B$5:$B$61),0))</f>
        <v>#N/A</v>
      </c>
      <c r="F182" s="196" t="e" cm="1">
        <f t="array" ref="F182">INDEX($F$5:$F$61,MATCH(1,(D182=$C$5:$C$61)*(A182=$B$5:$B$61),0))</f>
        <v>#N/A</v>
      </c>
      <c r="G182" s="196" t="e" cm="1">
        <f t="array" ref="G182">INDEX($G$5:$G$61,MATCH(1,(D182=$C$5:$C$61)*(A182=$B$5:$B$61),0))</f>
        <v>#N/A</v>
      </c>
      <c r="H182" s="196" t="e" cm="1">
        <f t="array" ref="H182">INDEX($H$5:$H$61,MATCH(1,(D182=$C$5:$C$61)*(A182=$B$5:$B$61),0))</f>
        <v>#N/A</v>
      </c>
      <c r="I182" s="196" t="e" cm="1">
        <f t="array" ref="I182">INDEX($I$5:$I$61,MATCH(1,(D182=$C$5:$C$61)*(A182=$B$5:$B$61),0))</f>
        <v>#N/A</v>
      </c>
      <c r="J182" s="273"/>
      <c r="K182" s="273"/>
      <c r="L182" s="272"/>
      <c r="M182" s="273"/>
      <c r="N182" s="197"/>
      <c r="O182" s="200">
        <f t="shared" si="35"/>
        <v>0</v>
      </c>
      <c r="P182" s="274"/>
      <c r="Q182" s="274"/>
      <c r="R182" s="276"/>
      <c r="S182" s="274"/>
      <c r="T182" s="197">
        <f t="shared" si="36"/>
        <v>0</v>
      </c>
      <c r="U182" s="197">
        <f t="shared" si="37"/>
        <v>0</v>
      </c>
      <c r="V182" s="197">
        <f t="shared" si="38"/>
        <v>0</v>
      </c>
      <c r="W182" s="197">
        <f t="shared" si="39"/>
        <v>0</v>
      </c>
      <c r="Z182" s="197"/>
      <c r="AA182" s="228"/>
      <c r="AB182" s="228"/>
      <c r="AD182" s="228"/>
      <c r="AE182" s="228"/>
      <c r="AF182" s="228"/>
      <c r="AG182" s="228"/>
      <c r="AH182" s="228"/>
      <c r="AI182" s="228"/>
      <c r="AJ182" s="228"/>
      <c r="AK182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1:64" s="198" customFormat="1" x14ac:dyDescent="0.25">
      <c r="A183" s="290" t="str">
        <f t="shared" si="34"/>
        <v>Hudson View Park</v>
      </c>
      <c r="B183" s="195">
        <f t="shared" si="40"/>
        <v>85</v>
      </c>
      <c r="C183" s="196" t="str">
        <f t="shared" si="41"/>
        <v>Occ</v>
      </c>
      <c r="D183" s="196" t="e" cm="1">
        <f t="array" ref="D183">INDEX($C$5:$C$61,MATCH(1,(K183=$D$5:$D$61)*(A183=$B$5:$B$61),0))</f>
        <v>#N/A</v>
      </c>
      <c r="E183" s="196" t="e" cm="1">
        <f t="array" ref="E183">INDEX($E$5:$E$61,MATCH(1,(D183=$C$5:$C$61)*(A183=$B$5:$B$61),0))</f>
        <v>#N/A</v>
      </c>
      <c r="F183" s="196" t="e" cm="1">
        <f t="array" ref="F183">INDEX($F$5:$F$61,MATCH(1,(D183=$C$5:$C$61)*(A183=$B$5:$B$61),0))</f>
        <v>#N/A</v>
      </c>
      <c r="G183" s="196" t="e" cm="1">
        <f t="array" ref="G183">INDEX($G$5:$G$61,MATCH(1,(D183=$C$5:$C$61)*(A183=$B$5:$B$61),0))</f>
        <v>#N/A</v>
      </c>
      <c r="H183" s="196" t="e" cm="1">
        <f t="array" ref="H183">INDEX($H$5:$H$61,MATCH(1,(D183=$C$5:$C$61)*(A183=$B$5:$B$61),0))</f>
        <v>#N/A</v>
      </c>
      <c r="I183" s="196" t="e" cm="1">
        <f t="array" ref="I183">INDEX($I$5:$I$61,MATCH(1,(D183=$C$5:$C$61)*(A183=$B$5:$B$61),0))</f>
        <v>#N/A</v>
      </c>
      <c r="J183" s="273"/>
      <c r="K183" s="273"/>
      <c r="L183" s="272"/>
      <c r="M183" s="273"/>
      <c r="N183" s="197"/>
      <c r="O183" s="200">
        <f t="shared" si="35"/>
        <v>0</v>
      </c>
      <c r="P183" s="274"/>
      <c r="Q183" s="274"/>
      <c r="R183" s="276"/>
      <c r="S183" s="274"/>
      <c r="T183" s="197">
        <f t="shared" si="36"/>
        <v>0</v>
      </c>
      <c r="U183" s="197">
        <f t="shared" si="37"/>
        <v>0</v>
      </c>
      <c r="V183" s="197">
        <f t="shared" si="38"/>
        <v>0</v>
      </c>
      <c r="W183" s="197">
        <f t="shared" si="39"/>
        <v>0</v>
      </c>
      <c r="Z183" s="197"/>
      <c r="AA183" s="228"/>
      <c r="AB183" s="228"/>
      <c r="AD183" s="228"/>
      <c r="AE183" s="228"/>
      <c r="AF183" s="228"/>
      <c r="AG183" s="228"/>
      <c r="AH183" s="228"/>
      <c r="AI183" s="228"/>
      <c r="AJ183" s="228"/>
      <c r="AK183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1:64" s="198" customFormat="1" x14ac:dyDescent="0.25">
      <c r="A184" s="290" t="str">
        <f t="shared" ref="A184:A247" si="42">$C$67</f>
        <v>Hudson View Park</v>
      </c>
      <c r="B184" s="195">
        <f t="shared" si="40"/>
        <v>86</v>
      </c>
      <c r="C184" s="196" t="str">
        <f t="shared" si="41"/>
        <v>Occ</v>
      </c>
      <c r="D184" s="196" t="e" cm="1">
        <f t="array" ref="D184">INDEX($C$5:$C$61,MATCH(1,(K184=$D$5:$D$61)*(A184=$B$5:$B$61),0))</f>
        <v>#N/A</v>
      </c>
      <c r="E184" s="196" t="e" cm="1">
        <f t="array" ref="E184">INDEX($E$5:$E$61,MATCH(1,(D184=$C$5:$C$61)*(A184=$B$5:$B$61),0))</f>
        <v>#N/A</v>
      </c>
      <c r="F184" s="196" t="e" cm="1">
        <f t="array" ref="F184">INDEX($F$5:$F$61,MATCH(1,(D184=$C$5:$C$61)*(A184=$B$5:$B$61),0))</f>
        <v>#N/A</v>
      </c>
      <c r="G184" s="196" t="e" cm="1">
        <f t="array" ref="G184">INDEX($G$5:$G$61,MATCH(1,(D184=$C$5:$C$61)*(A184=$B$5:$B$61),0))</f>
        <v>#N/A</v>
      </c>
      <c r="H184" s="196" t="e" cm="1">
        <f t="array" ref="H184">INDEX($H$5:$H$61,MATCH(1,(D184=$C$5:$C$61)*(A184=$B$5:$B$61),0))</f>
        <v>#N/A</v>
      </c>
      <c r="I184" s="196" t="e" cm="1">
        <f t="array" ref="I184">INDEX($I$5:$I$61,MATCH(1,(D184=$C$5:$C$61)*(A184=$B$5:$B$61),0))</f>
        <v>#N/A</v>
      </c>
      <c r="J184" s="273"/>
      <c r="K184" s="273"/>
      <c r="L184" s="272"/>
      <c r="M184" s="273"/>
      <c r="N184" s="197"/>
      <c r="O184" s="200">
        <f t="shared" si="35"/>
        <v>0</v>
      </c>
      <c r="P184" s="274"/>
      <c r="Q184" s="274"/>
      <c r="R184" s="276"/>
      <c r="S184" s="274"/>
      <c r="T184" s="197">
        <f t="shared" si="36"/>
        <v>0</v>
      </c>
      <c r="U184" s="197">
        <f t="shared" si="37"/>
        <v>0</v>
      </c>
      <c r="V184" s="197">
        <f t="shared" si="38"/>
        <v>0</v>
      </c>
      <c r="W184" s="197">
        <f t="shared" si="39"/>
        <v>0</v>
      </c>
      <c r="Z184" s="197"/>
      <c r="AA184" s="228"/>
      <c r="AB184" s="228"/>
      <c r="AD184" s="228"/>
      <c r="AE184" s="228"/>
      <c r="AF184" s="228"/>
      <c r="AG184" s="228"/>
      <c r="AH184" s="228"/>
      <c r="AI184" s="228"/>
      <c r="AJ184" s="228"/>
      <c r="AK184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1:64" s="198" customFormat="1" x14ac:dyDescent="0.25">
      <c r="A185" s="290" t="str">
        <f t="shared" si="42"/>
        <v>Hudson View Park</v>
      </c>
      <c r="B185" s="195">
        <f t="shared" si="40"/>
        <v>87</v>
      </c>
      <c r="C185" s="196" t="str">
        <f t="shared" si="41"/>
        <v>Occ</v>
      </c>
      <c r="D185" s="196" t="e" cm="1">
        <f t="array" ref="D185">INDEX($C$5:$C$61,MATCH(1,(K185=$D$5:$D$61)*(A185=$B$5:$B$61),0))</f>
        <v>#N/A</v>
      </c>
      <c r="E185" s="196" t="e" cm="1">
        <f t="array" ref="E185">INDEX($E$5:$E$61,MATCH(1,(D185=$C$5:$C$61)*(A185=$B$5:$B$61),0))</f>
        <v>#N/A</v>
      </c>
      <c r="F185" s="196" t="e" cm="1">
        <f t="array" ref="F185">INDEX($F$5:$F$61,MATCH(1,(D185=$C$5:$C$61)*(A185=$B$5:$B$61),0))</f>
        <v>#N/A</v>
      </c>
      <c r="G185" s="196" t="e" cm="1">
        <f t="array" ref="G185">INDEX($G$5:$G$61,MATCH(1,(D185=$C$5:$C$61)*(A185=$B$5:$B$61),0))</f>
        <v>#N/A</v>
      </c>
      <c r="H185" s="196" t="e" cm="1">
        <f t="array" ref="H185">INDEX($H$5:$H$61,MATCH(1,(D185=$C$5:$C$61)*(A185=$B$5:$B$61),0))</f>
        <v>#N/A</v>
      </c>
      <c r="I185" s="196" t="e" cm="1">
        <f t="array" ref="I185">INDEX($I$5:$I$61,MATCH(1,(D185=$C$5:$C$61)*(A185=$B$5:$B$61),0))</f>
        <v>#N/A</v>
      </c>
      <c r="J185" s="273"/>
      <c r="K185" s="273"/>
      <c r="L185" s="272"/>
      <c r="M185" s="273"/>
      <c r="N185" s="197"/>
      <c r="O185" s="200">
        <f t="shared" si="35"/>
        <v>0</v>
      </c>
      <c r="P185" s="274"/>
      <c r="Q185" s="274"/>
      <c r="R185" s="276"/>
      <c r="S185" s="274"/>
      <c r="T185" s="197">
        <f t="shared" si="36"/>
        <v>0</v>
      </c>
      <c r="U185" s="197">
        <f t="shared" si="37"/>
        <v>0</v>
      </c>
      <c r="V185" s="197">
        <f t="shared" si="38"/>
        <v>0</v>
      </c>
      <c r="W185" s="197">
        <f t="shared" si="39"/>
        <v>0</v>
      </c>
      <c r="Z185" s="197"/>
      <c r="AA185" s="228"/>
      <c r="AB185" s="228"/>
      <c r="AD185" s="228"/>
      <c r="AE185" s="228"/>
      <c r="AF185" s="228"/>
      <c r="AG185" s="228"/>
      <c r="AH185" s="228"/>
      <c r="AI185" s="228"/>
      <c r="AJ185" s="228"/>
      <c r="AK185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1:64" s="198" customFormat="1" x14ac:dyDescent="0.25">
      <c r="A186" s="290" t="str">
        <f t="shared" si="42"/>
        <v>Hudson View Park</v>
      </c>
      <c r="B186" s="195">
        <f t="shared" si="40"/>
        <v>88</v>
      </c>
      <c r="C186" s="196" t="str">
        <f t="shared" si="41"/>
        <v>Occ</v>
      </c>
      <c r="D186" s="196" t="e" cm="1">
        <f t="array" ref="D186">INDEX($C$5:$C$61,MATCH(1,(K186=$D$5:$D$61)*(A186=$B$5:$B$61),0))</f>
        <v>#N/A</v>
      </c>
      <c r="E186" s="196" t="e" cm="1">
        <f t="array" ref="E186">INDEX($E$5:$E$61,MATCH(1,(D186=$C$5:$C$61)*(A186=$B$5:$B$61),0))</f>
        <v>#N/A</v>
      </c>
      <c r="F186" s="196" t="e" cm="1">
        <f t="array" ref="F186">INDEX($F$5:$F$61,MATCH(1,(D186=$C$5:$C$61)*(A186=$B$5:$B$61),0))</f>
        <v>#N/A</v>
      </c>
      <c r="G186" s="196" t="e" cm="1">
        <f t="array" ref="G186">INDEX($G$5:$G$61,MATCH(1,(D186=$C$5:$C$61)*(A186=$B$5:$B$61),0))</f>
        <v>#N/A</v>
      </c>
      <c r="H186" s="196" t="e" cm="1">
        <f t="array" ref="H186">INDEX($H$5:$H$61,MATCH(1,(D186=$C$5:$C$61)*(A186=$B$5:$B$61),0))</f>
        <v>#N/A</v>
      </c>
      <c r="I186" s="196" t="e" cm="1">
        <f t="array" ref="I186">INDEX($I$5:$I$61,MATCH(1,(D186=$C$5:$C$61)*(A186=$B$5:$B$61),0))</f>
        <v>#N/A</v>
      </c>
      <c r="J186" s="273"/>
      <c r="K186" s="273"/>
      <c r="L186" s="272"/>
      <c r="M186" s="273"/>
      <c r="N186" s="197"/>
      <c r="O186" s="200">
        <f t="shared" si="35"/>
        <v>0</v>
      </c>
      <c r="P186" s="274"/>
      <c r="Q186" s="274"/>
      <c r="R186" s="276"/>
      <c r="S186" s="274"/>
      <c r="T186" s="197">
        <f t="shared" si="36"/>
        <v>0</v>
      </c>
      <c r="U186" s="197">
        <f t="shared" si="37"/>
        <v>0</v>
      </c>
      <c r="V186" s="197">
        <f t="shared" si="38"/>
        <v>0</v>
      </c>
      <c r="W186" s="197">
        <f t="shared" si="39"/>
        <v>0</v>
      </c>
      <c r="Z186" s="197"/>
      <c r="AA186" s="228"/>
      <c r="AB186" s="228"/>
      <c r="AD186" s="228"/>
      <c r="AE186" s="228"/>
      <c r="AF186" s="228"/>
      <c r="AG186" s="228"/>
      <c r="AH186" s="228"/>
      <c r="AI186" s="228"/>
      <c r="AJ186" s="228"/>
      <c r="AK186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1:64" s="198" customFormat="1" x14ac:dyDescent="0.25">
      <c r="A187" s="290" t="str">
        <f t="shared" si="42"/>
        <v>Hudson View Park</v>
      </c>
      <c r="B187" s="195">
        <f t="shared" si="40"/>
        <v>89</v>
      </c>
      <c r="C187" s="196" t="str">
        <f t="shared" si="41"/>
        <v>Occ</v>
      </c>
      <c r="D187" s="196" t="e" cm="1">
        <f t="array" ref="D187">INDEX($C$5:$C$61,MATCH(1,(K187=$D$5:$D$61)*(A187=$B$5:$B$61),0))</f>
        <v>#N/A</v>
      </c>
      <c r="E187" s="196" t="e" cm="1">
        <f t="array" ref="E187">INDEX($E$5:$E$61,MATCH(1,(D187=$C$5:$C$61)*(A187=$B$5:$B$61),0))</f>
        <v>#N/A</v>
      </c>
      <c r="F187" s="196" t="e" cm="1">
        <f t="array" ref="F187">INDEX($F$5:$F$61,MATCH(1,(D187=$C$5:$C$61)*(A187=$B$5:$B$61),0))</f>
        <v>#N/A</v>
      </c>
      <c r="G187" s="196" t="e" cm="1">
        <f t="array" ref="G187">INDEX($G$5:$G$61,MATCH(1,(D187=$C$5:$C$61)*(A187=$B$5:$B$61),0))</f>
        <v>#N/A</v>
      </c>
      <c r="H187" s="196" t="e" cm="1">
        <f t="array" ref="H187">INDEX($H$5:$H$61,MATCH(1,(D187=$C$5:$C$61)*(A187=$B$5:$B$61),0))</f>
        <v>#N/A</v>
      </c>
      <c r="I187" s="196" t="e" cm="1">
        <f t="array" ref="I187">INDEX($I$5:$I$61,MATCH(1,(D187=$C$5:$C$61)*(A187=$B$5:$B$61),0))</f>
        <v>#N/A</v>
      </c>
      <c r="J187" s="273"/>
      <c r="K187" s="273"/>
      <c r="L187" s="272"/>
      <c r="M187" s="273"/>
      <c r="N187" s="197"/>
      <c r="O187" s="200">
        <f t="shared" si="35"/>
        <v>0</v>
      </c>
      <c r="P187" s="274"/>
      <c r="Q187" s="274"/>
      <c r="R187" s="276"/>
      <c r="S187" s="274"/>
      <c r="T187" s="197">
        <f t="shared" si="36"/>
        <v>0</v>
      </c>
      <c r="U187" s="197">
        <f t="shared" si="37"/>
        <v>0</v>
      </c>
      <c r="V187" s="197">
        <f t="shared" si="38"/>
        <v>0</v>
      </c>
      <c r="W187" s="197">
        <f t="shared" si="39"/>
        <v>0</v>
      </c>
      <c r="Z187" s="197"/>
      <c r="AA187" s="228"/>
      <c r="AB187" s="228"/>
      <c r="AD187" s="228"/>
      <c r="AE187" s="228"/>
      <c r="AF187" s="228"/>
      <c r="AG187" s="228"/>
      <c r="AH187" s="228"/>
      <c r="AI187" s="228"/>
      <c r="AJ187" s="228"/>
      <c r="AK187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1:64" s="198" customFormat="1" x14ac:dyDescent="0.25">
      <c r="A188" s="290" t="str">
        <f t="shared" si="42"/>
        <v>Hudson View Park</v>
      </c>
      <c r="B188" s="195">
        <f t="shared" si="40"/>
        <v>90</v>
      </c>
      <c r="C188" s="196" t="str">
        <f t="shared" si="41"/>
        <v>Occ</v>
      </c>
      <c r="D188" s="196" t="e" cm="1">
        <f t="array" ref="D188">INDEX($C$5:$C$61,MATCH(1,(K188=$D$5:$D$61)*(A188=$B$5:$B$61),0))</f>
        <v>#N/A</v>
      </c>
      <c r="E188" s="196" t="e" cm="1">
        <f t="array" ref="E188">INDEX($E$5:$E$61,MATCH(1,(D188=$C$5:$C$61)*(A188=$B$5:$B$61),0))</f>
        <v>#N/A</v>
      </c>
      <c r="F188" s="196" t="e" cm="1">
        <f t="array" ref="F188">INDEX($F$5:$F$61,MATCH(1,(D188=$C$5:$C$61)*(A188=$B$5:$B$61),0))</f>
        <v>#N/A</v>
      </c>
      <c r="G188" s="196" t="e" cm="1">
        <f t="array" ref="G188">INDEX($G$5:$G$61,MATCH(1,(D188=$C$5:$C$61)*(A188=$B$5:$B$61),0))</f>
        <v>#N/A</v>
      </c>
      <c r="H188" s="196" t="e" cm="1">
        <f t="array" ref="H188">INDEX($H$5:$H$61,MATCH(1,(D188=$C$5:$C$61)*(A188=$B$5:$B$61),0))</f>
        <v>#N/A</v>
      </c>
      <c r="I188" s="196" t="e" cm="1">
        <f t="array" ref="I188">INDEX($I$5:$I$61,MATCH(1,(D188=$C$5:$C$61)*(A188=$B$5:$B$61),0))</f>
        <v>#N/A</v>
      </c>
      <c r="J188" s="273"/>
      <c r="K188" s="273"/>
      <c r="L188" s="272"/>
      <c r="M188" s="273"/>
      <c r="N188" s="197"/>
      <c r="O188" s="200">
        <f t="shared" si="35"/>
        <v>0</v>
      </c>
      <c r="P188" s="274"/>
      <c r="Q188" s="274"/>
      <c r="R188" s="276"/>
      <c r="S188" s="274"/>
      <c r="T188" s="197">
        <f t="shared" si="36"/>
        <v>0</v>
      </c>
      <c r="U188" s="197">
        <f t="shared" si="37"/>
        <v>0</v>
      </c>
      <c r="V188" s="197">
        <f t="shared" si="38"/>
        <v>0</v>
      </c>
      <c r="W188" s="197">
        <f t="shared" si="39"/>
        <v>0</v>
      </c>
      <c r="Z188" s="197"/>
      <c r="AA188" s="228"/>
      <c r="AB188" s="228"/>
      <c r="AD188" s="228"/>
      <c r="AE188" s="228"/>
      <c r="AF188" s="228"/>
      <c r="AG188" s="228"/>
      <c r="AH188" s="228"/>
      <c r="AI188" s="228"/>
      <c r="AJ188" s="228"/>
      <c r="AK18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1:64" s="198" customFormat="1" x14ac:dyDescent="0.25">
      <c r="A189" s="290" t="str">
        <f t="shared" si="42"/>
        <v>Hudson View Park</v>
      </c>
      <c r="B189" s="195">
        <f t="shared" si="40"/>
        <v>91</v>
      </c>
      <c r="C189" s="196" t="str">
        <f t="shared" si="41"/>
        <v>Occ</v>
      </c>
      <c r="D189" s="196" t="e" cm="1">
        <f t="array" ref="D189">INDEX($C$5:$C$61,MATCH(1,(K189=$D$5:$D$61)*(A189=$B$5:$B$61),0))</f>
        <v>#N/A</v>
      </c>
      <c r="E189" s="196" t="e" cm="1">
        <f t="array" ref="E189">INDEX($E$5:$E$61,MATCH(1,(D189=$C$5:$C$61)*(A189=$B$5:$B$61),0))</f>
        <v>#N/A</v>
      </c>
      <c r="F189" s="196" t="e" cm="1">
        <f t="array" ref="F189">INDEX($F$5:$F$61,MATCH(1,(D189=$C$5:$C$61)*(A189=$B$5:$B$61),0))</f>
        <v>#N/A</v>
      </c>
      <c r="G189" s="196" t="e" cm="1">
        <f t="array" ref="G189">INDEX($G$5:$G$61,MATCH(1,(D189=$C$5:$C$61)*(A189=$B$5:$B$61),0))</f>
        <v>#N/A</v>
      </c>
      <c r="H189" s="196" t="e" cm="1">
        <f t="array" ref="H189">INDEX($H$5:$H$61,MATCH(1,(D189=$C$5:$C$61)*(A189=$B$5:$B$61),0))</f>
        <v>#N/A</v>
      </c>
      <c r="I189" s="196" t="e" cm="1">
        <f t="array" ref="I189">INDEX($I$5:$I$61,MATCH(1,(D189=$C$5:$C$61)*(A189=$B$5:$B$61),0))</f>
        <v>#N/A</v>
      </c>
      <c r="J189" s="273"/>
      <c r="K189" s="273"/>
      <c r="L189" s="272"/>
      <c r="M189" s="273"/>
      <c r="N189" s="197"/>
      <c r="O189" s="200">
        <f t="shared" si="35"/>
        <v>0</v>
      </c>
      <c r="P189" s="274"/>
      <c r="Q189" s="274"/>
      <c r="R189" s="276"/>
      <c r="S189" s="274"/>
      <c r="T189" s="197">
        <f t="shared" si="36"/>
        <v>0</v>
      </c>
      <c r="U189" s="197">
        <f t="shared" si="37"/>
        <v>0</v>
      </c>
      <c r="V189" s="197">
        <f t="shared" si="38"/>
        <v>0</v>
      </c>
      <c r="W189" s="197">
        <f t="shared" si="39"/>
        <v>0</v>
      </c>
      <c r="Z189" s="197"/>
      <c r="AA189" s="228"/>
      <c r="AB189" s="228"/>
      <c r="AD189" s="228"/>
      <c r="AE189" s="228"/>
      <c r="AF189" s="228"/>
      <c r="AG189" s="228"/>
      <c r="AH189" s="228"/>
      <c r="AI189" s="228"/>
      <c r="AJ189" s="228"/>
      <c r="AK189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1:64" s="198" customFormat="1" x14ac:dyDescent="0.25">
      <c r="A190" s="290" t="str">
        <f t="shared" si="42"/>
        <v>Hudson View Park</v>
      </c>
      <c r="B190" s="195">
        <f t="shared" si="40"/>
        <v>92</v>
      </c>
      <c r="C190" s="196" t="str">
        <f t="shared" si="41"/>
        <v>Occ</v>
      </c>
      <c r="D190" s="196" t="e" cm="1">
        <f t="array" ref="D190">INDEX($C$5:$C$61,MATCH(1,(K190=$D$5:$D$61)*(A190=$B$5:$B$61),0))</f>
        <v>#N/A</v>
      </c>
      <c r="E190" s="196" t="e" cm="1">
        <f t="array" ref="E190">INDEX($E$5:$E$61,MATCH(1,(D190=$C$5:$C$61)*(A190=$B$5:$B$61),0))</f>
        <v>#N/A</v>
      </c>
      <c r="F190" s="196" t="e" cm="1">
        <f t="array" ref="F190">INDEX($F$5:$F$61,MATCH(1,(D190=$C$5:$C$61)*(A190=$B$5:$B$61),0))</f>
        <v>#N/A</v>
      </c>
      <c r="G190" s="196" t="e" cm="1">
        <f t="array" ref="G190">INDEX($G$5:$G$61,MATCH(1,(D190=$C$5:$C$61)*(A190=$B$5:$B$61),0))</f>
        <v>#N/A</v>
      </c>
      <c r="H190" s="196" t="e" cm="1">
        <f t="array" ref="H190">INDEX($H$5:$H$61,MATCH(1,(D190=$C$5:$C$61)*(A190=$B$5:$B$61),0))</f>
        <v>#N/A</v>
      </c>
      <c r="I190" s="196" t="e" cm="1">
        <f t="array" ref="I190">INDEX($I$5:$I$61,MATCH(1,(D190=$C$5:$C$61)*(A190=$B$5:$B$61),0))</f>
        <v>#N/A</v>
      </c>
      <c r="J190" s="273"/>
      <c r="K190" s="273"/>
      <c r="L190" s="272"/>
      <c r="M190" s="273"/>
      <c r="N190" s="197"/>
      <c r="O190" s="200">
        <f t="shared" si="35"/>
        <v>0</v>
      </c>
      <c r="P190" s="274"/>
      <c r="Q190" s="274"/>
      <c r="R190" s="276"/>
      <c r="S190" s="274"/>
      <c r="T190" s="197">
        <f t="shared" si="36"/>
        <v>0</v>
      </c>
      <c r="U190" s="197">
        <f t="shared" si="37"/>
        <v>0</v>
      </c>
      <c r="V190" s="197">
        <f t="shared" si="38"/>
        <v>0</v>
      </c>
      <c r="W190" s="197">
        <f t="shared" si="39"/>
        <v>0</v>
      </c>
      <c r="Z190" s="197"/>
      <c r="AA190" s="228"/>
      <c r="AB190" s="228"/>
      <c r="AD190" s="228"/>
      <c r="AE190" s="228"/>
      <c r="AF190" s="228"/>
      <c r="AG190" s="228"/>
      <c r="AH190" s="228"/>
      <c r="AI190" s="228"/>
      <c r="AJ190" s="228"/>
      <c r="AK190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1:64" s="198" customFormat="1" x14ac:dyDescent="0.25">
      <c r="A191" s="290" t="str">
        <f t="shared" si="42"/>
        <v>Hudson View Park</v>
      </c>
      <c r="B191" s="195">
        <f t="shared" si="40"/>
        <v>93</v>
      </c>
      <c r="C191" s="196" t="str">
        <f t="shared" si="41"/>
        <v>Occ</v>
      </c>
      <c r="D191" s="196" t="e" cm="1">
        <f t="array" ref="D191">INDEX($C$5:$C$61,MATCH(1,(K191=$D$5:$D$61)*(A191=$B$5:$B$61),0))</f>
        <v>#N/A</v>
      </c>
      <c r="E191" s="196" t="e" cm="1">
        <f t="array" ref="E191">INDEX($E$5:$E$61,MATCH(1,(D191=$C$5:$C$61)*(A191=$B$5:$B$61),0))</f>
        <v>#N/A</v>
      </c>
      <c r="F191" s="196" t="e" cm="1">
        <f t="array" ref="F191">INDEX($F$5:$F$61,MATCH(1,(D191=$C$5:$C$61)*(A191=$B$5:$B$61),0))</f>
        <v>#N/A</v>
      </c>
      <c r="G191" s="196" t="e" cm="1">
        <f t="array" ref="G191">INDEX($G$5:$G$61,MATCH(1,(D191=$C$5:$C$61)*(A191=$B$5:$B$61),0))</f>
        <v>#N/A</v>
      </c>
      <c r="H191" s="196" t="e" cm="1">
        <f t="array" ref="H191">INDEX($H$5:$H$61,MATCH(1,(D191=$C$5:$C$61)*(A191=$B$5:$B$61),0))</f>
        <v>#N/A</v>
      </c>
      <c r="I191" s="196" t="e" cm="1">
        <f t="array" ref="I191">INDEX($I$5:$I$61,MATCH(1,(D191=$C$5:$C$61)*(A191=$B$5:$B$61),0))</f>
        <v>#N/A</v>
      </c>
      <c r="J191" s="273"/>
      <c r="K191" s="273"/>
      <c r="L191" s="272"/>
      <c r="M191" s="273"/>
      <c r="N191" s="197"/>
      <c r="O191" s="200">
        <f t="shared" si="35"/>
        <v>0</v>
      </c>
      <c r="P191" s="274"/>
      <c r="Q191" s="274"/>
      <c r="R191" s="276"/>
      <c r="S191" s="274"/>
      <c r="T191" s="197">
        <f t="shared" si="36"/>
        <v>0</v>
      </c>
      <c r="U191" s="197">
        <f t="shared" si="37"/>
        <v>0</v>
      </c>
      <c r="V191" s="197">
        <f t="shared" si="38"/>
        <v>0</v>
      </c>
      <c r="W191" s="197">
        <f t="shared" si="39"/>
        <v>0</v>
      </c>
      <c r="Z191" s="197"/>
      <c r="AA191" s="228"/>
      <c r="AB191" s="228"/>
      <c r="AD191" s="228"/>
      <c r="AE191" s="228"/>
      <c r="AF191" s="228"/>
      <c r="AG191" s="228"/>
      <c r="AH191" s="228"/>
      <c r="AI191" s="228"/>
      <c r="AJ191" s="228"/>
      <c r="AK191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1:64" s="198" customFormat="1" x14ac:dyDescent="0.25">
      <c r="A192" s="290" t="str">
        <f t="shared" si="42"/>
        <v>Hudson View Park</v>
      </c>
      <c r="B192" s="195">
        <f t="shared" si="40"/>
        <v>94</v>
      </c>
      <c r="C192" s="196" t="str">
        <f t="shared" si="41"/>
        <v>Occ</v>
      </c>
      <c r="D192" s="196" t="e" cm="1">
        <f t="array" ref="D192">INDEX($C$5:$C$61,MATCH(1,(K192=$D$5:$D$61)*(A192=$B$5:$B$61),0))</f>
        <v>#N/A</v>
      </c>
      <c r="E192" s="196" t="e" cm="1">
        <f t="array" ref="E192">INDEX($E$5:$E$61,MATCH(1,(D192=$C$5:$C$61)*(A192=$B$5:$B$61),0))</f>
        <v>#N/A</v>
      </c>
      <c r="F192" s="196" t="e" cm="1">
        <f t="array" ref="F192">INDEX($F$5:$F$61,MATCH(1,(D192=$C$5:$C$61)*(A192=$B$5:$B$61),0))</f>
        <v>#N/A</v>
      </c>
      <c r="G192" s="196" t="e" cm="1">
        <f t="array" ref="G192">INDEX($G$5:$G$61,MATCH(1,(D192=$C$5:$C$61)*(A192=$B$5:$B$61),0))</f>
        <v>#N/A</v>
      </c>
      <c r="H192" s="196" t="e" cm="1">
        <f t="array" ref="H192">INDEX($H$5:$H$61,MATCH(1,(D192=$C$5:$C$61)*(A192=$B$5:$B$61),0))</f>
        <v>#N/A</v>
      </c>
      <c r="I192" s="196" t="e" cm="1">
        <f t="array" ref="I192">INDEX($I$5:$I$61,MATCH(1,(D192=$C$5:$C$61)*(A192=$B$5:$B$61),0))</f>
        <v>#N/A</v>
      </c>
      <c r="J192" s="273"/>
      <c r="K192" s="273"/>
      <c r="L192" s="272"/>
      <c r="M192" s="273"/>
      <c r="N192" s="197"/>
      <c r="O192" s="200">
        <f t="shared" si="35"/>
        <v>0</v>
      </c>
      <c r="P192" s="274"/>
      <c r="Q192" s="274"/>
      <c r="R192" s="276"/>
      <c r="S192" s="274"/>
      <c r="T192" s="197">
        <f t="shared" si="36"/>
        <v>0</v>
      </c>
      <c r="U192" s="197">
        <f t="shared" si="37"/>
        <v>0</v>
      </c>
      <c r="V192" s="197">
        <f t="shared" si="38"/>
        <v>0</v>
      </c>
      <c r="W192" s="197">
        <f t="shared" si="39"/>
        <v>0</v>
      </c>
      <c r="Z192" s="197"/>
      <c r="AA192" s="228"/>
      <c r="AB192" s="228"/>
      <c r="AD192" s="228"/>
      <c r="AE192" s="228"/>
      <c r="AF192" s="228"/>
      <c r="AG192" s="228"/>
      <c r="AH192" s="228"/>
      <c r="AI192" s="228"/>
      <c r="AJ192" s="228"/>
      <c r="AK192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1:64" s="198" customFormat="1" x14ac:dyDescent="0.25">
      <c r="A193" s="290" t="str">
        <f t="shared" si="42"/>
        <v>Hudson View Park</v>
      </c>
      <c r="B193" s="195">
        <f t="shared" si="40"/>
        <v>95</v>
      </c>
      <c r="C193" s="196" t="str">
        <f t="shared" si="41"/>
        <v>Occ</v>
      </c>
      <c r="D193" s="196" t="e" cm="1">
        <f t="array" ref="D193">INDEX($C$5:$C$61,MATCH(1,(K193=$D$5:$D$61)*(A193=$B$5:$B$61),0))</f>
        <v>#N/A</v>
      </c>
      <c r="E193" s="196" t="e" cm="1">
        <f t="array" ref="E193">INDEX($E$5:$E$61,MATCH(1,(D193=$C$5:$C$61)*(A193=$B$5:$B$61),0))</f>
        <v>#N/A</v>
      </c>
      <c r="F193" s="196" t="e" cm="1">
        <f t="array" ref="F193">INDEX($F$5:$F$61,MATCH(1,(D193=$C$5:$C$61)*(A193=$B$5:$B$61),0))</f>
        <v>#N/A</v>
      </c>
      <c r="G193" s="196" t="e" cm="1">
        <f t="array" ref="G193">INDEX($G$5:$G$61,MATCH(1,(D193=$C$5:$C$61)*(A193=$B$5:$B$61),0))</f>
        <v>#N/A</v>
      </c>
      <c r="H193" s="196" t="e" cm="1">
        <f t="array" ref="H193">INDEX($H$5:$H$61,MATCH(1,(D193=$C$5:$C$61)*(A193=$B$5:$B$61),0))</f>
        <v>#N/A</v>
      </c>
      <c r="I193" s="196" t="e" cm="1">
        <f t="array" ref="I193">INDEX($I$5:$I$61,MATCH(1,(D193=$C$5:$C$61)*(A193=$B$5:$B$61),0))</f>
        <v>#N/A</v>
      </c>
      <c r="J193" s="273"/>
      <c r="K193" s="273"/>
      <c r="L193" s="272"/>
      <c r="M193" s="273"/>
      <c r="N193" s="197"/>
      <c r="O193" s="200">
        <f t="shared" si="35"/>
        <v>0</v>
      </c>
      <c r="P193" s="274"/>
      <c r="Q193" s="274"/>
      <c r="R193" s="276"/>
      <c r="S193" s="274"/>
      <c r="T193" s="197">
        <f t="shared" si="36"/>
        <v>0</v>
      </c>
      <c r="U193" s="197">
        <f t="shared" si="37"/>
        <v>0</v>
      </c>
      <c r="V193" s="197">
        <f t="shared" si="38"/>
        <v>0</v>
      </c>
      <c r="W193" s="197">
        <f t="shared" si="39"/>
        <v>0</v>
      </c>
      <c r="Z193" s="197"/>
      <c r="AA193" s="228"/>
      <c r="AB193" s="228"/>
      <c r="AD193" s="228"/>
      <c r="AE193" s="228"/>
      <c r="AF193" s="228"/>
      <c r="AG193" s="228"/>
      <c r="AH193" s="228"/>
      <c r="AI193" s="228"/>
      <c r="AJ193" s="228"/>
      <c r="AK193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s="198" customFormat="1" x14ac:dyDescent="0.25">
      <c r="A194" s="290" t="str">
        <f t="shared" si="42"/>
        <v>Hudson View Park</v>
      </c>
      <c r="B194" s="195">
        <f t="shared" si="40"/>
        <v>96</v>
      </c>
      <c r="C194" s="196" t="str">
        <f t="shared" si="41"/>
        <v>Occ</v>
      </c>
      <c r="D194" s="196" t="e" cm="1">
        <f t="array" ref="D194">INDEX($C$5:$C$61,MATCH(1,(K194=$D$5:$D$61)*(A194=$B$5:$B$61),0))</f>
        <v>#N/A</v>
      </c>
      <c r="E194" s="196" t="e" cm="1">
        <f t="array" ref="E194">INDEX($E$5:$E$61,MATCH(1,(D194=$C$5:$C$61)*(A194=$B$5:$B$61),0))</f>
        <v>#N/A</v>
      </c>
      <c r="F194" s="196" t="e" cm="1">
        <f t="array" ref="F194">INDEX($F$5:$F$61,MATCH(1,(D194=$C$5:$C$61)*(A194=$B$5:$B$61),0))</f>
        <v>#N/A</v>
      </c>
      <c r="G194" s="196" t="e" cm="1">
        <f t="array" ref="G194">INDEX($G$5:$G$61,MATCH(1,(D194=$C$5:$C$61)*(A194=$B$5:$B$61),0))</f>
        <v>#N/A</v>
      </c>
      <c r="H194" s="196" t="e" cm="1">
        <f t="array" ref="H194">INDEX($H$5:$H$61,MATCH(1,(D194=$C$5:$C$61)*(A194=$B$5:$B$61),0))</f>
        <v>#N/A</v>
      </c>
      <c r="I194" s="196" t="e" cm="1">
        <f t="array" ref="I194">INDEX($I$5:$I$61,MATCH(1,(D194=$C$5:$C$61)*(A194=$B$5:$B$61),0))</f>
        <v>#N/A</v>
      </c>
      <c r="J194" s="273"/>
      <c r="K194" s="273"/>
      <c r="L194" s="272"/>
      <c r="M194" s="273"/>
      <c r="N194" s="197"/>
      <c r="O194" s="200">
        <f t="shared" si="35"/>
        <v>0</v>
      </c>
      <c r="P194" s="274"/>
      <c r="Q194" s="274"/>
      <c r="R194" s="276"/>
      <c r="S194" s="274"/>
      <c r="T194" s="197">
        <f t="shared" si="36"/>
        <v>0</v>
      </c>
      <c r="U194" s="197">
        <f t="shared" si="37"/>
        <v>0</v>
      </c>
      <c r="V194" s="197">
        <f t="shared" si="38"/>
        <v>0</v>
      </c>
      <c r="W194" s="197">
        <f t="shared" si="39"/>
        <v>0</v>
      </c>
      <c r="Z194" s="197"/>
      <c r="AA194" s="228"/>
      <c r="AB194" s="228"/>
      <c r="AD194" s="228"/>
      <c r="AE194" s="228"/>
      <c r="AF194" s="228"/>
      <c r="AG194" s="228"/>
      <c r="AH194" s="228"/>
      <c r="AI194" s="228"/>
      <c r="AJ194" s="228"/>
      <c r="AK194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1:64" s="198" customFormat="1" x14ac:dyDescent="0.25">
      <c r="A195" s="290" t="str">
        <f t="shared" si="42"/>
        <v>Hudson View Park</v>
      </c>
      <c r="B195" s="195">
        <f t="shared" si="40"/>
        <v>97</v>
      </c>
      <c r="C195" s="196" t="str">
        <f t="shared" si="41"/>
        <v>Occ</v>
      </c>
      <c r="D195" s="196" t="e" cm="1">
        <f t="array" ref="D195">INDEX($C$5:$C$61,MATCH(1,(K195=$D$5:$D$61)*(A195=$B$5:$B$61),0))</f>
        <v>#N/A</v>
      </c>
      <c r="E195" s="196" t="e" cm="1">
        <f t="array" ref="E195">INDEX($E$5:$E$61,MATCH(1,(D195=$C$5:$C$61)*(A195=$B$5:$B$61),0))</f>
        <v>#N/A</v>
      </c>
      <c r="F195" s="196" t="e" cm="1">
        <f t="array" ref="F195">INDEX($F$5:$F$61,MATCH(1,(D195=$C$5:$C$61)*(A195=$B$5:$B$61),0))</f>
        <v>#N/A</v>
      </c>
      <c r="G195" s="196" t="e" cm="1">
        <f t="array" ref="G195">INDEX($G$5:$G$61,MATCH(1,(D195=$C$5:$C$61)*(A195=$B$5:$B$61),0))</f>
        <v>#N/A</v>
      </c>
      <c r="H195" s="196" t="e" cm="1">
        <f t="array" ref="H195">INDEX($H$5:$H$61,MATCH(1,(D195=$C$5:$C$61)*(A195=$B$5:$B$61),0))</f>
        <v>#N/A</v>
      </c>
      <c r="I195" s="196" t="e" cm="1">
        <f t="array" ref="I195">INDEX($I$5:$I$61,MATCH(1,(D195=$C$5:$C$61)*(A195=$B$5:$B$61),0))</f>
        <v>#N/A</v>
      </c>
      <c r="J195" s="273"/>
      <c r="K195" s="273"/>
      <c r="L195" s="272"/>
      <c r="M195" s="273"/>
      <c r="N195" s="197"/>
      <c r="O195" s="200">
        <f t="shared" si="35"/>
        <v>0</v>
      </c>
      <c r="P195" s="274"/>
      <c r="Q195" s="274"/>
      <c r="R195" s="276"/>
      <c r="S195" s="274"/>
      <c r="T195" s="197">
        <f t="shared" si="36"/>
        <v>0</v>
      </c>
      <c r="U195" s="197">
        <f t="shared" si="37"/>
        <v>0</v>
      </c>
      <c r="V195" s="197">
        <f t="shared" si="38"/>
        <v>0</v>
      </c>
      <c r="W195" s="197">
        <f t="shared" si="39"/>
        <v>0</v>
      </c>
      <c r="Z195" s="197"/>
      <c r="AA195" s="228"/>
      <c r="AB195" s="228"/>
      <c r="AD195" s="228"/>
      <c r="AE195" s="228"/>
      <c r="AF195" s="228"/>
      <c r="AG195" s="228"/>
      <c r="AH195" s="228"/>
      <c r="AI195" s="228"/>
      <c r="AJ195" s="228"/>
      <c r="AK195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 s="198" customFormat="1" x14ac:dyDescent="0.25">
      <c r="A196" s="290" t="str">
        <f t="shared" si="42"/>
        <v>Hudson View Park</v>
      </c>
      <c r="B196" s="195">
        <f t="shared" si="40"/>
        <v>98</v>
      </c>
      <c r="C196" s="196" t="str">
        <f t="shared" si="41"/>
        <v>Occ</v>
      </c>
      <c r="D196" s="196" t="e" cm="1">
        <f t="array" ref="D196">INDEX($C$5:$C$61,MATCH(1,(K196=$D$5:$D$61)*(A196=$B$5:$B$61),0))</f>
        <v>#N/A</v>
      </c>
      <c r="E196" s="196" t="e" cm="1">
        <f t="array" ref="E196">INDEX($E$5:$E$61,MATCH(1,(D196=$C$5:$C$61)*(A196=$B$5:$B$61),0))</f>
        <v>#N/A</v>
      </c>
      <c r="F196" s="196" t="e" cm="1">
        <f t="array" ref="F196">INDEX($F$5:$F$61,MATCH(1,(D196=$C$5:$C$61)*(A196=$B$5:$B$61),0))</f>
        <v>#N/A</v>
      </c>
      <c r="G196" s="196" t="e" cm="1">
        <f t="array" ref="G196">INDEX($G$5:$G$61,MATCH(1,(D196=$C$5:$C$61)*(A196=$B$5:$B$61),0))</f>
        <v>#N/A</v>
      </c>
      <c r="H196" s="196" t="e" cm="1">
        <f t="array" ref="H196">INDEX($H$5:$H$61,MATCH(1,(D196=$C$5:$C$61)*(A196=$B$5:$B$61),0))</f>
        <v>#N/A</v>
      </c>
      <c r="I196" s="196" t="e" cm="1">
        <f t="array" ref="I196">INDEX($I$5:$I$61,MATCH(1,(D196=$C$5:$C$61)*(A196=$B$5:$B$61),0))</f>
        <v>#N/A</v>
      </c>
      <c r="J196" s="273"/>
      <c r="K196" s="273"/>
      <c r="L196" s="272"/>
      <c r="M196" s="273"/>
      <c r="N196" s="197"/>
      <c r="O196" s="200">
        <f t="shared" si="35"/>
        <v>0</v>
      </c>
      <c r="P196" s="274"/>
      <c r="Q196" s="274"/>
      <c r="R196" s="276"/>
      <c r="S196" s="274"/>
      <c r="T196" s="197">
        <f t="shared" si="36"/>
        <v>0</v>
      </c>
      <c r="U196" s="197">
        <f t="shared" si="37"/>
        <v>0</v>
      </c>
      <c r="V196" s="197">
        <f t="shared" si="38"/>
        <v>0</v>
      </c>
      <c r="W196" s="197">
        <f t="shared" si="39"/>
        <v>0</v>
      </c>
      <c r="Z196" s="197"/>
      <c r="AA196" s="228"/>
      <c r="AB196" s="228"/>
      <c r="AD196" s="228"/>
      <c r="AE196" s="228"/>
      <c r="AF196" s="228"/>
      <c r="AG196" s="228"/>
      <c r="AH196" s="228"/>
      <c r="AI196" s="228"/>
      <c r="AJ196" s="228"/>
      <c r="AK196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 s="198" customFormat="1" x14ac:dyDescent="0.25">
      <c r="A197" s="290" t="str">
        <f t="shared" si="42"/>
        <v>Hudson View Park</v>
      </c>
      <c r="B197" s="195">
        <f t="shared" si="40"/>
        <v>99</v>
      </c>
      <c r="C197" s="196" t="str">
        <f t="shared" si="41"/>
        <v>Occ</v>
      </c>
      <c r="D197" s="196" t="e" cm="1">
        <f t="array" ref="D197">INDEX($C$5:$C$61,MATCH(1,(K197=$D$5:$D$61)*(A197=$B$5:$B$61),0))</f>
        <v>#N/A</v>
      </c>
      <c r="E197" s="196" t="e" cm="1">
        <f t="array" ref="E197">INDEX($E$5:$E$61,MATCH(1,(D197=$C$5:$C$61)*(A197=$B$5:$B$61),0))</f>
        <v>#N/A</v>
      </c>
      <c r="F197" s="196" t="e" cm="1">
        <f t="array" ref="F197">INDEX($F$5:$F$61,MATCH(1,(D197=$C$5:$C$61)*(A197=$B$5:$B$61),0))</f>
        <v>#N/A</v>
      </c>
      <c r="G197" s="196" t="e" cm="1">
        <f t="array" ref="G197">INDEX($G$5:$G$61,MATCH(1,(D197=$C$5:$C$61)*(A197=$B$5:$B$61),0))</f>
        <v>#N/A</v>
      </c>
      <c r="H197" s="196" t="e" cm="1">
        <f t="array" ref="H197">INDEX($H$5:$H$61,MATCH(1,(D197=$C$5:$C$61)*(A197=$B$5:$B$61),0))</f>
        <v>#N/A</v>
      </c>
      <c r="I197" s="196" t="e" cm="1">
        <f t="array" ref="I197">INDEX($I$5:$I$61,MATCH(1,(D197=$C$5:$C$61)*(A197=$B$5:$B$61),0))</f>
        <v>#N/A</v>
      </c>
      <c r="J197" s="273"/>
      <c r="K197" s="273"/>
      <c r="L197" s="272"/>
      <c r="M197" s="273"/>
      <c r="N197" s="197"/>
      <c r="O197" s="200">
        <f t="shared" si="35"/>
        <v>0</v>
      </c>
      <c r="P197" s="274"/>
      <c r="Q197" s="274"/>
      <c r="R197" s="276"/>
      <c r="S197" s="274"/>
      <c r="T197" s="197">
        <f t="shared" si="36"/>
        <v>0</v>
      </c>
      <c r="U197" s="197">
        <f t="shared" si="37"/>
        <v>0</v>
      </c>
      <c r="V197" s="197">
        <f t="shared" si="38"/>
        <v>0</v>
      </c>
      <c r="W197" s="197">
        <f t="shared" si="39"/>
        <v>0</v>
      </c>
      <c r="Z197" s="197"/>
      <c r="AA197" s="228"/>
      <c r="AB197" s="228"/>
      <c r="AD197" s="228"/>
      <c r="AE197" s="228"/>
      <c r="AF197" s="228"/>
      <c r="AG197" s="228"/>
      <c r="AH197" s="228"/>
      <c r="AI197" s="228"/>
      <c r="AJ197" s="228"/>
      <c r="AK197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 s="198" customFormat="1" x14ac:dyDescent="0.25">
      <c r="A198" s="290" t="str">
        <f t="shared" si="42"/>
        <v>Hudson View Park</v>
      </c>
      <c r="B198" s="195">
        <f t="shared" si="40"/>
        <v>100</v>
      </c>
      <c r="C198" s="196" t="str">
        <f t="shared" si="41"/>
        <v>Occ</v>
      </c>
      <c r="D198" s="196" t="e" cm="1">
        <f t="array" ref="D198">INDEX($C$5:$C$61,MATCH(1,(K198=$D$5:$D$61)*(A198=$B$5:$B$61),0))</f>
        <v>#N/A</v>
      </c>
      <c r="E198" s="196" t="e" cm="1">
        <f t="array" ref="E198">INDEX($E$5:$E$61,MATCH(1,(D198=$C$5:$C$61)*(A198=$B$5:$B$61),0))</f>
        <v>#N/A</v>
      </c>
      <c r="F198" s="196" t="e" cm="1">
        <f t="array" ref="F198">INDEX($F$5:$F$61,MATCH(1,(D198=$C$5:$C$61)*(A198=$B$5:$B$61),0))</f>
        <v>#N/A</v>
      </c>
      <c r="G198" s="196" t="e" cm="1">
        <f t="array" ref="G198">INDEX($G$5:$G$61,MATCH(1,(D198=$C$5:$C$61)*(A198=$B$5:$B$61),0))</f>
        <v>#N/A</v>
      </c>
      <c r="H198" s="196" t="e" cm="1">
        <f t="array" ref="H198">INDEX($H$5:$H$61,MATCH(1,(D198=$C$5:$C$61)*(A198=$B$5:$B$61),0))</f>
        <v>#N/A</v>
      </c>
      <c r="I198" s="196" t="e" cm="1">
        <f t="array" ref="I198">INDEX($I$5:$I$61,MATCH(1,(D198=$C$5:$C$61)*(A198=$B$5:$B$61),0))</f>
        <v>#N/A</v>
      </c>
      <c r="J198" s="273"/>
      <c r="K198" s="273"/>
      <c r="L198" s="272"/>
      <c r="M198" s="273"/>
      <c r="N198" s="197"/>
      <c r="O198" s="200">
        <f t="shared" si="35"/>
        <v>0</v>
      </c>
      <c r="P198" s="274"/>
      <c r="Q198" s="274"/>
      <c r="R198" s="276"/>
      <c r="S198" s="274"/>
      <c r="T198" s="197">
        <f t="shared" si="36"/>
        <v>0</v>
      </c>
      <c r="U198" s="197">
        <f t="shared" si="37"/>
        <v>0</v>
      </c>
      <c r="V198" s="197">
        <f t="shared" si="38"/>
        <v>0</v>
      </c>
      <c r="W198" s="197">
        <f t="shared" si="39"/>
        <v>0</v>
      </c>
      <c r="Z198" s="197"/>
      <c r="AA198" s="228"/>
      <c r="AB198" s="228"/>
      <c r="AD198" s="228"/>
      <c r="AE198" s="228"/>
      <c r="AF198" s="228"/>
      <c r="AG198" s="228"/>
      <c r="AH198" s="228"/>
      <c r="AI198" s="228"/>
      <c r="AJ198" s="228"/>
      <c r="AK19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 s="198" customFormat="1" x14ac:dyDescent="0.25">
      <c r="A199" s="290" t="str">
        <f t="shared" si="42"/>
        <v>Hudson View Park</v>
      </c>
      <c r="B199" s="195">
        <f t="shared" si="40"/>
        <v>101</v>
      </c>
      <c r="C199" s="196" t="str">
        <f t="shared" si="41"/>
        <v>Occ</v>
      </c>
      <c r="D199" s="196" t="e" cm="1">
        <f t="array" ref="D199">INDEX($C$5:$C$61,MATCH(1,(K199=$D$5:$D$61)*(A199=$B$5:$B$61),0))</f>
        <v>#N/A</v>
      </c>
      <c r="E199" s="196" t="e" cm="1">
        <f t="array" ref="E199">INDEX($E$5:$E$61,MATCH(1,(D199=$C$5:$C$61)*(A199=$B$5:$B$61),0))</f>
        <v>#N/A</v>
      </c>
      <c r="F199" s="196" t="e" cm="1">
        <f t="array" ref="F199">INDEX($F$5:$F$61,MATCH(1,(D199=$C$5:$C$61)*(A199=$B$5:$B$61),0))</f>
        <v>#N/A</v>
      </c>
      <c r="G199" s="196" t="e" cm="1">
        <f t="array" ref="G199">INDEX($G$5:$G$61,MATCH(1,(D199=$C$5:$C$61)*(A199=$B$5:$B$61),0))</f>
        <v>#N/A</v>
      </c>
      <c r="H199" s="196" t="e" cm="1">
        <f t="array" ref="H199">INDEX($H$5:$H$61,MATCH(1,(D199=$C$5:$C$61)*(A199=$B$5:$B$61),0))</f>
        <v>#N/A</v>
      </c>
      <c r="I199" s="196" t="e" cm="1">
        <f t="array" ref="I199">INDEX($I$5:$I$61,MATCH(1,(D199=$C$5:$C$61)*(A199=$B$5:$B$61),0))</f>
        <v>#N/A</v>
      </c>
      <c r="J199" s="273"/>
      <c r="K199" s="273"/>
      <c r="L199" s="272"/>
      <c r="M199" s="273"/>
      <c r="N199" s="197"/>
      <c r="O199" s="200">
        <f t="shared" si="35"/>
        <v>0</v>
      </c>
      <c r="P199" s="274"/>
      <c r="Q199" s="274"/>
      <c r="R199" s="276"/>
      <c r="S199" s="274"/>
      <c r="T199" s="197">
        <f t="shared" si="36"/>
        <v>0</v>
      </c>
      <c r="U199" s="197">
        <f t="shared" si="37"/>
        <v>0</v>
      </c>
      <c r="V199" s="197">
        <f t="shared" si="38"/>
        <v>0</v>
      </c>
      <c r="W199" s="197">
        <f t="shared" si="39"/>
        <v>0</v>
      </c>
      <c r="Z199" s="197"/>
      <c r="AA199" s="228"/>
      <c r="AB199" s="228"/>
      <c r="AD199" s="228"/>
      <c r="AE199" s="228"/>
      <c r="AF199" s="228"/>
      <c r="AG199" s="228"/>
      <c r="AH199" s="228"/>
      <c r="AI199" s="228"/>
      <c r="AJ199" s="228"/>
      <c r="AK199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 s="198" customFormat="1" x14ac:dyDescent="0.25">
      <c r="A200" s="290" t="str">
        <f t="shared" si="42"/>
        <v>Hudson View Park</v>
      </c>
      <c r="B200" s="195">
        <f t="shared" si="40"/>
        <v>102</v>
      </c>
      <c r="C200" s="196" t="str">
        <f t="shared" si="41"/>
        <v>Occ</v>
      </c>
      <c r="D200" s="196" t="e" cm="1">
        <f t="array" ref="D200">INDEX($C$5:$C$61,MATCH(1,(K200=$D$5:$D$61)*(A200=$B$5:$B$61),0))</f>
        <v>#N/A</v>
      </c>
      <c r="E200" s="196" t="e" cm="1">
        <f t="array" ref="E200">INDEX($E$5:$E$61,MATCH(1,(D200=$C$5:$C$61)*(A200=$B$5:$B$61),0))</f>
        <v>#N/A</v>
      </c>
      <c r="F200" s="196" t="e" cm="1">
        <f t="array" ref="F200">INDEX($F$5:$F$61,MATCH(1,(D200=$C$5:$C$61)*(A200=$B$5:$B$61),0))</f>
        <v>#N/A</v>
      </c>
      <c r="G200" s="196" t="e" cm="1">
        <f t="array" ref="G200">INDEX($G$5:$G$61,MATCH(1,(D200=$C$5:$C$61)*(A200=$B$5:$B$61),0))</f>
        <v>#N/A</v>
      </c>
      <c r="H200" s="196" t="e" cm="1">
        <f t="array" ref="H200">INDEX($H$5:$H$61,MATCH(1,(D200=$C$5:$C$61)*(A200=$B$5:$B$61),0))</f>
        <v>#N/A</v>
      </c>
      <c r="I200" s="196" t="e" cm="1">
        <f t="array" ref="I200">INDEX($I$5:$I$61,MATCH(1,(D200=$C$5:$C$61)*(A200=$B$5:$B$61),0))</f>
        <v>#N/A</v>
      </c>
      <c r="J200" s="273"/>
      <c r="K200" s="273"/>
      <c r="L200" s="272"/>
      <c r="M200" s="273"/>
      <c r="N200" s="197"/>
      <c r="O200" s="200">
        <f t="shared" si="35"/>
        <v>0</v>
      </c>
      <c r="P200" s="274"/>
      <c r="Q200" s="274"/>
      <c r="R200" s="276"/>
      <c r="S200" s="274"/>
      <c r="T200" s="197">
        <f t="shared" si="36"/>
        <v>0</v>
      </c>
      <c r="U200" s="197">
        <f t="shared" si="37"/>
        <v>0</v>
      </c>
      <c r="V200" s="197">
        <f t="shared" si="38"/>
        <v>0</v>
      </c>
      <c r="W200" s="197">
        <f t="shared" si="39"/>
        <v>0</v>
      </c>
      <c r="Z200" s="197"/>
      <c r="AA200" s="228"/>
      <c r="AB200" s="228"/>
      <c r="AD200" s="228"/>
      <c r="AE200" s="228"/>
      <c r="AF200" s="228"/>
      <c r="AG200" s="228"/>
      <c r="AH200" s="228"/>
      <c r="AI200" s="228"/>
      <c r="AJ200" s="228"/>
      <c r="AK200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1:64" s="198" customFormat="1" x14ac:dyDescent="0.25">
      <c r="A201" s="290" t="str">
        <f t="shared" si="42"/>
        <v>Hudson View Park</v>
      </c>
      <c r="B201" s="195">
        <f t="shared" si="40"/>
        <v>103</v>
      </c>
      <c r="C201" s="196" t="str">
        <f t="shared" si="41"/>
        <v>Occ</v>
      </c>
      <c r="D201" s="196" t="e" cm="1">
        <f t="array" ref="D201">INDEX($C$5:$C$61,MATCH(1,(K201=$D$5:$D$61)*(A201=$B$5:$B$61),0))</f>
        <v>#N/A</v>
      </c>
      <c r="E201" s="196" t="e" cm="1">
        <f t="array" ref="E201">INDEX($E$5:$E$61,MATCH(1,(D201=$C$5:$C$61)*(A201=$B$5:$B$61),0))</f>
        <v>#N/A</v>
      </c>
      <c r="F201" s="196" t="e" cm="1">
        <f t="array" ref="F201">INDEX($F$5:$F$61,MATCH(1,(D201=$C$5:$C$61)*(A201=$B$5:$B$61),0))</f>
        <v>#N/A</v>
      </c>
      <c r="G201" s="196" t="e" cm="1">
        <f t="array" ref="G201">INDEX($G$5:$G$61,MATCH(1,(D201=$C$5:$C$61)*(A201=$B$5:$B$61),0))</f>
        <v>#N/A</v>
      </c>
      <c r="H201" s="196" t="e" cm="1">
        <f t="array" ref="H201">INDEX($H$5:$H$61,MATCH(1,(D201=$C$5:$C$61)*(A201=$B$5:$B$61),0))</f>
        <v>#N/A</v>
      </c>
      <c r="I201" s="196" t="e" cm="1">
        <f t="array" ref="I201">INDEX($I$5:$I$61,MATCH(1,(D201=$C$5:$C$61)*(A201=$B$5:$B$61),0))</f>
        <v>#N/A</v>
      </c>
      <c r="J201" s="273"/>
      <c r="K201" s="273"/>
      <c r="L201" s="272"/>
      <c r="M201" s="273"/>
      <c r="N201" s="197"/>
      <c r="O201" s="200">
        <f t="shared" si="35"/>
        <v>0</v>
      </c>
      <c r="P201" s="274"/>
      <c r="Q201" s="274"/>
      <c r="R201" s="276"/>
      <c r="S201" s="274"/>
      <c r="T201" s="197">
        <f t="shared" si="36"/>
        <v>0</v>
      </c>
      <c r="U201" s="197">
        <f t="shared" si="37"/>
        <v>0</v>
      </c>
      <c r="V201" s="197">
        <f t="shared" si="38"/>
        <v>0</v>
      </c>
      <c r="W201" s="197">
        <f t="shared" si="39"/>
        <v>0</v>
      </c>
      <c r="Z201" s="197"/>
      <c r="AA201" s="228"/>
      <c r="AB201" s="228"/>
      <c r="AD201" s="228"/>
      <c r="AE201" s="228"/>
      <c r="AF201" s="228"/>
      <c r="AG201" s="228"/>
      <c r="AH201" s="228"/>
      <c r="AI201" s="228"/>
      <c r="AJ201" s="228"/>
      <c r="AK201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 s="198" customFormat="1" x14ac:dyDescent="0.25">
      <c r="A202" s="290" t="str">
        <f t="shared" si="42"/>
        <v>Hudson View Park</v>
      </c>
      <c r="B202" s="195">
        <f t="shared" si="40"/>
        <v>104</v>
      </c>
      <c r="C202" s="196" t="str">
        <f t="shared" si="41"/>
        <v>Occ</v>
      </c>
      <c r="D202" s="196" t="e" cm="1">
        <f t="array" ref="D202">INDEX($C$5:$C$61,MATCH(1,(K202=$D$5:$D$61)*(A202=$B$5:$B$61),0))</f>
        <v>#N/A</v>
      </c>
      <c r="E202" s="196" t="e" cm="1">
        <f t="array" ref="E202">INDEX($E$5:$E$61,MATCH(1,(D202=$C$5:$C$61)*(A202=$B$5:$B$61),0))</f>
        <v>#N/A</v>
      </c>
      <c r="F202" s="196" t="e" cm="1">
        <f t="array" ref="F202">INDEX($F$5:$F$61,MATCH(1,(D202=$C$5:$C$61)*(A202=$B$5:$B$61),0))</f>
        <v>#N/A</v>
      </c>
      <c r="G202" s="196" t="e" cm="1">
        <f t="array" ref="G202">INDEX($G$5:$G$61,MATCH(1,(D202=$C$5:$C$61)*(A202=$B$5:$B$61),0))</f>
        <v>#N/A</v>
      </c>
      <c r="H202" s="196" t="e" cm="1">
        <f t="array" ref="H202">INDEX($H$5:$H$61,MATCH(1,(D202=$C$5:$C$61)*(A202=$B$5:$B$61),0))</f>
        <v>#N/A</v>
      </c>
      <c r="I202" s="196" t="e" cm="1">
        <f t="array" ref="I202">INDEX($I$5:$I$61,MATCH(1,(D202=$C$5:$C$61)*(A202=$B$5:$B$61),0))</f>
        <v>#N/A</v>
      </c>
      <c r="J202" s="273"/>
      <c r="K202" s="273"/>
      <c r="L202" s="272"/>
      <c r="M202" s="273"/>
      <c r="N202" s="197"/>
      <c r="O202" s="200">
        <f t="shared" si="35"/>
        <v>0</v>
      </c>
      <c r="P202" s="274"/>
      <c r="Q202" s="274"/>
      <c r="R202" s="276"/>
      <c r="S202" s="274"/>
      <c r="T202" s="197">
        <f t="shared" si="36"/>
        <v>0</v>
      </c>
      <c r="U202" s="197">
        <f t="shared" si="37"/>
        <v>0</v>
      </c>
      <c r="V202" s="197">
        <f t="shared" si="38"/>
        <v>0</v>
      </c>
      <c r="W202" s="197">
        <f t="shared" si="39"/>
        <v>0</v>
      </c>
      <c r="Z202" s="197"/>
      <c r="AA202" s="228"/>
      <c r="AB202" s="228"/>
      <c r="AD202" s="228"/>
      <c r="AE202" s="228"/>
      <c r="AF202" s="228"/>
      <c r="AG202" s="228"/>
      <c r="AH202" s="228"/>
      <c r="AI202" s="228"/>
      <c r="AJ202" s="228"/>
      <c r="AK202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 s="198" customFormat="1" x14ac:dyDescent="0.25">
      <c r="A203" s="290" t="str">
        <f t="shared" si="42"/>
        <v>Hudson View Park</v>
      </c>
      <c r="B203" s="195">
        <f t="shared" si="40"/>
        <v>105</v>
      </c>
      <c r="C203" s="196" t="str">
        <f t="shared" si="41"/>
        <v>Occ</v>
      </c>
      <c r="D203" s="196" t="e" cm="1">
        <f t="array" ref="D203">INDEX($C$5:$C$61,MATCH(1,(K203=$D$5:$D$61)*(A203=$B$5:$B$61),0))</f>
        <v>#N/A</v>
      </c>
      <c r="E203" s="196" t="e" cm="1">
        <f t="array" ref="E203">INDEX($E$5:$E$61,MATCH(1,(D203=$C$5:$C$61)*(A203=$B$5:$B$61),0))</f>
        <v>#N/A</v>
      </c>
      <c r="F203" s="196" t="e" cm="1">
        <f t="array" ref="F203">INDEX($F$5:$F$61,MATCH(1,(D203=$C$5:$C$61)*(A203=$B$5:$B$61),0))</f>
        <v>#N/A</v>
      </c>
      <c r="G203" s="196" t="e" cm="1">
        <f t="array" ref="G203">INDEX($G$5:$G$61,MATCH(1,(D203=$C$5:$C$61)*(A203=$B$5:$B$61),0))</f>
        <v>#N/A</v>
      </c>
      <c r="H203" s="196" t="e" cm="1">
        <f t="array" ref="H203">INDEX($H$5:$H$61,MATCH(1,(D203=$C$5:$C$61)*(A203=$B$5:$B$61),0))</f>
        <v>#N/A</v>
      </c>
      <c r="I203" s="196" t="e" cm="1">
        <f t="array" ref="I203">INDEX($I$5:$I$61,MATCH(1,(D203=$C$5:$C$61)*(A203=$B$5:$B$61),0))</f>
        <v>#N/A</v>
      </c>
      <c r="J203" s="273"/>
      <c r="K203" s="273"/>
      <c r="L203" s="272"/>
      <c r="M203" s="273"/>
      <c r="N203" s="197"/>
      <c r="O203" s="200">
        <f t="shared" si="35"/>
        <v>0</v>
      </c>
      <c r="P203" s="274"/>
      <c r="Q203" s="274"/>
      <c r="R203" s="276"/>
      <c r="S203" s="274"/>
      <c r="T203" s="197">
        <f t="shared" si="36"/>
        <v>0</v>
      </c>
      <c r="U203" s="197">
        <f t="shared" si="37"/>
        <v>0</v>
      </c>
      <c r="V203" s="197">
        <f t="shared" si="38"/>
        <v>0</v>
      </c>
      <c r="W203" s="197">
        <f t="shared" si="39"/>
        <v>0</v>
      </c>
      <c r="Z203" s="197"/>
      <c r="AA203" s="228"/>
      <c r="AB203" s="228"/>
      <c r="AD203" s="228"/>
      <c r="AE203" s="228"/>
      <c r="AF203" s="228"/>
      <c r="AG203" s="228"/>
      <c r="AH203" s="228"/>
      <c r="AI203" s="228"/>
      <c r="AJ203" s="228"/>
      <c r="AK203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 s="198" customFormat="1" x14ac:dyDescent="0.25">
      <c r="A204" s="290" t="str">
        <f t="shared" si="42"/>
        <v>Hudson View Park</v>
      </c>
      <c r="B204" s="195">
        <f t="shared" si="40"/>
        <v>106</v>
      </c>
      <c r="C204" s="196" t="str">
        <f t="shared" si="41"/>
        <v>Occ</v>
      </c>
      <c r="D204" s="196" t="e" cm="1">
        <f t="array" ref="D204">INDEX($C$5:$C$61,MATCH(1,(K204=$D$5:$D$61)*(A204=$B$5:$B$61),0))</f>
        <v>#N/A</v>
      </c>
      <c r="E204" s="196" t="e" cm="1">
        <f t="array" ref="E204">INDEX($E$5:$E$61,MATCH(1,(D204=$C$5:$C$61)*(A204=$B$5:$B$61),0))</f>
        <v>#N/A</v>
      </c>
      <c r="F204" s="196" t="e" cm="1">
        <f t="array" ref="F204">INDEX($F$5:$F$61,MATCH(1,(D204=$C$5:$C$61)*(A204=$B$5:$B$61),0))</f>
        <v>#N/A</v>
      </c>
      <c r="G204" s="196" t="e" cm="1">
        <f t="array" ref="G204">INDEX($G$5:$G$61,MATCH(1,(D204=$C$5:$C$61)*(A204=$B$5:$B$61),0))</f>
        <v>#N/A</v>
      </c>
      <c r="H204" s="196" t="e" cm="1">
        <f t="array" ref="H204">INDEX($H$5:$H$61,MATCH(1,(D204=$C$5:$C$61)*(A204=$B$5:$B$61),0))</f>
        <v>#N/A</v>
      </c>
      <c r="I204" s="196" t="e" cm="1">
        <f t="array" ref="I204">INDEX($I$5:$I$61,MATCH(1,(D204=$C$5:$C$61)*(A204=$B$5:$B$61),0))</f>
        <v>#N/A</v>
      </c>
      <c r="J204" s="273"/>
      <c r="K204" s="273"/>
      <c r="L204" s="272"/>
      <c r="M204" s="273"/>
      <c r="N204" s="197"/>
      <c r="O204" s="200">
        <f t="shared" si="35"/>
        <v>0</v>
      </c>
      <c r="P204" s="274"/>
      <c r="Q204" s="274"/>
      <c r="R204" s="276"/>
      <c r="S204" s="274"/>
      <c r="T204" s="197">
        <f t="shared" si="36"/>
        <v>0</v>
      </c>
      <c r="U204" s="197">
        <f t="shared" si="37"/>
        <v>0</v>
      </c>
      <c r="V204" s="197">
        <f t="shared" si="38"/>
        <v>0</v>
      </c>
      <c r="W204" s="197">
        <f t="shared" si="39"/>
        <v>0</v>
      </c>
      <c r="Z204" s="197"/>
      <c r="AA204" s="228"/>
      <c r="AB204" s="228"/>
      <c r="AD204" s="228"/>
      <c r="AE204" s="228"/>
      <c r="AF204" s="228"/>
      <c r="AG204" s="228"/>
      <c r="AH204" s="228"/>
      <c r="AI204" s="228"/>
      <c r="AJ204" s="228"/>
      <c r="AK204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1:64" s="198" customFormat="1" x14ac:dyDescent="0.25">
      <c r="A205" s="290" t="str">
        <f t="shared" si="42"/>
        <v>Hudson View Park</v>
      </c>
      <c r="B205" s="195">
        <f t="shared" si="40"/>
        <v>107</v>
      </c>
      <c r="C205" s="196" t="str">
        <f t="shared" si="41"/>
        <v>Occ</v>
      </c>
      <c r="D205" s="196" t="e" cm="1">
        <f t="array" ref="D205">INDEX($C$5:$C$61,MATCH(1,(K205=$D$5:$D$61)*(A205=$B$5:$B$61),0))</f>
        <v>#N/A</v>
      </c>
      <c r="E205" s="196" t="e" cm="1">
        <f t="array" ref="E205">INDEX($E$5:$E$61,MATCH(1,(D205=$C$5:$C$61)*(A205=$B$5:$B$61),0))</f>
        <v>#N/A</v>
      </c>
      <c r="F205" s="196" t="e" cm="1">
        <f t="array" ref="F205">INDEX($F$5:$F$61,MATCH(1,(D205=$C$5:$C$61)*(A205=$B$5:$B$61),0))</f>
        <v>#N/A</v>
      </c>
      <c r="G205" s="196" t="e" cm="1">
        <f t="array" ref="G205">INDEX($G$5:$G$61,MATCH(1,(D205=$C$5:$C$61)*(A205=$B$5:$B$61),0))</f>
        <v>#N/A</v>
      </c>
      <c r="H205" s="196" t="e" cm="1">
        <f t="array" ref="H205">INDEX($H$5:$H$61,MATCH(1,(D205=$C$5:$C$61)*(A205=$B$5:$B$61),0))</f>
        <v>#N/A</v>
      </c>
      <c r="I205" s="196" t="e" cm="1">
        <f t="array" ref="I205">INDEX($I$5:$I$61,MATCH(1,(D205=$C$5:$C$61)*(A205=$B$5:$B$61),0))</f>
        <v>#N/A</v>
      </c>
      <c r="J205" s="273"/>
      <c r="K205" s="273"/>
      <c r="L205" s="272"/>
      <c r="M205" s="273"/>
      <c r="N205" s="197"/>
      <c r="O205" s="200">
        <f t="shared" si="35"/>
        <v>0</v>
      </c>
      <c r="P205" s="274"/>
      <c r="Q205" s="274"/>
      <c r="R205" s="276"/>
      <c r="S205" s="274"/>
      <c r="T205" s="197">
        <f t="shared" si="36"/>
        <v>0</v>
      </c>
      <c r="U205" s="197">
        <f t="shared" si="37"/>
        <v>0</v>
      </c>
      <c r="V205" s="197">
        <f t="shared" si="38"/>
        <v>0</v>
      </c>
      <c r="W205" s="197">
        <f t="shared" si="39"/>
        <v>0</v>
      </c>
      <c r="Z205" s="197"/>
      <c r="AA205" s="228"/>
      <c r="AB205" s="228"/>
      <c r="AD205" s="228"/>
      <c r="AE205" s="228"/>
      <c r="AF205" s="228"/>
      <c r="AG205" s="228"/>
      <c r="AH205" s="228"/>
      <c r="AI205" s="228"/>
      <c r="AJ205" s="228"/>
      <c r="AK205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s="198" customFormat="1" x14ac:dyDescent="0.25">
      <c r="A206" s="290" t="str">
        <f t="shared" si="42"/>
        <v>Hudson View Park</v>
      </c>
      <c r="B206" s="195">
        <f t="shared" si="40"/>
        <v>108</v>
      </c>
      <c r="C206" s="196" t="str">
        <f t="shared" si="41"/>
        <v>Occ</v>
      </c>
      <c r="D206" s="196" t="e" cm="1">
        <f t="array" ref="D206">INDEX($C$5:$C$61,MATCH(1,(K206=$D$5:$D$61)*(A206=$B$5:$B$61),0))</f>
        <v>#N/A</v>
      </c>
      <c r="E206" s="196" t="e" cm="1">
        <f t="array" ref="E206">INDEX($E$5:$E$61,MATCH(1,(D206=$C$5:$C$61)*(A206=$B$5:$B$61),0))</f>
        <v>#N/A</v>
      </c>
      <c r="F206" s="196" t="e" cm="1">
        <f t="array" ref="F206">INDEX($F$5:$F$61,MATCH(1,(D206=$C$5:$C$61)*(A206=$B$5:$B$61),0))</f>
        <v>#N/A</v>
      </c>
      <c r="G206" s="196" t="e" cm="1">
        <f t="array" ref="G206">INDEX($G$5:$G$61,MATCH(1,(D206=$C$5:$C$61)*(A206=$B$5:$B$61),0))</f>
        <v>#N/A</v>
      </c>
      <c r="H206" s="196" t="e" cm="1">
        <f t="array" ref="H206">INDEX($H$5:$H$61,MATCH(1,(D206=$C$5:$C$61)*(A206=$B$5:$B$61),0))</f>
        <v>#N/A</v>
      </c>
      <c r="I206" s="196" t="e" cm="1">
        <f t="array" ref="I206">INDEX($I$5:$I$61,MATCH(1,(D206=$C$5:$C$61)*(A206=$B$5:$B$61),0))</f>
        <v>#N/A</v>
      </c>
      <c r="J206" s="273"/>
      <c r="K206" s="273"/>
      <c r="L206" s="272"/>
      <c r="M206" s="273"/>
      <c r="N206" s="197"/>
      <c r="O206" s="200">
        <f t="shared" si="35"/>
        <v>0</v>
      </c>
      <c r="P206" s="274"/>
      <c r="Q206" s="274"/>
      <c r="R206" s="276"/>
      <c r="S206" s="274"/>
      <c r="T206" s="197">
        <f t="shared" si="36"/>
        <v>0</v>
      </c>
      <c r="U206" s="197">
        <f t="shared" si="37"/>
        <v>0</v>
      </c>
      <c r="V206" s="197">
        <f t="shared" si="38"/>
        <v>0</v>
      </c>
      <c r="W206" s="197">
        <f t="shared" si="39"/>
        <v>0</v>
      </c>
      <c r="Z206" s="197"/>
      <c r="AA206" s="228"/>
      <c r="AB206" s="228"/>
      <c r="AD206" s="228"/>
      <c r="AE206" s="228"/>
      <c r="AF206" s="228"/>
      <c r="AG206" s="228"/>
      <c r="AH206" s="228"/>
      <c r="AI206" s="228"/>
      <c r="AJ206" s="228"/>
      <c r="AK206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 s="198" customFormat="1" x14ac:dyDescent="0.25">
      <c r="A207" s="290" t="str">
        <f t="shared" si="42"/>
        <v>Hudson View Park</v>
      </c>
      <c r="B207" s="195">
        <f t="shared" si="40"/>
        <v>109</v>
      </c>
      <c r="C207" s="196" t="str">
        <f t="shared" si="41"/>
        <v>Occ</v>
      </c>
      <c r="D207" s="196" t="e" cm="1">
        <f t="array" ref="D207">INDEX($C$5:$C$61,MATCH(1,(K207=$D$5:$D$61)*(A207=$B$5:$B$61),0))</f>
        <v>#N/A</v>
      </c>
      <c r="E207" s="196" t="e" cm="1">
        <f t="array" ref="E207">INDEX($E$5:$E$61,MATCH(1,(D207=$C$5:$C$61)*(A207=$B$5:$B$61),0))</f>
        <v>#N/A</v>
      </c>
      <c r="F207" s="196" t="e" cm="1">
        <f t="array" ref="F207">INDEX($F$5:$F$61,MATCH(1,(D207=$C$5:$C$61)*(A207=$B$5:$B$61),0))</f>
        <v>#N/A</v>
      </c>
      <c r="G207" s="196" t="e" cm="1">
        <f t="array" ref="G207">INDEX($G$5:$G$61,MATCH(1,(D207=$C$5:$C$61)*(A207=$B$5:$B$61),0))</f>
        <v>#N/A</v>
      </c>
      <c r="H207" s="196" t="e" cm="1">
        <f t="array" ref="H207">INDEX($H$5:$H$61,MATCH(1,(D207=$C$5:$C$61)*(A207=$B$5:$B$61),0))</f>
        <v>#N/A</v>
      </c>
      <c r="I207" s="196" t="e" cm="1">
        <f t="array" ref="I207">INDEX($I$5:$I$61,MATCH(1,(D207=$C$5:$C$61)*(A207=$B$5:$B$61),0))</f>
        <v>#N/A</v>
      </c>
      <c r="J207" s="273"/>
      <c r="K207" s="273"/>
      <c r="L207" s="272"/>
      <c r="M207" s="273"/>
      <c r="N207" s="197"/>
      <c r="O207" s="200">
        <f t="shared" si="35"/>
        <v>0</v>
      </c>
      <c r="P207" s="274"/>
      <c r="Q207" s="274"/>
      <c r="R207" s="276"/>
      <c r="S207" s="274"/>
      <c r="T207" s="197">
        <f t="shared" si="36"/>
        <v>0</v>
      </c>
      <c r="U207" s="197">
        <f t="shared" si="37"/>
        <v>0</v>
      </c>
      <c r="V207" s="197">
        <f t="shared" si="38"/>
        <v>0</v>
      </c>
      <c r="W207" s="197">
        <f t="shared" si="39"/>
        <v>0</v>
      </c>
      <c r="Z207" s="197"/>
      <c r="AA207" s="228"/>
      <c r="AB207" s="228"/>
      <c r="AD207" s="228"/>
      <c r="AE207" s="228"/>
      <c r="AF207" s="228"/>
      <c r="AG207" s="228"/>
      <c r="AH207" s="228"/>
      <c r="AI207" s="228"/>
      <c r="AJ207" s="228"/>
      <c r="AK207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 s="198" customFormat="1" x14ac:dyDescent="0.25">
      <c r="A208" s="290" t="str">
        <f t="shared" si="42"/>
        <v>Hudson View Park</v>
      </c>
      <c r="B208" s="195">
        <f t="shared" si="40"/>
        <v>110</v>
      </c>
      <c r="C208" s="196" t="str">
        <f t="shared" si="41"/>
        <v>Occ</v>
      </c>
      <c r="D208" s="196" t="e" cm="1">
        <f t="array" ref="D208">INDEX($C$5:$C$61,MATCH(1,(K208=$D$5:$D$61)*(A208=$B$5:$B$61),0))</f>
        <v>#N/A</v>
      </c>
      <c r="E208" s="196" t="e" cm="1">
        <f t="array" ref="E208">INDEX($E$5:$E$61,MATCH(1,(D208=$C$5:$C$61)*(A208=$B$5:$B$61),0))</f>
        <v>#N/A</v>
      </c>
      <c r="F208" s="196" t="e" cm="1">
        <f t="array" ref="F208">INDEX($F$5:$F$61,MATCH(1,(D208=$C$5:$C$61)*(A208=$B$5:$B$61),0))</f>
        <v>#N/A</v>
      </c>
      <c r="G208" s="196" t="e" cm="1">
        <f t="array" ref="G208">INDEX($G$5:$G$61,MATCH(1,(D208=$C$5:$C$61)*(A208=$B$5:$B$61),0))</f>
        <v>#N/A</v>
      </c>
      <c r="H208" s="196" t="e" cm="1">
        <f t="array" ref="H208">INDEX($H$5:$H$61,MATCH(1,(D208=$C$5:$C$61)*(A208=$B$5:$B$61),0))</f>
        <v>#N/A</v>
      </c>
      <c r="I208" s="196" t="e" cm="1">
        <f t="array" ref="I208">INDEX($I$5:$I$61,MATCH(1,(D208=$C$5:$C$61)*(A208=$B$5:$B$61),0))</f>
        <v>#N/A</v>
      </c>
      <c r="J208" s="273"/>
      <c r="K208" s="273"/>
      <c r="L208" s="272"/>
      <c r="M208" s="273"/>
      <c r="N208" s="197"/>
      <c r="O208" s="200">
        <f t="shared" si="35"/>
        <v>0</v>
      </c>
      <c r="P208" s="274"/>
      <c r="Q208" s="274"/>
      <c r="R208" s="276"/>
      <c r="S208" s="274"/>
      <c r="T208" s="197">
        <f t="shared" si="36"/>
        <v>0</v>
      </c>
      <c r="U208" s="197">
        <f t="shared" si="37"/>
        <v>0</v>
      </c>
      <c r="V208" s="197">
        <f t="shared" si="38"/>
        <v>0</v>
      </c>
      <c r="W208" s="197">
        <f t="shared" si="39"/>
        <v>0</v>
      </c>
      <c r="Z208" s="197"/>
      <c r="AA208" s="228"/>
      <c r="AB208" s="228"/>
      <c r="AD208" s="228"/>
      <c r="AE208" s="228"/>
      <c r="AF208" s="228"/>
      <c r="AG208" s="228"/>
      <c r="AH208" s="228"/>
      <c r="AI208" s="228"/>
      <c r="AJ208" s="228"/>
      <c r="AK20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1:64" s="198" customFormat="1" x14ac:dyDescent="0.25">
      <c r="A209" s="290" t="str">
        <f t="shared" si="42"/>
        <v>Hudson View Park</v>
      </c>
      <c r="B209" s="195">
        <f t="shared" si="40"/>
        <v>111</v>
      </c>
      <c r="C209" s="196" t="str">
        <f t="shared" si="41"/>
        <v>Occ</v>
      </c>
      <c r="D209" s="196" t="e" cm="1">
        <f t="array" ref="D209">INDEX($C$5:$C$61,MATCH(1,(K209=$D$5:$D$61)*(A209=$B$5:$B$61),0))</f>
        <v>#N/A</v>
      </c>
      <c r="E209" s="196" t="e" cm="1">
        <f t="array" ref="E209">INDEX($E$5:$E$61,MATCH(1,(D209=$C$5:$C$61)*(A209=$B$5:$B$61),0))</f>
        <v>#N/A</v>
      </c>
      <c r="F209" s="196" t="e" cm="1">
        <f t="array" ref="F209">INDEX($F$5:$F$61,MATCH(1,(D209=$C$5:$C$61)*(A209=$B$5:$B$61),0))</f>
        <v>#N/A</v>
      </c>
      <c r="G209" s="196" t="e" cm="1">
        <f t="array" ref="G209">INDEX($G$5:$G$61,MATCH(1,(D209=$C$5:$C$61)*(A209=$B$5:$B$61),0))</f>
        <v>#N/A</v>
      </c>
      <c r="H209" s="196" t="e" cm="1">
        <f t="array" ref="H209">INDEX($H$5:$H$61,MATCH(1,(D209=$C$5:$C$61)*(A209=$B$5:$B$61),0))</f>
        <v>#N/A</v>
      </c>
      <c r="I209" s="196" t="e" cm="1">
        <f t="array" ref="I209">INDEX($I$5:$I$61,MATCH(1,(D209=$C$5:$C$61)*(A209=$B$5:$B$61),0))</f>
        <v>#N/A</v>
      </c>
      <c r="J209" s="273"/>
      <c r="K209" s="273"/>
      <c r="L209" s="272"/>
      <c r="M209" s="273"/>
      <c r="N209" s="197"/>
      <c r="O209" s="200">
        <f t="shared" si="35"/>
        <v>0</v>
      </c>
      <c r="P209" s="274"/>
      <c r="Q209" s="274"/>
      <c r="R209" s="276"/>
      <c r="S209" s="274"/>
      <c r="T209" s="197">
        <f t="shared" si="36"/>
        <v>0</v>
      </c>
      <c r="U209" s="197">
        <f t="shared" si="37"/>
        <v>0</v>
      </c>
      <c r="V209" s="197">
        <f t="shared" si="38"/>
        <v>0</v>
      </c>
      <c r="W209" s="197">
        <f t="shared" si="39"/>
        <v>0</v>
      </c>
      <c r="Z209" s="197"/>
      <c r="AA209" s="228"/>
      <c r="AB209" s="228"/>
      <c r="AD209" s="228"/>
      <c r="AE209" s="228"/>
      <c r="AF209" s="228"/>
      <c r="AG209" s="228"/>
      <c r="AH209" s="228"/>
      <c r="AI209" s="228"/>
      <c r="AJ209" s="228"/>
      <c r="AK209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1:64" s="198" customFormat="1" x14ac:dyDescent="0.25">
      <c r="A210" s="290" t="str">
        <f t="shared" si="42"/>
        <v>Hudson View Park</v>
      </c>
      <c r="B210" s="195">
        <f t="shared" si="40"/>
        <v>112</v>
      </c>
      <c r="C210" s="196" t="str">
        <f t="shared" si="41"/>
        <v>Occ</v>
      </c>
      <c r="D210" s="196" t="e" cm="1">
        <f t="array" ref="D210">INDEX($C$5:$C$61,MATCH(1,(K210=$D$5:$D$61)*(A210=$B$5:$B$61),0))</f>
        <v>#N/A</v>
      </c>
      <c r="E210" s="196" t="e" cm="1">
        <f t="array" ref="E210">INDEX($E$5:$E$61,MATCH(1,(D210=$C$5:$C$61)*(A210=$B$5:$B$61),0))</f>
        <v>#N/A</v>
      </c>
      <c r="F210" s="196" t="e" cm="1">
        <f t="array" ref="F210">INDEX($F$5:$F$61,MATCH(1,(D210=$C$5:$C$61)*(A210=$B$5:$B$61),0))</f>
        <v>#N/A</v>
      </c>
      <c r="G210" s="196" t="e" cm="1">
        <f t="array" ref="G210">INDEX($G$5:$G$61,MATCH(1,(D210=$C$5:$C$61)*(A210=$B$5:$B$61),0))</f>
        <v>#N/A</v>
      </c>
      <c r="H210" s="196" t="e" cm="1">
        <f t="array" ref="H210">INDEX($H$5:$H$61,MATCH(1,(D210=$C$5:$C$61)*(A210=$B$5:$B$61),0))</f>
        <v>#N/A</v>
      </c>
      <c r="I210" s="196" t="e" cm="1">
        <f t="array" ref="I210">INDEX($I$5:$I$61,MATCH(1,(D210=$C$5:$C$61)*(A210=$B$5:$B$61),0))</f>
        <v>#N/A</v>
      </c>
      <c r="J210" s="273"/>
      <c r="K210" s="273"/>
      <c r="L210" s="272"/>
      <c r="M210" s="273"/>
      <c r="N210" s="197"/>
      <c r="O210" s="200">
        <f t="shared" si="35"/>
        <v>0</v>
      </c>
      <c r="P210" s="274"/>
      <c r="Q210" s="274"/>
      <c r="R210" s="276"/>
      <c r="S210" s="274"/>
      <c r="T210" s="197">
        <f t="shared" si="36"/>
        <v>0</v>
      </c>
      <c r="U210" s="197">
        <f t="shared" si="37"/>
        <v>0</v>
      </c>
      <c r="V210" s="197">
        <f t="shared" si="38"/>
        <v>0</v>
      </c>
      <c r="W210" s="197">
        <f t="shared" si="39"/>
        <v>0</v>
      </c>
      <c r="Z210" s="197"/>
      <c r="AA210" s="228"/>
      <c r="AB210" s="228"/>
      <c r="AD210" s="228"/>
      <c r="AE210" s="228"/>
      <c r="AF210" s="228"/>
      <c r="AG210" s="228"/>
      <c r="AH210" s="228"/>
      <c r="AI210" s="228"/>
      <c r="AJ210" s="228"/>
      <c r="AK210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1:64" s="198" customFormat="1" x14ac:dyDescent="0.25">
      <c r="A211" s="290" t="str">
        <f t="shared" si="42"/>
        <v>Hudson View Park</v>
      </c>
      <c r="B211" s="195">
        <f t="shared" si="40"/>
        <v>113</v>
      </c>
      <c r="C211" s="196" t="str">
        <f t="shared" si="41"/>
        <v>Occ</v>
      </c>
      <c r="D211" s="196" t="e" cm="1">
        <f t="array" ref="D211">INDEX($C$5:$C$61,MATCH(1,(K211=$D$5:$D$61)*(A211=$B$5:$B$61),0))</f>
        <v>#N/A</v>
      </c>
      <c r="E211" s="196" t="e" cm="1">
        <f t="array" ref="E211">INDEX($E$5:$E$61,MATCH(1,(D211=$C$5:$C$61)*(A211=$B$5:$B$61),0))</f>
        <v>#N/A</v>
      </c>
      <c r="F211" s="196" t="e" cm="1">
        <f t="array" ref="F211">INDEX($F$5:$F$61,MATCH(1,(D211=$C$5:$C$61)*(A211=$B$5:$B$61),0))</f>
        <v>#N/A</v>
      </c>
      <c r="G211" s="196" t="e" cm="1">
        <f t="array" ref="G211">INDEX($G$5:$G$61,MATCH(1,(D211=$C$5:$C$61)*(A211=$B$5:$B$61),0))</f>
        <v>#N/A</v>
      </c>
      <c r="H211" s="196" t="e" cm="1">
        <f t="array" ref="H211">INDEX($H$5:$H$61,MATCH(1,(D211=$C$5:$C$61)*(A211=$B$5:$B$61),0))</f>
        <v>#N/A</v>
      </c>
      <c r="I211" s="196" t="e" cm="1">
        <f t="array" ref="I211">INDEX($I$5:$I$61,MATCH(1,(D211=$C$5:$C$61)*(A211=$B$5:$B$61),0))</f>
        <v>#N/A</v>
      </c>
      <c r="J211" s="273"/>
      <c r="K211" s="273"/>
      <c r="L211" s="272"/>
      <c r="M211" s="273"/>
      <c r="N211" s="197"/>
      <c r="O211" s="200">
        <f t="shared" si="35"/>
        <v>0</v>
      </c>
      <c r="P211" s="274"/>
      <c r="Q211" s="274"/>
      <c r="R211" s="276"/>
      <c r="S211" s="274"/>
      <c r="T211" s="197">
        <f t="shared" si="36"/>
        <v>0</v>
      </c>
      <c r="U211" s="197">
        <f t="shared" si="37"/>
        <v>0</v>
      </c>
      <c r="V211" s="197">
        <f t="shared" si="38"/>
        <v>0</v>
      </c>
      <c r="W211" s="197">
        <f t="shared" si="39"/>
        <v>0</v>
      </c>
      <c r="Z211" s="197"/>
      <c r="AA211" s="228"/>
      <c r="AB211" s="228"/>
      <c r="AD211" s="228"/>
      <c r="AE211" s="228"/>
      <c r="AF211" s="228"/>
      <c r="AG211" s="228"/>
      <c r="AH211" s="228"/>
      <c r="AI211" s="228"/>
      <c r="AJ211" s="228"/>
      <c r="AK211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s="198" customFormat="1" x14ac:dyDescent="0.25">
      <c r="A212" s="290" t="str">
        <f t="shared" si="42"/>
        <v>Hudson View Park</v>
      </c>
      <c r="B212" s="195">
        <f t="shared" si="40"/>
        <v>114</v>
      </c>
      <c r="C212" s="196" t="str">
        <f t="shared" si="41"/>
        <v>Occ</v>
      </c>
      <c r="D212" s="196" t="e" cm="1">
        <f t="array" ref="D212">INDEX($C$5:$C$61,MATCH(1,(K212=$D$5:$D$61)*(A212=$B$5:$B$61),0))</f>
        <v>#N/A</v>
      </c>
      <c r="E212" s="196" t="e" cm="1">
        <f t="array" ref="E212">INDEX($E$5:$E$61,MATCH(1,(D212=$C$5:$C$61)*(A212=$B$5:$B$61),0))</f>
        <v>#N/A</v>
      </c>
      <c r="F212" s="196" t="e" cm="1">
        <f t="array" ref="F212">INDEX($F$5:$F$61,MATCH(1,(D212=$C$5:$C$61)*(A212=$B$5:$B$61),0))</f>
        <v>#N/A</v>
      </c>
      <c r="G212" s="196" t="e" cm="1">
        <f t="array" ref="G212">INDEX($G$5:$G$61,MATCH(1,(D212=$C$5:$C$61)*(A212=$B$5:$B$61),0))</f>
        <v>#N/A</v>
      </c>
      <c r="H212" s="196" t="e" cm="1">
        <f t="array" ref="H212">INDEX($H$5:$H$61,MATCH(1,(D212=$C$5:$C$61)*(A212=$B$5:$B$61),0))</f>
        <v>#N/A</v>
      </c>
      <c r="I212" s="196" t="e" cm="1">
        <f t="array" ref="I212">INDEX($I$5:$I$61,MATCH(1,(D212=$C$5:$C$61)*(A212=$B$5:$B$61),0))</f>
        <v>#N/A</v>
      </c>
      <c r="J212" s="273"/>
      <c r="K212" s="273"/>
      <c r="L212" s="272"/>
      <c r="M212" s="273"/>
      <c r="N212" s="197"/>
      <c r="O212" s="200">
        <f t="shared" si="35"/>
        <v>0</v>
      </c>
      <c r="P212" s="274"/>
      <c r="Q212" s="274"/>
      <c r="R212" s="276"/>
      <c r="S212" s="274"/>
      <c r="T212" s="197">
        <f t="shared" si="36"/>
        <v>0</v>
      </c>
      <c r="U212" s="197">
        <f t="shared" si="37"/>
        <v>0</v>
      </c>
      <c r="V212" s="197">
        <f t="shared" si="38"/>
        <v>0</v>
      </c>
      <c r="W212" s="197">
        <f t="shared" si="39"/>
        <v>0</v>
      </c>
      <c r="Z212" s="197"/>
      <c r="AA212" s="228"/>
      <c r="AB212" s="228"/>
      <c r="AD212" s="228"/>
      <c r="AE212" s="228"/>
      <c r="AF212" s="228"/>
      <c r="AG212" s="228"/>
      <c r="AH212" s="228"/>
      <c r="AI212" s="228"/>
      <c r="AJ212" s="228"/>
      <c r="AK212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1:64" s="198" customFormat="1" x14ac:dyDescent="0.25">
      <c r="A213" s="290" t="str">
        <f t="shared" si="42"/>
        <v>Hudson View Park</v>
      </c>
      <c r="B213" s="195">
        <f t="shared" si="40"/>
        <v>115</v>
      </c>
      <c r="C213" s="196" t="str">
        <f t="shared" si="41"/>
        <v>Occ</v>
      </c>
      <c r="D213" s="196" t="e" cm="1">
        <f t="array" ref="D213">INDEX($C$5:$C$61,MATCH(1,(K213=$D$5:$D$61)*(A213=$B$5:$B$61),0))</f>
        <v>#N/A</v>
      </c>
      <c r="E213" s="196" t="e" cm="1">
        <f t="array" ref="E213">INDEX($E$5:$E$61,MATCH(1,(D213=$C$5:$C$61)*(A213=$B$5:$B$61),0))</f>
        <v>#N/A</v>
      </c>
      <c r="F213" s="196" t="e" cm="1">
        <f t="array" ref="F213">INDEX($F$5:$F$61,MATCH(1,(D213=$C$5:$C$61)*(A213=$B$5:$B$61),0))</f>
        <v>#N/A</v>
      </c>
      <c r="G213" s="196" t="e" cm="1">
        <f t="array" ref="G213">INDEX($G$5:$G$61,MATCH(1,(D213=$C$5:$C$61)*(A213=$B$5:$B$61),0))</f>
        <v>#N/A</v>
      </c>
      <c r="H213" s="196" t="e" cm="1">
        <f t="array" ref="H213">INDEX($H$5:$H$61,MATCH(1,(D213=$C$5:$C$61)*(A213=$B$5:$B$61),0))</f>
        <v>#N/A</v>
      </c>
      <c r="I213" s="196" t="e" cm="1">
        <f t="array" ref="I213">INDEX($I$5:$I$61,MATCH(1,(D213=$C$5:$C$61)*(A213=$B$5:$B$61),0))</f>
        <v>#N/A</v>
      </c>
      <c r="J213" s="273"/>
      <c r="K213" s="273"/>
      <c r="L213" s="272"/>
      <c r="M213" s="273"/>
      <c r="N213" s="197"/>
      <c r="O213" s="200">
        <f t="shared" si="35"/>
        <v>0</v>
      </c>
      <c r="P213" s="274"/>
      <c r="Q213" s="274"/>
      <c r="R213" s="276"/>
      <c r="S213" s="274"/>
      <c r="T213" s="197">
        <f t="shared" si="36"/>
        <v>0</v>
      </c>
      <c r="U213" s="197">
        <f t="shared" si="37"/>
        <v>0</v>
      </c>
      <c r="V213" s="197">
        <f t="shared" si="38"/>
        <v>0</v>
      </c>
      <c r="W213" s="197">
        <f t="shared" si="39"/>
        <v>0</v>
      </c>
      <c r="Z213" s="197"/>
      <c r="AA213" s="228"/>
      <c r="AB213" s="228"/>
      <c r="AD213" s="228"/>
      <c r="AE213" s="228"/>
      <c r="AF213" s="228"/>
      <c r="AG213" s="228"/>
      <c r="AH213" s="228"/>
      <c r="AI213" s="228"/>
      <c r="AJ213" s="228"/>
      <c r="AK213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 s="198" customFormat="1" x14ac:dyDescent="0.25">
      <c r="A214" s="290" t="str">
        <f t="shared" si="42"/>
        <v>Hudson View Park</v>
      </c>
      <c r="B214" s="195">
        <f t="shared" si="40"/>
        <v>116</v>
      </c>
      <c r="C214" s="196" t="str">
        <f t="shared" si="41"/>
        <v>Occ</v>
      </c>
      <c r="D214" s="196" t="e" cm="1">
        <f t="array" ref="D214">INDEX($C$5:$C$61,MATCH(1,(K214=$D$5:$D$61)*(A214=$B$5:$B$61),0))</f>
        <v>#N/A</v>
      </c>
      <c r="E214" s="196" t="e" cm="1">
        <f t="array" ref="E214">INDEX($E$5:$E$61,MATCH(1,(D214=$C$5:$C$61)*(A214=$B$5:$B$61),0))</f>
        <v>#N/A</v>
      </c>
      <c r="F214" s="196" t="e" cm="1">
        <f t="array" ref="F214">INDEX($F$5:$F$61,MATCH(1,(D214=$C$5:$C$61)*(A214=$B$5:$B$61),0))</f>
        <v>#N/A</v>
      </c>
      <c r="G214" s="196" t="e" cm="1">
        <f t="array" ref="G214">INDEX($G$5:$G$61,MATCH(1,(D214=$C$5:$C$61)*(A214=$B$5:$B$61),0))</f>
        <v>#N/A</v>
      </c>
      <c r="H214" s="196" t="e" cm="1">
        <f t="array" ref="H214">INDEX($H$5:$H$61,MATCH(1,(D214=$C$5:$C$61)*(A214=$B$5:$B$61),0))</f>
        <v>#N/A</v>
      </c>
      <c r="I214" s="196" t="e" cm="1">
        <f t="array" ref="I214">INDEX($I$5:$I$61,MATCH(1,(D214=$C$5:$C$61)*(A214=$B$5:$B$61),0))</f>
        <v>#N/A</v>
      </c>
      <c r="J214" s="273"/>
      <c r="K214" s="273"/>
      <c r="L214" s="272"/>
      <c r="M214" s="273"/>
      <c r="N214" s="197"/>
      <c r="O214" s="200">
        <f t="shared" si="35"/>
        <v>0</v>
      </c>
      <c r="P214" s="274"/>
      <c r="Q214" s="274"/>
      <c r="R214" s="276"/>
      <c r="S214" s="274"/>
      <c r="T214" s="197">
        <f t="shared" si="36"/>
        <v>0</v>
      </c>
      <c r="U214" s="197">
        <f t="shared" si="37"/>
        <v>0</v>
      </c>
      <c r="V214" s="197">
        <f t="shared" si="38"/>
        <v>0</v>
      </c>
      <c r="W214" s="197">
        <f t="shared" si="39"/>
        <v>0</v>
      </c>
      <c r="Z214" s="197"/>
      <c r="AA214" s="228"/>
      <c r="AB214" s="228"/>
      <c r="AD214" s="228"/>
      <c r="AE214" s="228"/>
      <c r="AF214" s="228"/>
      <c r="AG214" s="228"/>
      <c r="AH214" s="228"/>
      <c r="AI214" s="228"/>
      <c r="AJ214" s="228"/>
      <c r="AK214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s="198" customFormat="1" x14ac:dyDescent="0.25">
      <c r="A215" s="290" t="str">
        <f t="shared" si="42"/>
        <v>Hudson View Park</v>
      </c>
      <c r="B215" s="195">
        <f t="shared" si="40"/>
        <v>117</v>
      </c>
      <c r="C215" s="196" t="str">
        <f t="shared" si="41"/>
        <v>Occ</v>
      </c>
      <c r="D215" s="196" t="e" cm="1">
        <f t="array" ref="D215">INDEX($C$5:$C$61,MATCH(1,(K215=$D$5:$D$61)*(A215=$B$5:$B$61),0))</f>
        <v>#N/A</v>
      </c>
      <c r="E215" s="196" t="e" cm="1">
        <f t="array" ref="E215">INDEX($E$5:$E$61,MATCH(1,(D215=$C$5:$C$61)*(A215=$B$5:$B$61),0))</f>
        <v>#N/A</v>
      </c>
      <c r="F215" s="196" t="e" cm="1">
        <f t="array" ref="F215">INDEX($F$5:$F$61,MATCH(1,(D215=$C$5:$C$61)*(A215=$B$5:$B$61),0))</f>
        <v>#N/A</v>
      </c>
      <c r="G215" s="196" t="e" cm="1">
        <f t="array" ref="G215">INDEX($G$5:$G$61,MATCH(1,(D215=$C$5:$C$61)*(A215=$B$5:$B$61),0))</f>
        <v>#N/A</v>
      </c>
      <c r="H215" s="196" t="e" cm="1">
        <f t="array" ref="H215">INDEX($H$5:$H$61,MATCH(1,(D215=$C$5:$C$61)*(A215=$B$5:$B$61),0))</f>
        <v>#N/A</v>
      </c>
      <c r="I215" s="196" t="e" cm="1">
        <f t="array" ref="I215">INDEX($I$5:$I$61,MATCH(1,(D215=$C$5:$C$61)*(A215=$B$5:$B$61),0))</f>
        <v>#N/A</v>
      </c>
      <c r="J215" s="273"/>
      <c r="K215" s="273"/>
      <c r="L215" s="272"/>
      <c r="M215" s="273"/>
      <c r="N215" s="197"/>
      <c r="O215" s="200">
        <f t="shared" si="35"/>
        <v>0</v>
      </c>
      <c r="P215" s="274"/>
      <c r="Q215" s="274"/>
      <c r="R215" s="276"/>
      <c r="S215" s="274"/>
      <c r="T215" s="197">
        <f t="shared" si="36"/>
        <v>0</v>
      </c>
      <c r="U215" s="197">
        <f t="shared" si="37"/>
        <v>0</v>
      </c>
      <c r="V215" s="197">
        <f t="shared" si="38"/>
        <v>0</v>
      </c>
      <c r="W215" s="197">
        <f t="shared" si="39"/>
        <v>0</v>
      </c>
      <c r="Z215" s="197"/>
      <c r="AA215" s="228"/>
      <c r="AB215" s="228"/>
      <c r="AD215" s="228"/>
      <c r="AE215" s="228"/>
      <c r="AF215" s="228"/>
      <c r="AG215" s="228"/>
      <c r="AH215" s="228"/>
      <c r="AI215" s="228"/>
      <c r="AJ215" s="228"/>
      <c r="AK215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s="198" customFormat="1" x14ac:dyDescent="0.25">
      <c r="A216" s="290" t="str">
        <f t="shared" si="42"/>
        <v>Hudson View Park</v>
      </c>
      <c r="B216" s="195">
        <f t="shared" si="40"/>
        <v>118</v>
      </c>
      <c r="C216" s="196" t="str">
        <f t="shared" si="41"/>
        <v>Occ</v>
      </c>
      <c r="D216" s="196" t="e" cm="1">
        <f t="array" ref="D216">INDEX($C$5:$C$61,MATCH(1,(K216=$D$5:$D$61)*(A216=$B$5:$B$61),0))</f>
        <v>#N/A</v>
      </c>
      <c r="E216" s="196" t="e" cm="1">
        <f t="array" ref="E216">INDEX($E$5:$E$61,MATCH(1,(D216=$C$5:$C$61)*(A216=$B$5:$B$61),0))</f>
        <v>#N/A</v>
      </c>
      <c r="F216" s="196" t="e" cm="1">
        <f t="array" ref="F216">INDEX($F$5:$F$61,MATCH(1,(D216=$C$5:$C$61)*(A216=$B$5:$B$61),0))</f>
        <v>#N/A</v>
      </c>
      <c r="G216" s="196" t="e" cm="1">
        <f t="array" ref="G216">INDEX($G$5:$G$61,MATCH(1,(D216=$C$5:$C$61)*(A216=$B$5:$B$61),0))</f>
        <v>#N/A</v>
      </c>
      <c r="H216" s="196" t="e" cm="1">
        <f t="array" ref="H216">INDEX($H$5:$H$61,MATCH(1,(D216=$C$5:$C$61)*(A216=$B$5:$B$61),0))</f>
        <v>#N/A</v>
      </c>
      <c r="I216" s="196" t="e" cm="1">
        <f t="array" ref="I216">INDEX($I$5:$I$61,MATCH(1,(D216=$C$5:$C$61)*(A216=$B$5:$B$61),0))</f>
        <v>#N/A</v>
      </c>
      <c r="J216" s="273"/>
      <c r="K216" s="273"/>
      <c r="L216" s="272"/>
      <c r="M216" s="273"/>
      <c r="N216" s="197"/>
      <c r="O216" s="200">
        <f t="shared" si="35"/>
        <v>0</v>
      </c>
      <c r="P216" s="274"/>
      <c r="Q216" s="274"/>
      <c r="R216" s="276"/>
      <c r="S216" s="274"/>
      <c r="T216" s="197">
        <f t="shared" si="36"/>
        <v>0</v>
      </c>
      <c r="U216" s="197">
        <f t="shared" si="37"/>
        <v>0</v>
      </c>
      <c r="V216" s="197">
        <f t="shared" si="38"/>
        <v>0</v>
      </c>
      <c r="W216" s="197">
        <f t="shared" si="39"/>
        <v>0</v>
      </c>
      <c r="Z216" s="197"/>
      <c r="AA216" s="228"/>
      <c r="AB216" s="228"/>
      <c r="AD216" s="228"/>
      <c r="AE216" s="228"/>
      <c r="AF216" s="228"/>
      <c r="AG216" s="228"/>
      <c r="AH216" s="228"/>
      <c r="AI216" s="228"/>
      <c r="AJ216" s="228"/>
      <c r="AK216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s="198" customFormat="1" x14ac:dyDescent="0.25">
      <c r="A217" s="290" t="str">
        <f t="shared" si="42"/>
        <v>Hudson View Park</v>
      </c>
      <c r="B217" s="195">
        <f t="shared" si="40"/>
        <v>119</v>
      </c>
      <c r="C217" s="196" t="str">
        <f t="shared" si="41"/>
        <v>Occ</v>
      </c>
      <c r="D217" s="196" t="e" cm="1">
        <f t="array" ref="D217">INDEX($C$5:$C$61,MATCH(1,(K217=$D$5:$D$61)*(A217=$B$5:$B$61),0))</f>
        <v>#N/A</v>
      </c>
      <c r="E217" s="196" t="e" cm="1">
        <f t="array" ref="E217">INDEX($E$5:$E$61,MATCH(1,(D217=$C$5:$C$61)*(A217=$B$5:$B$61),0))</f>
        <v>#N/A</v>
      </c>
      <c r="F217" s="196" t="e" cm="1">
        <f t="array" ref="F217">INDEX($F$5:$F$61,MATCH(1,(D217=$C$5:$C$61)*(A217=$B$5:$B$61),0))</f>
        <v>#N/A</v>
      </c>
      <c r="G217" s="196" t="e" cm="1">
        <f t="array" ref="G217">INDEX($G$5:$G$61,MATCH(1,(D217=$C$5:$C$61)*(A217=$B$5:$B$61),0))</f>
        <v>#N/A</v>
      </c>
      <c r="H217" s="196" t="e" cm="1">
        <f t="array" ref="H217">INDEX($H$5:$H$61,MATCH(1,(D217=$C$5:$C$61)*(A217=$B$5:$B$61),0))</f>
        <v>#N/A</v>
      </c>
      <c r="I217" s="196" t="e" cm="1">
        <f t="array" ref="I217">INDEX($I$5:$I$61,MATCH(1,(D217=$C$5:$C$61)*(A217=$B$5:$B$61),0))</f>
        <v>#N/A</v>
      </c>
      <c r="J217" s="273"/>
      <c r="K217" s="273"/>
      <c r="L217" s="272"/>
      <c r="M217" s="273"/>
      <c r="N217" s="197"/>
      <c r="O217" s="200">
        <f t="shared" si="35"/>
        <v>0</v>
      </c>
      <c r="P217" s="274"/>
      <c r="Q217" s="274"/>
      <c r="R217" s="276"/>
      <c r="S217" s="274"/>
      <c r="T217" s="197">
        <f t="shared" si="36"/>
        <v>0</v>
      </c>
      <c r="U217" s="197">
        <f t="shared" si="37"/>
        <v>0</v>
      </c>
      <c r="V217" s="197">
        <f t="shared" si="38"/>
        <v>0</v>
      </c>
      <c r="W217" s="197">
        <f t="shared" si="39"/>
        <v>0</v>
      </c>
      <c r="Z217" s="197"/>
      <c r="AA217" s="228"/>
      <c r="AB217" s="228"/>
      <c r="AD217" s="228"/>
      <c r="AE217" s="228"/>
      <c r="AF217" s="228"/>
      <c r="AG217" s="228"/>
      <c r="AH217" s="228"/>
      <c r="AI217" s="228"/>
      <c r="AJ217" s="228"/>
      <c r="AK217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s="198" customFormat="1" x14ac:dyDescent="0.25">
      <c r="A218" s="290" t="str">
        <f t="shared" si="42"/>
        <v>Hudson View Park</v>
      </c>
      <c r="B218" s="195">
        <f t="shared" si="40"/>
        <v>120</v>
      </c>
      <c r="C218" s="196" t="str">
        <f t="shared" si="41"/>
        <v>Occ</v>
      </c>
      <c r="D218" s="196" t="e" cm="1">
        <f t="array" ref="D218">INDEX($C$5:$C$61,MATCH(1,(K218=$D$5:$D$61)*(A218=$B$5:$B$61),0))</f>
        <v>#N/A</v>
      </c>
      <c r="E218" s="196" t="e" cm="1">
        <f t="array" ref="E218">INDEX($E$5:$E$61,MATCH(1,(D218=$C$5:$C$61)*(A218=$B$5:$B$61),0))</f>
        <v>#N/A</v>
      </c>
      <c r="F218" s="196" t="e" cm="1">
        <f t="array" ref="F218">INDEX($F$5:$F$61,MATCH(1,(D218=$C$5:$C$61)*(A218=$B$5:$B$61),0))</f>
        <v>#N/A</v>
      </c>
      <c r="G218" s="196" t="e" cm="1">
        <f t="array" ref="G218">INDEX($G$5:$G$61,MATCH(1,(D218=$C$5:$C$61)*(A218=$B$5:$B$61),0))</f>
        <v>#N/A</v>
      </c>
      <c r="H218" s="196" t="e" cm="1">
        <f t="array" ref="H218">INDEX($H$5:$H$61,MATCH(1,(D218=$C$5:$C$61)*(A218=$B$5:$B$61),0))</f>
        <v>#N/A</v>
      </c>
      <c r="I218" s="196" t="e" cm="1">
        <f t="array" ref="I218">INDEX($I$5:$I$61,MATCH(1,(D218=$C$5:$C$61)*(A218=$B$5:$B$61),0))</f>
        <v>#N/A</v>
      </c>
      <c r="J218" s="273"/>
      <c r="K218" s="273"/>
      <c r="L218" s="272"/>
      <c r="M218" s="273"/>
      <c r="N218" s="197"/>
      <c r="O218" s="200">
        <f t="shared" si="35"/>
        <v>0</v>
      </c>
      <c r="P218" s="274"/>
      <c r="Q218" s="274"/>
      <c r="R218" s="276"/>
      <c r="S218" s="274"/>
      <c r="T218" s="197">
        <f t="shared" si="36"/>
        <v>0</v>
      </c>
      <c r="U218" s="197">
        <f t="shared" si="37"/>
        <v>0</v>
      </c>
      <c r="V218" s="197">
        <f t="shared" si="38"/>
        <v>0</v>
      </c>
      <c r="W218" s="197">
        <f t="shared" si="39"/>
        <v>0</v>
      </c>
      <c r="Z218" s="197"/>
      <c r="AA218" s="228"/>
      <c r="AB218" s="228"/>
      <c r="AD218" s="228"/>
      <c r="AE218" s="228"/>
      <c r="AF218" s="228"/>
      <c r="AG218" s="228"/>
      <c r="AH218" s="228"/>
      <c r="AI218" s="228"/>
      <c r="AJ218" s="228"/>
      <c r="AK21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s="198" customFormat="1" x14ac:dyDescent="0.25">
      <c r="A219" s="290" t="str">
        <f t="shared" si="42"/>
        <v>Hudson View Park</v>
      </c>
      <c r="B219" s="195">
        <f t="shared" si="40"/>
        <v>121</v>
      </c>
      <c r="C219" s="196" t="str">
        <f t="shared" si="41"/>
        <v>Occ</v>
      </c>
      <c r="D219" s="196" t="e" cm="1">
        <f t="array" ref="D219">INDEX($C$5:$C$61,MATCH(1,(K219=$D$5:$D$61)*(A219=$B$5:$B$61),0))</f>
        <v>#N/A</v>
      </c>
      <c r="E219" s="196" t="e" cm="1">
        <f t="array" ref="E219">INDEX($E$5:$E$61,MATCH(1,(D219=$C$5:$C$61)*(A219=$B$5:$B$61),0))</f>
        <v>#N/A</v>
      </c>
      <c r="F219" s="196" t="e" cm="1">
        <f t="array" ref="F219">INDEX($F$5:$F$61,MATCH(1,(D219=$C$5:$C$61)*(A219=$B$5:$B$61),0))</f>
        <v>#N/A</v>
      </c>
      <c r="G219" s="196" t="e" cm="1">
        <f t="array" ref="G219">INDEX($G$5:$G$61,MATCH(1,(D219=$C$5:$C$61)*(A219=$B$5:$B$61),0))</f>
        <v>#N/A</v>
      </c>
      <c r="H219" s="196" t="e" cm="1">
        <f t="array" ref="H219">INDEX($H$5:$H$61,MATCH(1,(D219=$C$5:$C$61)*(A219=$B$5:$B$61),0))</f>
        <v>#N/A</v>
      </c>
      <c r="I219" s="196" t="e" cm="1">
        <f t="array" ref="I219">INDEX($I$5:$I$61,MATCH(1,(D219=$C$5:$C$61)*(A219=$B$5:$B$61),0))</f>
        <v>#N/A</v>
      </c>
      <c r="J219" s="273"/>
      <c r="K219" s="273"/>
      <c r="L219" s="272"/>
      <c r="M219" s="273"/>
      <c r="N219" s="197"/>
      <c r="O219" s="200">
        <f t="shared" si="35"/>
        <v>0</v>
      </c>
      <c r="P219" s="274"/>
      <c r="Q219" s="274"/>
      <c r="R219" s="276"/>
      <c r="S219" s="274"/>
      <c r="T219" s="197">
        <f t="shared" si="36"/>
        <v>0</v>
      </c>
      <c r="U219" s="197">
        <f t="shared" si="37"/>
        <v>0</v>
      </c>
      <c r="V219" s="197">
        <f t="shared" si="38"/>
        <v>0</v>
      </c>
      <c r="W219" s="197">
        <f t="shared" si="39"/>
        <v>0</v>
      </c>
      <c r="Z219" s="197"/>
      <c r="AA219" s="228"/>
      <c r="AB219" s="228"/>
      <c r="AD219" s="228"/>
      <c r="AE219" s="228"/>
      <c r="AF219" s="228"/>
      <c r="AG219" s="228"/>
      <c r="AH219" s="228"/>
      <c r="AI219" s="228"/>
      <c r="AJ219" s="228"/>
      <c r="AK219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s="198" customFormat="1" x14ac:dyDescent="0.25">
      <c r="A220" s="290" t="str">
        <f t="shared" si="42"/>
        <v>Hudson View Park</v>
      </c>
      <c r="B220" s="195">
        <f t="shared" si="40"/>
        <v>122</v>
      </c>
      <c r="C220" s="196" t="str">
        <f t="shared" si="41"/>
        <v>Occ</v>
      </c>
      <c r="D220" s="196" t="e" cm="1">
        <f t="array" ref="D220">INDEX($C$5:$C$61,MATCH(1,(K220=$D$5:$D$61)*(A220=$B$5:$B$61),0))</f>
        <v>#N/A</v>
      </c>
      <c r="E220" s="196" t="e" cm="1">
        <f t="array" ref="E220">INDEX($E$5:$E$61,MATCH(1,(D220=$C$5:$C$61)*(A220=$B$5:$B$61),0))</f>
        <v>#N/A</v>
      </c>
      <c r="F220" s="196" t="e" cm="1">
        <f t="array" ref="F220">INDEX($F$5:$F$61,MATCH(1,(D220=$C$5:$C$61)*(A220=$B$5:$B$61),0))</f>
        <v>#N/A</v>
      </c>
      <c r="G220" s="196" t="e" cm="1">
        <f t="array" ref="G220">INDEX($G$5:$G$61,MATCH(1,(D220=$C$5:$C$61)*(A220=$B$5:$B$61),0))</f>
        <v>#N/A</v>
      </c>
      <c r="H220" s="196" t="e" cm="1">
        <f t="array" ref="H220">INDEX($H$5:$H$61,MATCH(1,(D220=$C$5:$C$61)*(A220=$B$5:$B$61),0))</f>
        <v>#N/A</v>
      </c>
      <c r="I220" s="196" t="e" cm="1">
        <f t="array" ref="I220">INDEX($I$5:$I$61,MATCH(1,(D220=$C$5:$C$61)*(A220=$B$5:$B$61),0))</f>
        <v>#N/A</v>
      </c>
      <c r="J220" s="273"/>
      <c r="K220" s="273"/>
      <c r="L220" s="272"/>
      <c r="M220" s="273"/>
      <c r="N220" s="197"/>
      <c r="O220" s="200">
        <f t="shared" si="35"/>
        <v>0</v>
      </c>
      <c r="P220" s="274"/>
      <c r="Q220" s="274"/>
      <c r="R220" s="276"/>
      <c r="S220" s="274"/>
      <c r="T220" s="197">
        <f t="shared" si="36"/>
        <v>0</v>
      </c>
      <c r="U220" s="197">
        <f t="shared" si="37"/>
        <v>0</v>
      </c>
      <c r="V220" s="197">
        <f t="shared" si="38"/>
        <v>0</v>
      </c>
      <c r="W220" s="197">
        <f t="shared" si="39"/>
        <v>0</v>
      </c>
      <c r="Z220" s="197"/>
      <c r="AA220" s="228"/>
      <c r="AB220" s="228"/>
      <c r="AD220" s="228"/>
      <c r="AE220" s="228"/>
      <c r="AF220" s="228"/>
      <c r="AG220" s="228"/>
      <c r="AH220" s="228"/>
      <c r="AI220" s="228"/>
      <c r="AJ220" s="228"/>
      <c r="AK220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 spans="1:64" s="198" customFormat="1" x14ac:dyDescent="0.25">
      <c r="A221" s="290" t="str">
        <f t="shared" si="42"/>
        <v>Hudson View Park</v>
      </c>
      <c r="B221" s="195">
        <f t="shared" si="40"/>
        <v>123</v>
      </c>
      <c r="C221" s="196" t="str">
        <f t="shared" si="41"/>
        <v>Occ</v>
      </c>
      <c r="D221" s="196" t="e" cm="1">
        <f t="array" ref="D221">INDEX($C$5:$C$61,MATCH(1,(K221=$D$5:$D$61)*(A221=$B$5:$B$61),0))</f>
        <v>#N/A</v>
      </c>
      <c r="E221" s="196" t="e" cm="1">
        <f t="array" ref="E221">INDEX($E$5:$E$61,MATCH(1,(D221=$C$5:$C$61)*(A221=$B$5:$B$61),0))</f>
        <v>#N/A</v>
      </c>
      <c r="F221" s="196" t="e" cm="1">
        <f t="array" ref="F221">INDEX($F$5:$F$61,MATCH(1,(D221=$C$5:$C$61)*(A221=$B$5:$B$61),0))</f>
        <v>#N/A</v>
      </c>
      <c r="G221" s="196" t="e" cm="1">
        <f t="array" ref="G221">INDEX($G$5:$G$61,MATCH(1,(D221=$C$5:$C$61)*(A221=$B$5:$B$61),0))</f>
        <v>#N/A</v>
      </c>
      <c r="H221" s="196" t="e" cm="1">
        <f t="array" ref="H221">INDEX($H$5:$H$61,MATCH(1,(D221=$C$5:$C$61)*(A221=$B$5:$B$61),0))</f>
        <v>#N/A</v>
      </c>
      <c r="I221" s="196" t="e" cm="1">
        <f t="array" ref="I221">INDEX($I$5:$I$61,MATCH(1,(D221=$C$5:$C$61)*(A221=$B$5:$B$61),0))</f>
        <v>#N/A</v>
      </c>
      <c r="J221" s="273"/>
      <c r="K221" s="273"/>
      <c r="L221" s="272"/>
      <c r="M221" s="273"/>
      <c r="N221" s="197"/>
      <c r="O221" s="200">
        <f t="shared" si="35"/>
        <v>0</v>
      </c>
      <c r="P221" s="274"/>
      <c r="Q221" s="274"/>
      <c r="R221" s="276"/>
      <c r="S221" s="274"/>
      <c r="T221" s="197">
        <f t="shared" si="36"/>
        <v>0</v>
      </c>
      <c r="U221" s="197">
        <f t="shared" si="37"/>
        <v>0</v>
      </c>
      <c r="V221" s="197">
        <f t="shared" si="38"/>
        <v>0</v>
      </c>
      <c r="W221" s="197">
        <f t="shared" si="39"/>
        <v>0</v>
      </c>
      <c r="Z221" s="197"/>
      <c r="AA221" s="228"/>
      <c r="AB221" s="228"/>
      <c r="AD221" s="228"/>
      <c r="AE221" s="228"/>
      <c r="AF221" s="228"/>
      <c r="AG221" s="228"/>
      <c r="AH221" s="228"/>
      <c r="AI221" s="228"/>
      <c r="AJ221" s="228"/>
      <c r="AK221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 spans="1:64" s="198" customFormat="1" x14ac:dyDescent="0.25">
      <c r="A222" s="290" t="str">
        <f t="shared" si="42"/>
        <v>Hudson View Park</v>
      </c>
      <c r="B222" s="195">
        <f t="shared" si="40"/>
        <v>124</v>
      </c>
      <c r="C222" s="196" t="str">
        <f t="shared" si="41"/>
        <v>Occ</v>
      </c>
      <c r="D222" s="196" t="e" cm="1">
        <f t="array" ref="D222">INDEX($C$5:$C$61,MATCH(1,(K222=$D$5:$D$61)*(A222=$B$5:$B$61),0))</f>
        <v>#N/A</v>
      </c>
      <c r="E222" s="196" t="e" cm="1">
        <f t="array" ref="E222">INDEX($E$5:$E$61,MATCH(1,(D222=$C$5:$C$61)*(A222=$B$5:$B$61),0))</f>
        <v>#N/A</v>
      </c>
      <c r="F222" s="196" t="e" cm="1">
        <f t="array" ref="F222">INDEX($F$5:$F$61,MATCH(1,(D222=$C$5:$C$61)*(A222=$B$5:$B$61),0))</f>
        <v>#N/A</v>
      </c>
      <c r="G222" s="196" t="e" cm="1">
        <f t="array" ref="G222">INDEX($G$5:$G$61,MATCH(1,(D222=$C$5:$C$61)*(A222=$B$5:$B$61),0))</f>
        <v>#N/A</v>
      </c>
      <c r="H222" s="196" t="e" cm="1">
        <f t="array" ref="H222">INDEX($H$5:$H$61,MATCH(1,(D222=$C$5:$C$61)*(A222=$B$5:$B$61),0))</f>
        <v>#N/A</v>
      </c>
      <c r="I222" s="196" t="e" cm="1">
        <f t="array" ref="I222">INDEX($I$5:$I$61,MATCH(1,(D222=$C$5:$C$61)*(A222=$B$5:$B$61),0))</f>
        <v>#N/A</v>
      </c>
      <c r="J222" s="273"/>
      <c r="K222" s="273"/>
      <c r="L222" s="272"/>
      <c r="M222" s="273"/>
      <c r="N222" s="197"/>
      <c r="O222" s="200">
        <f t="shared" si="35"/>
        <v>0</v>
      </c>
      <c r="P222" s="274"/>
      <c r="Q222" s="274"/>
      <c r="R222" s="276"/>
      <c r="S222" s="274"/>
      <c r="T222" s="197">
        <f t="shared" si="36"/>
        <v>0</v>
      </c>
      <c r="U222" s="197">
        <f t="shared" si="37"/>
        <v>0</v>
      </c>
      <c r="V222" s="197">
        <f t="shared" si="38"/>
        <v>0</v>
      </c>
      <c r="W222" s="197">
        <f t="shared" si="39"/>
        <v>0</v>
      </c>
      <c r="Z222" s="197"/>
      <c r="AA222" s="228"/>
      <c r="AB222" s="228"/>
      <c r="AD222" s="228"/>
      <c r="AE222" s="228"/>
      <c r="AF222" s="228"/>
      <c r="AG222" s="228"/>
      <c r="AH222" s="228"/>
      <c r="AI222" s="228"/>
      <c r="AJ222" s="228"/>
      <c r="AK222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 spans="1:64" s="198" customFormat="1" x14ac:dyDescent="0.25">
      <c r="A223" s="290" t="str">
        <f t="shared" si="42"/>
        <v>Hudson View Park</v>
      </c>
      <c r="B223" s="195">
        <f t="shared" si="40"/>
        <v>125</v>
      </c>
      <c r="C223" s="196" t="str">
        <f t="shared" si="41"/>
        <v>Occ</v>
      </c>
      <c r="D223" s="196" t="e" cm="1">
        <f t="array" ref="D223">INDEX($C$5:$C$61,MATCH(1,(K223=$D$5:$D$61)*(A223=$B$5:$B$61),0))</f>
        <v>#N/A</v>
      </c>
      <c r="E223" s="196" t="e" cm="1">
        <f t="array" ref="E223">INDEX($E$5:$E$61,MATCH(1,(D223=$C$5:$C$61)*(A223=$B$5:$B$61),0))</f>
        <v>#N/A</v>
      </c>
      <c r="F223" s="196" t="e" cm="1">
        <f t="array" ref="F223">INDEX($F$5:$F$61,MATCH(1,(D223=$C$5:$C$61)*(A223=$B$5:$B$61),0))</f>
        <v>#N/A</v>
      </c>
      <c r="G223" s="196" t="e" cm="1">
        <f t="array" ref="G223">INDEX($G$5:$G$61,MATCH(1,(D223=$C$5:$C$61)*(A223=$B$5:$B$61),0))</f>
        <v>#N/A</v>
      </c>
      <c r="H223" s="196" t="e" cm="1">
        <f t="array" ref="H223">INDEX($H$5:$H$61,MATCH(1,(D223=$C$5:$C$61)*(A223=$B$5:$B$61),0))</f>
        <v>#N/A</v>
      </c>
      <c r="I223" s="196" t="e" cm="1">
        <f t="array" ref="I223">INDEX($I$5:$I$61,MATCH(1,(D223=$C$5:$C$61)*(A223=$B$5:$B$61),0))</f>
        <v>#N/A</v>
      </c>
      <c r="J223" s="273"/>
      <c r="K223" s="273"/>
      <c r="L223" s="272"/>
      <c r="M223" s="273"/>
      <c r="N223" s="197"/>
      <c r="O223" s="200">
        <f t="shared" si="35"/>
        <v>0</v>
      </c>
      <c r="P223" s="274"/>
      <c r="Q223" s="274"/>
      <c r="R223" s="276"/>
      <c r="S223" s="274"/>
      <c r="T223" s="197">
        <f t="shared" si="36"/>
        <v>0</v>
      </c>
      <c r="U223" s="197">
        <f t="shared" si="37"/>
        <v>0</v>
      </c>
      <c r="V223" s="197">
        <f t="shared" si="38"/>
        <v>0</v>
      </c>
      <c r="W223" s="197">
        <f t="shared" si="39"/>
        <v>0</v>
      </c>
      <c r="Z223" s="197"/>
      <c r="AA223" s="228"/>
      <c r="AB223" s="228"/>
      <c r="AD223" s="228"/>
      <c r="AE223" s="228"/>
      <c r="AF223" s="228"/>
      <c r="AG223" s="228"/>
      <c r="AH223" s="228"/>
      <c r="AI223" s="228"/>
      <c r="AJ223" s="228"/>
      <c r="AK223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 spans="1:64" s="198" customFormat="1" x14ac:dyDescent="0.25">
      <c r="A224" s="290" t="str">
        <f t="shared" si="42"/>
        <v>Hudson View Park</v>
      </c>
      <c r="B224" s="195">
        <f t="shared" si="40"/>
        <v>126</v>
      </c>
      <c r="C224" s="196" t="str">
        <f t="shared" si="41"/>
        <v>Occ</v>
      </c>
      <c r="D224" s="196" t="e" cm="1">
        <f t="array" ref="D224">INDEX($C$5:$C$61,MATCH(1,(K224=$D$5:$D$61)*(A224=$B$5:$B$61),0))</f>
        <v>#N/A</v>
      </c>
      <c r="E224" s="196" t="e" cm="1">
        <f t="array" ref="E224">INDEX($E$5:$E$61,MATCH(1,(D224=$C$5:$C$61)*(A224=$B$5:$B$61),0))</f>
        <v>#N/A</v>
      </c>
      <c r="F224" s="196" t="e" cm="1">
        <f t="array" ref="F224">INDEX($F$5:$F$61,MATCH(1,(D224=$C$5:$C$61)*(A224=$B$5:$B$61),0))</f>
        <v>#N/A</v>
      </c>
      <c r="G224" s="196" t="e" cm="1">
        <f t="array" ref="G224">INDEX($G$5:$G$61,MATCH(1,(D224=$C$5:$C$61)*(A224=$B$5:$B$61),0))</f>
        <v>#N/A</v>
      </c>
      <c r="H224" s="196" t="e" cm="1">
        <f t="array" ref="H224">INDEX($H$5:$H$61,MATCH(1,(D224=$C$5:$C$61)*(A224=$B$5:$B$61),0))</f>
        <v>#N/A</v>
      </c>
      <c r="I224" s="196" t="e" cm="1">
        <f t="array" ref="I224">INDEX($I$5:$I$61,MATCH(1,(D224=$C$5:$C$61)*(A224=$B$5:$B$61),0))</f>
        <v>#N/A</v>
      </c>
      <c r="J224" s="273"/>
      <c r="K224" s="273"/>
      <c r="L224" s="272"/>
      <c r="M224" s="273"/>
      <c r="N224" s="197"/>
      <c r="O224" s="200">
        <f t="shared" si="35"/>
        <v>0</v>
      </c>
      <c r="P224" s="274"/>
      <c r="Q224" s="274"/>
      <c r="R224" s="276"/>
      <c r="S224" s="274"/>
      <c r="T224" s="197">
        <f t="shared" si="36"/>
        <v>0</v>
      </c>
      <c r="U224" s="197">
        <f t="shared" si="37"/>
        <v>0</v>
      </c>
      <c r="V224" s="197">
        <f t="shared" si="38"/>
        <v>0</v>
      </c>
      <c r="W224" s="197">
        <f t="shared" si="39"/>
        <v>0</v>
      </c>
      <c r="Z224" s="197"/>
      <c r="AA224" s="228"/>
      <c r="AB224" s="228"/>
      <c r="AD224" s="228"/>
      <c r="AE224" s="228"/>
      <c r="AF224" s="228"/>
      <c r="AG224" s="228"/>
      <c r="AH224" s="228"/>
      <c r="AI224" s="228"/>
      <c r="AJ224" s="228"/>
      <c r="AK224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 spans="1:64" s="198" customFormat="1" x14ac:dyDescent="0.25">
      <c r="A225" s="290" t="str">
        <f t="shared" si="42"/>
        <v>Hudson View Park</v>
      </c>
      <c r="B225" s="195">
        <f t="shared" si="40"/>
        <v>127</v>
      </c>
      <c r="C225" s="196" t="str">
        <f t="shared" si="41"/>
        <v>Occ</v>
      </c>
      <c r="D225" s="196" t="e" cm="1">
        <f t="array" ref="D225">INDEX($C$5:$C$61,MATCH(1,(K225=$D$5:$D$61)*(A225=$B$5:$B$61),0))</f>
        <v>#N/A</v>
      </c>
      <c r="E225" s="196" t="e" cm="1">
        <f t="array" ref="E225">INDEX($E$5:$E$61,MATCH(1,(D225=$C$5:$C$61)*(A225=$B$5:$B$61),0))</f>
        <v>#N/A</v>
      </c>
      <c r="F225" s="196" t="e" cm="1">
        <f t="array" ref="F225">INDEX($F$5:$F$61,MATCH(1,(D225=$C$5:$C$61)*(A225=$B$5:$B$61),0))</f>
        <v>#N/A</v>
      </c>
      <c r="G225" s="196" t="e" cm="1">
        <f t="array" ref="G225">INDEX($G$5:$G$61,MATCH(1,(D225=$C$5:$C$61)*(A225=$B$5:$B$61),0))</f>
        <v>#N/A</v>
      </c>
      <c r="H225" s="196" t="e" cm="1">
        <f t="array" ref="H225">INDEX($H$5:$H$61,MATCH(1,(D225=$C$5:$C$61)*(A225=$B$5:$B$61),0))</f>
        <v>#N/A</v>
      </c>
      <c r="I225" s="196" t="e" cm="1">
        <f t="array" ref="I225">INDEX($I$5:$I$61,MATCH(1,(D225=$C$5:$C$61)*(A225=$B$5:$B$61),0))</f>
        <v>#N/A</v>
      </c>
      <c r="J225" s="273"/>
      <c r="K225" s="273"/>
      <c r="L225" s="272"/>
      <c r="M225" s="273"/>
      <c r="N225" s="197"/>
      <c r="O225" s="200">
        <f t="shared" si="35"/>
        <v>0</v>
      </c>
      <c r="P225" s="274"/>
      <c r="Q225" s="274"/>
      <c r="R225" s="276"/>
      <c r="S225" s="274"/>
      <c r="T225" s="197">
        <f t="shared" si="36"/>
        <v>0</v>
      </c>
      <c r="U225" s="197">
        <f t="shared" si="37"/>
        <v>0</v>
      </c>
      <c r="V225" s="197">
        <f t="shared" si="38"/>
        <v>0</v>
      </c>
      <c r="W225" s="197">
        <f t="shared" si="39"/>
        <v>0</v>
      </c>
      <c r="Z225" s="197"/>
      <c r="AA225" s="228"/>
      <c r="AB225" s="228"/>
      <c r="AD225" s="228"/>
      <c r="AE225" s="228"/>
      <c r="AF225" s="228"/>
      <c r="AG225" s="228"/>
      <c r="AH225" s="228"/>
      <c r="AI225" s="228"/>
      <c r="AJ225" s="228"/>
      <c r="AK225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 spans="1:64" s="198" customFormat="1" x14ac:dyDescent="0.25">
      <c r="A226" s="290" t="str">
        <f t="shared" si="42"/>
        <v>Hudson View Park</v>
      </c>
      <c r="B226" s="195">
        <f t="shared" si="40"/>
        <v>128</v>
      </c>
      <c r="C226" s="196" t="str">
        <f t="shared" si="41"/>
        <v>Occ</v>
      </c>
      <c r="D226" s="196" t="e" cm="1">
        <f t="array" ref="D226">INDEX($C$5:$C$61,MATCH(1,(K226=$D$5:$D$61)*(A226=$B$5:$B$61),0))</f>
        <v>#N/A</v>
      </c>
      <c r="E226" s="196" t="e" cm="1">
        <f t="array" ref="E226">INDEX($E$5:$E$61,MATCH(1,(D226=$C$5:$C$61)*(A226=$B$5:$B$61),0))</f>
        <v>#N/A</v>
      </c>
      <c r="F226" s="196" t="e" cm="1">
        <f t="array" ref="F226">INDEX($F$5:$F$61,MATCH(1,(D226=$C$5:$C$61)*(A226=$B$5:$B$61),0))</f>
        <v>#N/A</v>
      </c>
      <c r="G226" s="196" t="e" cm="1">
        <f t="array" ref="G226">INDEX($G$5:$G$61,MATCH(1,(D226=$C$5:$C$61)*(A226=$B$5:$B$61),0))</f>
        <v>#N/A</v>
      </c>
      <c r="H226" s="196" t="e" cm="1">
        <f t="array" ref="H226">INDEX($H$5:$H$61,MATCH(1,(D226=$C$5:$C$61)*(A226=$B$5:$B$61),0))</f>
        <v>#N/A</v>
      </c>
      <c r="I226" s="196" t="e" cm="1">
        <f t="array" ref="I226">INDEX($I$5:$I$61,MATCH(1,(D226=$C$5:$C$61)*(A226=$B$5:$B$61),0))</f>
        <v>#N/A</v>
      </c>
      <c r="J226" s="273"/>
      <c r="K226" s="273"/>
      <c r="L226" s="272"/>
      <c r="M226" s="273"/>
      <c r="N226" s="197"/>
      <c r="O226" s="200">
        <f t="shared" si="35"/>
        <v>0</v>
      </c>
      <c r="P226" s="274"/>
      <c r="Q226" s="274"/>
      <c r="R226" s="276"/>
      <c r="S226" s="274"/>
      <c r="T226" s="197">
        <f t="shared" si="36"/>
        <v>0</v>
      </c>
      <c r="U226" s="197">
        <f t="shared" si="37"/>
        <v>0</v>
      </c>
      <c r="V226" s="197">
        <f t="shared" si="38"/>
        <v>0</v>
      </c>
      <c r="W226" s="197">
        <f t="shared" si="39"/>
        <v>0</v>
      </c>
      <c r="Z226" s="197"/>
      <c r="AA226" s="228"/>
      <c r="AB226" s="228"/>
      <c r="AD226" s="228"/>
      <c r="AE226" s="228"/>
      <c r="AF226" s="228"/>
      <c r="AG226" s="228"/>
      <c r="AH226" s="228"/>
      <c r="AI226" s="228"/>
      <c r="AJ226" s="228"/>
      <c r="AK226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 s="198" customFormat="1" x14ac:dyDescent="0.25">
      <c r="A227" s="290" t="str">
        <f t="shared" si="42"/>
        <v>Hudson View Park</v>
      </c>
      <c r="B227" s="195">
        <f t="shared" si="40"/>
        <v>129</v>
      </c>
      <c r="C227" s="196" t="str">
        <f t="shared" si="41"/>
        <v>Occ</v>
      </c>
      <c r="D227" s="196" t="e" cm="1">
        <f t="array" ref="D227">INDEX($C$5:$C$61,MATCH(1,(K227=$D$5:$D$61)*(A227=$B$5:$B$61),0))</f>
        <v>#N/A</v>
      </c>
      <c r="E227" s="196" t="e" cm="1">
        <f t="array" ref="E227">INDEX($E$5:$E$61,MATCH(1,(D227=$C$5:$C$61)*(A227=$B$5:$B$61),0))</f>
        <v>#N/A</v>
      </c>
      <c r="F227" s="196" t="e" cm="1">
        <f t="array" ref="F227">INDEX($F$5:$F$61,MATCH(1,(D227=$C$5:$C$61)*(A227=$B$5:$B$61),0))</f>
        <v>#N/A</v>
      </c>
      <c r="G227" s="196" t="e" cm="1">
        <f t="array" ref="G227">INDEX($G$5:$G$61,MATCH(1,(D227=$C$5:$C$61)*(A227=$B$5:$B$61),0))</f>
        <v>#N/A</v>
      </c>
      <c r="H227" s="196" t="e" cm="1">
        <f t="array" ref="H227">INDEX($H$5:$H$61,MATCH(1,(D227=$C$5:$C$61)*(A227=$B$5:$B$61),0))</f>
        <v>#N/A</v>
      </c>
      <c r="I227" s="196" t="e" cm="1">
        <f t="array" ref="I227">INDEX($I$5:$I$61,MATCH(1,(D227=$C$5:$C$61)*(A227=$B$5:$B$61),0))</f>
        <v>#N/A</v>
      </c>
      <c r="J227" s="273"/>
      <c r="K227" s="273"/>
      <c r="L227" s="272"/>
      <c r="M227" s="273"/>
      <c r="N227" s="197"/>
      <c r="O227" s="200">
        <f t="shared" si="35"/>
        <v>0</v>
      </c>
      <c r="P227" s="274"/>
      <c r="Q227" s="274"/>
      <c r="R227" s="276"/>
      <c r="S227" s="274"/>
      <c r="T227" s="197">
        <f t="shared" si="36"/>
        <v>0</v>
      </c>
      <c r="U227" s="197">
        <f t="shared" si="37"/>
        <v>0</v>
      </c>
      <c r="V227" s="197">
        <f t="shared" si="38"/>
        <v>0</v>
      </c>
      <c r="W227" s="197">
        <f t="shared" si="39"/>
        <v>0</v>
      </c>
      <c r="Z227" s="197"/>
      <c r="AA227" s="228"/>
      <c r="AB227" s="228"/>
      <c r="AD227" s="228"/>
      <c r="AE227" s="228"/>
      <c r="AF227" s="228"/>
      <c r="AG227" s="228"/>
      <c r="AH227" s="228"/>
      <c r="AI227" s="228"/>
      <c r="AJ227" s="228"/>
      <c r="AK227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 s="198" customFormat="1" x14ac:dyDescent="0.25">
      <c r="A228" s="290" t="str">
        <f t="shared" si="42"/>
        <v>Hudson View Park</v>
      </c>
      <c r="B228" s="195">
        <f t="shared" si="40"/>
        <v>130</v>
      </c>
      <c r="C228" s="196" t="str">
        <f t="shared" si="41"/>
        <v>Occ</v>
      </c>
      <c r="D228" s="196" t="e" cm="1">
        <f t="array" ref="D228">INDEX($C$5:$C$61,MATCH(1,(K228=$D$5:$D$61)*(A228=$B$5:$B$61),0))</f>
        <v>#N/A</v>
      </c>
      <c r="E228" s="196" t="e" cm="1">
        <f t="array" ref="E228">INDEX($E$5:$E$61,MATCH(1,(D228=$C$5:$C$61)*(A228=$B$5:$B$61),0))</f>
        <v>#N/A</v>
      </c>
      <c r="F228" s="196" t="e" cm="1">
        <f t="array" ref="F228">INDEX($F$5:$F$61,MATCH(1,(D228=$C$5:$C$61)*(A228=$B$5:$B$61),0))</f>
        <v>#N/A</v>
      </c>
      <c r="G228" s="196" t="e" cm="1">
        <f t="array" ref="G228">INDEX($G$5:$G$61,MATCH(1,(D228=$C$5:$C$61)*(A228=$B$5:$B$61),0))</f>
        <v>#N/A</v>
      </c>
      <c r="H228" s="196" t="e" cm="1">
        <f t="array" ref="H228">INDEX($H$5:$H$61,MATCH(1,(D228=$C$5:$C$61)*(A228=$B$5:$B$61),0))</f>
        <v>#N/A</v>
      </c>
      <c r="I228" s="196" t="e" cm="1">
        <f t="array" ref="I228">INDEX($I$5:$I$61,MATCH(1,(D228=$C$5:$C$61)*(A228=$B$5:$B$61),0))</f>
        <v>#N/A</v>
      </c>
      <c r="J228" s="273"/>
      <c r="K228" s="273"/>
      <c r="L228" s="272"/>
      <c r="M228" s="273"/>
      <c r="N228" s="197"/>
      <c r="O228" s="200">
        <f t="shared" ref="O228:O291" si="43">SUM(AA228:AB228)</f>
        <v>0</v>
      </c>
      <c r="P228" s="274"/>
      <c r="Q228" s="274"/>
      <c r="R228" s="276"/>
      <c r="S228" s="274"/>
      <c r="T228" s="197">
        <f t="shared" ref="T228:T291" si="44">SUM(AD228:AJ228)</f>
        <v>0</v>
      </c>
      <c r="U228" s="197">
        <f t="shared" ref="U228:U291" si="45">SUM(AL228:AO228)</f>
        <v>0</v>
      </c>
      <c r="V228" s="197">
        <f t="shared" ref="V228:V291" si="46">SUM(AQ228:AR228)</f>
        <v>0</v>
      </c>
      <c r="W228" s="197">
        <f t="shared" ref="W228:W291" si="47">SUM(AT228:AV228)</f>
        <v>0</v>
      </c>
      <c r="Z228" s="197"/>
      <c r="AA228" s="228"/>
      <c r="AB228" s="228"/>
      <c r="AD228" s="228"/>
      <c r="AE228" s="228"/>
      <c r="AF228" s="228"/>
      <c r="AG228" s="228"/>
      <c r="AH228" s="228"/>
      <c r="AI228" s="228"/>
      <c r="AJ228" s="228"/>
      <c r="AK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s="198" customFormat="1" x14ac:dyDescent="0.25">
      <c r="A229" s="290" t="str">
        <f t="shared" si="42"/>
        <v>Hudson View Park</v>
      </c>
      <c r="B229" s="195">
        <f t="shared" ref="B229:B292" si="48">B228+1</f>
        <v>131</v>
      </c>
      <c r="C229" s="196" t="str">
        <f t="shared" ref="C229:C292" si="49">IF(M229="Vacant","Vac",IF(M229="Model","Model",IF(M229="Admin","Admin",IF(M229="Down","Down","Occ"))))</f>
        <v>Occ</v>
      </c>
      <c r="D229" s="196" t="e" cm="1">
        <f t="array" ref="D229">INDEX($C$5:$C$61,MATCH(1,(K229=$D$5:$D$61)*(A229=$B$5:$B$61),0))</f>
        <v>#N/A</v>
      </c>
      <c r="E229" s="196" t="e" cm="1">
        <f t="array" ref="E229">INDEX($E$5:$E$61,MATCH(1,(D229=$C$5:$C$61)*(A229=$B$5:$B$61),0))</f>
        <v>#N/A</v>
      </c>
      <c r="F229" s="196" t="e" cm="1">
        <f t="array" ref="F229">INDEX($F$5:$F$61,MATCH(1,(D229=$C$5:$C$61)*(A229=$B$5:$B$61),0))</f>
        <v>#N/A</v>
      </c>
      <c r="G229" s="196" t="e" cm="1">
        <f t="array" ref="G229">INDEX($G$5:$G$61,MATCH(1,(D229=$C$5:$C$61)*(A229=$B$5:$B$61),0))</f>
        <v>#N/A</v>
      </c>
      <c r="H229" s="196" t="e" cm="1">
        <f t="array" ref="H229">INDEX($H$5:$H$61,MATCH(1,(D229=$C$5:$C$61)*(A229=$B$5:$B$61),0))</f>
        <v>#N/A</v>
      </c>
      <c r="I229" s="196" t="e" cm="1">
        <f t="array" ref="I229">INDEX($I$5:$I$61,MATCH(1,(D229=$C$5:$C$61)*(A229=$B$5:$B$61),0))</f>
        <v>#N/A</v>
      </c>
      <c r="J229" s="273"/>
      <c r="K229" s="273"/>
      <c r="L229" s="272"/>
      <c r="M229" s="273"/>
      <c r="N229" s="197"/>
      <c r="O229" s="200">
        <f t="shared" si="43"/>
        <v>0</v>
      </c>
      <c r="P229" s="274"/>
      <c r="Q229" s="274"/>
      <c r="R229" s="276"/>
      <c r="S229" s="274"/>
      <c r="T229" s="197">
        <f t="shared" si="44"/>
        <v>0</v>
      </c>
      <c r="U229" s="197">
        <f t="shared" si="45"/>
        <v>0</v>
      </c>
      <c r="V229" s="197">
        <f t="shared" si="46"/>
        <v>0</v>
      </c>
      <c r="W229" s="197">
        <f t="shared" si="47"/>
        <v>0</v>
      </c>
      <c r="Z229" s="197"/>
      <c r="AA229" s="228"/>
      <c r="AB229" s="228"/>
      <c r="AD229" s="228"/>
      <c r="AE229" s="228"/>
      <c r="AF229" s="228"/>
      <c r="AG229" s="228"/>
      <c r="AH229" s="228"/>
      <c r="AI229" s="228"/>
      <c r="AJ229" s="228"/>
      <c r="AK229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 spans="1:64" s="198" customFormat="1" x14ac:dyDescent="0.25">
      <c r="A230" s="290" t="str">
        <f t="shared" si="42"/>
        <v>Hudson View Park</v>
      </c>
      <c r="B230" s="195">
        <f t="shared" si="48"/>
        <v>132</v>
      </c>
      <c r="C230" s="196" t="str">
        <f t="shared" si="49"/>
        <v>Occ</v>
      </c>
      <c r="D230" s="196" t="e" cm="1">
        <f t="array" ref="D230">INDEX($C$5:$C$61,MATCH(1,(K230=$D$5:$D$61)*(A230=$B$5:$B$61),0))</f>
        <v>#N/A</v>
      </c>
      <c r="E230" s="196" t="e" cm="1">
        <f t="array" ref="E230">INDEX($E$5:$E$61,MATCH(1,(D230=$C$5:$C$61)*(A230=$B$5:$B$61),0))</f>
        <v>#N/A</v>
      </c>
      <c r="F230" s="196" t="e" cm="1">
        <f t="array" ref="F230">INDEX($F$5:$F$61,MATCH(1,(D230=$C$5:$C$61)*(A230=$B$5:$B$61),0))</f>
        <v>#N/A</v>
      </c>
      <c r="G230" s="196" t="e" cm="1">
        <f t="array" ref="G230">INDEX($G$5:$G$61,MATCH(1,(D230=$C$5:$C$61)*(A230=$B$5:$B$61),0))</f>
        <v>#N/A</v>
      </c>
      <c r="H230" s="196" t="e" cm="1">
        <f t="array" ref="H230">INDEX($H$5:$H$61,MATCH(1,(D230=$C$5:$C$61)*(A230=$B$5:$B$61),0))</f>
        <v>#N/A</v>
      </c>
      <c r="I230" s="196" t="e" cm="1">
        <f t="array" ref="I230">INDEX($I$5:$I$61,MATCH(1,(D230=$C$5:$C$61)*(A230=$B$5:$B$61),0))</f>
        <v>#N/A</v>
      </c>
      <c r="J230" s="273"/>
      <c r="K230" s="273"/>
      <c r="L230" s="272"/>
      <c r="M230" s="273"/>
      <c r="N230" s="197"/>
      <c r="O230" s="200">
        <f t="shared" si="43"/>
        <v>0</v>
      </c>
      <c r="P230" s="274"/>
      <c r="Q230" s="274"/>
      <c r="R230" s="276"/>
      <c r="S230" s="274"/>
      <c r="T230" s="197">
        <f t="shared" si="44"/>
        <v>0</v>
      </c>
      <c r="U230" s="197">
        <f t="shared" si="45"/>
        <v>0</v>
      </c>
      <c r="V230" s="197">
        <f t="shared" si="46"/>
        <v>0</v>
      </c>
      <c r="W230" s="197">
        <f t="shared" si="47"/>
        <v>0</v>
      </c>
      <c r="Z230" s="197"/>
      <c r="AA230" s="228"/>
      <c r="AB230" s="228"/>
      <c r="AD230" s="228"/>
      <c r="AE230" s="228"/>
      <c r="AF230" s="228"/>
      <c r="AG230" s="228"/>
      <c r="AH230" s="228"/>
      <c r="AI230" s="228"/>
      <c r="AJ230" s="228"/>
      <c r="AK230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 spans="1:64" s="198" customFormat="1" x14ac:dyDescent="0.25">
      <c r="A231" s="290" t="str">
        <f t="shared" si="42"/>
        <v>Hudson View Park</v>
      </c>
      <c r="B231" s="195">
        <f t="shared" si="48"/>
        <v>133</v>
      </c>
      <c r="C231" s="196" t="str">
        <f t="shared" si="49"/>
        <v>Occ</v>
      </c>
      <c r="D231" s="196" t="e" cm="1">
        <f t="array" ref="D231">INDEX($C$5:$C$61,MATCH(1,(K231=$D$5:$D$61)*(A231=$B$5:$B$61),0))</f>
        <v>#N/A</v>
      </c>
      <c r="E231" s="196" t="e" cm="1">
        <f t="array" ref="E231">INDEX($E$5:$E$61,MATCH(1,(D231=$C$5:$C$61)*(A231=$B$5:$B$61),0))</f>
        <v>#N/A</v>
      </c>
      <c r="F231" s="196" t="e" cm="1">
        <f t="array" ref="F231">INDEX($F$5:$F$61,MATCH(1,(D231=$C$5:$C$61)*(A231=$B$5:$B$61),0))</f>
        <v>#N/A</v>
      </c>
      <c r="G231" s="196" t="e" cm="1">
        <f t="array" ref="G231">INDEX($G$5:$G$61,MATCH(1,(D231=$C$5:$C$61)*(A231=$B$5:$B$61),0))</f>
        <v>#N/A</v>
      </c>
      <c r="H231" s="196" t="e" cm="1">
        <f t="array" ref="H231">INDEX($H$5:$H$61,MATCH(1,(D231=$C$5:$C$61)*(A231=$B$5:$B$61),0))</f>
        <v>#N/A</v>
      </c>
      <c r="I231" s="196" t="e" cm="1">
        <f t="array" ref="I231">INDEX($I$5:$I$61,MATCH(1,(D231=$C$5:$C$61)*(A231=$B$5:$B$61),0))</f>
        <v>#N/A</v>
      </c>
      <c r="J231" s="273"/>
      <c r="K231" s="273"/>
      <c r="L231" s="272"/>
      <c r="M231" s="273"/>
      <c r="N231" s="197"/>
      <c r="O231" s="200">
        <f t="shared" si="43"/>
        <v>0</v>
      </c>
      <c r="P231" s="274"/>
      <c r="Q231" s="274"/>
      <c r="R231" s="276"/>
      <c r="S231" s="274"/>
      <c r="T231" s="197">
        <f t="shared" si="44"/>
        <v>0</v>
      </c>
      <c r="U231" s="197">
        <f t="shared" si="45"/>
        <v>0</v>
      </c>
      <c r="V231" s="197">
        <f t="shared" si="46"/>
        <v>0</v>
      </c>
      <c r="W231" s="197">
        <f t="shared" si="47"/>
        <v>0</v>
      </c>
      <c r="Z231" s="197"/>
      <c r="AA231" s="228"/>
      <c r="AB231" s="228"/>
      <c r="AD231" s="228"/>
      <c r="AE231" s="228"/>
      <c r="AF231" s="228"/>
      <c r="AG231" s="228"/>
      <c r="AH231" s="228"/>
      <c r="AI231" s="228"/>
      <c r="AJ231" s="228"/>
      <c r="AK231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</row>
    <row r="232" spans="1:64" s="198" customFormat="1" x14ac:dyDescent="0.25">
      <c r="A232" s="290" t="str">
        <f t="shared" si="42"/>
        <v>Hudson View Park</v>
      </c>
      <c r="B232" s="195">
        <f t="shared" si="48"/>
        <v>134</v>
      </c>
      <c r="C232" s="196" t="str">
        <f t="shared" si="49"/>
        <v>Occ</v>
      </c>
      <c r="D232" s="196" t="e" cm="1">
        <f t="array" ref="D232">INDEX($C$5:$C$61,MATCH(1,(K232=$D$5:$D$61)*(A232=$B$5:$B$61),0))</f>
        <v>#N/A</v>
      </c>
      <c r="E232" s="196" t="e" cm="1">
        <f t="array" ref="E232">INDEX($E$5:$E$61,MATCH(1,(D232=$C$5:$C$61)*(A232=$B$5:$B$61),0))</f>
        <v>#N/A</v>
      </c>
      <c r="F232" s="196" t="e" cm="1">
        <f t="array" ref="F232">INDEX($F$5:$F$61,MATCH(1,(D232=$C$5:$C$61)*(A232=$B$5:$B$61),0))</f>
        <v>#N/A</v>
      </c>
      <c r="G232" s="196" t="e" cm="1">
        <f t="array" ref="G232">INDEX($G$5:$G$61,MATCH(1,(D232=$C$5:$C$61)*(A232=$B$5:$B$61),0))</f>
        <v>#N/A</v>
      </c>
      <c r="H232" s="196" t="e" cm="1">
        <f t="array" ref="H232">INDEX($H$5:$H$61,MATCH(1,(D232=$C$5:$C$61)*(A232=$B$5:$B$61),0))</f>
        <v>#N/A</v>
      </c>
      <c r="I232" s="196" t="e" cm="1">
        <f t="array" ref="I232">INDEX($I$5:$I$61,MATCH(1,(D232=$C$5:$C$61)*(A232=$B$5:$B$61),0))</f>
        <v>#N/A</v>
      </c>
      <c r="J232" s="273"/>
      <c r="K232" s="273"/>
      <c r="L232" s="272"/>
      <c r="M232" s="273"/>
      <c r="N232" s="197"/>
      <c r="O232" s="200">
        <f t="shared" si="43"/>
        <v>0</v>
      </c>
      <c r="P232" s="274"/>
      <c r="Q232" s="274"/>
      <c r="R232" s="276"/>
      <c r="S232" s="274"/>
      <c r="T232" s="197">
        <f t="shared" si="44"/>
        <v>0</v>
      </c>
      <c r="U232" s="197">
        <f t="shared" si="45"/>
        <v>0</v>
      </c>
      <c r="V232" s="197">
        <f t="shared" si="46"/>
        <v>0</v>
      </c>
      <c r="W232" s="197">
        <f t="shared" si="47"/>
        <v>0</v>
      </c>
      <c r="Z232" s="197"/>
      <c r="AA232" s="228"/>
      <c r="AB232" s="228"/>
      <c r="AD232" s="228"/>
      <c r="AE232" s="228"/>
      <c r="AF232" s="228"/>
      <c r="AG232" s="228"/>
      <c r="AH232" s="228"/>
      <c r="AI232" s="228"/>
      <c r="AJ232" s="228"/>
      <c r="AK232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</row>
    <row r="233" spans="1:64" s="198" customFormat="1" x14ac:dyDescent="0.25">
      <c r="A233" s="290" t="str">
        <f t="shared" si="42"/>
        <v>Hudson View Park</v>
      </c>
      <c r="B233" s="195">
        <f t="shared" si="48"/>
        <v>135</v>
      </c>
      <c r="C233" s="196" t="str">
        <f t="shared" si="49"/>
        <v>Occ</v>
      </c>
      <c r="D233" s="196" t="e" cm="1">
        <f t="array" ref="D233">INDEX($C$5:$C$61,MATCH(1,(K233=$D$5:$D$61)*(A233=$B$5:$B$61),0))</f>
        <v>#N/A</v>
      </c>
      <c r="E233" s="196" t="e" cm="1">
        <f t="array" ref="E233">INDEX($E$5:$E$61,MATCH(1,(D233=$C$5:$C$61)*(A233=$B$5:$B$61),0))</f>
        <v>#N/A</v>
      </c>
      <c r="F233" s="196" t="e" cm="1">
        <f t="array" ref="F233">INDEX($F$5:$F$61,MATCH(1,(D233=$C$5:$C$61)*(A233=$B$5:$B$61),0))</f>
        <v>#N/A</v>
      </c>
      <c r="G233" s="196" t="e" cm="1">
        <f t="array" ref="G233">INDEX($G$5:$G$61,MATCH(1,(D233=$C$5:$C$61)*(A233=$B$5:$B$61),0))</f>
        <v>#N/A</v>
      </c>
      <c r="H233" s="196" t="e" cm="1">
        <f t="array" ref="H233">INDEX($H$5:$H$61,MATCH(1,(D233=$C$5:$C$61)*(A233=$B$5:$B$61),0))</f>
        <v>#N/A</v>
      </c>
      <c r="I233" s="196" t="e" cm="1">
        <f t="array" ref="I233">INDEX($I$5:$I$61,MATCH(1,(D233=$C$5:$C$61)*(A233=$B$5:$B$61),0))</f>
        <v>#N/A</v>
      </c>
      <c r="J233" s="273"/>
      <c r="K233" s="273"/>
      <c r="L233" s="272"/>
      <c r="M233" s="273"/>
      <c r="N233" s="197"/>
      <c r="O233" s="200">
        <f t="shared" si="43"/>
        <v>0</v>
      </c>
      <c r="P233" s="274"/>
      <c r="Q233" s="274"/>
      <c r="R233" s="276"/>
      <c r="S233" s="274"/>
      <c r="T233" s="197">
        <f t="shared" si="44"/>
        <v>0</v>
      </c>
      <c r="U233" s="197">
        <f t="shared" si="45"/>
        <v>0</v>
      </c>
      <c r="V233" s="197">
        <f t="shared" si="46"/>
        <v>0</v>
      </c>
      <c r="W233" s="197">
        <f t="shared" si="47"/>
        <v>0</v>
      </c>
      <c r="Z233" s="197"/>
      <c r="AA233" s="228"/>
      <c r="AB233" s="228"/>
      <c r="AD233" s="228"/>
      <c r="AE233" s="228"/>
      <c r="AF233" s="228"/>
      <c r="AG233" s="228"/>
      <c r="AH233" s="228"/>
      <c r="AI233" s="228"/>
      <c r="AJ233" s="228"/>
      <c r="AK233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</row>
    <row r="234" spans="1:64" s="198" customFormat="1" x14ac:dyDescent="0.25">
      <c r="A234" s="290" t="str">
        <f t="shared" si="42"/>
        <v>Hudson View Park</v>
      </c>
      <c r="B234" s="195">
        <f t="shared" si="48"/>
        <v>136</v>
      </c>
      <c r="C234" s="196" t="str">
        <f t="shared" si="49"/>
        <v>Occ</v>
      </c>
      <c r="D234" s="196" t="e" cm="1">
        <f t="array" ref="D234">INDEX($C$5:$C$61,MATCH(1,(K234=$D$5:$D$61)*(A234=$B$5:$B$61),0))</f>
        <v>#N/A</v>
      </c>
      <c r="E234" s="196" t="e" cm="1">
        <f t="array" ref="E234">INDEX($E$5:$E$61,MATCH(1,(D234=$C$5:$C$61)*(A234=$B$5:$B$61),0))</f>
        <v>#N/A</v>
      </c>
      <c r="F234" s="196" t="e" cm="1">
        <f t="array" ref="F234">INDEX($F$5:$F$61,MATCH(1,(D234=$C$5:$C$61)*(A234=$B$5:$B$61),0))</f>
        <v>#N/A</v>
      </c>
      <c r="G234" s="196" t="e" cm="1">
        <f t="array" ref="G234">INDEX($G$5:$G$61,MATCH(1,(D234=$C$5:$C$61)*(A234=$B$5:$B$61),0))</f>
        <v>#N/A</v>
      </c>
      <c r="H234" s="196" t="e" cm="1">
        <f t="array" ref="H234">INDEX($H$5:$H$61,MATCH(1,(D234=$C$5:$C$61)*(A234=$B$5:$B$61),0))</f>
        <v>#N/A</v>
      </c>
      <c r="I234" s="196" t="e" cm="1">
        <f t="array" ref="I234">INDEX($I$5:$I$61,MATCH(1,(D234=$C$5:$C$61)*(A234=$B$5:$B$61),0))</f>
        <v>#N/A</v>
      </c>
      <c r="J234" s="273"/>
      <c r="K234" s="273"/>
      <c r="L234" s="272"/>
      <c r="M234" s="273"/>
      <c r="N234" s="197"/>
      <c r="O234" s="200">
        <f t="shared" si="43"/>
        <v>0</v>
      </c>
      <c r="P234" s="274"/>
      <c r="Q234" s="274"/>
      <c r="R234" s="276"/>
      <c r="S234" s="274"/>
      <c r="T234" s="197">
        <f t="shared" si="44"/>
        <v>0</v>
      </c>
      <c r="U234" s="197">
        <f t="shared" si="45"/>
        <v>0</v>
      </c>
      <c r="V234" s="197">
        <f t="shared" si="46"/>
        <v>0</v>
      </c>
      <c r="W234" s="197">
        <f t="shared" si="47"/>
        <v>0</v>
      </c>
      <c r="Z234" s="197"/>
      <c r="AA234" s="228"/>
      <c r="AB234" s="228"/>
      <c r="AD234" s="228"/>
      <c r="AE234" s="228"/>
      <c r="AF234" s="228"/>
      <c r="AG234" s="228"/>
      <c r="AH234" s="228"/>
      <c r="AI234" s="228"/>
      <c r="AJ234" s="228"/>
      <c r="AK234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</row>
    <row r="235" spans="1:64" s="198" customFormat="1" x14ac:dyDescent="0.25">
      <c r="A235" s="290" t="str">
        <f t="shared" si="42"/>
        <v>Hudson View Park</v>
      </c>
      <c r="B235" s="195">
        <f t="shared" si="48"/>
        <v>137</v>
      </c>
      <c r="C235" s="196" t="str">
        <f t="shared" si="49"/>
        <v>Occ</v>
      </c>
      <c r="D235" s="196" t="e" cm="1">
        <f t="array" ref="D235">INDEX($C$5:$C$61,MATCH(1,(K235=$D$5:$D$61)*(A235=$B$5:$B$61),0))</f>
        <v>#N/A</v>
      </c>
      <c r="E235" s="196" t="e" cm="1">
        <f t="array" ref="E235">INDEX($E$5:$E$61,MATCH(1,(D235=$C$5:$C$61)*(A235=$B$5:$B$61),0))</f>
        <v>#N/A</v>
      </c>
      <c r="F235" s="196" t="e" cm="1">
        <f t="array" ref="F235">INDEX($F$5:$F$61,MATCH(1,(D235=$C$5:$C$61)*(A235=$B$5:$B$61),0))</f>
        <v>#N/A</v>
      </c>
      <c r="G235" s="196" t="e" cm="1">
        <f t="array" ref="G235">INDEX($G$5:$G$61,MATCH(1,(D235=$C$5:$C$61)*(A235=$B$5:$B$61),0))</f>
        <v>#N/A</v>
      </c>
      <c r="H235" s="196" t="e" cm="1">
        <f t="array" ref="H235">INDEX($H$5:$H$61,MATCH(1,(D235=$C$5:$C$61)*(A235=$B$5:$B$61),0))</f>
        <v>#N/A</v>
      </c>
      <c r="I235" s="196" t="e" cm="1">
        <f t="array" ref="I235">INDEX($I$5:$I$61,MATCH(1,(D235=$C$5:$C$61)*(A235=$B$5:$B$61),0))</f>
        <v>#N/A</v>
      </c>
      <c r="J235" s="273"/>
      <c r="K235" s="273"/>
      <c r="L235" s="272"/>
      <c r="M235" s="273"/>
      <c r="N235" s="197"/>
      <c r="O235" s="200">
        <f t="shared" si="43"/>
        <v>0</v>
      </c>
      <c r="P235" s="274"/>
      <c r="Q235" s="274"/>
      <c r="R235" s="276"/>
      <c r="S235" s="274"/>
      <c r="T235" s="197">
        <f t="shared" si="44"/>
        <v>0</v>
      </c>
      <c r="U235" s="197">
        <f t="shared" si="45"/>
        <v>0</v>
      </c>
      <c r="V235" s="197">
        <f t="shared" si="46"/>
        <v>0</v>
      </c>
      <c r="W235" s="197">
        <f t="shared" si="47"/>
        <v>0</v>
      </c>
      <c r="Z235" s="197"/>
      <c r="AA235" s="228"/>
      <c r="AB235" s="228"/>
      <c r="AD235" s="228"/>
      <c r="AE235" s="228"/>
      <c r="AF235" s="228"/>
      <c r="AG235" s="228"/>
      <c r="AH235" s="228"/>
      <c r="AI235" s="228"/>
      <c r="AJ235" s="228"/>
      <c r="AK235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</row>
    <row r="236" spans="1:64" s="198" customFormat="1" x14ac:dyDescent="0.25">
      <c r="A236" s="290" t="str">
        <f t="shared" si="42"/>
        <v>Hudson View Park</v>
      </c>
      <c r="B236" s="195">
        <f t="shared" si="48"/>
        <v>138</v>
      </c>
      <c r="C236" s="196" t="str">
        <f t="shared" si="49"/>
        <v>Occ</v>
      </c>
      <c r="D236" s="196" t="e" cm="1">
        <f t="array" ref="D236">INDEX($C$5:$C$61,MATCH(1,(K236=$D$5:$D$61)*(A236=$B$5:$B$61),0))</f>
        <v>#N/A</v>
      </c>
      <c r="E236" s="196" t="e" cm="1">
        <f t="array" ref="E236">INDEX($E$5:$E$61,MATCH(1,(D236=$C$5:$C$61)*(A236=$B$5:$B$61),0))</f>
        <v>#N/A</v>
      </c>
      <c r="F236" s="196" t="e" cm="1">
        <f t="array" ref="F236">INDEX($F$5:$F$61,MATCH(1,(D236=$C$5:$C$61)*(A236=$B$5:$B$61),0))</f>
        <v>#N/A</v>
      </c>
      <c r="G236" s="196" t="e" cm="1">
        <f t="array" ref="G236">INDEX($G$5:$G$61,MATCH(1,(D236=$C$5:$C$61)*(A236=$B$5:$B$61),0))</f>
        <v>#N/A</v>
      </c>
      <c r="H236" s="196" t="e" cm="1">
        <f t="array" ref="H236">INDEX($H$5:$H$61,MATCH(1,(D236=$C$5:$C$61)*(A236=$B$5:$B$61),0))</f>
        <v>#N/A</v>
      </c>
      <c r="I236" s="196" t="e" cm="1">
        <f t="array" ref="I236">INDEX($I$5:$I$61,MATCH(1,(D236=$C$5:$C$61)*(A236=$B$5:$B$61),0))</f>
        <v>#N/A</v>
      </c>
      <c r="J236" s="273"/>
      <c r="K236" s="273"/>
      <c r="L236" s="272"/>
      <c r="M236" s="273"/>
      <c r="N236" s="197"/>
      <c r="O236" s="200">
        <f t="shared" si="43"/>
        <v>0</v>
      </c>
      <c r="P236" s="274"/>
      <c r="Q236" s="274"/>
      <c r="R236" s="276"/>
      <c r="S236" s="274"/>
      <c r="T236" s="197">
        <f t="shared" si="44"/>
        <v>0</v>
      </c>
      <c r="U236" s="197">
        <f t="shared" si="45"/>
        <v>0</v>
      </c>
      <c r="V236" s="197">
        <f t="shared" si="46"/>
        <v>0</v>
      </c>
      <c r="W236" s="197">
        <f t="shared" si="47"/>
        <v>0</v>
      </c>
      <c r="Z236" s="197"/>
      <c r="AA236" s="228"/>
      <c r="AB236" s="228"/>
      <c r="AD236" s="228"/>
      <c r="AE236" s="228"/>
      <c r="AF236" s="228"/>
      <c r="AG236" s="228"/>
      <c r="AH236" s="228"/>
      <c r="AI236" s="228"/>
      <c r="AJ236" s="228"/>
      <c r="AK236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 spans="1:64" s="198" customFormat="1" x14ac:dyDescent="0.25">
      <c r="A237" s="290" t="str">
        <f t="shared" si="42"/>
        <v>Hudson View Park</v>
      </c>
      <c r="B237" s="195">
        <f t="shared" si="48"/>
        <v>139</v>
      </c>
      <c r="C237" s="196" t="str">
        <f t="shared" si="49"/>
        <v>Occ</v>
      </c>
      <c r="D237" s="196" t="e" cm="1">
        <f t="array" ref="D237">INDEX($C$5:$C$61,MATCH(1,(K237=$D$5:$D$61)*(A237=$B$5:$B$61),0))</f>
        <v>#N/A</v>
      </c>
      <c r="E237" s="196" t="e" cm="1">
        <f t="array" ref="E237">INDEX($E$5:$E$61,MATCH(1,(D237=$C$5:$C$61)*(A237=$B$5:$B$61),0))</f>
        <v>#N/A</v>
      </c>
      <c r="F237" s="196" t="e" cm="1">
        <f t="array" ref="F237">INDEX($F$5:$F$61,MATCH(1,(D237=$C$5:$C$61)*(A237=$B$5:$B$61),0))</f>
        <v>#N/A</v>
      </c>
      <c r="G237" s="196" t="e" cm="1">
        <f t="array" ref="G237">INDEX($G$5:$G$61,MATCH(1,(D237=$C$5:$C$61)*(A237=$B$5:$B$61),0))</f>
        <v>#N/A</v>
      </c>
      <c r="H237" s="196" t="e" cm="1">
        <f t="array" ref="H237">INDEX($H$5:$H$61,MATCH(1,(D237=$C$5:$C$61)*(A237=$B$5:$B$61),0))</f>
        <v>#N/A</v>
      </c>
      <c r="I237" s="196" t="e" cm="1">
        <f t="array" ref="I237">INDEX($I$5:$I$61,MATCH(1,(D237=$C$5:$C$61)*(A237=$B$5:$B$61),0))</f>
        <v>#N/A</v>
      </c>
      <c r="J237" s="273"/>
      <c r="K237" s="273"/>
      <c r="L237" s="272"/>
      <c r="M237" s="273"/>
      <c r="N237" s="197"/>
      <c r="O237" s="200">
        <f t="shared" si="43"/>
        <v>0</v>
      </c>
      <c r="P237" s="274"/>
      <c r="Q237" s="274"/>
      <c r="R237" s="276"/>
      <c r="S237" s="274"/>
      <c r="T237" s="197">
        <f t="shared" si="44"/>
        <v>0</v>
      </c>
      <c r="U237" s="197">
        <f t="shared" si="45"/>
        <v>0</v>
      </c>
      <c r="V237" s="197">
        <f t="shared" si="46"/>
        <v>0</v>
      </c>
      <c r="W237" s="197">
        <f t="shared" si="47"/>
        <v>0</v>
      </c>
      <c r="Z237" s="197"/>
      <c r="AA237" s="228"/>
      <c r="AB237" s="228"/>
      <c r="AD237" s="228"/>
      <c r="AE237" s="228"/>
      <c r="AF237" s="228"/>
      <c r="AG237" s="228"/>
      <c r="AH237" s="228"/>
      <c r="AI237" s="228"/>
      <c r="AJ237" s="228"/>
      <c r="AK237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 spans="1:64" s="198" customFormat="1" x14ac:dyDescent="0.25">
      <c r="A238" s="290" t="str">
        <f t="shared" si="42"/>
        <v>Hudson View Park</v>
      </c>
      <c r="B238" s="195">
        <f t="shared" si="48"/>
        <v>140</v>
      </c>
      <c r="C238" s="196" t="str">
        <f t="shared" si="49"/>
        <v>Occ</v>
      </c>
      <c r="D238" s="196" t="e" cm="1">
        <f t="array" ref="D238">INDEX($C$5:$C$61,MATCH(1,(K238=$D$5:$D$61)*(A238=$B$5:$B$61),0))</f>
        <v>#N/A</v>
      </c>
      <c r="E238" s="196" t="e" cm="1">
        <f t="array" ref="E238">INDEX($E$5:$E$61,MATCH(1,(D238=$C$5:$C$61)*(A238=$B$5:$B$61),0))</f>
        <v>#N/A</v>
      </c>
      <c r="F238" s="196" t="e" cm="1">
        <f t="array" ref="F238">INDEX($F$5:$F$61,MATCH(1,(D238=$C$5:$C$61)*(A238=$B$5:$B$61),0))</f>
        <v>#N/A</v>
      </c>
      <c r="G238" s="196" t="e" cm="1">
        <f t="array" ref="G238">INDEX($G$5:$G$61,MATCH(1,(D238=$C$5:$C$61)*(A238=$B$5:$B$61),0))</f>
        <v>#N/A</v>
      </c>
      <c r="H238" s="196" t="e" cm="1">
        <f t="array" ref="H238">INDEX($H$5:$H$61,MATCH(1,(D238=$C$5:$C$61)*(A238=$B$5:$B$61),0))</f>
        <v>#N/A</v>
      </c>
      <c r="I238" s="196" t="e" cm="1">
        <f t="array" ref="I238">INDEX($I$5:$I$61,MATCH(1,(D238=$C$5:$C$61)*(A238=$B$5:$B$61),0))</f>
        <v>#N/A</v>
      </c>
      <c r="J238" s="273"/>
      <c r="K238" s="273"/>
      <c r="L238" s="272"/>
      <c r="M238" s="273"/>
      <c r="N238" s="197"/>
      <c r="O238" s="200">
        <f t="shared" si="43"/>
        <v>0</v>
      </c>
      <c r="P238" s="274"/>
      <c r="Q238" s="274"/>
      <c r="R238" s="276"/>
      <c r="S238" s="274"/>
      <c r="T238" s="197">
        <f t="shared" si="44"/>
        <v>0</v>
      </c>
      <c r="U238" s="197">
        <f t="shared" si="45"/>
        <v>0</v>
      </c>
      <c r="V238" s="197">
        <f t="shared" si="46"/>
        <v>0</v>
      </c>
      <c r="W238" s="197">
        <f t="shared" si="47"/>
        <v>0</v>
      </c>
      <c r="Z238" s="197"/>
      <c r="AA238" s="228"/>
      <c r="AB238" s="228"/>
      <c r="AD238" s="228"/>
      <c r="AE238" s="228"/>
      <c r="AF238" s="228"/>
      <c r="AG238" s="228"/>
      <c r="AH238" s="228"/>
      <c r="AI238" s="228"/>
      <c r="AJ238" s="228"/>
      <c r="AK23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</row>
    <row r="239" spans="1:64" s="198" customFormat="1" x14ac:dyDescent="0.25">
      <c r="A239" s="290" t="str">
        <f t="shared" si="42"/>
        <v>Hudson View Park</v>
      </c>
      <c r="B239" s="195">
        <f t="shared" si="48"/>
        <v>141</v>
      </c>
      <c r="C239" s="196" t="str">
        <f t="shared" si="49"/>
        <v>Occ</v>
      </c>
      <c r="D239" s="196" t="e" cm="1">
        <f t="array" ref="D239">INDEX($C$5:$C$61,MATCH(1,(K239=$D$5:$D$61)*(A239=$B$5:$B$61),0))</f>
        <v>#N/A</v>
      </c>
      <c r="E239" s="196" t="e" cm="1">
        <f t="array" ref="E239">INDEX($E$5:$E$61,MATCH(1,(D239=$C$5:$C$61)*(A239=$B$5:$B$61),0))</f>
        <v>#N/A</v>
      </c>
      <c r="F239" s="196" t="e" cm="1">
        <f t="array" ref="F239">INDEX($F$5:$F$61,MATCH(1,(D239=$C$5:$C$61)*(A239=$B$5:$B$61),0))</f>
        <v>#N/A</v>
      </c>
      <c r="G239" s="196" t="e" cm="1">
        <f t="array" ref="G239">INDEX($G$5:$G$61,MATCH(1,(D239=$C$5:$C$61)*(A239=$B$5:$B$61),0))</f>
        <v>#N/A</v>
      </c>
      <c r="H239" s="196" t="e" cm="1">
        <f t="array" ref="H239">INDEX($H$5:$H$61,MATCH(1,(D239=$C$5:$C$61)*(A239=$B$5:$B$61),0))</f>
        <v>#N/A</v>
      </c>
      <c r="I239" s="196" t="e" cm="1">
        <f t="array" ref="I239">INDEX($I$5:$I$61,MATCH(1,(D239=$C$5:$C$61)*(A239=$B$5:$B$61),0))</f>
        <v>#N/A</v>
      </c>
      <c r="J239" s="273"/>
      <c r="K239" s="273"/>
      <c r="L239" s="272"/>
      <c r="M239" s="273"/>
      <c r="N239" s="197"/>
      <c r="O239" s="200">
        <f t="shared" si="43"/>
        <v>0</v>
      </c>
      <c r="P239" s="274"/>
      <c r="Q239" s="274"/>
      <c r="R239" s="276"/>
      <c r="S239" s="274"/>
      <c r="T239" s="197">
        <f t="shared" si="44"/>
        <v>0</v>
      </c>
      <c r="U239" s="197">
        <f t="shared" si="45"/>
        <v>0</v>
      </c>
      <c r="V239" s="197">
        <f t="shared" si="46"/>
        <v>0</v>
      </c>
      <c r="W239" s="197">
        <f t="shared" si="47"/>
        <v>0</v>
      </c>
      <c r="Z239" s="197"/>
      <c r="AA239" s="228"/>
      <c r="AB239" s="228"/>
      <c r="AD239" s="228"/>
      <c r="AE239" s="228"/>
      <c r="AF239" s="228"/>
      <c r="AG239" s="228"/>
      <c r="AH239" s="228"/>
      <c r="AI239" s="228"/>
      <c r="AJ239" s="228"/>
      <c r="AK239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 spans="1:64" s="198" customFormat="1" x14ac:dyDescent="0.25">
      <c r="A240" s="290" t="str">
        <f t="shared" si="42"/>
        <v>Hudson View Park</v>
      </c>
      <c r="B240" s="195">
        <f t="shared" si="48"/>
        <v>142</v>
      </c>
      <c r="C240" s="196" t="str">
        <f t="shared" si="49"/>
        <v>Occ</v>
      </c>
      <c r="D240" s="196" t="e" cm="1">
        <f t="array" ref="D240">INDEX($C$5:$C$61,MATCH(1,(K240=$D$5:$D$61)*(A240=$B$5:$B$61),0))</f>
        <v>#N/A</v>
      </c>
      <c r="E240" s="196" t="e" cm="1">
        <f t="array" ref="E240">INDEX($E$5:$E$61,MATCH(1,(D240=$C$5:$C$61)*(A240=$B$5:$B$61),0))</f>
        <v>#N/A</v>
      </c>
      <c r="F240" s="196" t="e" cm="1">
        <f t="array" ref="F240">INDEX($F$5:$F$61,MATCH(1,(D240=$C$5:$C$61)*(A240=$B$5:$B$61),0))</f>
        <v>#N/A</v>
      </c>
      <c r="G240" s="196" t="e" cm="1">
        <f t="array" ref="G240">INDEX($G$5:$G$61,MATCH(1,(D240=$C$5:$C$61)*(A240=$B$5:$B$61),0))</f>
        <v>#N/A</v>
      </c>
      <c r="H240" s="196" t="e" cm="1">
        <f t="array" ref="H240">INDEX($H$5:$H$61,MATCH(1,(D240=$C$5:$C$61)*(A240=$B$5:$B$61),0))</f>
        <v>#N/A</v>
      </c>
      <c r="I240" s="196" t="e" cm="1">
        <f t="array" ref="I240">INDEX($I$5:$I$61,MATCH(1,(D240=$C$5:$C$61)*(A240=$B$5:$B$61),0))</f>
        <v>#N/A</v>
      </c>
      <c r="J240" s="273"/>
      <c r="K240" s="273"/>
      <c r="L240" s="272"/>
      <c r="M240" s="273"/>
      <c r="N240" s="197"/>
      <c r="O240" s="200">
        <f t="shared" si="43"/>
        <v>0</v>
      </c>
      <c r="P240" s="274"/>
      <c r="Q240" s="274"/>
      <c r="R240" s="276"/>
      <c r="S240" s="274"/>
      <c r="T240" s="197">
        <f t="shared" si="44"/>
        <v>0</v>
      </c>
      <c r="U240" s="197">
        <f t="shared" si="45"/>
        <v>0</v>
      </c>
      <c r="V240" s="197">
        <f t="shared" si="46"/>
        <v>0</v>
      </c>
      <c r="W240" s="197">
        <f t="shared" si="47"/>
        <v>0</v>
      </c>
      <c r="Z240" s="197"/>
      <c r="AA240" s="228"/>
      <c r="AB240" s="228"/>
      <c r="AD240" s="228"/>
      <c r="AE240" s="228"/>
      <c r="AF240" s="228"/>
      <c r="AG240" s="228"/>
      <c r="AH240" s="228"/>
      <c r="AI240" s="228"/>
      <c r="AJ240" s="228"/>
      <c r="AK240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</row>
    <row r="241" spans="1:64" s="198" customFormat="1" x14ac:dyDescent="0.25">
      <c r="A241" s="290" t="str">
        <f t="shared" si="42"/>
        <v>Hudson View Park</v>
      </c>
      <c r="B241" s="195">
        <f t="shared" si="48"/>
        <v>143</v>
      </c>
      <c r="C241" s="196" t="str">
        <f t="shared" si="49"/>
        <v>Occ</v>
      </c>
      <c r="D241" s="196" t="e" cm="1">
        <f t="array" ref="D241">INDEX($C$5:$C$61,MATCH(1,(K241=$D$5:$D$61)*(A241=$B$5:$B$61),0))</f>
        <v>#N/A</v>
      </c>
      <c r="E241" s="196" t="e" cm="1">
        <f t="array" ref="E241">INDEX($E$5:$E$61,MATCH(1,(D241=$C$5:$C$61)*(A241=$B$5:$B$61),0))</f>
        <v>#N/A</v>
      </c>
      <c r="F241" s="196" t="e" cm="1">
        <f t="array" ref="F241">INDEX($F$5:$F$61,MATCH(1,(D241=$C$5:$C$61)*(A241=$B$5:$B$61),0))</f>
        <v>#N/A</v>
      </c>
      <c r="G241" s="196" t="e" cm="1">
        <f t="array" ref="G241">INDEX($G$5:$G$61,MATCH(1,(D241=$C$5:$C$61)*(A241=$B$5:$B$61),0))</f>
        <v>#N/A</v>
      </c>
      <c r="H241" s="196" t="e" cm="1">
        <f t="array" ref="H241">INDEX($H$5:$H$61,MATCH(1,(D241=$C$5:$C$61)*(A241=$B$5:$B$61),0))</f>
        <v>#N/A</v>
      </c>
      <c r="I241" s="196" t="e" cm="1">
        <f t="array" ref="I241">INDEX($I$5:$I$61,MATCH(1,(D241=$C$5:$C$61)*(A241=$B$5:$B$61),0))</f>
        <v>#N/A</v>
      </c>
      <c r="J241" s="273"/>
      <c r="K241" s="273"/>
      <c r="L241" s="272"/>
      <c r="M241" s="273"/>
      <c r="N241" s="197"/>
      <c r="O241" s="200">
        <f t="shared" si="43"/>
        <v>0</v>
      </c>
      <c r="P241" s="274"/>
      <c r="Q241" s="274"/>
      <c r="R241" s="276"/>
      <c r="S241" s="274"/>
      <c r="T241" s="197">
        <f t="shared" si="44"/>
        <v>0</v>
      </c>
      <c r="U241" s="197">
        <f t="shared" si="45"/>
        <v>0</v>
      </c>
      <c r="V241" s="197">
        <f t="shared" si="46"/>
        <v>0</v>
      </c>
      <c r="W241" s="197">
        <f t="shared" si="47"/>
        <v>0</v>
      </c>
      <c r="Z241" s="197"/>
      <c r="AA241" s="228"/>
      <c r="AB241" s="228"/>
      <c r="AD241" s="228"/>
      <c r="AE241" s="228"/>
      <c r="AF241" s="228"/>
      <c r="AG241" s="228"/>
      <c r="AH241" s="228"/>
      <c r="AI241" s="228"/>
      <c r="AJ241" s="228"/>
      <c r="AK241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 spans="1:64" s="198" customFormat="1" x14ac:dyDescent="0.25">
      <c r="A242" s="290" t="str">
        <f t="shared" si="42"/>
        <v>Hudson View Park</v>
      </c>
      <c r="B242" s="195">
        <f t="shared" si="48"/>
        <v>144</v>
      </c>
      <c r="C242" s="196" t="str">
        <f t="shared" si="49"/>
        <v>Occ</v>
      </c>
      <c r="D242" s="196" t="e" cm="1">
        <f t="array" ref="D242">INDEX($C$5:$C$61,MATCH(1,(K242=$D$5:$D$61)*(A242=$B$5:$B$61),0))</f>
        <v>#N/A</v>
      </c>
      <c r="E242" s="196" t="e" cm="1">
        <f t="array" ref="E242">INDEX($E$5:$E$61,MATCH(1,(D242=$C$5:$C$61)*(A242=$B$5:$B$61),0))</f>
        <v>#N/A</v>
      </c>
      <c r="F242" s="196" t="e" cm="1">
        <f t="array" ref="F242">INDEX($F$5:$F$61,MATCH(1,(D242=$C$5:$C$61)*(A242=$B$5:$B$61),0))</f>
        <v>#N/A</v>
      </c>
      <c r="G242" s="196" t="e" cm="1">
        <f t="array" ref="G242">INDEX($G$5:$G$61,MATCH(1,(D242=$C$5:$C$61)*(A242=$B$5:$B$61),0))</f>
        <v>#N/A</v>
      </c>
      <c r="H242" s="196" t="e" cm="1">
        <f t="array" ref="H242">INDEX($H$5:$H$61,MATCH(1,(D242=$C$5:$C$61)*(A242=$B$5:$B$61),0))</f>
        <v>#N/A</v>
      </c>
      <c r="I242" s="196" t="e" cm="1">
        <f t="array" ref="I242">INDEX($I$5:$I$61,MATCH(1,(D242=$C$5:$C$61)*(A242=$B$5:$B$61),0))</f>
        <v>#N/A</v>
      </c>
      <c r="J242" s="273"/>
      <c r="K242" s="273"/>
      <c r="L242" s="272"/>
      <c r="M242" s="273"/>
      <c r="N242" s="197"/>
      <c r="O242" s="200">
        <f t="shared" si="43"/>
        <v>0</v>
      </c>
      <c r="P242" s="274"/>
      <c r="Q242" s="274"/>
      <c r="R242" s="276"/>
      <c r="S242" s="274"/>
      <c r="T242" s="197">
        <f t="shared" si="44"/>
        <v>0</v>
      </c>
      <c r="U242" s="197">
        <f t="shared" si="45"/>
        <v>0</v>
      </c>
      <c r="V242" s="197">
        <f t="shared" si="46"/>
        <v>0</v>
      </c>
      <c r="W242" s="197">
        <f t="shared" si="47"/>
        <v>0</v>
      </c>
      <c r="Z242" s="197"/>
      <c r="AA242" s="228"/>
      <c r="AB242" s="228"/>
      <c r="AD242" s="228"/>
      <c r="AE242" s="228"/>
      <c r="AF242" s="228"/>
      <c r="AG242" s="228"/>
      <c r="AH242" s="228"/>
      <c r="AI242" s="228"/>
      <c r="AJ242" s="228"/>
      <c r="AK242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</row>
    <row r="243" spans="1:64" s="198" customFormat="1" x14ac:dyDescent="0.25">
      <c r="A243" s="290" t="str">
        <f t="shared" si="42"/>
        <v>Hudson View Park</v>
      </c>
      <c r="B243" s="195">
        <f t="shared" si="48"/>
        <v>145</v>
      </c>
      <c r="C243" s="196" t="str">
        <f t="shared" si="49"/>
        <v>Occ</v>
      </c>
      <c r="D243" s="196" t="e" cm="1">
        <f t="array" ref="D243">INDEX($C$5:$C$61,MATCH(1,(K243=$D$5:$D$61)*(A243=$B$5:$B$61),0))</f>
        <v>#N/A</v>
      </c>
      <c r="E243" s="196" t="e" cm="1">
        <f t="array" ref="E243">INDEX($E$5:$E$61,MATCH(1,(D243=$C$5:$C$61)*(A243=$B$5:$B$61),0))</f>
        <v>#N/A</v>
      </c>
      <c r="F243" s="196" t="e" cm="1">
        <f t="array" ref="F243">INDEX($F$5:$F$61,MATCH(1,(D243=$C$5:$C$61)*(A243=$B$5:$B$61),0))</f>
        <v>#N/A</v>
      </c>
      <c r="G243" s="196" t="e" cm="1">
        <f t="array" ref="G243">INDEX($G$5:$G$61,MATCH(1,(D243=$C$5:$C$61)*(A243=$B$5:$B$61),0))</f>
        <v>#N/A</v>
      </c>
      <c r="H243" s="196" t="e" cm="1">
        <f t="array" ref="H243">INDEX($H$5:$H$61,MATCH(1,(D243=$C$5:$C$61)*(A243=$B$5:$B$61),0))</f>
        <v>#N/A</v>
      </c>
      <c r="I243" s="196" t="e" cm="1">
        <f t="array" ref="I243">INDEX($I$5:$I$61,MATCH(1,(D243=$C$5:$C$61)*(A243=$B$5:$B$61),0))</f>
        <v>#N/A</v>
      </c>
      <c r="J243" s="273"/>
      <c r="K243" s="273"/>
      <c r="L243" s="272"/>
      <c r="M243" s="273"/>
      <c r="N243" s="197"/>
      <c r="O243" s="200">
        <f t="shared" si="43"/>
        <v>0</v>
      </c>
      <c r="P243" s="274"/>
      <c r="Q243" s="274"/>
      <c r="R243" s="276"/>
      <c r="S243" s="274"/>
      <c r="T243" s="197">
        <f t="shared" si="44"/>
        <v>0</v>
      </c>
      <c r="U243" s="197">
        <f t="shared" si="45"/>
        <v>0</v>
      </c>
      <c r="V243" s="197">
        <f t="shared" si="46"/>
        <v>0</v>
      </c>
      <c r="W243" s="197">
        <f t="shared" si="47"/>
        <v>0</v>
      </c>
      <c r="Z243" s="197"/>
      <c r="AA243" s="228"/>
      <c r="AB243" s="228"/>
      <c r="AD243" s="228"/>
      <c r="AE243" s="228"/>
      <c r="AF243" s="228"/>
      <c r="AG243" s="228"/>
      <c r="AH243" s="228"/>
      <c r="AI243" s="228"/>
      <c r="AJ243" s="228"/>
      <c r="AK243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 spans="1:64" s="198" customFormat="1" x14ac:dyDescent="0.25">
      <c r="A244" s="290" t="str">
        <f t="shared" si="42"/>
        <v>Hudson View Park</v>
      </c>
      <c r="B244" s="195">
        <f t="shared" si="48"/>
        <v>146</v>
      </c>
      <c r="C244" s="196" t="str">
        <f t="shared" si="49"/>
        <v>Occ</v>
      </c>
      <c r="D244" s="196" t="e" cm="1">
        <f t="array" ref="D244">INDEX($C$5:$C$61,MATCH(1,(K244=$D$5:$D$61)*(A244=$B$5:$B$61),0))</f>
        <v>#N/A</v>
      </c>
      <c r="E244" s="196" t="e" cm="1">
        <f t="array" ref="E244">INDEX($E$5:$E$61,MATCH(1,(D244=$C$5:$C$61)*(A244=$B$5:$B$61),0))</f>
        <v>#N/A</v>
      </c>
      <c r="F244" s="196" t="e" cm="1">
        <f t="array" ref="F244">INDEX($F$5:$F$61,MATCH(1,(D244=$C$5:$C$61)*(A244=$B$5:$B$61),0))</f>
        <v>#N/A</v>
      </c>
      <c r="G244" s="196" t="e" cm="1">
        <f t="array" ref="G244">INDEX($G$5:$G$61,MATCH(1,(D244=$C$5:$C$61)*(A244=$B$5:$B$61),0))</f>
        <v>#N/A</v>
      </c>
      <c r="H244" s="196" t="e" cm="1">
        <f t="array" ref="H244">INDEX($H$5:$H$61,MATCH(1,(D244=$C$5:$C$61)*(A244=$B$5:$B$61),0))</f>
        <v>#N/A</v>
      </c>
      <c r="I244" s="196" t="e" cm="1">
        <f t="array" ref="I244">INDEX($I$5:$I$61,MATCH(1,(D244=$C$5:$C$61)*(A244=$B$5:$B$61),0))</f>
        <v>#N/A</v>
      </c>
      <c r="J244" s="273"/>
      <c r="K244" s="273"/>
      <c r="L244" s="272"/>
      <c r="M244" s="273"/>
      <c r="N244" s="197"/>
      <c r="O244" s="200">
        <f t="shared" si="43"/>
        <v>0</v>
      </c>
      <c r="P244" s="274"/>
      <c r="Q244" s="274"/>
      <c r="R244" s="276"/>
      <c r="S244" s="274"/>
      <c r="T244" s="197">
        <f t="shared" si="44"/>
        <v>0</v>
      </c>
      <c r="U244" s="197">
        <f t="shared" si="45"/>
        <v>0</v>
      </c>
      <c r="V244" s="197">
        <f t="shared" si="46"/>
        <v>0</v>
      </c>
      <c r="W244" s="197">
        <f t="shared" si="47"/>
        <v>0</v>
      </c>
      <c r="Z244" s="197"/>
      <c r="AA244" s="228"/>
      <c r="AB244" s="228"/>
      <c r="AD244" s="228"/>
      <c r="AE244" s="228"/>
      <c r="AF244" s="228"/>
      <c r="AG244" s="228"/>
      <c r="AH244" s="228"/>
      <c r="AI244" s="228"/>
      <c r="AJ244" s="228"/>
      <c r="AK244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</row>
    <row r="245" spans="1:64" s="198" customFormat="1" x14ac:dyDescent="0.25">
      <c r="A245" s="290" t="str">
        <f t="shared" si="42"/>
        <v>Hudson View Park</v>
      </c>
      <c r="B245" s="195">
        <f t="shared" si="48"/>
        <v>147</v>
      </c>
      <c r="C245" s="196" t="str">
        <f t="shared" si="49"/>
        <v>Occ</v>
      </c>
      <c r="D245" s="196" t="e" cm="1">
        <f t="array" ref="D245">INDEX($C$5:$C$61,MATCH(1,(K245=$D$5:$D$61)*(A245=$B$5:$B$61),0))</f>
        <v>#N/A</v>
      </c>
      <c r="E245" s="196" t="e" cm="1">
        <f t="array" ref="E245">INDEX($E$5:$E$61,MATCH(1,(D245=$C$5:$C$61)*(A245=$B$5:$B$61),0))</f>
        <v>#N/A</v>
      </c>
      <c r="F245" s="196" t="e" cm="1">
        <f t="array" ref="F245">INDEX($F$5:$F$61,MATCH(1,(D245=$C$5:$C$61)*(A245=$B$5:$B$61),0))</f>
        <v>#N/A</v>
      </c>
      <c r="G245" s="196" t="e" cm="1">
        <f t="array" ref="G245">INDEX($G$5:$G$61,MATCH(1,(D245=$C$5:$C$61)*(A245=$B$5:$B$61),0))</f>
        <v>#N/A</v>
      </c>
      <c r="H245" s="196" t="e" cm="1">
        <f t="array" ref="H245">INDEX($H$5:$H$61,MATCH(1,(D245=$C$5:$C$61)*(A245=$B$5:$B$61),0))</f>
        <v>#N/A</v>
      </c>
      <c r="I245" s="196" t="e" cm="1">
        <f t="array" ref="I245">INDEX($I$5:$I$61,MATCH(1,(D245=$C$5:$C$61)*(A245=$B$5:$B$61),0))</f>
        <v>#N/A</v>
      </c>
      <c r="J245" s="273"/>
      <c r="K245" s="273"/>
      <c r="L245" s="272"/>
      <c r="M245" s="273"/>
      <c r="N245" s="197"/>
      <c r="O245" s="200">
        <f t="shared" si="43"/>
        <v>0</v>
      </c>
      <c r="P245" s="274"/>
      <c r="Q245" s="274"/>
      <c r="R245" s="276"/>
      <c r="S245" s="274"/>
      <c r="T245" s="197">
        <f t="shared" si="44"/>
        <v>0</v>
      </c>
      <c r="U245" s="197">
        <f t="shared" si="45"/>
        <v>0</v>
      </c>
      <c r="V245" s="197">
        <f t="shared" si="46"/>
        <v>0</v>
      </c>
      <c r="W245" s="197">
        <f t="shared" si="47"/>
        <v>0</v>
      </c>
      <c r="Z245" s="197"/>
      <c r="AA245" s="228"/>
      <c r="AB245" s="228"/>
      <c r="AD245" s="228"/>
      <c r="AE245" s="228"/>
      <c r="AF245" s="228"/>
      <c r="AG245" s="228"/>
      <c r="AH245" s="228"/>
      <c r="AI245" s="228"/>
      <c r="AJ245" s="228"/>
      <c r="AK245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</row>
    <row r="246" spans="1:64" s="198" customFormat="1" x14ac:dyDescent="0.25">
      <c r="A246" s="290" t="str">
        <f t="shared" si="42"/>
        <v>Hudson View Park</v>
      </c>
      <c r="B246" s="195">
        <f t="shared" si="48"/>
        <v>148</v>
      </c>
      <c r="C246" s="196" t="str">
        <f t="shared" si="49"/>
        <v>Occ</v>
      </c>
      <c r="D246" s="196" t="e" cm="1">
        <f t="array" ref="D246">INDEX($C$5:$C$61,MATCH(1,(K246=$D$5:$D$61)*(A246=$B$5:$B$61),0))</f>
        <v>#N/A</v>
      </c>
      <c r="E246" s="196" t="e" cm="1">
        <f t="array" ref="E246">INDEX($E$5:$E$61,MATCH(1,(D246=$C$5:$C$61)*(A246=$B$5:$B$61),0))</f>
        <v>#N/A</v>
      </c>
      <c r="F246" s="196" t="e" cm="1">
        <f t="array" ref="F246">INDEX($F$5:$F$61,MATCH(1,(D246=$C$5:$C$61)*(A246=$B$5:$B$61),0))</f>
        <v>#N/A</v>
      </c>
      <c r="G246" s="196" t="e" cm="1">
        <f t="array" ref="G246">INDEX($G$5:$G$61,MATCH(1,(D246=$C$5:$C$61)*(A246=$B$5:$B$61),0))</f>
        <v>#N/A</v>
      </c>
      <c r="H246" s="196" t="e" cm="1">
        <f t="array" ref="H246">INDEX($H$5:$H$61,MATCH(1,(D246=$C$5:$C$61)*(A246=$B$5:$B$61),0))</f>
        <v>#N/A</v>
      </c>
      <c r="I246" s="196" t="e" cm="1">
        <f t="array" ref="I246">INDEX($I$5:$I$61,MATCH(1,(D246=$C$5:$C$61)*(A246=$B$5:$B$61),0))</f>
        <v>#N/A</v>
      </c>
      <c r="J246" s="273"/>
      <c r="K246" s="273"/>
      <c r="L246" s="272"/>
      <c r="M246" s="273"/>
      <c r="N246" s="197"/>
      <c r="O246" s="200">
        <f t="shared" si="43"/>
        <v>0</v>
      </c>
      <c r="P246" s="274"/>
      <c r="Q246" s="274"/>
      <c r="R246" s="276"/>
      <c r="S246" s="274"/>
      <c r="T246" s="197">
        <f t="shared" si="44"/>
        <v>0</v>
      </c>
      <c r="U246" s="197">
        <f t="shared" si="45"/>
        <v>0</v>
      </c>
      <c r="V246" s="197">
        <f t="shared" si="46"/>
        <v>0</v>
      </c>
      <c r="W246" s="197">
        <f t="shared" si="47"/>
        <v>0</v>
      </c>
      <c r="Z246" s="197"/>
      <c r="AA246" s="228"/>
      <c r="AB246" s="228"/>
      <c r="AD246" s="228"/>
      <c r="AE246" s="228"/>
      <c r="AF246" s="228"/>
      <c r="AG246" s="228"/>
      <c r="AH246" s="228"/>
      <c r="AI246" s="228"/>
      <c r="AJ246" s="228"/>
      <c r="AK246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 spans="1:64" s="198" customFormat="1" x14ac:dyDescent="0.25">
      <c r="A247" s="290" t="str">
        <f t="shared" si="42"/>
        <v>Hudson View Park</v>
      </c>
      <c r="B247" s="195">
        <f t="shared" si="48"/>
        <v>149</v>
      </c>
      <c r="C247" s="196" t="str">
        <f t="shared" si="49"/>
        <v>Occ</v>
      </c>
      <c r="D247" s="196" t="e" cm="1">
        <f t="array" ref="D247">INDEX($C$5:$C$61,MATCH(1,(K247=$D$5:$D$61)*(A247=$B$5:$B$61),0))</f>
        <v>#N/A</v>
      </c>
      <c r="E247" s="196" t="e" cm="1">
        <f t="array" ref="E247">INDEX($E$5:$E$61,MATCH(1,(D247=$C$5:$C$61)*(A247=$B$5:$B$61),0))</f>
        <v>#N/A</v>
      </c>
      <c r="F247" s="196" t="e" cm="1">
        <f t="array" ref="F247">INDEX($F$5:$F$61,MATCH(1,(D247=$C$5:$C$61)*(A247=$B$5:$B$61),0))</f>
        <v>#N/A</v>
      </c>
      <c r="G247" s="196" t="e" cm="1">
        <f t="array" ref="G247">INDEX($G$5:$G$61,MATCH(1,(D247=$C$5:$C$61)*(A247=$B$5:$B$61),0))</f>
        <v>#N/A</v>
      </c>
      <c r="H247" s="196" t="e" cm="1">
        <f t="array" ref="H247">INDEX($H$5:$H$61,MATCH(1,(D247=$C$5:$C$61)*(A247=$B$5:$B$61),0))</f>
        <v>#N/A</v>
      </c>
      <c r="I247" s="196" t="e" cm="1">
        <f t="array" ref="I247">INDEX($I$5:$I$61,MATCH(1,(D247=$C$5:$C$61)*(A247=$B$5:$B$61),0))</f>
        <v>#N/A</v>
      </c>
      <c r="J247" s="273"/>
      <c r="K247" s="273"/>
      <c r="L247" s="272"/>
      <c r="M247" s="273"/>
      <c r="N247" s="197"/>
      <c r="O247" s="200">
        <f t="shared" si="43"/>
        <v>0</v>
      </c>
      <c r="P247" s="274"/>
      <c r="Q247" s="274"/>
      <c r="R247" s="276"/>
      <c r="S247" s="274"/>
      <c r="T247" s="197">
        <f t="shared" si="44"/>
        <v>0</v>
      </c>
      <c r="U247" s="197">
        <f t="shared" si="45"/>
        <v>0</v>
      </c>
      <c r="V247" s="197">
        <f t="shared" si="46"/>
        <v>0</v>
      </c>
      <c r="W247" s="197">
        <f t="shared" si="47"/>
        <v>0</v>
      </c>
      <c r="Z247" s="197"/>
      <c r="AA247" s="228"/>
      <c r="AB247" s="228"/>
      <c r="AD247" s="228"/>
      <c r="AE247" s="228"/>
      <c r="AF247" s="228"/>
      <c r="AG247" s="228"/>
      <c r="AH247" s="228"/>
      <c r="AI247" s="228"/>
      <c r="AJ247" s="228"/>
      <c r="AK247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 spans="1:64" s="198" customFormat="1" x14ac:dyDescent="0.25">
      <c r="A248" s="290" t="str">
        <f t="shared" ref="A248:A311" si="50">$C$67</f>
        <v>Hudson View Park</v>
      </c>
      <c r="B248" s="195">
        <f t="shared" si="48"/>
        <v>150</v>
      </c>
      <c r="C248" s="196" t="str">
        <f t="shared" si="49"/>
        <v>Occ</v>
      </c>
      <c r="D248" s="196" t="e" cm="1">
        <f t="array" ref="D248">INDEX($C$5:$C$61,MATCH(1,(K248=$D$5:$D$61)*(A248=$B$5:$B$61),0))</f>
        <v>#N/A</v>
      </c>
      <c r="E248" s="196" t="e" cm="1">
        <f t="array" ref="E248">INDEX($E$5:$E$61,MATCH(1,(D248=$C$5:$C$61)*(A248=$B$5:$B$61),0))</f>
        <v>#N/A</v>
      </c>
      <c r="F248" s="196" t="e" cm="1">
        <f t="array" ref="F248">INDEX($F$5:$F$61,MATCH(1,(D248=$C$5:$C$61)*(A248=$B$5:$B$61),0))</f>
        <v>#N/A</v>
      </c>
      <c r="G248" s="196" t="e" cm="1">
        <f t="array" ref="G248">INDEX($G$5:$G$61,MATCH(1,(D248=$C$5:$C$61)*(A248=$B$5:$B$61),0))</f>
        <v>#N/A</v>
      </c>
      <c r="H248" s="196" t="e" cm="1">
        <f t="array" ref="H248">INDEX($H$5:$H$61,MATCH(1,(D248=$C$5:$C$61)*(A248=$B$5:$B$61),0))</f>
        <v>#N/A</v>
      </c>
      <c r="I248" s="196" t="e" cm="1">
        <f t="array" ref="I248">INDEX($I$5:$I$61,MATCH(1,(D248=$C$5:$C$61)*(A248=$B$5:$B$61),0))</f>
        <v>#N/A</v>
      </c>
      <c r="J248" s="273"/>
      <c r="K248" s="273"/>
      <c r="L248" s="272"/>
      <c r="M248" s="273"/>
      <c r="N248" s="197"/>
      <c r="O248" s="200">
        <f t="shared" si="43"/>
        <v>0</v>
      </c>
      <c r="P248" s="274"/>
      <c r="Q248" s="274"/>
      <c r="R248" s="276"/>
      <c r="S248" s="274"/>
      <c r="T248" s="197">
        <f t="shared" si="44"/>
        <v>0</v>
      </c>
      <c r="U248" s="197">
        <f t="shared" si="45"/>
        <v>0</v>
      </c>
      <c r="V248" s="197">
        <f t="shared" si="46"/>
        <v>0</v>
      </c>
      <c r="W248" s="197">
        <f t="shared" si="47"/>
        <v>0</v>
      </c>
      <c r="Z248" s="197"/>
      <c r="AA248" s="228"/>
      <c r="AB248" s="228"/>
      <c r="AD248" s="228"/>
      <c r="AE248" s="228"/>
      <c r="AF248" s="228"/>
      <c r="AG248" s="228"/>
      <c r="AH248" s="228"/>
      <c r="AI248" s="228"/>
      <c r="AJ248" s="228"/>
      <c r="AK24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 spans="1:64" s="198" customFormat="1" x14ac:dyDescent="0.25">
      <c r="A249" s="290" t="str">
        <f t="shared" si="50"/>
        <v>Hudson View Park</v>
      </c>
      <c r="B249" s="195">
        <f t="shared" si="48"/>
        <v>151</v>
      </c>
      <c r="C249" s="196" t="str">
        <f t="shared" si="49"/>
        <v>Occ</v>
      </c>
      <c r="D249" s="196" t="e" cm="1">
        <f t="array" ref="D249">INDEX($C$5:$C$61,MATCH(1,(K249=$D$5:$D$61)*(A249=$B$5:$B$61),0))</f>
        <v>#N/A</v>
      </c>
      <c r="E249" s="196" t="e" cm="1">
        <f t="array" ref="E249">INDEX($E$5:$E$61,MATCH(1,(D249=$C$5:$C$61)*(A249=$B$5:$B$61),0))</f>
        <v>#N/A</v>
      </c>
      <c r="F249" s="196" t="e" cm="1">
        <f t="array" ref="F249">INDEX($F$5:$F$61,MATCH(1,(D249=$C$5:$C$61)*(A249=$B$5:$B$61),0))</f>
        <v>#N/A</v>
      </c>
      <c r="G249" s="196" t="e" cm="1">
        <f t="array" ref="G249">INDEX($G$5:$G$61,MATCH(1,(D249=$C$5:$C$61)*(A249=$B$5:$B$61),0))</f>
        <v>#N/A</v>
      </c>
      <c r="H249" s="196" t="e" cm="1">
        <f t="array" ref="H249">INDEX($H$5:$H$61,MATCH(1,(D249=$C$5:$C$61)*(A249=$B$5:$B$61),0))</f>
        <v>#N/A</v>
      </c>
      <c r="I249" s="196" t="e" cm="1">
        <f t="array" ref="I249">INDEX($I$5:$I$61,MATCH(1,(D249=$C$5:$C$61)*(A249=$B$5:$B$61),0))</f>
        <v>#N/A</v>
      </c>
      <c r="J249" s="273"/>
      <c r="K249" s="273"/>
      <c r="L249" s="272"/>
      <c r="M249" s="273"/>
      <c r="N249" s="197"/>
      <c r="O249" s="200">
        <f t="shared" si="43"/>
        <v>0</v>
      </c>
      <c r="P249" s="274"/>
      <c r="Q249" s="274"/>
      <c r="R249" s="276"/>
      <c r="S249" s="274"/>
      <c r="T249" s="197">
        <f t="shared" si="44"/>
        <v>0</v>
      </c>
      <c r="U249" s="197">
        <f t="shared" si="45"/>
        <v>0</v>
      </c>
      <c r="V249" s="197">
        <f t="shared" si="46"/>
        <v>0</v>
      </c>
      <c r="W249" s="197">
        <f t="shared" si="47"/>
        <v>0</v>
      </c>
      <c r="Z249" s="197"/>
      <c r="AA249" s="228"/>
      <c r="AB249" s="228"/>
      <c r="AD249" s="228"/>
      <c r="AE249" s="228"/>
      <c r="AF249" s="228"/>
      <c r="AG249" s="228"/>
      <c r="AH249" s="228"/>
      <c r="AI249" s="228"/>
      <c r="AJ249" s="228"/>
      <c r="AK249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</row>
    <row r="250" spans="1:64" s="198" customFormat="1" x14ac:dyDescent="0.25">
      <c r="A250" s="290" t="str">
        <f t="shared" si="50"/>
        <v>Hudson View Park</v>
      </c>
      <c r="B250" s="195">
        <f t="shared" si="48"/>
        <v>152</v>
      </c>
      <c r="C250" s="196" t="str">
        <f t="shared" si="49"/>
        <v>Occ</v>
      </c>
      <c r="D250" s="196" t="e" cm="1">
        <f t="array" ref="D250">INDEX($C$5:$C$61,MATCH(1,(K250=$D$5:$D$61)*(A250=$B$5:$B$61),0))</f>
        <v>#N/A</v>
      </c>
      <c r="E250" s="196" t="e" cm="1">
        <f t="array" ref="E250">INDEX($E$5:$E$61,MATCH(1,(D250=$C$5:$C$61)*(A250=$B$5:$B$61),0))</f>
        <v>#N/A</v>
      </c>
      <c r="F250" s="196" t="e" cm="1">
        <f t="array" ref="F250">INDEX($F$5:$F$61,MATCH(1,(D250=$C$5:$C$61)*(A250=$B$5:$B$61),0))</f>
        <v>#N/A</v>
      </c>
      <c r="G250" s="196" t="e" cm="1">
        <f t="array" ref="G250">INDEX($G$5:$G$61,MATCH(1,(D250=$C$5:$C$61)*(A250=$B$5:$B$61),0))</f>
        <v>#N/A</v>
      </c>
      <c r="H250" s="196" t="e" cm="1">
        <f t="array" ref="H250">INDEX($H$5:$H$61,MATCH(1,(D250=$C$5:$C$61)*(A250=$B$5:$B$61),0))</f>
        <v>#N/A</v>
      </c>
      <c r="I250" s="196" t="e" cm="1">
        <f t="array" ref="I250">INDEX($I$5:$I$61,MATCH(1,(D250=$C$5:$C$61)*(A250=$B$5:$B$61),0))</f>
        <v>#N/A</v>
      </c>
      <c r="J250" s="273"/>
      <c r="K250" s="273"/>
      <c r="L250" s="272"/>
      <c r="M250" s="273"/>
      <c r="N250" s="197"/>
      <c r="O250" s="200">
        <f t="shared" si="43"/>
        <v>0</v>
      </c>
      <c r="P250" s="274"/>
      <c r="Q250" s="274"/>
      <c r="R250" s="276"/>
      <c r="S250" s="274"/>
      <c r="T250" s="197">
        <f t="shared" si="44"/>
        <v>0</v>
      </c>
      <c r="U250" s="197">
        <f t="shared" si="45"/>
        <v>0</v>
      </c>
      <c r="V250" s="197">
        <f t="shared" si="46"/>
        <v>0</v>
      </c>
      <c r="W250" s="197">
        <f t="shared" si="47"/>
        <v>0</v>
      </c>
      <c r="Z250" s="197"/>
      <c r="AA250" s="228"/>
      <c r="AB250" s="228"/>
      <c r="AD250" s="228"/>
      <c r="AE250" s="228"/>
      <c r="AF250" s="228"/>
      <c r="AG250" s="228"/>
      <c r="AH250" s="228"/>
      <c r="AI250" s="228"/>
      <c r="AJ250" s="228"/>
      <c r="AK250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</row>
    <row r="251" spans="1:64" s="198" customFormat="1" x14ac:dyDescent="0.25">
      <c r="A251" s="290" t="str">
        <f t="shared" si="50"/>
        <v>Hudson View Park</v>
      </c>
      <c r="B251" s="195">
        <f t="shared" si="48"/>
        <v>153</v>
      </c>
      <c r="C251" s="196" t="str">
        <f t="shared" si="49"/>
        <v>Occ</v>
      </c>
      <c r="D251" s="196" t="e" cm="1">
        <f t="array" ref="D251">INDEX($C$5:$C$61,MATCH(1,(K251=$D$5:$D$61)*(A251=$B$5:$B$61),0))</f>
        <v>#N/A</v>
      </c>
      <c r="E251" s="196" t="e" cm="1">
        <f t="array" ref="E251">INDEX($E$5:$E$61,MATCH(1,(D251=$C$5:$C$61)*(A251=$B$5:$B$61),0))</f>
        <v>#N/A</v>
      </c>
      <c r="F251" s="196" t="e" cm="1">
        <f t="array" ref="F251">INDEX($F$5:$F$61,MATCH(1,(D251=$C$5:$C$61)*(A251=$B$5:$B$61),0))</f>
        <v>#N/A</v>
      </c>
      <c r="G251" s="196" t="e" cm="1">
        <f t="array" ref="G251">INDEX($G$5:$G$61,MATCH(1,(D251=$C$5:$C$61)*(A251=$B$5:$B$61),0))</f>
        <v>#N/A</v>
      </c>
      <c r="H251" s="196" t="e" cm="1">
        <f t="array" ref="H251">INDEX($H$5:$H$61,MATCH(1,(D251=$C$5:$C$61)*(A251=$B$5:$B$61),0))</f>
        <v>#N/A</v>
      </c>
      <c r="I251" s="196" t="e" cm="1">
        <f t="array" ref="I251">INDEX($I$5:$I$61,MATCH(1,(D251=$C$5:$C$61)*(A251=$B$5:$B$61),0))</f>
        <v>#N/A</v>
      </c>
      <c r="J251" s="273"/>
      <c r="K251" s="273"/>
      <c r="L251" s="272"/>
      <c r="M251" s="273"/>
      <c r="N251" s="197"/>
      <c r="O251" s="200">
        <f t="shared" si="43"/>
        <v>0</v>
      </c>
      <c r="P251" s="274"/>
      <c r="Q251" s="274"/>
      <c r="R251" s="276"/>
      <c r="S251" s="274"/>
      <c r="T251" s="197">
        <f t="shared" si="44"/>
        <v>0</v>
      </c>
      <c r="U251" s="197">
        <f t="shared" si="45"/>
        <v>0</v>
      </c>
      <c r="V251" s="197">
        <f t="shared" si="46"/>
        <v>0</v>
      </c>
      <c r="W251" s="197">
        <f t="shared" si="47"/>
        <v>0</v>
      </c>
      <c r="Z251" s="197"/>
      <c r="AA251" s="228"/>
      <c r="AB251" s="228"/>
      <c r="AD251" s="228"/>
      <c r="AE251" s="228"/>
      <c r="AF251" s="228"/>
      <c r="AG251" s="228"/>
      <c r="AH251" s="228"/>
      <c r="AI251" s="228"/>
      <c r="AJ251" s="228"/>
      <c r="AK251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 spans="1:64" s="198" customFormat="1" x14ac:dyDescent="0.25">
      <c r="A252" s="290" t="str">
        <f t="shared" si="50"/>
        <v>Hudson View Park</v>
      </c>
      <c r="B252" s="195">
        <f t="shared" si="48"/>
        <v>154</v>
      </c>
      <c r="C252" s="196" t="str">
        <f t="shared" si="49"/>
        <v>Occ</v>
      </c>
      <c r="D252" s="196" t="e" cm="1">
        <f t="array" ref="D252">INDEX($C$5:$C$61,MATCH(1,(K252=$D$5:$D$61)*(A252=$B$5:$B$61),0))</f>
        <v>#N/A</v>
      </c>
      <c r="E252" s="196" t="e" cm="1">
        <f t="array" ref="E252">INDEX($E$5:$E$61,MATCH(1,(D252=$C$5:$C$61)*(A252=$B$5:$B$61),0))</f>
        <v>#N/A</v>
      </c>
      <c r="F252" s="196" t="e" cm="1">
        <f t="array" ref="F252">INDEX($F$5:$F$61,MATCH(1,(D252=$C$5:$C$61)*(A252=$B$5:$B$61),0))</f>
        <v>#N/A</v>
      </c>
      <c r="G252" s="196" t="e" cm="1">
        <f t="array" ref="G252">INDEX($G$5:$G$61,MATCH(1,(D252=$C$5:$C$61)*(A252=$B$5:$B$61),0))</f>
        <v>#N/A</v>
      </c>
      <c r="H252" s="196" t="e" cm="1">
        <f t="array" ref="H252">INDEX($H$5:$H$61,MATCH(1,(D252=$C$5:$C$61)*(A252=$B$5:$B$61),0))</f>
        <v>#N/A</v>
      </c>
      <c r="I252" s="196" t="e" cm="1">
        <f t="array" ref="I252">INDEX($I$5:$I$61,MATCH(1,(D252=$C$5:$C$61)*(A252=$B$5:$B$61),0))</f>
        <v>#N/A</v>
      </c>
      <c r="J252" s="273"/>
      <c r="K252" s="273"/>
      <c r="L252" s="272"/>
      <c r="M252" s="273"/>
      <c r="N252" s="197"/>
      <c r="O252" s="200">
        <f t="shared" si="43"/>
        <v>0</v>
      </c>
      <c r="P252" s="274"/>
      <c r="Q252" s="274"/>
      <c r="R252" s="276"/>
      <c r="S252" s="274"/>
      <c r="T252" s="197">
        <f t="shared" si="44"/>
        <v>0</v>
      </c>
      <c r="U252" s="197">
        <f t="shared" si="45"/>
        <v>0</v>
      </c>
      <c r="V252" s="197">
        <f t="shared" si="46"/>
        <v>0</v>
      </c>
      <c r="W252" s="197">
        <f t="shared" si="47"/>
        <v>0</v>
      </c>
      <c r="Z252" s="197"/>
      <c r="AA252" s="228"/>
      <c r="AB252" s="228"/>
      <c r="AD252" s="228"/>
      <c r="AE252" s="228"/>
      <c r="AF252" s="228"/>
      <c r="AG252" s="228"/>
      <c r="AH252" s="228"/>
      <c r="AI252" s="228"/>
      <c r="AJ252" s="228"/>
      <c r="AK252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 spans="1:64" s="198" customFormat="1" x14ac:dyDescent="0.25">
      <c r="A253" s="290" t="str">
        <f t="shared" si="50"/>
        <v>Hudson View Park</v>
      </c>
      <c r="B253" s="195">
        <f t="shared" si="48"/>
        <v>155</v>
      </c>
      <c r="C253" s="196" t="str">
        <f t="shared" si="49"/>
        <v>Occ</v>
      </c>
      <c r="D253" s="196" t="e" cm="1">
        <f t="array" ref="D253">INDEX($C$5:$C$61,MATCH(1,(K253=$D$5:$D$61)*(A253=$B$5:$B$61),0))</f>
        <v>#N/A</v>
      </c>
      <c r="E253" s="196" t="e" cm="1">
        <f t="array" ref="E253">INDEX($E$5:$E$61,MATCH(1,(D253=$C$5:$C$61)*(A253=$B$5:$B$61),0))</f>
        <v>#N/A</v>
      </c>
      <c r="F253" s="196" t="e" cm="1">
        <f t="array" ref="F253">INDEX($F$5:$F$61,MATCH(1,(D253=$C$5:$C$61)*(A253=$B$5:$B$61),0))</f>
        <v>#N/A</v>
      </c>
      <c r="G253" s="196" t="e" cm="1">
        <f t="array" ref="G253">INDEX($G$5:$G$61,MATCH(1,(D253=$C$5:$C$61)*(A253=$B$5:$B$61),0))</f>
        <v>#N/A</v>
      </c>
      <c r="H253" s="196" t="e" cm="1">
        <f t="array" ref="H253">INDEX($H$5:$H$61,MATCH(1,(D253=$C$5:$C$61)*(A253=$B$5:$B$61),0))</f>
        <v>#N/A</v>
      </c>
      <c r="I253" s="196" t="e" cm="1">
        <f t="array" ref="I253">INDEX($I$5:$I$61,MATCH(1,(D253=$C$5:$C$61)*(A253=$B$5:$B$61),0))</f>
        <v>#N/A</v>
      </c>
      <c r="J253" s="273"/>
      <c r="K253" s="273"/>
      <c r="L253" s="272"/>
      <c r="M253" s="273"/>
      <c r="N253" s="197"/>
      <c r="O253" s="200">
        <f t="shared" si="43"/>
        <v>0</v>
      </c>
      <c r="P253" s="274"/>
      <c r="Q253" s="274"/>
      <c r="R253" s="276"/>
      <c r="S253" s="274"/>
      <c r="T253" s="197">
        <f t="shared" si="44"/>
        <v>0</v>
      </c>
      <c r="U253" s="197">
        <f t="shared" si="45"/>
        <v>0</v>
      </c>
      <c r="V253" s="197">
        <f t="shared" si="46"/>
        <v>0</v>
      </c>
      <c r="W253" s="197">
        <f t="shared" si="47"/>
        <v>0</v>
      </c>
      <c r="Z253" s="197"/>
      <c r="AA253" s="228"/>
      <c r="AB253" s="228"/>
      <c r="AD253" s="228"/>
      <c r="AE253" s="228"/>
      <c r="AF253" s="228"/>
      <c r="AG253" s="228"/>
      <c r="AH253" s="228"/>
      <c r="AI253" s="228"/>
      <c r="AJ253" s="228"/>
      <c r="AK253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</row>
    <row r="254" spans="1:64" s="198" customFormat="1" x14ac:dyDescent="0.25">
      <c r="A254" s="290" t="str">
        <f t="shared" si="50"/>
        <v>Hudson View Park</v>
      </c>
      <c r="B254" s="195">
        <f t="shared" si="48"/>
        <v>156</v>
      </c>
      <c r="C254" s="196" t="str">
        <f t="shared" si="49"/>
        <v>Occ</v>
      </c>
      <c r="D254" s="196" t="e" cm="1">
        <f t="array" ref="D254">INDEX($C$5:$C$61,MATCH(1,(K254=$D$5:$D$61)*(A254=$B$5:$B$61),0))</f>
        <v>#N/A</v>
      </c>
      <c r="E254" s="196" t="e" cm="1">
        <f t="array" ref="E254">INDEX($E$5:$E$61,MATCH(1,(D254=$C$5:$C$61)*(A254=$B$5:$B$61),0))</f>
        <v>#N/A</v>
      </c>
      <c r="F254" s="196" t="e" cm="1">
        <f t="array" ref="F254">INDEX($F$5:$F$61,MATCH(1,(D254=$C$5:$C$61)*(A254=$B$5:$B$61),0))</f>
        <v>#N/A</v>
      </c>
      <c r="G254" s="196" t="e" cm="1">
        <f t="array" ref="G254">INDEX($G$5:$G$61,MATCH(1,(D254=$C$5:$C$61)*(A254=$B$5:$B$61),0))</f>
        <v>#N/A</v>
      </c>
      <c r="H254" s="196" t="e" cm="1">
        <f t="array" ref="H254">INDEX($H$5:$H$61,MATCH(1,(D254=$C$5:$C$61)*(A254=$B$5:$B$61),0))</f>
        <v>#N/A</v>
      </c>
      <c r="I254" s="196" t="e" cm="1">
        <f t="array" ref="I254">INDEX($I$5:$I$61,MATCH(1,(D254=$C$5:$C$61)*(A254=$B$5:$B$61),0))</f>
        <v>#N/A</v>
      </c>
      <c r="J254" s="273"/>
      <c r="K254" s="273"/>
      <c r="L254" s="272"/>
      <c r="M254" s="273"/>
      <c r="N254" s="197"/>
      <c r="O254" s="200">
        <f t="shared" si="43"/>
        <v>0</v>
      </c>
      <c r="P254" s="274"/>
      <c r="Q254" s="274"/>
      <c r="R254" s="276"/>
      <c r="S254" s="274"/>
      <c r="T254" s="197">
        <f t="shared" si="44"/>
        <v>0</v>
      </c>
      <c r="U254" s="197">
        <f t="shared" si="45"/>
        <v>0</v>
      </c>
      <c r="V254" s="197">
        <f t="shared" si="46"/>
        <v>0</v>
      </c>
      <c r="W254" s="197">
        <f t="shared" si="47"/>
        <v>0</v>
      </c>
      <c r="Z254" s="197"/>
      <c r="AA254" s="228"/>
      <c r="AB254" s="228"/>
      <c r="AD254" s="228"/>
      <c r="AE254" s="228"/>
      <c r="AF254" s="228"/>
      <c r="AG254" s="228"/>
      <c r="AH254" s="228"/>
      <c r="AI254" s="228"/>
      <c r="AJ254" s="228"/>
      <c r="AK254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</row>
    <row r="255" spans="1:64" s="198" customFormat="1" x14ac:dyDescent="0.25">
      <c r="A255" s="290" t="str">
        <f t="shared" si="50"/>
        <v>Hudson View Park</v>
      </c>
      <c r="B255" s="195">
        <f t="shared" si="48"/>
        <v>157</v>
      </c>
      <c r="C255" s="196" t="str">
        <f t="shared" si="49"/>
        <v>Occ</v>
      </c>
      <c r="D255" s="196" t="e" cm="1">
        <f t="array" ref="D255">INDEX($C$5:$C$61,MATCH(1,(K255=$D$5:$D$61)*(A255=$B$5:$B$61),0))</f>
        <v>#N/A</v>
      </c>
      <c r="E255" s="196" t="e" cm="1">
        <f t="array" ref="E255">INDEX($E$5:$E$61,MATCH(1,(D255=$C$5:$C$61)*(A255=$B$5:$B$61),0))</f>
        <v>#N/A</v>
      </c>
      <c r="F255" s="196" t="e" cm="1">
        <f t="array" ref="F255">INDEX($F$5:$F$61,MATCH(1,(D255=$C$5:$C$61)*(A255=$B$5:$B$61),0))</f>
        <v>#N/A</v>
      </c>
      <c r="G255" s="196" t="e" cm="1">
        <f t="array" ref="G255">INDEX($G$5:$G$61,MATCH(1,(D255=$C$5:$C$61)*(A255=$B$5:$B$61),0))</f>
        <v>#N/A</v>
      </c>
      <c r="H255" s="196" t="e" cm="1">
        <f t="array" ref="H255">INDEX($H$5:$H$61,MATCH(1,(D255=$C$5:$C$61)*(A255=$B$5:$B$61),0))</f>
        <v>#N/A</v>
      </c>
      <c r="I255" s="196" t="e" cm="1">
        <f t="array" ref="I255">INDEX($I$5:$I$61,MATCH(1,(D255=$C$5:$C$61)*(A255=$B$5:$B$61),0))</f>
        <v>#N/A</v>
      </c>
      <c r="J255" s="273"/>
      <c r="K255" s="273"/>
      <c r="L255" s="272"/>
      <c r="M255" s="273"/>
      <c r="N255" s="197"/>
      <c r="O255" s="200">
        <f t="shared" si="43"/>
        <v>0</v>
      </c>
      <c r="P255" s="274"/>
      <c r="Q255" s="274"/>
      <c r="R255" s="276"/>
      <c r="S255" s="274"/>
      <c r="T255" s="197">
        <f t="shared" si="44"/>
        <v>0</v>
      </c>
      <c r="U255" s="197">
        <f t="shared" si="45"/>
        <v>0</v>
      </c>
      <c r="V255" s="197">
        <f t="shared" si="46"/>
        <v>0</v>
      </c>
      <c r="W255" s="197">
        <f t="shared" si="47"/>
        <v>0</v>
      </c>
      <c r="Z255" s="197"/>
      <c r="AA255" s="228"/>
      <c r="AB255" s="228"/>
      <c r="AD255" s="228"/>
      <c r="AE255" s="228"/>
      <c r="AF255" s="228"/>
      <c r="AG255" s="228"/>
      <c r="AH255" s="228"/>
      <c r="AI255" s="228"/>
      <c r="AJ255" s="228"/>
      <c r="AK255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</row>
    <row r="256" spans="1:64" s="198" customFormat="1" x14ac:dyDescent="0.25">
      <c r="A256" s="290" t="str">
        <f t="shared" si="50"/>
        <v>Hudson View Park</v>
      </c>
      <c r="B256" s="195">
        <f t="shared" si="48"/>
        <v>158</v>
      </c>
      <c r="C256" s="196" t="str">
        <f t="shared" si="49"/>
        <v>Occ</v>
      </c>
      <c r="D256" s="196" t="e" cm="1">
        <f t="array" ref="D256">INDEX($C$5:$C$61,MATCH(1,(K256=$D$5:$D$61)*(A256=$B$5:$B$61),0))</f>
        <v>#N/A</v>
      </c>
      <c r="E256" s="196" t="e" cm="1">
        <f t="array" ref="E256">INDEX($E$5:$E$61,MATCH(1,(D256=$C$5:$C$61)*(A256=$B$5:$B$61),0))</f>
        <v>#N/A</v>
      </c>
      <c r="F256" s="196" t="e" cm="1">
        <f t="array" ref="F256">INDEX($F$5:$F$61,MATCH(1,(D256=$C$5:$C$61)*(A256=$B$5:$B$61),0))</f>
        <v>#N/A</v>
      </c>
      <c r="G256" s="196" t="e" cm="1">
        <f t="array" ref="G256">INDEX($G$5:$G$61,MATCH(1,(D256=$C$5:$C$61)*(A256=$B$5:$B$61),0))</f>
        <v>#N/A</v>
      </c>
      <c r="H256" s="196" t="e" cm="1">
        <f t="array" ref="H256">INDEX($H$5:$H$61,MATCH(1,(D256=$C$5:$C$61)*(A256=$B$5:$B$61),0))</f>
        <v>#N/A</v>
      </c>
      <c r="I256" s="196" t="e" cm="1">
        <f t="array" ref="I256">INDEX($I$5:$I$61,MATCH(1,(D256=$C$5:$C$61)*(A256=$B$5:$B$61),0))</f>
        <v>#N/A</v>
      </c>
      <c r="J256" s="273"/>
      <c r="K256" s="273"/>
      <c r="L256" s="272"/>
      <c r="M256" s="273"/>
      <c r="N256" s="197"/>
      <c r="O256" s="200">
        <f t="shared" si="43"/>
        <v>0</v>
      </c>
      <c r="P256" s="274"/>
      <c r="Q256" s="274"/>
      <c r="R256" s="276"/>
      <c r="S256" s="274"/>
      <c r="T256" s="197">
        <f t="shared" si="44"/>
        <v>0</v>
      </c>
      <c r="U256" s="197">
        <f t="shared" si="45"/>
        <v>0</v>
      </c>
      <c r="V256" s="197">
        <f t="shared" si="46"/>
        <v>0</v>
      </c>
      <c r="W256" s="197">
        <f t="shared" si="47"/>
        <v>0</v>
      </c>
      <c r="Z256" s="197"/>
      <c r="AA256" s="228"/>
      <c r="AB256" s="228"/>
      <c r="AD256" s="228"/>
      <c r="AE256" s="228"/>
      <c r="AF256" s="228"/>
      <c r="AG256" s="228"/>
      <c r="AH256" s="228"/>
      <c r="AI256" s="228"/>
      <c r="AJ256" s="228"/>
      <c r="AK256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</row>
    <row r="257" spans="1:64" s="198" customFormat="1" x14ac:dyDescent="0.25">
      <c r="A257" s="290" t="str">
        <f t="shared" si="50"/>
        <v>Hudson View Park</v>
      </c>
      <c r="B257" s="195">
        <f t="shared" si="48"/>
        <v>159</v>
      </c>
      <c r="C257" s="196" t="str">
        <f t="shared" si="49"/>
        <v>Occ</v>
      </c>
      <c r="D257" s="196" t="e" cm="1">
        <f t="array" ref="D257">INDEX($C$5:$C$61,MATCH(1,(K257=$D$5:$D$61)*(A257=$B$5:$B$61),0))</f>
        <v>#N/A</v>
      </c>
      <c r="E257" s="196" t="e" cm="1">
        <f t="array" ref="E257">INDEX($E$5:$E$61,MATCH(1,(D257=$C$5:$C$61)*(A257=$B$5:$B$61),0))</f>
        <v>#N/A</v>
      </c>
      <c r="F257" s="196" t="e" cm="1">
        <f t="array" ref="F257">INDEX($F$5:$F$61,MATCH(1,(D257=$C$5:$C$61)*(A257=$B$5:$B$61),0))</f>
        <v>#N/A</v>
      </c>
      <c r="G257" s="196" t="e" cm="1">
        <f t="array" ref="G257">INDEX($G$5:$G$61,MATCH(1,(D257=$C$5:$C$61)*(A257=$B$5:$B$61),0))</f>
        <v>#N/A</v>
      </c>
      <c r="H257" s="196" t="e" cm="1">
        <f t="array" ref="H257">INDEX($H$5:$H$61,MATCH(1,(D257=$C$5:$C$61)*(A257=$B$5:$B$61),0))</f>
        <v>#N/A</v>
      </c>
      <c r="I257" s="196" t="e" cm="1">
        <f t="array" ref="I257">INDEX($I$5:$I$61,MATCH(1,(D257=$C$5:$C$61)*(A257=$B$5:$B$61),0))</f>
        <v>#N/A</v>
      </c>
      <c r="J257" s="273"/>
      <c r="K257" s="273"/>
      <c r="L257" s="272"/>
      <c r="M257" s="273"/>
      <c r="N257" s="197"/>
      <c r="O257" s="200">
        <f t="shared" si="43"/>
        <v>0</v>
      </c>
      <c r="P257" s="274"/>
      <c r="Q257" s="274"/>
      <c r="R257" s="276"/>
      <c r="S257" s="274"/>
      <c r="T257" s="197">
        <f t="shared" si="44"/>
        <v>0</v>
      </c>
      <c r="U257" s="197">
        <f t="shared" si="45"/>
        <v>0</v>
      </c>
      <c r="V257" s="197">
        <f t="shared" si="46"/>
        <v>0</v>
      </c>
      <c r="W257" s="197">
        <f t="shared" si="47"/>
        <v>0</v>
      </c>
      <c r="Z257" s="197"/>
      <c r="AA257" s="228"/>
      <c r="AB257" s="228"/>
      <c r="AD257" s="228"/>
      <c r="AE257" s="228"/>
      <c r="AF257" s="228"/>
      <c r="AG257" s="228"/>
      <c r="AH257" s="228"/>
      <c r="AI257" s="228"/>
      <c r="AJ257" s="228"/>
      <c r="AK257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</row>
    <row r="258" spans="1:64" s="198" customFormat="1" x14ac:dyDescent="0.25">
      <c r="A258" s="290" t="str">
        <f t="shared" si="50"/>
        <v>Hudson View Park</v>
      </c>
      <c r="B258" s="195">
        <f t="shared" si="48"/>
        <v>160</v>
      </c>
      <c r="C258" s="196" t="str">
        <f t="shared" si="49"/>
        <v>Occ</v>
      </c>
      <c r="D258" s="196" t="e" cm="1">
        <f t="array" ref="D258">INDEX($C$5:$C$61,MATCH(1,(K258=$D$5:$D$61)*(A258=$B$5:$B$61),0))</f>
        <v>#N/A</v>
      </c>
      <c r="E258" s="196" t="e" cm="1">
        <f t="array" ref="E258">INDEX($E$5:$E$61,MATCH(1,(D258=$C$5:$C$61)*(A258=$B$5:$B$61),0))</f>
        <v>#N/A</v>
      </c>
      <c r="F258" s="196" t="e" cm="1">
        <f t="array" ref="F258">INDEX($F$5:$F$61,MATCH(1,(D258=$C$5:$C$61)*(A258=$B$5:$B$61),0))</f>
        <v>#N/A</v>
      </c>
      <c r="G258" s="196" t="e" cm="1">
        <f t="array" ref="G258">INDEX($G$5:$G$61,MATCH(1,(D258=$C$5:$C$61)*(A258=$B$5:$B$61),0))</f>
        <v>#N/A</v>
      </c>
      <c r="H258" s="196" t="e" cm="1">
        <f t="array" ref="H258">INDEX($H$5:$H$61,MATCH(1,(D258=$C$5:$C$61)*(A258=$B$5:$B$61),0))</f>
        <v>#N/A</v>
      </c>
      <c r="I258" s="196" t="e" cm="1">
        <f t="array" ref="I258">INDEX($I$5:$I$61,MATCH(1,(D258=$C$5:$C$61)*(A258=$B$5:$B$61),0))</f>
        <v>#N/A</v>
      </c>
      <c r="J258" s="273"/>
      <c r="K258" s="273"/>
      <c r="L258" s="272"/>
      <c r="M258" s="273"/>
      <c r="N258" s="197"/>
      <c r="O258" s="200">
        <f t="shared" si="43"/>
        <v>0</v>
      </c>
      <c r="P258" s="274"/>
      <c r="Q258" s="274"/>
      <c r="R258" s="276"/>
      <c r="S258" s="274"/>
      <c r="T258" s="197">
        <f t="shared" si="44"/>
        <v>0</v>
      </c>
      <c r="U258" s="197">
        <f t="shared" si="45"/>
        <v>0</v>
      </c>
      <c r="V258" s="197">
        <f t="shared" si="46"/>
        <v>0</v>
      </c>
      <c r="W258" s="197">
        <f t="shared" si="47"/>
        <v>0</v>
      </c>
      <c r="Z258" s="197"/>
      <c r="AA258" s="228"/>
      <c r="AB258" s="228"/>
      <c r="AD258" s="228"/>
      <c r="AE258" s="228"/>
      <c r="AF258" s="228"/>
      <c r="AG258" s="228"/>
      <c r="AH258" s="228"/>
      <c r="AI258" s="228"/>
      <c r="AJ258" s="228"/>
      <c r="AK25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</row>
    <row r="259" spans="1:64" s="198" customFormat="1" x14ac:dyDescent="0.25">
      <c r="A259" s="290" t="str">
        <f t="shared" si="50"/>
        <v>Hudson View Park</v>
      </c>
      <c r="B259" s="195">
        <f t="shared" si="48"/>
        <v>161</v>
      </c>
      <c r="C259" s="196" t="str">
        <f t="shared" si="49"/>
        <v>Occ</v>
      </c>
      <c r="D259" s="196" t="e" cm="1">
        <f t="array" ref="D259">INDEX($C$5:$C$61,MATCH(1,(K259=$D$5:$D$61)*(A259=$B$5:$B$61),0))</f>
        <v>#N/A</v>
      </c>
      <c r="E259" s="196" t="e" cm="1">
        <f t="array" ref="E259">INDEX($E$5:$E$61,MATCH(1,(D259=$C$5:$C$61)*(A259=$B$5:$B$61),0))</f>
        <v>#N/A</v>
      </c>
      <c r="F259" s="196" t="e" cm="1">
        <f t="array" ref="F259">INDEX($F$5:$F$61,MATCH(1,(D259=$C$5:$C$61)*(A259=$B$5:$B$61),0))</f>
        <v>#N/A</v>
      </c>
      <c r="G259" s="196" t="e" cm="1">
        <f t="array" ref="G259">INDEX($G$5:$G$61,MATCH(1,(D259=$C$5:$C$61)*(A259=$B$5:$B$61),0))</f>
        <v>#N/A</v>
      </c>
      <c r="H259" s="196" t="e" cm="1">
        <f t="array" ref="H259">INDEX($H$5:$H$61,MATCH(1,(D259=$C$5:$C$61)*(A259=$B$5:$B$61),0))</f>
        <v>#N/A</v>
      </c>
      <c r="I259" s="196" t="e" cm="1">
        <f t="array" ref="I259">INDEX($I$5:$I$61,MATCH(1,(D259=$C$5:$C$61)*(A259=$B$5:$B$61),0))</f>
        <v>#N/A</v>
      </c>
      <c r="J259" s="273"/>
      <c r="K259" s="273"/>
      <c r="L259" s="272"/>
      <c r="M259" s="273"/>
      <c r="N259" s="197"/>
      <c r="O259" s="200">
        <f t="shared" si="43"/>
        <v>0</v>
      </c>
      <c r="P259" s="274"/>
      <c r="Q259" s="274"/>
      <c r="R259" s="276"/>
      <c r="S259" s="274"/>
      <c r="T259" s="197">
        <f t="shared" si="44"/>
        <v>0</v>
      </c>
      <c r="U259" s="197">
        <f t="shared" si="45"/>
        <v>0</v>
      </c>
      <c r="V259" s="197">
        <f t="shared" si="46"/>
        <v>0</v>
      </c>
      <c r="W259" s="197">
        <f t="shared" si="47"/>
        <v>0</v>
      </c>
      <c r="Z259" s="197"/>
      <c r="AA259" s="228"/>
      <c r="AB259" s="228"/>
      <c r="AD259" s="228"/>
      <c r="AE259" s="228"/>
      <c r="AF259" s="228"/>
      <c r="AG259" s="228"/>
      <c r="AH259" s="228"/>
      <c r="AI259" s="228"/>
      <c r="AJ259" s="228"/>
      <c r="AK259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</row>
    <row r="260" spans="1:64" s="198" customFormat="1" x14ac:dyDescent="0.25">
      <c r="A260" s="290" t="str">
        <f t="shared" si="50"/>
        <v>Hudson View Park</v>
      </c>
      <c r="B260" s="195">
        <f t="shared" si="48"/>
        <v>162</v>
      </c>
      <c r="C260" s="196" t="str">
        <f t="shared" si="49"/>
        <v>Occ</v>
      </c>
      <c r="D260" s="196" t="e" cm="1">
        <f t="array" ref="D260">INDEX($C$5:$C$61,MATCH(1,(K260=$D$5:$D$61)*(A260=$B$5:$B$61),0))</f>
        <v>#N/A</v>
      </c>
      <c r="E260" s="196" t="e" cm="1">
        <f t="array" ref="E260">INDEX($E$5:$E$61,MATCH(1,(D260=$C$5:$C$61)*(A260=$B$5:$B$61),0))</f>
        <v>#N/A</v>
      </c>
      <c r="F260" s="196" t="e" cm="1">
        <f t="array" ref="F260">INDEX($F$5:$F$61,MATCH(1,(D260=$C$5:$C$61)*(A260=$B$5:$B$61),0))</f>
        <v>#N/A</v>
      </c>
      <c r="G260" s="196" t="e" cm="1">
        <f t="array" ref="G260">INDEX($G$5:$G$61,MATCH(1,(D260=$C$5:$C$61)*(A260=$B$5:$B$61),0))</f>
        <v>#N/A</v>
      </c>
      <c r="H260" s="196" t="e" cm="1">
        <f t="array" ref="H260">INDEX($H$5:$H$61,MATCH(1,(D260=$C$5:$C$61)*(A260=$B$5:$B$61),0))</f>
        <v>#N/A</v>
      </c>
      <c r="I260" s="196" t="e" cm="1">
        <f t="array" ref="I260">INDEX($I$5:$I$61,MATCH(1,(D260=$C$5:$C$61)*(A260=$B$5:$B$61),0))</f>
        <v>#N/A</v>
      </c>
      <c r="J260" s="273"/>
      <c r="K260" s="273"/>
      <c r="L260" s="272"/>
      <c r="M260" s="273"/>
      <c r="N260" s="197"/>
      <c r="O260" s="200">
        <f t="shared" si="43"/>
        <v>0</v>
      </c>
      <c r="P260" s="274"/>
      <c r="Q260" s="274"/>
      <c r="R260" s="276"/>
      <c r="S260" s="274"/>
      <c r="T260" s="197">
        <f t="shared" si="44"/>
        <v>0</v>
      </c>
      <c r="U260" s="197">
        <f t="shared" si="45"/>
        <v>0</v>
      </c>
      <c r="V260" s="197">
        <f t="shared" si="46"/>
        <v>0</v>
      </c>
      <c r="W260" s="197">
        <f t="shared" si="47"/>
        <v>0</v>
      </c>
      <c r="Z260" s="197"/>
      <c r="AA260" s="228"/>
      <c r="AB260" s="228"/>
      <c r="AD260" s="228"/>
      <c r="AE260" s="228"/>
      <c r="AF260" s="228"/>
      <c r="AG260" s="228"/>
      <c r="AH260" s="228"/>
      <c r="AI260" s="228"/>
      <c r="AJ260" s="228"/>
      <c r="AK260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</row>
    <row r="261" spans="1:64" s="198" customFormat="1" x14ac:dyDescent="0.25">
      <c r="A261" s="290" t="str">
        <f t="shared" si="50"/>
        <v>Hudson View Park</v>
      </c>
      <c r="B261" s="195">
        <f t="shared" si="48"/>
        <v>163</v>
      </c>
      <c r="C261" s="196" t="str">
        <f t="shared" si="49"/>
        <v>Occ</v>
      </c>
      <c r="D261" s="196" t="e" cm="1">
        <f t="array" ref="D261">INDEX($C$5:$C$61,MATCH(1,(K261=$D$5:$D$61)*(A261=$B$5:$B$61),0))</f>
        <v>#N/A</v>
      </c>
      <c r="E261" s="196" t="e" cm="1">
        <f t="array" ref="E261">INDEX($E$5:$E$61,MATCH(1,(D261=$C$5:$C$61)*(A261=$B$5:$B$61),0))</f>
        <v>#N/A</v>
      </c>
      <c r="F261" s="196" t="e" cm="1">
        <f t="array" ref="F261">INDEX($F$5:$F$61,MATCH(1,(D261=$C$5:$C$61)*(A261=$B$5:$B$61),0))</f>
        <v>#N/A</v>
      </c>
      <c r="G261" s="196" t="e" cm="1">
        <f t="array" ref="G261">INDEX($G$5:$G$61,MATCH(1,(D261=$C$5:$C$61)*(A261=$B$5:$B$61),0))</f>
        <v>#N/A</v>
      </c>
      <c r="H261" s="196" t="e" cm="1">
        <f t="array" ref="H261">INDEX($H$5:$H$61,MATCH(1,(D261=$C$5:$C$61)*(A261=$B$5:$B$61),0))</f>
        <v>#N/A</v>
      </c>
      <c r="I261" s="196" t="e" cm="1">
        <f t="array" ref="I261">INDEX($I$5:$I$61,MATCH(1,(D261=$C$5:$C$61)*(A261=$B$5:$B$61),0))</f>
        <v>#N/A</v>
      </c>
      <c r="J261" s="273"/>
      <c r="K261" s="273"/>
      <c r="L261" s="272"/>
      <c r="M261" s="273"/>
      <c r="N261" s="197"/>
      <c r="O261" s="200">
        <f t="shared" si="43"/>
        <v>0</v>
      </c>
      <c r="P261" s="274"/>
      <c r="Q261" s="274"/>
      <c r="R261" s="276"/>
      <c r="S261" s="274"/>
      <c r="T261" s="197">
        <f t="shared" si="44"/>
        <v>0</v>
      </c>
      <c r="U261" s="197">
        <f t="shared" si="45"/>
        <v>0</v>
      </c>
      <c r="V261" s="197">
        <f t="shared" si="46"/>
        <v>0</v>
      </c>
      <c r="W261" s="197">
        <f t="shared" si="47"/>
        <v>0</v>
      </c>
      <c r="Z261" s="197"/>
      <c r="AA261" s="228"/>
      <c r="AB261" s="228"/>
      <c r="AD261" s="228"/>
      <c r="AE261" s="228"/>
      <c r="AF261" s="228"/>
      <c r="AG261" s="228"/>
      <c r="AH261" s="228"/>
      <c r="AI261" s="228"/>
      <c r="AJ261" s="228"/>
      <c r="AK261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</row>
    <row r="262" spans="1:64" s="198" customFormat="1" x14ac:dyDescent="0.25">
      <c r="A262" s="290" t="str">
        <f t="shared" si="50"/>
        <v>Hudson View Park</v>
      </c>
      <c r="B262" s="195">
        <f t="shared" si="48"/>
        <v>164</v>
      </c>
      <c r="C262" s="196" t="str">
        <f t="shared" si="49"/>
        <v>Occ</v>
      </c>
      <c r="D262" s="196" t="e" cm="1">
        <f t="array" ref="D262">INDEX($C$5:$C$61,MATCH(1,(K262=$D$5:$D$61)*(A262=$B$5:$B$61),0))</f>
        <v>#N/A</v>
      </c>
      <c r="E262" s="196" t="e" cm="1">
        <f t="array" ref="E262">INDEX($E$5:$E$61,MATCH(1,(D262=$C$5:$C$61)*(A262=$B$5:$B$61),0))</f>
        <v>#N/A</v>
      </c>
      <c r="F262" s="196" t="e" cm="1">
        <f t="array" ref="F262">INDEX($F$5:$F$61,MATCH(1,(D262=$C$5:$C$61)*(A262=$B$5:$B$61),0))</f>
        <v>#N/A</v>
      </c>
      <c r="G262" s="196" t="e" cm="1">
        <f t="array" ref="G262">INDEX($G$5:$G$61,MATCH(1,(D262=$C$5:$C$61)*(A262=$B$5:$B$61),0))</f>
        <v>#N/A</v>
      </c>
      <c r="H262" s="196" t="e" cm="1">
        <f t="array" ref="H262">INDEX($H$5:$H$61,MATCH(1,(D262=$C$5:$C$61)*(A262=$B$5:$B$61),0))</f>
        <v>#N/A</v>
      </c>
      <c r="I262" s="196" t="e" cm="1">
        <f t="array" ref="I262">INDEX($I$5:$I$61,MATCH(1,(D262=$C$5:$C$61)*(A262=$B$5:$B$61),0))</f>
        <v>#N/A</v>
      </c>
      <c r="J262" s="273"/>
      <c r="K262" s="273"/>
      <c r="L262" s="272"/>
      <c r="M262" s="273"/>
      <c r="N262" s="197"/>
      <c r="O262" s="200">
        <f t="shared" si="43"/>
        <v>0</v>
      </c>
      <c r="P262" s="274"/>
      <c r="Q262" s="274"/>
      <c r="R262" s="276"/>
      <c r="S262" s="274"/>
      <c r="T262" s="197">
        <f t="shared" si="44"/>
        <v>0</v>
      </c>
      <c r="U262" s="197">
        <f t="shared" si="45"/>
        <v>0</v>
      </c>
      <c r="V262" s="197">
        <f t="shared" si="46"/>
        <v>0</v>
      </c>
      <c r="W262" s="197">
        <f t="shared" si="47"/>
        <v>0</v>
      </c>
      <c r="Z262" s="197"/>
      <c r="AA262" s="228"/>
      <c r="AB262" s="228"/>
      <c r="AD262" s="228"/>
      <c r="AE262" s="228"/>
      <c r="AF262" s="228"/>
      <c r="AG262" s="228"/>
      <c r="AH262" s="228"/>
      <c r="AI262" s="228"/>
      <c r="AJ262" s="228"/>
      <c r="AK262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</row>
    <row r="263" spans="1:64" s="198" customFormat="1" x14ac:dyDescent="0.25">
      <c r="A263" s="290" t="str">
        <f t="shared" si="50"/>
        <v>Hudson View Park</v>
      </c>
      <c r="B263" s="195">
        <f t="shared" si="48"/>
        <v>165</v>
      </c>
      <c r="C263" s="196" t="str">
        <f t="shared" si="49"/>
        <v>Occ</v>
      </c>
      <c r="D263" s="196" t="e" cm="1">
        <f t="array" ref="D263">INDEX($C$5:$C$61,MATCH(1,(K263=$D$5:$D$61)*(A263=$B$5:$B$61),0))</f>
        <v>#N/A</v>
      </c>
      <c r="E263" s="196" t="e" cm="1">
        <f t="array" ref="E263">INDEX($E$5:$E$61,MATCH(1,(D263=$C$5:$C$61)*(A263=$B$5:$B$61),0))</f>
        <v>#N/A</v>
      </c>
      <c r="F263" s="196" t="e" cm="1">
        <f t="array" ref="F263">INDEX($F$5:$F$61,MATCH(1,(D263=$C$5:$C$61)*(A263=$B$5:$B$61),0))</f>
        <v>#N/A</v>
      </c>
      <c r="G263" s="196" t="e" cm="1">
        <f t="array" ref="G263">INDEX($G$5:$G$61,MATCH(1,(D263=$C$5:$C$61)*(A263=$B$5:$B$61),0))</f>
        <v>#N/A</v>
      </c>
      <c r="H263" s="196" t="e" cm="1">
        <f t="array" ref="H263">INDEX($H$5:$H$61,MATCH(1,(D263=$C$5:$C$61)*(A263=$B$5:$B$61),0))</f>
        <v>#N/A</v>
      </c>
      <c r="I263" s="196" t="e" cm="1">
        <f t="array" ref="I263">INDEX($I$5:$I$61,MATCH(1,(D263=$C$5:$C$61)*(A263=$B$5:$B$61),0))</f>
        <v>#N/A</v>
      </c>
      <c r="J263" s="273"/>
      <c r="K263" s="273"/>
      <c r="L263" s="272"/>
      <c r="M263" s="273"/>
      <c r="N263" s="197"/>
      <c r="O263" s="200">
        <f t="shared" si="43"/>
        <v>0</v>
      </c>
      <c r="P263" s="274"/>
      <c r="Q263" s="274"/>
      <c r="R263" s="276"/>
      <c r="S263" s="274"/>
      <c r="T263" s="197">
        <f t="shared" si="44"/>
        <v>0</v>
      </c>
      <c r="U263" s="197">
        <f t="shared" si="45"/>
        <v>0</v>
      </c>
      <c r="V263" s="197">
        <f t="shared" si="46"/>
        <v>0</v>
      </c>
      <c r="W263" s="197">
        <f t="shared" si="47"/>
        <v>0</v>
      </c>
      <c r="Z263" s="197"/>
      <c r="AA263" s="228"/>
      <c r="AB263" s="228"/>
      <c r="AD263" s="228"/>
      <c r="AE263" s="228"/>
      <c r="AF263" s="228"/>
      <c r="AG263" s="228"/>
      <c r="AH263" s="228"/>
      <c r="AI263" s="228"/>
      <c r="AJ263" s="228"/>
      <c r="AK263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</row>
    <row r="264" spans="1:64" s="198" customFormat="1" x14ac:dyDescent="0.25">
      <c r="A264" s="290" t="str">
        <f t="shared" si="50"/>
        <v>Hudson View Park</v>
      </c>
      <c r="B264" s="195">
        <f t="shared" si="48"/>
        <v>166</v>
      </c>
      <c r="C264" s="196" t="str">
        <f t="shared" si="49"/>
        <v>Occ</v>
      </c>
      <c r="D264" s="196" t="e" cm="1">
        <f t="array" ref="D264">INDEX($C$5:$C$61,MATCH(1,(K264=$D$5:$D$61)*(A264=$B$5:$B$61),0))</f>
        <v>#N/A</v>
      </c>
      <c r="E264" s="196" t="e" cm="1">
        <f t="array" ref="E264">INDEX($E$5:$E$61,MATCH(1,(D264=$C$5:$C$61)*(A264=$B$5:$B$61),0))</f>
        <v>#N/A</v>
      </c>
      <c r="F264" s="196" t="e" cm="1">
        <f t="array" ref="F264">INDEX($F$5:$F$61,MATCH(1,(D264=$C$5:$C$61)*(A264=$B$5:$B$61),0))</f>
        <v>#N/A</v>
      </c>
      <c r="G264" s="196" t="e" cm="1">
        <f t="array" ref="G264">INDEX($G$5:$G$61,MATCH(1,(D264=$C$5:$C$61)*(A264=$B$5:$B$61),0))</f>
        <v>#N/A</v>
      </c>
      <c r="H264" s="196" t="e" cm="1">
        <f t="array" ref="H264">INDEX($H$5:$H$61,MATCH(1,(D264=$C$5:$C$61)*(A264=$B$5:$B$61),0))</f>
        <v>#N/A</v>
      </c>
      <c r="I264" s="196" t="e" cm="1">
        <f t="array" ref="I264">INDEX($I$5:$I$61,MATCH(1,(D264=$C$5:$C$61)*(A264=$B$5:$B$61),0))</f>
        <v>#N/A</v>
      </c>
      <c r="J264" s="273"/>
      <c r="K264" s="273"/>
      <c r="L264" s="272"/>
      <c r="M264" s="273"/>
      <c r="N264" s="197"/>
      <c r="O264" s="200">
        <f t="shared" si="43"/>
        <v>0</v>
      </c>
      <c r="P264" s="274"/>
      <c r="Q264" s="274"/>
      <c r="R264" s="276"/>
      <c r="S264" s="274"/>
      <c r="T264" s="197">
        <f t="shared" si="44"/>
        <v>0</v>
      </c>
      <c r="U264" s="197">
        <f t="shared" si="45"/>
        <v>0</v>
      </c>
      <c r="V264" s="197">
        <f t="shared" si="46"/>
        <v>0</v>
      </c>
      <c r="W264" s="197">
        <f t="shared" si="47"/>
        <v>0</v>
      </c>
      <c r="Z264" s="197"/>
      <c r="AA264" s="228"/>
      <c r="AB264" s="228"/>
      <c r="AD264" s="228"/>
      <c r="AE264" s="228"/>
      <c r="AF264" s="228"/>
      <c r="AG264" s="228"/>
      <c r="AH264" s="228"/>
      <c r="AI264" s="228"/>
      <c r="AJ264" s="228"/>
      <c r="AK264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</row>
    <row r="265" spans="1:64" s="198" customFormat="1" x14ac:dyDescent="0.25">
      <c r="A265" s="290" t="str">
        <f t="shared" si="50"/>
        <v>Hudson View Park</v>
      </c>
      <c r="B265" s="195">
        <f t="shared" si="48"/>
        <v>167</v>
      </c>
      <c r="C265" s="196" t="str">
        <f t="shared" si="49"/>
        <v>Occ</v>
      </c>
      <c r="D265" s="196" t="e" cm="1">
        <f t="array" ref="D265">INDEX($C$5:$C$61,MATCH(1,(K265=$D$5:$D$61)*(A265=$B$5:$B$61),0))</f>
        <v>#N/A</v>
      </c>
      <c r="E265" s="196" t="e" cm="1">
        <f t="array" ref="E265">INDEX($E$5:$E$61,MATCH(1,(D265=$C$5:$C$61)*(A265=$B$5:$B$61),0))</f>
        <v>#N/A</v>
      </c>
      <c r="F265" s="196" t="e" cm="1">
        <f t="array" ref="F265">INDEX($F$5:$F$61,MATCH(1,(D265=$C$5:$C$61)*(A265=$B$5:$B$61),0))</f>
        <v>#N/A</v>
      </c>
      <c r="G265" s="196" t="e" cm="1">
        <f t="array" ref="G265">INDEX($G$5:$G$61,MATCH(1,(D265=$C$5:$C$61)*(A265=$B$5:$B$61),0))</f>
        <v>#N/A</v>
      </c>
      <c r="H265" s="196" t="e" cm="1">
        <f t="array" ref="H265">INDEX($H$5:$H$61,MATCH(1,(D265=$C$5:$C$61)*(A265=$B$5:$B$61),0))</f>
        <v>#N/A</v>
      </c>
      <c r="I265" s="196" t="e" cm="1">
        <f t="array" ref="I265">INDEX($I$5:$I$61,MATCH(1,(D265=$C$5:$C$61)*(A265=$B$5:$B$61),0))</f>
        <v>#N/A</v>
      </c>
      <c r="J265" s="273"/>
      <c r="K265" s="273"/>
      <c r="L265" s="272"/>
      <c r="M265" s="273"/>
      <c r="N265" s="197"/>
      <c r="O265" s="200">
        <f t="shared" si="43"/>
        <v>0</v>
      </c>
      <c r="P265" s="274"/>
      <c r="Q265" s="274"/>
      <c r="R265" s="276"/>
      <c r="S265" s="274"/>
      <c r="T265" s="197">
        <f t="shared" si="44"/>
        <v>0</v>
      </c>
      <c r="U265" s="197">
        <f t="shared" si="45"/>
        <v>0</v>
      </c>
      <c r="V265" s="197">
        <f t="shared" si="46"/>
        <v>0</v>
      </c>
      <c r="W265" s="197">
        <f t="shared" si="47"/>
        <v>0</v>
      </c>
      <c r="Z265" s="197"/>
      <c r="AA265" s="228"/>
      <c r="AB265" s="228"/>
      <c r="AD265" s="228"/>
      <c r="AE265" s="228"/>
      <c r="AF265" s="228"/>
      <c r="AG265" s="228"/>
      <c r="AH265" s="228"/>
      <c r="AI265" s="228"/>
      <c r="AJ265" s="228"/>
      <c r="AK265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</row>
    <row r="266" spans="1:64" s="198" customFormat="1" x14ac:dyDescent="0.25">
      <c r="A266" s="290" t="str">
        <f t="shared" si="50"/>
        <v>Hudson View Park</v>
      </c>
      <c r="B266" s="195">
        <f t="shared" si="48"/>
        <v>168</v>
      </c>
      <c r="C266" s="196" t="str">
        <f t="shared" si="49"/>
        <v>Occ</v>
      </c>
      <c r="D266" s="196" t="e" cm="1">
        <f t="array" ref="D266">INDEX($C$5:$C$61,MATCH(1,(K266=$D$5:$D$61)*(A266=$B$5:$B$61),0))</f>
        <v>#N/A</v>
      </c>
      <c r="E266" s="196" t="e" cm="1">
        <f t="array" ref="E266">INDEX($E$5:$E$61,MATCH(1,(D266=$C$5:$C$61)*(A266=$B$5:$B$61),0))</f>
        <v>#N/A</v>
      </c>
      <c r="F266" s="196" t="e" cm="1">
        <f t="array" ref="F266">INDEX($F$5:$F$61,MATCH(1,(D266=$C$5:$C$61)*(A266=$B$5:$B$61),0))</f>
        <v>#N/A</v>
      </c>
      <c r="G266" s="196" t="e" cm="1">
        <f t="array" ref="G266">INDEX($G$5:$G$61,MATCH(1,(D266=$C$5:$C$61)*(A266=$B$5:$B$61),0))</f>
        <v>#N/A</v>
      </c>
      <c r="H266" s="196" t="e" cm="1">
        <f t="array" ref="H266">INDEX($H$5:$H$61,MATCH(1,(D266=$C$5:$C$61)*(A266=$B$5:$B$61),0))</f>
        <v>#N/A</v>
      </c>
      <c r="I266" s="196" t="e" cm="1">
        <f t="array" ref="I266">INDEX($I$5:$I$61,MATCH(1,(D266=$C$5:$C$61)*(A266=$B$5:$B$61),0))</f>
        <v>#N/A</v>
      </c>
      <c r="J266" s="273"/>
      <c r="K266" s="273"/>
      <c r="L266" s="272"/>
      <c r="M266" s="273"/>
      <c r="N266" s="197"/>
      <c r="O266" s="200">
        <f t="shared" si="43"/>
        <v>0</v>
      </c>
      <c r="P266" s="274"/>
      <c r="Q266" s="274"/>
      <c r="R266" s="276"/>
      <c r="S266" s="274"/>
      <c r="T266" s="197">
        <f t="shared" si="44"/>
        <v>0</v>
      </c>
      <c r="U266" s="197">
        <f t="shared" si="45"/>
        <v>0</v>
      </c>
      <c r="V266" s="197">
        <f t="shared" si="46"/>
        <v>0</v>
      </c>
      <c r="W266" s="197">
        <f t="shared" si="47"/>
        <v>0</v>
      </c>
      <c r="Z266" s="197"/>
      <c r="AA266" s="228"/>
      <c r="AB266" s="228"/>
      <c r="AD266" s="228"/>
      <c r="AE266" s="228"/>
      <c r="AF266" s="228"/>
      <c r="AG266" s="228"/>
      <c r="AH266" s="228"/>
      <c r="AI266" s="228"/>
      <c r="AJ266" s="228"/>
      <c r="AK266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</row>
    <row r="267" spans="1:64" s="198" customFormat="1" x14ac:dyDescent="0.25">
      <c r="A267" s="290" t="str">
        <f t="shared" si="50"/>
        <v>Hudson View Park</v>
      </c>
      <c r="B267" s="195">
        <f t="shared" si="48"/>
        <v>169</v>
      </c>
      <c r="C267" s="196" t="str">
        <f t="shared" si="49"/>
        <v>Occ</v>
      </c>
      <c r="D267" s="196" t="e" cm="1">
        <f t="array" ref="D267">INDEX($C$5:$C$61,MATCH(1,(K267=$D$5:$D$61)*(A267=$B$5:$B$61),0))</f>
        <v>#N/A</v>
      </c>
      <c r="E267" s="196" t="e" cm="1">
        <f t="array" ref="E267">INDEX($E$5:$E$61,MATCH(1,(D267=$C$5:$C$61)*(A267=$B$5:$B$61),0))</f>
        <v>#N/A</v>
      </c>
      <c r="F267" s="196" t="e" cm="1">
        <f t="array" ref="F267">INDEX($F$5:$F$61,MATCH(1,(D267=$C$5:$C$61)*(A267=$B$5:$B$61),0))</f>
        <v>#N/A</v>
      </c>
      <c r="G267" s="196" t="e" cm="1">
        <f t="array" ref="G267">INDEX($G$5:$G$61,MATCH(1,(D267=$C$5:$C$61)*(A267=$B$5:$B$61),0))</f>
        <v>#N/A</v>
      </c>
      <c r="H267" s="196" t="e" cm="1">
        <f t="array" ref="H267">INDEX($H$5:$H$61,MATCH(1,(D267=$C$5:$C$61)*(A267=$B$5:$B$61),0))</f>
        <v>#N/A</v>
      </c>
      <c r="I267" s="196" t="e" cm="1">
        <f t="array" ref="I267">INDEX($I$5:$I$61,MATCH(1,(D267=$C$5:$C$61)*(A267=$B$5:$B$61),0))</f>
        <v>#N/A</v>
      </c>
      <c r="J267" s="273"/>
      <c r="K267" s="273"/>
      <c r="L267" s="272"/>
      <c r="M267" s="273"/>
      <c r="N267" s="197"/>
      <c r="O267" s="200">
        <f t="shared" si="43"/>
        <v>0</v>
      </c>
      <c r="P267" s="274"/>
      <c r="Q267" s="274"/>
      <c r="R267" s="276"/>
      <c r="S267" s="274"/>
      <c r="T267" s="197">
        <f t="shared" si="44"/>
        <v>0</v>
      </c>
      <c r="U267" s="197">
        <f t="shared" si="45"/>
        <v>0</v>
      </c>
      <c r="V267" s="197">
        <f t="shared" si="46"/>
        <v>0</v>
      </c>
      <c r="W267" s="197">
        <f t="shared" si="47"/>
        <v>0</v>
      </c>
      <c r="Z267" s="197"/>
      <c r="AA267" s="228"/>
      <c r="AB267" s="228"/>
      <c r="AD267" s="228"/>
      <c r="AE267" s="228"/>
      <c r="AF267" s="228"/>
      <c r="AG267" s="228"/>
      <c r="AH267" s="228"/>
      <c r="AI267" s="228"/>
      <c r="AJ267" s="228"/>
      <c r="AK267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</row>
    <row r="268" spans="1:64" s="198" customFormat="1" x14ac:dyDescent="0.25">
      <c r="A268" s="290" t="str">
        <f t="shared" si="50"/>
        <v>Hudson View Park</v>
      </c>
      <c r="B268" s="195">
        <f t="shared" si="48"/>
        <v>170</v>
      </c>
      <c r="C268" s="196" t="str">
        <f t="shared" si="49"/>
        <v>Occ</v>
      </c>
      <c r="D268" s="196" t="e" cm="1">
        <f t="array" ref="D268">INDEX($C$5:$C$61,MATCH(1,(K268=$D$5:$D$61)*(A268=$B$5:$B$61),0))</f>
        <v>#N/A</v>
      </c>
      <c r="E268" s="196" t="e" cm="1">
        <f t="array" ref="E268">INDEX($E$5:$E$61,MATCH(1,(D268=$C$5:$C$61)*(A268=$B$5:$B$61),0))</f>
        <v>#N/A</v>
      </c>
      <c r="F268" s="196" t="e" cm="1">
        <f t="array" ref="F268">INDEX($F$5:$F$61,MATCH(1,(D268=$C$5:$C$61)*(A268=$B$5:$B$61),0))</f>
        <v>#N/A</v>
      </c>
      <c r="G268" s="196" t="e" cm="1">
        <f t="array" ref="G268">INDEX($G$5:$G$61,MATCH(1,(D268=$C$5:$C$61)*(A268=$B$5:$B$61),0))</f>
        <v>#N/A</v>
      </c>
      <c r="H268" s="196" t="e" cm="1">
        <f t="array" ref="H268">INDEX($H$5:$H$61,MATCH(1,(D268=$C$5:$C$61)*(A268=$B$5:$B$61),0))</f>
        <v>#N/A</v>
      </c>
      <c r="I268" s="196" t="e" cm="1">
        <f t="array" ref="I268">INDEX($I$5:$I$61,MATCH(1,(D268=$C$5:$C$61)*(A268=$B$5:$B$61),0))</f>
        <v>#N/A</v>
      </c>
      <c r="J268" s="273"/>
      <c r="K268" s="273"/>
      <c r="L268" s="272"/>
      <c r="M268" s="273"/>
      <c r="N268" s="197"/>
      <c r="O268" s="200">
        <f t="shared" si="43"/>
        <v>0</v>
      </c>
      <c r="P268" s="274"/>
      <c r="Q268" s="274"/>
      <c r="R268" s="276"/>
      <c r="S268" s="274"/>
      <c r="T268" s="197">
        <f t="shared" si="44"/>
        <v>0</v>
      </c>
      <c r="U268" s="197">
        <f t="shared" si="45"/>
        <v>0</v>
      </c>
      <c r="V268" s="197">
        <f t="shared" si="46"/>
        <v>0</v>
      </c>
      <c r="W268" s="197">
        <f t="shared" si="47"/>
        <v>0</v>
      </c>
      <c r="Z268" s="197"/>
      <c r="AA268" s="228"/>
      <c r="AB268" s="228"/>
      <c r="AD268" s="228"/>
      <c r="AE268" s="228"/>
      <c r="AF268" s="228"/>
      <c r="AG268" s="228"/>
      <c r="AH268" s="228"/>
      <c r="AI268" s="228"/>
      <c r="AJ268" s="228"/>
      <c r="AK26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</row>
    <row r="269" spans="1:64" s="198" customFormat="1" x14ac:dyDescent="0.25">
      <c r="A269" s="290" t="str">
        <f t="shared" si="50"/>
        <v>Hudson View Park</v>
      </c>
      <c r="B269" s="195">
        <f t="shared" si="48"/>
        <v>171</v>
      </c>
      <c r="C269" s="196" t="str">
        <f t="shared" si="49"/>
        <v>Occ</v>
      </c>
      <c r="D269" s="196" t="e" cm="1">
        <f t="array" ref="D269">INDEX($C$5:$C$61,MATCH(1,(K269=$D$5:$D$61)*(A269=$B$5:$B$61),0))</f>
        <v>#N/A</v>
      </c>
      <c r="E269" s="196" t="e" cm="1">
        <f t="array" ref="E269">INDEX($E$5:$E$61,MATCH(1,(D269=$C$5:$C$61)*(A269=$B$5:$B$61),0))</f>
        <v>#N/A</v>
      </c>
      <c r="F269" s="196" t="e" cm="1">
        <f t="array" ref="F269">INDEX($F$5:$F$61,MATCH(1,(D269=$C$5:$C$61)*(A269=$B$5:$B$61),0))</f>
        <v>#N/A</v>
      </c>
      <c r="G269" s="196" t="e" cm="1">
        <f t="array" ref="G269">INDEX($G$5:$G$61,MATCH(1,(D269=$C$5:$C$61)*(A269=$B$5:$B$61),0))</f>
        <v>#N/A</v>
      </c>
      <c r="H269" s="196" t="e" cm="1">
        <f t="array" ref="H269">INDEX($H$5:$H$61,MATCH(1,(D269=$C$5:$C$61)*(A269=$B$5:$B$61),0))</f>
        <v>#N/A</v>
      </c>
      <c r="I269" s="196" t="e" cm="1">
        <f t="array" ref="I269">INDEX($I$5:$I$61,MATCH(1,(D269=$C$5:$C$61)*(A269=$B$5:$B$61),0))</f>
        <v>#N/A</v>
      </c>
      <c r="J269" s="273"/>
      <c r="K269" s="273"/>
      <c r="L269" s="272"/>
      <c r="M269" s="273"/>
      <c r="N269" s="197"/>
      <c r="O269" s="200">
        <f t="shared" si="43"/>
        <v>0</v>
      </c>
      <c r="P269" s="274"/>
      <c r="Q269" s="274"/>
      <c r="R269" s="276"/>
      <c r="S269" s="274"/>
      <c r="T269" s="197">
        <f t="shared" si="44"/>
        <v>0</v>
      </c>
      <c r="U269" s="197">
        <f t="shared" si="45"/>
        <v>0</v>
      </c>
      <c r="V269" s="197">
        <f t="shared" si="46"/>
        <v>0</v>
      </c>
      <c r="W269" s="197">
        <f t="shared" si="47"/>
        <v>0</v>
      </c>
      <c r="Z269" s="197"/>
      <c r="AA269" s="228"/>
      <c r="AB269" s="228"/>
      <c r="AD269" s="228"/>
      <c r="AE269" s="228"/>
      <c r="AF269" s="228"/>
      <c r="AG269" s="228"/>
      <c r="AH269" s="228"/>
      <c r="AI269" s="228"/>
      <c r="AJ269" s="228"/>
      <c r="AK269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</row>
    <row r="270" spans="1:64" s="198" customFormat="1" x14ac:dyDescent="0.25">
      <c r="A270" s="290" t="str">
        <f t="shared" si="50"/>
        <v>Hudson View Park</v>
      </c>
      <c r="B270" s="195">
        <f t="shared" si="48"/>
        <v>172</v>
      </c>
      <c r="C270" s="196" t="str">
        <f t="shared" si="49"/>
        <v>Occ</v>
      </c>
      <c r="D270" s="196" t="e" cm="1">
        <f t="array" ref="D270">INDEX($C$5:$C$61,MATCH(1,(K270=$D$5:$D$61)*(A270=$B$5:$B$61),0))</f>
        <v>#N/A</v>
      </c>
      <c r="E270" s="196" t="e" cm="1">
        <f t="array" ref="E270">INDEX($E$5:$E$61,MATCH(1,(D270=$C$5:$C$61)*(A270=$B$5:$B$61),0))</f>
        <v>#N/A</v>
      </c>
      <c r="F270" s="196" t="e" cm="1">
        <f t="array" ref="F270">INDEX($F$5:$F$61,MATCH(1,(D270=$C$5:$C$61)*(A270=$B$5:$B$61),0))</f>
        <v>#N/A</v>
      </c>
      <c r="G270" s="196" t="e" cm="1">
        <f t="array" ref="G270">INDEX($G$5:$G$61,MATCH(1,(D270=$C$5:$C$61)*(A270=$B$5:$B$61),0))</f>
        <v>#N/A</v>
      </c>
      <c r="H270" s="196" t="e" cm="1">
        <f t="array" ref="H270">INDEX($H$5:$H$61,MATCH(1,(D270=$C$5:$C$61)*(A270=$B$5:$B$61),0))</f>
        <v>#N/A</v>
      </c>
      <c r="I270" s="196" t="e" cm="1">
        <f t="array" ref="I270">INDEX($I$5:$I$61,MATCH(1,(D270=$C$5:$C$61)*(A270=$B$5:$B$61),0))</f>
        <v>#N/A</v>
      </c>
      <c r="J270" s="273"/>
      <c r="K270" s="273"/>
      <c r="L270" s="272"/>
      <c r="M270" s="273"/>
      <c r="N270" s="197"/>
      <c r="O270" s="200">
        <f t="shared" si="43"/>
        <v>0</v>
      </c>
      <c r="P270" s="274"/>
      <c r="Q270" s="274"/>
      <c r="R270" s="276"/>
      <c r="S270" s="274"/>
      <c r="T270" s="197">
        <f t="shared" si="44"/>
        <v>0</v>
      </c>
      <c r="U270" s="197">
        <f t="shared" si="45"/>
        <v>0</v>
      </c>
      <c r="V270" s="197">
        <f t="shared" si="46"/>
        <v>0</v>
      </c>
      <c r="W270" s="197">
        <f t="shared" si="47"/>
        <v>0</v>
      </c>
      <c r="Z270" s="197"/>
      <c r="AA270" s="228"/>
      <c r="AB270" s="228"/>
      <c r="AD270" s="228"/>
      <c r="AE270" s="228"/>
      <c r="AF270" s="228"/>
      <c r="AG270" s="228"/>
      <c r="AH270" s="228"/>
      <c r="AI270" s="228"/>
      <c r="AJ270" s="228"/>
      <c r="AK270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 spans="1:64" s="198" customFormat="1" x14ac:dyDescent="0.25">
      <c r="A271" s="290" t="str">
        <f t="shared" si="50"/>
        <v>Hudson View Park</v>
      </c>
      <c r="B271" s="195">
        <f t="shared" si="48"/>
        <v>173</v>
      </c>
      <c r="C271" s="196" t="str">
        <f t="shared" si="49"/>
        <v>Occ</v>
      </c>
      <c r="D271" s="196" t="e" cm="1">
        <f t="array" ref="D271">INDEX($C$5:$C$61,MATCH(1,(K271=$D$5:$D$61)*(A271=$B$5:$B$61),0))</f>
        <v>#N/A</v>
      </c>
      <c r="E271" s="196" t="e" cm="1">
        <f t="array" ref="E271">INDEX($E$5:$E$61,MATCH(1,(D271=$C$5:$C$61)*(A271=$B$5:$B$61),0))</f>
        <v>#N/A</v>
      </c>
      <c r="F271" s="196" t="e" cm="1">
        <f t="array" ref="F271">INDEX($F$5:$F$61,MATCH(1,(D271=$C$5:$C$61)*(A271=$B$5:$B$61),0))</f>
        <v>#N/A</v>
      </c>
      <c r="G271" s="196" t="e" cm="1">
        <f t="array" ref="G271">INDEX($G$5:$G$61,MATCH(1,(D271=$C$5:$C$61)*(A271=$B$5:$B$61),0))</f>
        <v>#N/A</v>
      </c>
      <c r="H271" s="196" t="e" cm="1">
        <f t="array" ref="H271">INDEX($H$5:$H$61,MATCH(1,(D271=$C$5:$C$61)*(A271=$B$5:$B$61),0))</f>
        <v>#N/A</v>
      </c>
      <c r="I271" s="196" t="e" cm="1">
        <f t="array" ref="I271">INDEX($I$5:$I$61,MATCH(1,(D271=$C$5:$C$61)*(A271=$B$5:$B$61),0))</f>
        <v>#N/A</v>
      </c>
      <c r="J271" s="273"/>
      <c r="K271" s="273"/>
      <c r="L271" s="272"/>
      <c r="M271" s="273"/>
      <c r="N271" s="197"/>
      <c r="O271" s="200">
        <f t="shared" si="43"/>
        <v>0</v>
      </c>
      <c r="P271" s="274"/>
      <c r="Q271" s="274"/>
      <c r="R271" s="276"/>
      <c r="S271" s="274"/>
      <c r="T271" s="197">
        <f t="shared" si="44"/>
        <v>0</v>
      </c>
      <c r="U271" s="197">
        <f t="shared" si="45"/>
        <v>0</v>
      </c>
      <c r="V271" s="197">
        <f t="shared" si="46"/>
        <v>0</v>
      </c>
      <c r="W271" s="197">
        <f t="shared" si="47"/>
        <v>0</v>
      </c>
      <c r="Z271" s="197"/>
      <c r="AA271" s="228"/>
      <c r="AB271" s="228"/>
      <c r="AD271" s="228"/>
      <c r="AE271" s="228"/>
      <c r="AF271" s="228"/>
      <c r="AG271" s="228"/>
      <c r="AH271" s="228"/>
      <c r="AI271" s="228"/>
      <c r="AJ271" s="228"/>
      <c r="AK271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</row>
    <row r="272" spans="1:64" s="198" customFormat="1" x14ac:dyDescent="0.25">
      <c r="A272" s="290" t="str">
        <f t="shared" si="50"/>
        <v>Hudson View Park</v>
      </c>
      <c r="B272" s="195">
        <f t="shared" si="48"/>
        <v>174</v>
      </c>
      <c r="C272" s="196" t="str">
        <f t="shared" si="49"/>
        <v>Occ</v>
      </c>
      <c r="D272" s="196" t="e" cm="1">
        <f t="array" ref="D272">INDEX($C$5:$C$61,MATCH(1,(K272=$D$5:$D$61)*(A272=$B$5:$B$61),0))</f>
        <v>#N/A</v>
      </c>
      <c r="E272" s="196" t="e" cm="1">
        <f t="array" ref="E272">INDEX($E$5:$E$61,MATCH(1,(D272=$C$5:$C$61)*(A272=$B$5:$B$61),0))</f>
        <v>#N/A</v>
      </c>
      <c r="F272" s="196" t="e" cm="1">
        <f t="array" ref="F272">INDEX($F$5:$F$61,MATCH(1,(D272=$C$5:$C$61)*(A272=$B$5:$B$61),0))</f>
        <v>#N/A</v>
      </c>
      <c r="G272" s="196" t="e" cm="1">
        <f t="array" ref="G272">INDEX($G$5:$G$61,MATCH(1,(D272=$C$5:$C$61)*(A272=$B$5:$B$61),0))</f>
        <v>#N/A</v>
      </c>
      <c r="H272" s="196" t="e" cm="1">
        <f t="array" ref="H272">INDEX($H$5:$H$61,MATCH(1,(D272=$C$5:$C$61)*(A272=$B$5:$B$61),0))</f>
        <v>#N/A</v>
      </c>
      <c r="I272" s="196" t="e" cm="1">
        <f t="array" ref="I272">INDEX($I$5:$I$61,MATCH(1,(D272=$C$5:$C$61)*(A272=$B$5:$B$61),0))</f>
        <v>#N/A</v>
      </c>
      <c r="J272" s="273"/>
      <c r="K272" s="273"/>
      <c r="L272" s="272"/>
      <c r="M272" s="273"/>
      <c r="N272" s="197"/>
      <c r="O272" s="200">
        <f t="shared" si="43"/>
        <v>0</v>
      </c>
      <c r="P272" s="274"/>
      <c r="Q272" s="274"/>
      <c r="R272" s="276"/>
      <c r="S272" s="274"/>
      <c r="T272" s="197">
        <f t="shared" si="44"/>
        <v>0</v>
      </c>
      <c r="U272" s="197">
        <f t="shared" si="45"/>
        <v>0</v>
      </c>
      <c r="V272" s="197">
        <f t="shared" si="46"/>
        <v>0</v>
      </c>
      <c r="W272" s="197">
        <f t="shared" si="47"/>
        <v>0</v>
      </c>
      <c r="Z272" s="197"/>
      <c r="AA272" s="228"/>
      <c r="AB272" s="228"/>
      <c r="AD272" s="228"/>
      <c r="AE272" s="228"/>
      <c r="AF272" s="228"/>
      <c r="AG272" s="228"/>
      <c r="AH272" s="228"/>
      <c r="AI272" s="228"/>
      <c r="AJ272" s="228"/>
      <c r="AK272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</row>
    <row r="273" spans="1:64" s="198" customFormat="1" x14ac:dyDescent="0.25">
      <c r="A273" s="290" t="str">
        <f t="shared" si="50"/>
        <v>Hudson View Park</v>
      </c>
      <c r="B273" s="195">
        <f t="shared" si="48"/>
        <v>175</v>
      </c>
      <c r="C273" s="196" t="str">
        <f t="shared" si="49"/>
        <v>Occ</v>
      </c>
      <c r="D273" s="196" t="e" cm="1">
        <f t="array" ref="D273">INDEX($C$5:$C$61,MATCH(1,(K273=$D$5:$D$61)*(A273=$B$5:$B$61),0))</f>
        <v>#N/A</v>
      </c>
      <c r="E273" s="196" t="e" cm="1">
        <f t="array" ref="E273">INDEX($E$5:$E$61,MATCH(1,(D273=$C$5:$C$61)*(A273=$B$5:$B$61),0))</f>
        <v>#N/A</v>
      </c>
      <c r="F273" s="196" t="e" cm="1">
        <f t="array" ref="F273">INDEX($F$5:$F$61,MATCH(1,(D273=$C$5:$C$61)*(A273=$B$5:$B$61),0))</f>
        <v>#N/A</v>
      </c>
      <c r="G273" s="196" t="e" cm="1">
        <f t="array" ref="G273">INDEX($G$5:$G$61,MATCH(1,(D273=$C$5:$C$61)*(A273=$B$5:$B$61),0))</f>
        <v>#N/A</v>
      </c>
      <c r="H273" s="196" t="e" cm="1">
        <f t="array" ref="H273">INDEX($H$5:$H$61,MATCH(1,(D273=$C$5:$C$61)*(A273=$B$5:$B$61),0))</f>
        <v>#N/A</v>
      </c>
      <c r="I273" s="196" t="e" cm="1">
        <f t="array" ref="I273">INDEX($I$5:$I$61,MATCH(1,(D273=$C$5:$C$61)*(A273=$B$5:$B$61),0))</f>
        <v>#N/A</v>
      </c>
      <c r="J273" s="273"/>
      <c r="K273" s="273"/>
      <c r="L273" s="272"/>
      <c r="M273" s="273"/>
      <c r="N273" s="197"/>
      <c r="O273" s="200">
        <f t="shared" si="43"/>
        <v>0</v>
      </c>
      <c r="P273" s="274"/>
      <c r="Q273" s="274"/>
      <c r="R273" s="276"/>
      <c r="S273" s="274"/>
      <c r="T273" s="197">
        <f t="shared" si="44"/>
        <v>0</v>
      </c>
      <c r="U273" s="197">
        <f t="shared" si="45"/>
        <v>0</v>
      </c>
      <c r="V273" s="197">
        <f t="shared" si="46"/>
        <v>0</v>
      </c>
      <c r="W273" s="197">
        <f t="shared" si="47"/>
        <v>0</v>
      </c>
      <c r="Z273" s="197"/>
      <c r="AA273" s="228"/>
      <c r="AB273" s="228"/>
      <c r="AD273" s="228"/>
      <c r="AE273" s="228"/>
      <c r="AF273" s="228"/>
      <c r="AG273" s="228"/>
      <c r="AH273" s="228"/>
      <c r="AI273" s="228"/>
      <c r="AJ273" s="228"/>
      <c r="AK273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</row>
    <row r="274" spans="1:64" s="198" customFormat="1" x14ac:dyDescent="0.25">
      <c r="A274" s="290" t="str">
        <f t="shared" si="50"/>
        <v>Hudson View Park</v>
      </c>
      <c r="B274" s="195">
        <f t="shared" si="48"/>
        <v>176</v>
      </c>
      <c r="C274" s="196" t="str">
        <f t="shared" si="49"/>
        <v>Occ</v>
      </c>
      <c r="D274" s="196" t="e" cm="1">
        <f t="array" ref="D274">INDEX($C$5:$C$61,MATCH(1,(K274=$D$5:$D$61)*(A274=$B$5:$B$61),0))</f>
        <v>#N/A</v>
      </c>
      <c r="E274" s="196" t="e" cm="1">
        <f t="array" ref="E274">INDEX($E$5:$E$61,MATCH(1,(D274=$C$5:$C$61)*(A274=$B$5:$B$61),0))</f>
        <v>#N/A</v>
      </c>
      <c r="F274" s="196" t="e" cm="1">
        <f t="array" ref="F274">INDEX($F$5:$F$61,MATCH(1,(D274=$C$5:$C$61)*(A274=$B$5:$B$61),0))</f>
        <v>#N/A</v>
      </c>
      <c r="G274" s="196" t="e" cm="1">
        <f t="array" ref="G274">INDEX($G$5:$G$61,MATCH(1,(D274=$C$5:$C$61)*(A274=$B$5:$B$61),0))</f>
        <v>#N/A</v>
      </c>
      <c r="H274" s="196" t="e" cm="1">
        <f t="array" ref="H274">INDEX($H$5:$H$61,MATCH(1,(D274=$C$5:$C$61)*(A274=$B$5:$B$61),0))</f>
        <v>#N/A</v>
      </c>
      <c r="I274" s="196" t="e" cm="1">
        <f t="array" ref="I274">INDEX($I$5:$I$61,MATCH(1,(D274=$C$5:$C$61)*(A274=$B$5:$B$61),0))</f>
        <v>#N/A</v>
      </c>
      <c r="J274" s="273"/>
      <c r="K274" s="273"/>
      <c r="L274" s="272"/>
      <c r="M274" s="273"/>
      <c r="N274" s="197"/>
      <c r="O274" s="200">
        <f t="shared" si="43"/>
        <v>0</v>
      </c>
      <c r="P274" s="274"/>
      <c r="Q274" s="274"/>
      <c r="R274" s="276"/>
      <c r="S274" s="274"/>
      <c r="T274" s="197">
        <f t="shared" si="44"/>
        <v>0</v>
      </c>
      <c r="U274" s="197">
        <f t="shared" si="45"/>
        <v>0</v>
      </c>
      <c r="V274" s="197">
        <f t="shared" si="46"/>
        <v>0</v>
      </c>
      <c r="W274" s="197">
        <f t="shared" si="47"/>
        <v>0</v>
      </c>
      <c r="Z274" s="197"/>
      <c r="AA274" s="228"/>
      <c r="AB274" s="228"/>
      <c r="AD274" s="228"/>
      <c r="AE274" s="228"/>
      <c r="AF274" s="228"/>
      <c r="AG274" s="228"/>
      <c r="AH274" s="228"/>
      <c r="AI274" s="228"/>
      <c r="AJ274" s="228"/>
      <c r="AK274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 spans="1:64" s="198" customFormat="1" x14ac:dyDescent="0.25">
      <c r="A275" s="290" t="str">
        <f t="shared" si="50"/>
        <v>Hudson View Park</v>
      </c>
      <c r="B275" s="195">
        <f t="shared" si="48"/>
        <v>177</v>
      </c>
      <c r="C275" s="196" t="str">
        <f t="shared" si="49"/>
        <v>Occ</v>
      </c>
      <c r="D275" s="196" t="e" cm="1">
        <f t="array" ref="D275">INDEX($C$5:$C$61,MATCH(1,(K275=$D$5:$D$61)*(A275=$B$5:$B$61),0))</f>
        <v>#N/A</v>
      </c>
      <c r="E275" s="196" t="e" cm="1">
        <f t="array" ref="E275">INDEX($E$5:$E$61,MATCH(1,(D275=$C$5:$C$61)*(A275=$B$5:$B$61),0))</f>
        <v>#N/A</v>
      </c>
      <c r="F275" s="196" t="e" cm="1">
        <f t="array" ref="F275">INDEX($F$5:$F$61,MATCH(1,(D275=$C$5:$C$61)*(A275=$B$5:$B$61),0))</f>
        <v>#N/A</v>
      </c>
      <c r="G275" s="196" t="e" cm="1">
        <f t="array" ref="G275">INDEX($G$5:$G$61,MATCH(1,(D275=$C$5:$C$61)*(A275=$B$5:$B$61),0))</f>
        <v>#N/A</v>
      </c>
      <c r="H275" s="196" t="e" cm="1">
        <f t="array" ref="H275">INDEX($H$5:$H$61,MATCH(1,(D275=$C$5:$C$61)*(A275=$B$5:$B$61),0))</f>
        <v>#N/A</v>
      </c>
      <c r="I275" s="196" t="e" cm="1">
        <f t="array" ref="I275">INDEX($I$5:$I$61,MATCH(1,(D275=$C$5:$C$61)*(A275=$B$5:$B$61),0))</f>
        <v>#N/A</v>
      </c>
      <c r="J275" s="273"/>
      <c r="K275" s="273"/>
      <c r="L275" s="272"/>
      <c r="M275" s="273"/>
      <c r="N275" s="197"/>
      <c r="O275" s="200">
        <f t="shared" si="43"/>
        <v>0</v>
      </c>
      <c r="P275" s="274"/>
      <c r="Q275" s="274"/>
      <c r="R275" s="276"/>
      <c r="S275" s="274"/>
      <c r="T275" s="197">
        <f t="shared" si="44"/>
        <v>0</v>
      </c>
      <c r="U275" s="197">
        <f t="shared" si="45"/>
        <v>0</v>
      </c>
      <c r="V275" s="197">
        <f t="shared" si="46"/>
        <v>0</v>
      </c>
      <c r="W275" s="197">
        <f t="shared" si="47"/>
        <v>0</v>
      </c>
      <c r="Z275" s="197"/>
      <c r="AA275" s="228"/>
      <c r="AB275" s="228"/>
      <c r="AD275" s="228"/>
      <c r="AE275" s="228"/>
      <c r="AF275" s="228"/>
      <c r="AG275" s="228"/>
      <c r="AH275" s="228"/>
      <c r="AI275" s="228"/>
      <c r="AJ275" s="228"/>
      <c r="AK275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</row>
    <row r="276" spans="1:64" s="198" customFormat="1" x14ac:dyDescent="0.25">
      <c r="A276" s="290" t="str">
        <f t="shared" si="50"/>
        <v>Hudson View Park</v>
      </c>
      <c r="B276" s="195">
        <f t="shared" si="48"/>
        <v>178</v>
      </c>
      <c r="C276" s="196" t="str">
        <f t="shared" si="49"/>
        <v>Occ</v>
      </c>
      <c r="D276" s="196" t="e" cm="1">
        <f t="array" ref="D276">INDEX($C$5:$C$61,MATCH(1,(K276=$D$5:$D$61)*(A276=$B$5:$B$61),0))</f>
        <v>#N/A</v>
      </c>
      <c r="E276" s="196" t="e" cm="1">
        <f t="array" ref="E276">INDEX($E$5:$E$61,MATCH(1,(D276=$C$5:$C$61)*(A276=$B$5:$B$61),0))</f>
        <v>#N/A</v>
      </c>
      <c r="F276" s="196" t="e" cm="1">
        <f t="array" ref="F276">INDEX($F$5:$F$61,MATCH(1,(D276=$C$5:$C$61)*(A276=$B$5:$B$61),0))</f>
        <v>#N/A</v>
      </c>
      <c r="G276" s="196" t="e" cm="1">
        <f t="array" ref="G276">INDEX($G$5:$G$61,MATCH(1,(D276=$C$5:$C$61)*(A276=$B$5:$B$61),0))</f>
        <v>#N/A</v>
      </c>
      <c r="H276" s="196" t="e" cm="1">
        <f t="array" ref="H276">INDEX($H$5:$H$61,MATCH(1,(D276=$C$5:$C$61)*(A276=$B$5:$B$61),0))</f>
        <v>#N/A</v>
      </c>
      <c r="I276" s="196" t="e" cm="1">
        <f t="array" ref="I276">INDEX($I$5:$I$61,MATCH(1,(D276=$C$5:$C$61)*(A276=$B$5:$B$61),0))</f>
        <v>#N/A</v>
      </c>
      <c r="J276" s="273"/>
      <c r="K276" s="273"/>
      <c r="L276" s="272"/>
      <c r="M276" s="273"/>
      <c r="N276" s="197"/>
      <c r="O276" s="200">
        <f t="shared" si="43"/>
        <v>0</v>
      </c>
      <c r="P276" s="274"/>
      <c r="Q276" s="274"/>
      <c r="R276" s="276"/>
      <c r="S276" s="274"/>
      <c r="T276" s="197">
        <f t="shared" si="44"/>
        <v>0</v>
      </c>
      <c r="U276" s="197">
        <f t="shared" si="45"/>
        <v>0</v>
      </c>
      <c r="V276" s="197">
        <f t="shared" si="46"/>
        <v>0</v>
      </c>
      <c r="W276" s="197">
        <f t="shared" si="47"/>
        <v>0</v>
      </c>
      <c r="Z276" s="197"/>
      <c r="AA276" s="228"/>
      <c r="AB276" s="228"/>
      <c r="AD276" s="228"/>
      <c r="AE276" s="228"/>
      <c r="AF276" s="228"/>
      <c r="AG276" s="228"/>
      <c r="AH276" s="228"/>
      <c r="AI276" s="228"/>
      <c r="AJ276" s="228"/>
      <c r="AK276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</row>
    <row r="277" spans="1:64" s="198" customFormat="1" x14ac:dyDescent="0.25">
      <c r="A277" s="290" t="str">
        <f t="shared" si="50"/>
        <v>Hudson View Park</v>
      </c>
      <c r="B277" s="195">
        <f t="shared" si="48"/>
        <v>179</v>
      </c>
      <c r="C277" s="196" t="str">
        <f t="shared" si="49"/>
        <v>Occ</v>
      </c>
      <c r="D277" s="196" t="e" cm="1">
        <f t="array" ref="D277">INDEX($C$5:$C$61,MATCH(1,(K277=$D$5:$D$61)*(A277=$B$5:$B$61),0))</f>
        <v>#N/A</v>
      </c>
      <c r="E277" s="196" t="e" cm="1">
        <f t="array" ref="E277">INDEX($E$5:$E$61,MATCH(1,(D277=$C$5:$C$61)*(A277=$B$5:$B$61),0))</f>
        <v>#N/A</v>
      </c>
      <c r="F277" s="196" t="e" cm="1">
        <f t="array" ref="F277">INDEX($F$5:$F$61,MATCH(1,(D277=$C$5:$C$61)*(A277=$B$5:$B$61),0))</f>
        <v>#N/A</v>
      </c>
      <c r="G277" s="196" t="e" cm="1">
        <f t="array" ref="G277">INDEX($G$5:$G$61,MATCH(1,(D277=$C$5:$C$61)*(A277=$B$5:$B$61),0))</f>
        <v>#N/A</v>
      </c>
      <c r="H277" s="196" t="e" cm="1">
        <f t="array" ref="H277">INDEX($H$5:$H$61,MATCH(1,(D277=$C$5:$C$61)*(A277=$B$5:$B$61),0))</f>
        <v>#N/A</v>
      </c>
      <c r="I277" s="196" t="e" cm="1">
        <f t="array" ref="I277">INDEX($I$5:$I$61,MATCH(1,(D277=$C$5:$C$61)*(A277=$B$5:$B$61),0))</f>
        <v>#N/A</v>
      </c>
      <c r="J277" s="273"/>
      <c r="K277" s="273"/>
      <c r="L277" s="272"/>
      <c r="M277" s="273"/>
      <c r="N277" s="197"/>
      <c r="O277" s="200">
        <f t="shared" si="43"/>
        <v>0</v>
      </c>
      <c r="P277" s="274"/>
      <c r="Q277" s="274"/>
      <c r="R277" s="276"/>
      <c r="S277" s="274"/>
      <c r="T277" s="197">
        <f t="shared" si="44"/>
        <v>0</v>
      </c>
      <c r="U277" s="197">
        <f t="shared" si="45"/>
        <v>0</v>
      </c>
      <c r="V277" s="197">
        <f t="shared" si="46"/>
        <v>0</v>
      </c>
      <c r="W277" s="197">
        <f t="shared" si="47"/>
        <v>0</v>
      </c>
      <c r="Z277" s="197"/>
      <c r="AA277" s="228"/>
      <c r="AB277" s="228"/>
      <c r="AD277" s="228"/>
      <c r="AE277" s="228"/>
      <c r="AF277" s="228"/>
      <c r="AG277" s="228"/>
      <c r="AH277" s="228"/>
      <c r="AI277" s="228"/>
      <c r="AJ277" s="228"/>
      <c r="AK277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</row>
    <row r="278" spans="1:64" s="198" customFormat="1" x14ac:dyDescent="0.25">
      <c r="A278" s="290" t="str">
        <f t="shared" si="50"/>
        <v>Hudson View Park</v>
      </c>
      <c r="B278" s="195">
        <f t="shared" si="48"/>
        <v>180</v>
      </c>
      <c r="C278" s="196" t="str">
        <f t="shared" si="49"/>
        <v>Occ</v>
      </c>
      <c r="D278" s="196" t="e" cm="1">
        <f t="array" ref="D278">INDEX($C$5:$C$61,MATCH(1,(K278=$D$5:$D$61)*(A278=$B$5:$B$61),0))</f>
        <v>#N/A</v>
      </c>
      <c r="E278" s="196" t="e" cm="1">
        <f t="array" ref="E278">INDEX($E$5:$E$61,MATCH(1,(D278=$C$5:$C$61)*(A278=$B$5:$B$61),0))</f>
        <v>#N/A</v>
      </c>
      <c r="F278" s="196" t="e" cm="1">
        <f t="array" ref="F278">INDEX($F$5:$F$61,MATCH(1,(D278=$C$5:$C$61)*(A278=$B$5:$B$61),0))</f>
        <v>#N/A</v>
      </c>
      <c r="G278" s="196" t="e" cm="1">
        <f t="array" ref="G278">INDEX($G$5:$G$61,MATCH(1,(D278=$C$5:$C$61)*(A278=$B$5:$B$61),0))</f>
        <v>#N/A</v>
      </c>
      <c r="H278" s="196" t="e" cm="1">
        <f t="array" ref="H278">INDEX($H$5:$H$61,MATCH(1,(D278=$C$5:$C$61)*(A278=$B$5:$B$61),0))</f>
        <v>#N/A</v>
      </c>
      <c r="I278" s="196" t="e" cm="1">
        <f t="array" ref="I278">INDEX($I$5:$I$61,MATCH(1,(D278=$C$5:$C$61)*(A278=$B$5:$B$61),0))</f>
        <v>#N/A</v>
      </c>
      <c r="J278" s="273"/>
      <c r="K278" s="273"/>
      <c r="L278" s="272"/>
      <c r="M278" s="273"/>
      <c r="N278" s="197"/>
      <c r="O278" s="200">
        <f t="shared" si="43"/>
        <v>0</v>
      </c>
      <c r="P278" s="274"/>
      <c r="Q278" s="274"/>
      <c r="R278" s="276"/>
      <c r="S278" s="274"/>
      <c r="T278" s="197">
        <f t="shared" si="44"/>
        <v>0</v>
      </c>
      <c r="U278" s="197">
        <f t="shared" si="45"/>
        <v>0</v>
      </c>
      <c r="V278" s="197">
        <f t="shared" si="46"/>
        <v>0</v>
      </c>
      <c r="W278" s="197">
        <f t="shared" si="47"/>
        <v>0</v>
      </c>
      <c r="Z278" s="197"/>
      <c r="AA278" s="228"/>
      <c r="AB278" s="228"/>
      <c r="AD278" s="228"/>
      <c r="AE278" s="228"/>
      <c r="AF278" s="228"/>
      <c r="AG278" s="228"/>
      <c r="AH278" s="228"/>
      <c r="AI278" s="228"/>
      <c r="AJ278" s="228"/>
      <c r="AK27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</row>
    <row r="279" spans="1:64" s="198" customFormat="1" x14ac:dyDescent="0.25">
      <c r="A279" s="290" t="str">
        <f t="shared" si="50"/>
        <v>Hudson View Park</v>
      </c>
      <c r="B279" s="195">
        <f t="shared" si="48"/>
        <v>181</v>
      </c>
      <c r="C279" s="196" t="str">
        <f t="shared" si="49"/>
        <v>Occ</v>
      </c>
      <c r="D279" s="196" t="e" cm="1">
        <f t="array" ref="D279">INDEX($C$5:$C$61,MATCH(1,(K279=$D$5:$D$61)*(A279=$B$5:$B$61),0))</f>
        <v>#N/A</v>
      </c>
      <c r="E279" s="196" t="e" cm="1">
        <f t="array" ref="E279">INDEX($E$5:$E$61,MATCH(1,(D279=$C$5:$C$61)*(A279=$B$5:$B$61),0))</f>
        <v>#N/A</v>
      </c>
      <c r="F279" s="196" t="e" cm="1">
        <f t="array" ref="F279">INDEX($F$5:$F$61,MATCH(1,(D279=$C$5:$C$61)*(A279=$B$5:$B$61),0))</f>
        <v>#N/A</v>
      </c>
      <c r="G279" s="196" t="e" cm="1">
        <f t="array" ref="G279">INDEX($G$5:$G$61,MATCH(1,(D279=$C$5:$C$61)*(A279=$B$5:$B$61),0))</f>
        <v>#N/A</v>
      </c>
      <c r="H279" s="196" t="e" cm="1">
        <f t="array" ref="H279">INDEX($H$5:$H$61,MATCH(1,(D279=$C$5:$C$61)*(A279=$B$5:$B$61),0))</f>
        <v>#N/A</v>
      </c>
      <c r="I279" s="196" t="e" cm="1">
        <f t="array" ref="I279">INDEX($I$5:$I$61,MATCH(1,(D279=$C$5:$C$61)*(A279=$B$5:$B$61),0))</f>
        <v>#N/A</v>
      </c>
      <c r="J279" s="273"/>
      <c r="K279" s="273"/>
      <c r="L279" s="272"/>
      <c r="M279" s="273"/>
      <c r="N279" s="197"/>
      <c r="O279" s="200">
        <f t="shared" si="43"/>
        <v>0</v>
      </c>
      <c r="P279" s="274"/>
      <c r="Q279" s="274"/>
      <c r="R279" s="276"/>
      <c r="S279" s="274"/>
      <c r="T279" s="197">
        <f t="shared" si="44"/>
        <v>0</v>
      </c>
      <c r="U279" s="197">
        <f t="shared" si="45"/>
        <v>0</v>
      </c>
      <c r="V279" s="197">
        <f t="shared" si="46"/>
        <v>0</v>
      </c>
      <c r="W279" s="197">
        <f t="shared" si="47"/>
        <v>0</v>
      </c>
      <c r="Z279" s="197"/>
      <c r="AA279" s="228"/>
      <c r="AB279" s="228"/>
      <c r="AD279" s="228"/>
      <c r="AE279" s="228"/>
      <c r="AF279" s="228"/>
      <c r="AG279" s="228"/>
      <c r="AH279" s="228"/>
      <c r="AI279" s="228"/>
      <c r="AJ279" s="228"/>
      <c r="AK279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</row>
    <row r="280" spans="1:64" s="198" customFormat="1" x14ac:dyDescent="0.25">
      <c r="A280" s="290" t="str">
        <f t="shared" si="50"/>
        <v>Hudson View Park</v>
      </c>
      <c r="B280" s="195">
        <f t="shared" si="48"/>
        <v>182</v>
      </c>
      <c r="C280" s="196" t="str">
        <f t="shared" si="49"/>
        <v>Occ</v>
      </c>
      <c r="D280" s="196" t="e" cm="1">
        <f t="array" ref="D280">INDEX($C$5:$C$61,MATCH(1,(K280=$D$5:$D$61)*(A280=$B$5:$B$61),0))</f>
        <v>#N/A</v>
      </c>
      <c r="E280" s="196" t="e" cm="1">
        <f t="array" ref="E280">INDEX($E$5:$E$61,MATCH(1,(D280=$C$5:$C$61)*(A280=$B$5:$B$61),0))</f>
        <v>#N/A</v>
      </c>
      <c r="F280" s="196" t="e" cm="1">
        <f t="array" ref="F280">INDEX($F$5:$F$61,MATCH(1,(D280=$C$5:$C$61)*(A280=$B$5:$B$61),0))</f>
        <v>#N/A</v>
      </c>
      <c r="G280" s="196" t="e" cm="1">
        <f t="array" ref="G280">INDEX($G$5:$G$61,MATCH(1,(D280=$C$5:$C$61)*(A280=$B$5:$B$61),0))</f>
        <v>#N/A</v>
      </c>
      <c r="H280" s="196" t="e" cm="1">
        <f t="array" ref="H280">INDEX($H$5:$H$61,MATCH(1,(D280=$C$5:$C$61)*(A280=$B$5:$B$61),0))</f>
        <v>#N/A</v>
      </c>
      <c r="I280" s="196" t="e" cm="1">
        <f t="array" ref="I280">INDEX($I$5:$I$61,MATCH(1,(D280=$C$5:$C$61)*(A280=$B$5:$B$61),0))</f>
        <v>#N/A</v>
      </c>
      <c r="J280" s="273"/>
      <c r="K280" s="273"/>
      <c r="L280" s="272"/>
      <c r="M280" s="273"/>
      <c r="N280" s="197"/>
      <c r="O280" s="200">
        <f t="shared" si="43"/>
        <v>0</v>
      </c>
      <c r="P280" s="274"/>
      <c r="Q280" s="274"/>
      <c r="R280" s="276"/>
      <c r="S280" s="274"/>
      <c r="T280" s="197">
        <f t="shared" si="44"/>
        <v>0</v>
      </c>
      <c r="U280" s="197">
        <f t="shared" si="45"/>
        <v>0</v>
      </c>
      <c r="V280" s="197">
        <f t="shared" si="46"/>
        <v>0</v>
      </c>
      <c r="W280" s="197">
        <f t="shared" si="47"/>
        <v>0</v>
      </c>
      <c r="Z280" s="197"/>
      <c r="AA280" s="228"/>
      <c r="AB280" s="228"/>
      <c r="AD280" s="228"/>
      <c r="AE280" s="228"/>
      <c r="AF280" s="228"/>
      <c r="AG280" s="228"/>
      <c r="AH280" s="228"/>
      <c r="AI280" s="228"/>
      <c r="AJ280" s="228"/>
      <c r="AK280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</row>
    <row r="281" spans="1:64" s="198" customFormat="1" x14ac:dyDescent="0.25">
      <c r="A281" s="290" t="str">
        <f t="shared" si="50"/>
        <v>Hudson View Park</v>
      </c>
      <c r="B281" s="195">
        <f t="shared" si="48"/>
        <v>183</v>
      </c>
      <c r="C281" s="196" t="str">
        <f t="shared" si="49"/>
        <v>Occ</v>
      </c>
      <c r="D281" s="196" t="e" cm="1">
        <f t="array" ref="D281">INDEX($C$5:$C$61,MATCH(1,(K281=$D$5:$D$61)*(A281=$B$5:$B$61),0))</f>
        <v>#N/A</v>
      </c>
      <c r="E281" s="196" t="e" cm="1">
        <f t="array" ref="E281">INDEX($E$5:$E$61,MATCH(1,(D281=$C$5:$C$61)*(A281=$B$5:$B$61),0))</f>
        <v>#N/A</v>
      </c>
      <c r="F281" s="196" t="e" cm="1">
        <f t="array" ref="F281">INDEX($F$5:$F$61,MATCH(1,(D281=$C$5:$C$61)*(A281=$B$5:$B$61),0))</f>
        <v>#N/A</v>
      </c>
      <c r="G281" s="196" t="e" cm="1">
        <f t="array" ref="G281">INDEX($G$5:$G$61,MATCH(1,(D281=$C$5:$C$61)*(A281=$B$5:$B$61),0))</f>
        <v>#N/A</v>
      </c>
      <c r="H281" s="196" t="e" cm="1">
        <f t="array" ref="H281">INDEX($H$5:$H$61,MATCH(1,(D281=$C$5:$C$61)*(A281=$B$5:$B$61),0))</f>
        <v>#N/A</v>
      </c>
      <c r="I281" s="196" t="e" cm="1">
        <f t="array" ref="I281">INDEX($I$5:$I$61,MATCH(1,(D281=$C$5:$C$61)*(A281=$B$5:$B$61),0))</f>
        <v>#N/A</v>
      </c>
      <c r="J281" s="273"/>
      <c r="K281" s="273"/>
      <c r="L281" s="272"/>
      <c r="M281" s="273"/>
      <c r="N281" s="197"/>
      <c r="O281" s="200">
        <f t="shared" si="43"/>
        <v>0</v>
      </c>
      <c r="P281" s="274"/>
      <c r="Q281" s="274"/>
      <c r="R281" s="276"/>
      <c r="S281" s="274"/>
      <c r="T281" s="197">
        <f t="shared" si="44"/>
        <v>0</v>
      </c>
      <c r="U281" s="197">
        <f t="shared" si="45"/>
        <v>0</v>
      </c>
      <c r="V281" s="197">
        <f t="shared" si="46"/>
        <v>0</v>
      </c>
      <c r="W281" s="197">
        <f t="shared" si="47"/>
        <v>0</v>
      </c>
      <c r="Z281" s="197"/>
      <c r="AA281" s="228"/>
      <c r="AB281" s="228"/>
      <c r="AD281" s="228"/>
      <c r="AE281" s="228"/>
      <c r="AF281" s="228"/>
      <c r="AG281" s="228"/>
      <c r="AH281" s="228"/>
      <c r="AI281" s="228"/>
      <c r="AJ281" s="228"/>
      <c r="AK281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</row>
    <row r="282" spans="1:64" s="198" customFormat="1" x14ac:dyDescent="0.25">
      <c r="A282" s="290" t="str">
        <f t="shared" si="50"/>
        <v>Hudson View Park</v>
      </c>
      <c r="B282" s="195">
        <f t="shared" si="48"/>
        <v>184</v>
      </c>
      <c r="C282" s="196" t="str">
        <f t="shared" si="49"/>
        <v>Occ</v>
      </c>
      <c r="D282" s="196" t="e" cm="1">
        <f t="array" ref="D282">INDEX($C$5:$C$61,MATCH(1,(K282=$D$5:$D$61)*(A282=$B$5:$B$61),0))</f>
        <v>#N/A</v>
      </c>
      <c r="E282" s="196" t="e" cm="1">
        <f t="array" ref="E282">INDEX($E$5:$E$61,MATCH(1,(D282=$C$5:$C$61)*(A282=$B$5:$B$61),0))</f>
        <v>#N/A</v>
      </c>
      <c r="F282" s="196" t="e" cm="1">
        <f t="array" ref="F282">INDEX($F$5:$F$61,MATCH(1,(D282=$C$5:$C$61)*(A282=$B$5:$B$61),0))</f>
        <v>#N/A</v>
      </c>
      <c r="G282" s="196" t="e" cm="1">
        <f t="array" ref="G282">INDEX($G$5:$G$61,MATCH(1,(D282=$C$5:$C$61)*(A282=$B$5:$B$61),0))</f>
        <v>#N/A</v>
      </c>
      <c r="H282" s="196" t="e" cm="1">
        <f t="array" ref="H282">INDEX($H$5:$H$61,MATCH(1,(D282=$C$5:$C$61)*(A282=$B$5:$B$61),0))</f>
        <v>#N/A</v>
      </c>
      <c r="I282" s="196" t="e" cm="1">
        <f t="array" ref="I282">INDEX($I$5:$I$61,MATCH(1,(D282=$C$5:$C$61)*(A282=$B$5:$B$61),0))</f>
        <v>#N/A</v>
      </c>
      <c r="J282" s="273"/>
      <c r="K282" s="273"/>
      <c r="L282" s="272"/>
      <c r="M282" s="273"/>
      <c r="N282" s="197"/>
      <c r="O282" s="200">
        <f t="shared" si="43"/>
        <v>0</v>
      </c>
      <c r="P282" s="274"/>
      <c r="Q282" s="274"/>
      <c r="R282" s="276"/>
      <c r="S282" s="274"/>
      <c r="T282" s="197">
        <f t="shared" si="44"/>
        <v>0</v>
      </c>
      <c r="U282" s="197">
        <f t="shared" si="45"/>
        <v>0</v>
      </c>
      <c r="V282" s="197">
        <f t="shared" si="46"/>
        <v>0</v>
      </c>
      <c r="W282" s="197">
        <f t="shared" si="47"/>
        <v>0</v>
      </c>
      <c r="Z282" s="197"/>
      <c r="AA282" s="228"/>
      <c r="AB282" s="228"/>
      <c r="AD282" s="228"/>
      <c r="AE282" s="228"/>
      <c r="AF282" s="228"/>
      <c r="AG282" s="228"/>
      <c r="AH282" s="228"/>
      <c r="AI282" s="228"/>
      <c r="AJ282" s="228"/>
      <c r="AK282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 spans="1:64" s="198" customFormat="1" x14ac:dyDescent="0.25">
      <c r="A283" s="290" t="str">
        <f t="shared" si="50"/>
        <v>Hudson View Park</v>
      </c>
      <c r="B283" s="195">
        <f t="shared" si="48"/>
        <v>185</v>
      </c>
      <c r="C283" s="196" t="str">
        <f t="shared" si="49"/>
        <v>Occ</v>
      </c>
      <c r="D283" s="196" t="e" cm="1">
        <f t="array" ref="D283">INDEX($C$5:$C$61,MATCH(1,(K283=$D$5:$D$61)*(A283=$B$5:$B$61),0))</f>
        <v>#N/A</v>
      </c>
      <c r="E283" s="196" t="e" cm="1">
        <f t="array" ref="E283">INDEX($E$5:$E$61,MATCH(1,(D283=$C$5:$C$61)*(A283=$B$5:$B$61),0))</f>
        <v>#N/A</v>
      </c>
      <c r="F283" s="196" t="e" cm="1">
        <f t="array" ref="F283">INDEX($F$5:$F$61,MATCH(1,(D283=$C$5:$C$61)*(A283=$B$5:$B$61),0))</f>
        <v>#N/A</v>
      </c>
      <c r="G283" s="196" t="e" cm="1">
        <f t="array" ref="G283">INDEX($G$5:$G$61,MATCH(1,(D283=$C$5:$C$61)*(A283=$B$5:$B$61),0))</f>
        <v>#N/A</v>
      </c>
      <c r="H283" s="196" t="e" cm="1">
        <f t="array" ref="H283">INDEX($H$5:$H$61,MATCH(1,(D283=$C$5:$C$61)*(A283=$B$5:$B$61),0))</f>
        <v>#N/A</v>
      </c>
      <c r="I283" s="196" t="e" cm="1">
        <f t="array" ref="I283">INDEX($I$5:$I$61,MATCH(1,(D283=$C$5:$C$61)*(A283=$B$5:$B$61),0))</f>
        <v>#N/A</v>
      </c>
      <c r="J283" s="273"/>
      <c r="K283" s="273"/>
      <c r="L283" s="272"/>
      <c r="M283" s="273"/>
      <c r="N283" s="197"/>
      <c r="O283" s="200">
        <f t="shared" si="43"/>
        <v>0</v>
      </c>
      <c r="P283" s="274"/>
      <c r="Q283" s="274"/>
      <c r="R283" s="276"/>
      <c r="S283" s="274"/>
      <c r="T283" s="197">
        <f t="shared" si="44"/>
        <v>0</v>
      </c>
      <c r="U283" s="197">
        <f t="shared" si="45"/>
        <v>0</v>
      </c>
      <c r="V283" s="197">
        <f t="shared" si="46"/>
        <v>0</v>
      </c>
      <c r="W283" s="197">
        <f t="shared" si="47"/>
        <v>0</v>
      </c>
      <c r="Z283" s="197"/>
      <c r="AA283" s="228"/>
      <c r="AB283" s="228"/>
      <c r="AD283" s="228"/>
      <c r="AE283" s="228"/>
      <c r="AF283" s="228"/>
      <c r="AG283" s="228"/>
      <c r="AH283" s="228"/>
      <c r="AI283" s="228"/>
      <c r="AJ283" s="228"/>
      <c r="AK283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</row>
    <row r="284" spans="1:64" s="198" customFormat="1" x14ac:dyDescent="0.25">
      <c r="A284" s="290" t="str">
        <f t="shared" si="50"/>
        <v>Hudson View Park</v>
      </c>
      <c r="B284" s="195">
        <f t="shared" si="48"/>
        <v>186</v>
      </c>
      <c r="C284" s="196" t="str">
        <f t="shared" si="49"/>
        <v>Occ</v>
      </c>
      <c r="D284" s="196" t="e" cm="1">
        <f t="array" ref="D284">INDEX($C$5:$C$61,MATCH(1,(K284=$D$5:$D$61)*(A284=$B$5:$B$61),0))</f>
        <v>#N/A</v>
      </c>
      <c r="E284" s="196" t="e" cm="1">
        <f t="array" ref="E284">INDEX($E$5:$E$61,MATCH(1,(D284=$C$5:$C$61)*(A284=$B$5:$B$61),0))</f>
        <v>#N/A</v>
      </c>
      <c r="F284" s="196" t="e" cm="1">
        <f t="array" ref="F284">INDEX($F$5:$F$61,MATCH(1,(D284=$C$5:$C$61)*(A284=$B$5:$B$61),0))</f>
        <v>#N/A</v>
      </c>
      <c r="G284" s="196" t="e" cm="1">
        <f t="array" ref="G284">INDEX($G$5:$G$61,MATCH(1,(D284=$C$5:$C$61)*(A284=$B$5:$B$61),0))</f>
        <v>#N/A</v>
      </c>
      <c r="H284" s="196" t="e" cm="1">
        <f t="array" ref="H284">INDEX($H$5:$H$61,MATCH(1,(D284=$C$5:$C$61)*(A284=$B$5:$B$61),0))</f>
        <v>#N/A</v>
      </c>
      <c r="I284" s="196" t="e" cm="1">
        <f t="array" ref="I284">INDEX($I$5:$I$61,MATCH(1,(D284=$C$5:$C$61)*(A284=$B$5:$B$61),0))</f>
        <v>#N/A</v>
      </c>
      <c r="J284" s="273"/>
      <c r="K284" s="273"/>
      <c r="L284" s="272"/>
      <c r="M284" s="273"/>
      <c r="N284" s="197"/>
      <c r="O284" s="200">
        <f t="shared" si="43"/>
        <v>0</v>
      </c>
      <c r="P284" s="274"/>
      <c r="Q284" s="274"/>
      <c r="R284" s="276"/>
      <c r="S284" s="274"/>
      <c r="T284" s="197">
        <f t="shared" si="44"/>
        <v>0</v>
      </c>
      <c r="U284" s="197">
        <f t="shared" si="45"/>
        <v>0</v>
      </c>
      <c r="V284" s="197">
        <f t="shared" si="46"/>
        <v>0</v>
      </c>
      <c r="W284" s="197">
        <f t="shared" si="47"/>
        <v>0</v>
      </c>
      <c r="Z284" s="197"/>
      <c r="AA284" s="228"/>
      <c r="AB284" s="228"/>
      <c r="AD284" s="228"/>
      <c r="AE284" s="228"/>
      <c r="AF284" s="228"/>
      <c r="AG284" s="228"/>
      <c r="AH284" s="228"/>
      <c r="AI284" s="228"/>
      <c r="AJ284" s="228"/>
      <c r="AK284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</row>
    <row r="285" spans="1:64" s="198" customFormat="1" x14ac:dyDescent="0.25">
      <c r="A285" s="290" t="str">
        <f t="shared" si="50"/>
        <v>Hudson View Park</v>
      </c>
      <c r="B285" s="195">
        <f t="shared" si="48"/>
        <v>187</v>
      </c>
      <c r="C285" s="196" t="str">
        <f t="shared" si="49"/>
        <v>Occ</v>
      </c>
      <c r="D285" s="196" t="e" cm="1">
        <f t="array" ref="D285">INDEX($C$5:$C$61,MATCH(1,(K285=$D$5:$D$61)*(A285=$B$5:$B$61),0))</f>
        <v>#N/A</v>
      </c>
      <c r="E285" s="196" t="e" cm="1">
        <f t="array" ref="E285">INDEX($E$5:$E$61,MATCH(1,(D285=$C$5:$C$61)*(A285=$B$5:$B$61),0))</f>
        <v>#N/A</v>
      </c>
      <c r="F285" s="196" t="e" cm="1">
        <f t="array" ref="F285">INDEX($F$5:$F$61,MATCH(1,(D285=$C$5:$C$61)*(A285=$B$5:$B$61),0))</f>
        <v>#N/A</v>
      </c>
      <c r="G285" s="196" t="e" cm="1">
        <f t="array" ref="G285">INDEX($G$5:$G$61,MATCH(1,(D285=$C$5:$C$61)*(A285=$B$5:$B$61),0))</f>
        <v>#N/A</v>
      </c>
      <c r="H285" s="196" t="e" cm="1">
        <f t="array" ref="H285">INDEX($H$5:$H$61,MATCH(1,(D285=$C$5:$C$61)*(A285=$B$5:$B$61),0))</f>
        <v>#N/A</v>
      </c>
      <c r="I285" s="196" t="e" cm="1">
        <f t="array" ref="I285">INDEX($I$5:$I$61,MATCH(1,(D285=$C$5:$C$61)*(A285=$B$5:$B$61),0))</f>
        <v>#N/A</v>
      </c>
      <c r="J285" s="273"/>
      <c r="K285" s="273"/>
      <c r="L285" s="272"/>
      <c r="M285" s="273"/>
      <c r="N285" s="197"/>
      <c r="O285" s="200">
        <f t="shared" si="43"/>
        <v>0</v>
      </c>
      <c r="P285" s="274"/>
      <c r="Q285" s="274"/>
      <c r="R285" s="276"/>
      <c r="S285" s="274"/>
      <c r="T285" s="197">
        <f t="shared" si="44"/>
        <v>0</v>
      </c>
      <c r="U285" s="197">
        <f t="shared" si="45"/>
        <v>0</v>
      </c>
      <c r="V285" s="197">
        <f t="shared" si="46"/>
        <v>0</v>
      </c>
      <c r="W285" s="197">
        <f t="shared" si="47"/>
        <v>0</v>
      </c>
      <c r="Z285" s="197"/>
      <c r="AA285" s="228"/>
      <c r="AB285" s="228"/>
      <c r="AD285" s="228"/>
      <c r="AE285" s="228"/>
      <c r="AF285" s="228"/>
      <c r="AG285" s="228"/>
      <c r="AH285" s="228"/>
      <c r="AI285" s="228"/>
      <c r="AJ285" s="228"/>
      <c r="AK285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</row>
    <row r="286" spans="1:64" s="198" customFormat="1" x14ac:dyDescent="0.25">
      <c r="A286" s="290" t="str">
        <f t="shared" si="50"/>
        <v>Hudson View Park</v>
      </c>
      <c r="B286" s="195">
        <f t="shared" si="48"/>
        <v>188</v>
      </c>
      <c r="C286" s="196" t="str">
        <f t="shared" si="49"/>
        <v>Occ</v>
      </c>
      <c r="D286" s="196" t="e" cm="1">
        <f t="array" ref="D286">INDEX($C$5:$C$61,MATCH(1,(K286=$D$5:$D$61)*(A286=$B$5:$B$61),0))</f>
        <v>#N/A</v>
      </c>
      <c r="E286" s="196" t="e" cm="1">
        <f t="array" ref="E286">INDEX($E$5:$E$61,MATCH(1,(D286=$C$5:$C$61)*(A286=$B$5:$B$61),0))</f>
        <v>#N/A</v>
      </c>
      <c r="F286" s="196" t="e" cm="1">
        <f t="array" ref="F286">INDEX($F$5:$F$61,MATCH(1,(D286=$C$5:$C$61)*(A286=$B$5:$B$61),0))</f>
        <v>#N/A</v>
      </c>
      <c r="G286" s="196" t="e" cm="1">
        <f t="array" ref="G286">INDEX($G$5:$G$61,MATCH(1,(D286=$C$5:$C$61)*(A286=$B$5:$B$61),0))</f>
        <v>#N/A</v>
      </c>
      <c r="H286" s="196" t="e" cm="1">
        <f t="array" ref="H286">INDEX($H$5:$H$61,MATCH(1,(D286=$C$5:$C$61)*(A286=$B$5:$B$61),0))</f>
        <v>#N/A</v>
      </c>
      <c r="I286" s="196" t="e" cm="1">
        <f t="array" ref="I286">INDEX($I$5:$I$61,MATCH(1,(D286=$C$5:$C$61)*(A286=$B$5:$B$61),0))</f>
        <v>#N/A</v>
      </c>
      <c r="J286" s="273"/>
      <c r="K286" s="273"/>
      <c r="L286" s="272"/>
      <c r="M286" s="273"/>
      <c r="N286" s="197"/>
      <c r="O286" s="200">
        <f t="shared" si="43"/>
        <v>0</v>
      </c>
      <c r="P286" s="274"/>
      <c r="Q286" s="274"/>
      <c r="R286" s="276"/>
      <c r="S286" s="274"/>
      <c r="T286" s="197">
        <f t="shared" si="44"/>
        <v>0</v>
      </c>
      <c r="U286" s="197">
        <f t="shared" si="45"/>
        <v>0</v>
      </c>
      <c r="V286" s="197">
        <f t="shared" si="46"/>
        <v>0</v>
      </c>
      <c r="W286" s="197">
        <f t="shared" si="47"/>
        <v>0</v>
      </c>
      <c r="Z286" s="197"/>
      <c r="AA286" s="228"/>
      <c r="AB286" s="228"/>
      <c r="AD286" s="228"/>
      <c r="AE286" s="228"/>
      <c r="AF286" s="228"/>
      <c r="AG286" s="228"/>
      <c r="AH286" s="228"/>
      <c r="AI286" s="228"/>
      <c r="AJ286" s="228"/>
      <c r="AK286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</row>
    <row r="287" spans="1:64" s="198" customFormat="1" x14ac:dyDescent="0.25">
      <c r="A287" s="290" t="str">
        <f t="shared" si="50"/>
        <v>Hudson View Park</v>
      </c>
      <c r="B287" s="195">
        <f t="shared" si="48"/>
        <v>189</v>
      </c>
      <c r="C287" s="196" t="str">
        <f t="shared" si="49"/>
        <v>Occ</v>
      </c>
      <c r="D287" s="196" t="e" cm="1">
        <f t="array" ref="D287">INDEX($C$5:$C$61,MATCH(1,(K287=$D$5:$D$61)*(A287=$B$5:$B$61),0))</f>
        <v>#N/A</v>
      </c>
      <c r="E287" s="196" t="e" cm="1">
        <f t="array" ref="E287">INDEX($E$5:$E$61,MATCH(1,(D287=$C$5:$C$61)*(A287=$B$5:$B$61),0))</f>
        <v>#N/A</v>
      </c>
      <c r="F287" s="196" t="e" cm="1">
        <f t="array" ref="F287">INDEX($F$5:$F$61,MATCH(1,(D287=$C$5:$C$61)*(A287=$B$5:$B$61),0))</f>
        <v>#N/A</v>
      </c>
      <c r="G287" s="196" t="e" cm="1">
        <f t="array" ref="G287">INDEX($G$5:$G$61,MATCH(1,(D287=$C$5:$C$61)*(A287=$B$5:$B$61),0))</f>
        <v>#N/A</v>
      </c>
      <c r="H287" s="196" t="e" cm="1">
        <f t="array" ref="H287">INDEX($H$5:$H$61,MATCH(1,(D287=$C$5:$C$61)*(A287=$B$5:$B$61),0))</f>
        <v>#N/A</v>
      </c>
      <c r="I287" s="196" t="e" cm="1">
        <f t="array" ref="I287">INDEX($I$5:$I$61,MATCH(1,(D287=$C$5:$C$61)*(A287=$B$5:$B$61),0))</f>
        <v>#N/A</v>
      </c>
      <c r="J287" s="273"/>
      <c r="K287" s="273"/>
      <c r="L287" s="272"/>
      <c r="M287" s="273"/>
      <c r="N287" s="197"/>
      <c r="O287" s="200">
        <f t="shared" si="43"/>
        <v>0</v>
      </c>
      <c r="P287" s="274"/>
      <c r="Q287" s="274"/>
      <c r="R287" s="276"/>
      <c r="S287" s="274"/>
      <c r="T287" s="197">
        <f t="shared" si="44"/>
        <v>0</v>
      </c>
      <c r="U287" s="197">
        <f t="shared" si="45"/>
        <v>0</v>
      </c>
      <c r="V287" s="197">
        <f t="shared" si="46"/>
        <v>0</v>
      </c>
      <c r="W287" s="197">
        <f t="shared" si="47"/>
        <v>0</v>
      </c>
      <c r="Z287" s="197"/>
      <c r="AA287" s="228"/>
      <c r="AB287" s="228"/>
      <c r="AD287" s="228"/>
      <c r="AE287" s="228"/>
      <c r="AF287" s="228"/>
      <c r="AG287" s="228"/>
      <c r="AH287" s="228"/>
      <c r="AI287" s="228"/>
      <c r="AJ287" s="228"/>
      <c r="AK287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</row>
    <row r="288" spans="1:64" s="198" customFormat="1" x14ac:dyDescent="0.25">
      <c r="A288" s="290" t="str">
        <f t="shared" si="50"/>
        <v>Hudson View Park</v>
      </c>
      <c r="B288" s="195">
        <f t="shared" si="48"/>
        <v>190</v>
      </c>
      <c r="C288" s="196" t="str">
        <f t="shared" si="49"/>
        <v>Occ</v>
      </c>
      <c r="D288" s="196" t="e" cm="1">
        <f t="array" ref="D288">INDEX($C$5:$C$61,MATCH(1,(K288=$D$5:$D$61)*(A288=$B$5:$B$61),0))</f>
        <v>#N/A</v>
      </c>
      <c r="E288" s="196" t="e" cm="1">
        <f t="array" ref="E288">INDEX($E$5:$E$61,MATCH(1,(D288=$C$5:$C$61)*(A288=$B$5:$B$61),0))</f>
        <v>#N/A</v>
      </c>
      <c r="F288" s="196" t="e" cm="1">
        <f t="array" ref="F288">INDEX($F$5:$F$61,MATCH(1,(D288=$C$5:$C$61)*(A288=$B$5:$B$61),0))</f>
        <v>#N/A</v>
      </c>
      <c r="G288" s="196" t="e" cm="1">
        <f t="array" ref="G288">INDEX($G$5:$G$61,MATCH(1,(D288=$C$5:$C$61)*(A288=$B$5:$B$61),0))</f>
        <v>#N/A</v>
      </c>
      <c r="H288" s="196" t="e" cm="1">
        <f t="array" ref="H288">INDEX($H$5:$H$61,MATCH(1,(D288=$C$5:$C$61)*(A288=$B$5:$B$61),0))</f>
        <v>#N/A</v>
      </c>
      <c r="I288" s="196" t="e" cm="1">
        <f t="array" ref="I288">INDEX($I$5:$I$61,MATCH(1,(D288=$C$5:$C$61)*(A288=$B$5:$B$61),0))</f>
        <v>#N/A</v>
      </c>
      <c r="J288" s="273"/>
      <c r="K288" s="273"/>
      <c r="L288" s="272"/>
      <c r="M288" s="273"/>
      <c r="N288" s="197"/>
      <c r="O288" s="200">
        <f t="shared" si="43"/>
        <v>0</v>
      </c>
      <c r="P288" s="274"/>
      <c r="Q288" s="274"/>
      <c r="R288" s="276"/>
      <c r="S288" s="274"/>
      <c r="T288" s="197">
        <f t="shared" si="44"/>
        <v>0</v>
      </c>
      <c r="U288" s="197">
        <f t="shared" si="45"/>
        <v>0</v>
      </c>
      <c r="V288" s="197">
        <f t="shared" si="46"/>
        <v>0</v>
      </c>
      <c r="W288" s="197">
        <f t="shared" si="47"/>
        <v>0</v>
      </c>
      <c r="Z288" s="197"/>
      <c r="AA288" s="228"/>
      <c r="AB288" s="228"/>
      <c r="AD288" s="228"/>
      <c r="AE288" s="228"/>
      <c r="AF288" s="228"/>
      <c r="AG288" s="228"/>
      <c r="AH288" s="228"/>
      <c r="AI288" s="228"/>
      <c r="AJ288" s="228"/>
      <c r="AK28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</row>
    <row r="289" spans="1:64" s="198" customFormat="1" x14ac:dyDescent="0.25">
      <c r="A289" s="290" t="str">
        <f t="shared" si="50"/>
        <v>Hudson View Park</v>
      </c>
      <c r="B289" s="195">
        <f t="shared" si="48"/>
        <v>191</v>
      </c>
      <c r="C289" s="196" t="str">
        <f t="shared" si="49"/>
        <v>Occ</v>
      </c>
      <c r="D289" s="196" t="e" cm="1">
        <f t="array" ref="D289">INDEX($C$5:$C$61,MATCH(1,(K289=$D$5:$D$61)*(A289=$B$5:$B$61),0))</f>
        <v>#N/A</v>
      </c>
      <c r="E289" s="196" t="e" cm="1">
        <f t="array" ref="E289">INDEX($E$5:$E$61,MATCH(1,(D289=$C$5:$C$61)*(A289=$B$5:$B$61),0))</f>
        <v>#N/A</v>
      </c>
      <c r="F289" s="196" t="e" cm="1">
        <f t="array" ref="F289">INDEX($F$5:$F$61,MATCH(1,(D289=$C$5:$C$61)*(A289=$B$5:$B$61),0))</f>
        <v>#N/A</v>
      </c>
      <c r="G289" s="196" t="e" cm="1">
        <f t="array" ref="G289">INDEX($G$5:$G$61,MATCH(1,(D289=$C$5:$C$61)*(A289=$B$5:$B$61),0))</f>
        <v>#N/A</v>
      </c>
      <c r="H289" s="196" t="e" cm="1">
        <f t="array" ref="H289">INDEX($H$5:$H$61,MATCH(1,(D289=$C$5:$C$61)*(A289=$B$5:$B$61),0))</f>
        <v>#N/A</v>
      </c>
      <c r="I289" s="196" t="e" cm="1">
        <f t="array" ref="I289">INDEX($I$5:$I$61,MATCH(1,(D289=$C$5:$C$61)*(A289=$B$5:$B$61),0))</f>
        <v>#N/A</v>
      </c>
      <c r="J289" s="273"/>
      <c r="K289" s="273"/>
      <c r="L289" s="272"/>
      <c r="M289" s="273"/>
      <c r="N289" s="197"/>
      <c r="O289" s="200">
        <f t="shared" si="43"/>
        <v>0</v>
      </c>
      <c r="P289" s="274"/>
      <c r="Q289" s="274"/>
      <c r="R289" s="276"/>
      <c r="S289" s="274"/>
      <c r="T289" s="197">
        <f t="shared" si="44"/>
        <v>0</v>
      </c>
      <c r="U289" s="197">
        <f t="shared" si="45"/>
        <v>0</v>
      </c>
      <c r="V289" s="197">
        <f t="shared" si="46"/>
        <v>0</v>
      </c>
      <c r="W289" s="197">
        <f t="shared" si="47"/>
        <v>0</v>
      </c>
      <c r="Z289" s="197"/>
      <c r="AA289" s="228"/>
      <c r="AB289" s="228"/>
      <c r="AD289" s="228"/>
      <c r="AE289" s="228"/>
      <c r="AF289" s="228"/>
      <c r="AG289" s="228"/>
      <c r="AH289" s="228"/>
      <c r="AI289" s="228"/>
      <c r="AJ289" s="228"/>
      <c r="AK289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</row>
    <row r="290" spans="1:64" s="198" customFormat="1" x14ac:dyDescent="0.25">
      <c r="A290" s="290" t="str">
        <f t="shared" si="50"/>
        <v>Hudson View Park</v>
      </c>
      <c r="B290" s="195">
        <f t="shared" si="48"/>
        <v>192</v>
      </c>
      <c r="C290" s="196" t="str">
        <f t="shared" si="49"/>
        <v>Occ</v>
      </c>
      <c r="D290" s="196" t="e" cm="1">
        <f t="array" ref="D290">INDEX($C$5:$C$61,MATCH(1,(K290=$D$5:$D$61)*(A290=$B$5:$B$61),0))</f>
        <v>#N/A</v>
      </c>
      <c r="E290" s="196" t="e" cm="1">
        <f t="array" ref="E290">INDEX($E$5:$E$61,MATCH(1,(D290=$C$5:$C$61)*(A290=$B$5:$B$61),0))</f>
        <v>#N/A</v>
      </c>
      <c r="F290" s="196" t="e" cm="1">
        <f t="array" ref="F290">INDEX($F$5:$F$61,MATCH(1,(D290=$C$5:$C$61)*(A290=$B$5:$B$61),0))</f>
        <v>#N/A</v>
      </c>
      <c r="G290" s="196" t="e" cm="1">
        <f t="array" ref="G290">INDEX($G$5:$G$61,MATCH(1,(D290=$C$5:$C$61)*(A290=$B$5:$B$61),0))</f>
        <v>#N/A</v>
      </c>
      <c r="H290" s="196" t="e" cm="1">
        <f t="array" ref="H290">INDEX($H$5:$H$61,MATCH(1,(D290=$C$5:$C$61)*(A290=$B$5:$B$61),0))</f>
        <v>#N/A</v>
      </c>
      <c r="I290" s="196" t="e" cm="1">
        <f t="array" ref="I290">INDEX($I$5:$I$61,MATCH(1,(D290=$C$5:$C$61)*(A290=$B$5:$B$61),0))</f>
        <v>#N/A</v>
      </c>
      <c r="J290" s="273"/>
      <c r="K290" s="273"/>
      <c r="L290" s="272"/>
      <c r="M290" s="273"/>
      <c r="N290" s="197"/>
      <c r="O290" s="200">
        <f t="shared" si="43"/>
        <v>0</v>
      </c>
      <c r="P290" s="274"/>
      <c r="Q290" s="274"/>
      <c r="R290" s="276"/>
      <c r="S290" s="274"/>
      <c r="T290" s="197">
        <f t="shared" si="44"/>
        <v>0</v>
      </c>
      <c r="U290" s="197">
        <f t="shared" si="45"/>
        <v>0</v>
      </c>
      <c r="V290" s="197">
        <f t="shared" si="46"/>
        <v>0</v>
      </c>
      <c r="W290" s="197">
        <f t="shared" si="47"/>
        <v>0</v>
      </c>
      <c r="Z290" s="197"/>
      <c r="AA290" s="228"/>
      <c r="AB290" s="228"/>
      <c r="AD290" s="228"/>
      <c r="AE290" s="228"/>
      <c r="AF290" s="228"/>
      <c r="AG290" s="228"/>
      <c r="AH290" s="228"/>
      <c r="AI290" s="228"/>
      <c r="AJ290" s="228"/>
      <c r="AK290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</row>
    <row r="291" spans="1:64" s="198" customFormat="1" x14ac:dyDescent="0.25">
      <c r="A291" s="290" t="str">
        <f t="shared" si="50"/>
        <v>Hudson View Park</v>
      </c>
      <c r="B291" s="195">
        <f t="shared" si="48"/>
        <v>193</v>
      </c>
      <c r="C291" s="196" t="str">
        <f t="shared" si="49"/>
        <v>Occ</v>
      </c>
      <c r="D291" s="196" t="e" cm="1">
        <f t="array" ref="D291">INDEX($C$5:$C$61,MATCH(1,(K291=$D$5:$D$61)*(A291=$B$5:$B$61),0))</f>
        <v>#N/A</v>
      </c>
      <c r="E291" s="196" t="e" cm="1">
        <f t="array" ref="E291">INDEX($E$5:$E$61,MATCH(1,(D291=$C$5:$C$61)*(A291=$B$5:$B$61),0))</f>
        <v>#N/A</v>
      </c>
      <c r="F291" s="196" t="e" cm="1">
        <f t="array" ref="F291">INDEX($F$5:$F$61,MATCH(1,(D291=$C$5:$C$61)*(A291=$B$5:$B$61),0))</f>
        <v>#N/A</v>
      </c>
      <c r="G291" s="196" t="e" cm="1">
        <f t="array" ref="G291">INDEX($G$5:$G$61,MATCH(1,(D291=$C$5:$C$61)*(A291=$B$5:$B$61),0))</f>
        <v>#N/A</v>
      </c>
      <c r="H291" s="196" t="e" cm="1">
        <f t="array" ref="H291">INDEX($H$5:$H$61,MATCH(1,(D291=$C$5:$C$61)*(A291=$B$5:$B$61),0))</f>
        <v>#N/A</v>
      </c>
      <c r="I291" s="196" t="e" cm="1">
        <f t="array" ref="I291">INDEX($I$5:$I$61,MATCH(1,(D291=$C$5:$C$61)*(A291=$B$5:$B$61),0))</f>
        <v>#N/A</v>
      </c>
      <c r="J291" s="273"/>
      <c r="K291" s="273"/>
      <c r="L291" s="272"/>
      <c r="M291" s="273"/>
      <c r="N291" s="197"/>
      <c r="O291" s="200">
        <f t="shared" si="43"/>
        <v>0</v>
      </c>
      <c r="P291" s="274"/>
      <c r="Q291" s="274"/>
      <c r="R291" s="276"/>
      <c r="S291" s="274"/>
      <c r="T291" s="197">
        <f t="shared" si="44"/>
        <v>0</v>
      </c>
      <c r="U291" s="197">
        <f t="shared" si="45"/>
        <v>0</v>
      </c>
      <c r="V291" s="197">
        <f t="shared" si="46"/>
        <v>0</v>
      </c>
      <c r="W291" s="197">
        <f t="shared" si="47"/>
        <v>0</v>
      </c>
      <c r="Z291" s="197"/>
      <c r="AA291" s="228"/>
      <c r="AB291" s="228"/>
      <c r="AD291" s="228"/>
      <c r="AE291" s="228"/>
      <c r="AF291" s="228"/>
      <c r="AG291" s="228"/>
      <c r="AH291" s="228"/>
      <c r="AI291" s="228"/>
      <c r="AJ291" s="228"/>
      <c r="AK291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</row>
    <row r="292" spans="1:64" s="198" customFormat="1" x14ac:dyDescent="0.25">
      <c r="A292" s="290" t="str">
        <f t="shared" si="50"/>
        <v>Hudson View Park</v>
      </c>
      <c r="B292" s="195">
        <f t="shared" si="48"/>
        <v>194</v>
      </c>
      <c r="C292" s="196" t="str">
        <f t="shared" si="49"/>
        <v>Occ</v>
      </c>
      <c r="D292" s="196" t="e" cm="1">
        <f t="array" ref="D292">INDEX($C$5:$C$61,MATCH(1,(K292=$D$5:$D$61)*(A292=$B$5:$B$61),0))</f>
        <v>#N/A</v>
      </c>
      <c r="E292" s="196" t="e" cm="1">
        <f t="array" ref="E292">INDEX($E$5:$E$61,MATCH(1,(D292=$C$5:$C$61)*(A292=$B$5:$B$61),0))</f>
        <v>#N/A</v>
      </c>
      <c r="F292" s="196" t="e" cm="1">
        <f t="array" ref="F292">INDEX($F$5:$F$61,MATCH(1,(D292=$C$5:$C$61)*(A292=$B$5:$B$61),0))</f>
        <v>#N/A</v>
      </c>
      <c r="G292" s="196" t="e" cm="1">
        <f t="array" ref="G292">INDEX($G$5:$G$61,MATCH(1,(D292=$C$5:$C$61)*(A292=$B$5:$B$61),0))</f>
        <v>#N/A</v>
      </c>
      <c r="H292" s="196" t="e" cm="1">
        <f t="array" ref="H292">INDEX($H$5:$H$61,MATCH(1,(D292=$C$5:$C$61)*(A292=$B$5:$B$61),0))</f>
        <v>#N/A</v>
      </c>
      <c r="I292" s="196" t="e" cm="1">
        <f t="array" ref="I292">INDEX($I$5:$I$61,MATCH(1,(D292=$C$5:$C$61)*(A292=$B$5:$B$61),0))</f>
        <v>#N/A</v>
      </c>
      <c r="J292" s="273"/>
      <c r="K292" s="273"/>
      <c r="L292" s="272"/>
      <c r="M292" s="273"/>
      <c r="N292" s="197"/>
      <c r="O292" s="200">
        <f t="shared" ref="O292:O355" si="51">SUM(AA292:AB292)</f>
        <v>0</v>
      </c>
      <c r="P292" s="274"/>
      <c r="Q292" s="274"/>
      <c r="R292" s="276"/>
      <c r="S292" s="274"/>
      <c r="T292" s="197">
        <f t="shared" ref="T292:T355" si="52">SUM(AD292:AJ292)</f>
        <v>0</v>
      </c>
      <c r="U292" s="197">
        <f t="shared" ref="U292:U355" si="53">SUM(AL292:AO292)</f>
        <v>0</v>
      </c>
      <c r="V292" s="197">
        <f t="shared" ref="V292:V355" si="54">SUM(AQ292:AR292)</f>
        <v>0</v>
      </c>
      <c r="W292" s="197">
        <f t="shared" ref="W292:W355" si="55">SUM(AT292:AV292)</f>
        <v>0</v>
      </c>
      <c r="Z292" s="197"/>
      <c r="AA292" s="228"/>
      <c r="AB292" s="228"/>
      <c r="AD292" s="228"/>
      <c r="AE292" s="228"/>
      <c r="AF292" s="228"/>
      <c r="AG292" s="228"/>
      <c r="AH292" s="228"/>
      <c r="AI292" s="228"/>
      <c r="AJ292" s="228"/>
      <c r="AK292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</row>
    <row r="293" spans="1:64" s="198" customFormat="1" x14ac:dyDescent="0.25">
      <c r="A293" s="290" t="str">
        <f t="shared" si="50"/>
        <v>Hudson View Park</v>
      </c>
      <c r="B293" s="195">
        <f t="shared" ref="B293:B356" si="56">B292+1</f>
        <v>195</v>
      </c>
      <c r="C293" s="196" t="str">
        <f t="shared" ref="C293:C356" si="57">IF(M293="Vacant","Vac",IF(M293="Model","Model",IF(M293="Admin","Admin",IF(M293="Down","Down","Occ"))))</f>
        <v>Occ</v>
      </c>
      <c r="D293" s="196" t="e" cm="1">
        <f t="array" ref="D293">INDEX($C$5:$C$61,MATCH(1,(K293=$D$5:$D$61)*(A293=$B$5:$B$61),0))</f>
        <v>#N/A</v>
      </c>
      <c r="E293" s="196" t="e" cm="1">
        <f t="array" ref="E293">INDEX($E$5:$E$61,MATCH(1,(D293=$C$5:$C$61)*(A293=$B$5:$B$61),0))</f>
        <v>#N/A</v>
      </c>
      <c r="F293" s="196" t="e" cm="1">
        <f t="array" ref="F293">INDEX($F$5:$F$61,MATCH(1,(D293=$C$5:$C$61)*(A293=$B$5:$B$61),0))</f>
        <v>#N/A</v>
      </c>
      <c r="G293" s="196" t="e" cm="1">
        <f t="array" ref="G293">INDEX($G$5:$G$61,MATCH(1,(D293=$C$5:$C$61)*(A293=$B$5:$B$61),0))</f>
        <v>#N/A</v>
      </c>
      <c r="H293" s="196" t="e" cm="1">
        <f t="array" ref="H293">INDEX($H$5:$H$61,MATCH(1,(D293=$C$5:$C$61)*(A293=$B$5:$B$61),0))</f>
        <v>#N/A</v>
      </c>
      <c r="I293" s="196" t="e" cm="1">
        <f t="array" ref="I293">INDEX($I$5:$I$61,MATCH(1,(D293=$C$5:$C$61)*(A293=$B$5:$B$61),0))</f>
        <v>#N/A</v>
      </c>
      <c r="J293" s="273"/>
      <c r="K293" s="273"/>
      <c r="L293" s="272"/>
      <c r="M293" s="273"/>
      <c r="N293" s="197"/>
      <c r="O293" s="200">
        <f t="shared" si="51"/>
        <v>0</v>
      </c>
      <c r="P293" s="274"/>
      <c r="Q293" s="274"/>
      <c r="R293" s="276"/>
      <c r="S293" s="274"/>
      <c r="T293" s="197">
        <f t="shared" si="52"/>
        <v>0</v>
      </c>
      <c r="U293" s="197">
        <f t="shared" si="53"/>
        <v>0</v>
      </c>
      <c r="V293" s="197">
        <f t="shared" si="54"/>
        <v>0</v>
      </c>
      <c r="W293" s="197">
        <f t="shared" si="55"/>
        <v>0</v>
      </c>
      <c r="Z293" s="197"/>
      <c r="AA293" s="228"/>
      <c r="AB293" s="228"/>
      <c r="AD293" s="228"/>
      <c r="AE293" s="228"/>
      <c r="AF293" s="228"/>
      <c r="AG293" s="228"/>
      <c r="AH293" s="228"/>
      <c r="AI293" s="228"/>
      <c r="AJ293" s="228"/>
      <c r="AK293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</row>
    <row r="294" spans="1:64" s="198" customFormat="1" x14ac:dyDescent="0.25">
      <c r="A294" s="290" t="str">
        <f t="shared" si="50"/>
        <v>Hudson View Park</v>
      </c>
      <c r="B294" s="195">
        <f t="shared" si="56"/>
        <v>196</v>
      </c>
      <c r="C294" s="196" t="str">
        <f t="shared" si="57"/>
        <v>Occ</v>
      </c>
      <c r="D294" s="196" t="e" cm="1">
        <f t="array" ref="D294">INDEX($C$5:$C$61,MATCH(1,(K294=$D$5:$D$61)*(A294=$B$5:$B$61),0))</f>
        <v>#N/A</v>
      </c>
      <c r="E294" s="196" t="e" cm="1">
        <f t="array" ref="E294">INDEX($E$5:$E$61,MATCH(1,(D294=$C$5:$C$61)*(A294=$B$5:$B$61),0))</f>
        <v>#N/A</v>
      </c>
      <c r="F294" s="196" t="e" cm="1">
        <f t="array" ref="F294">INDEX($F$5:$F$61,MATCH(1,(D294=$C$5:$C$61)*(A294=$B$5:$B$61),0))</f>
        <v>#N/A</v>
      </c>
      <c r="G294" s="196" t="e" cm="1">
        <f t="array" ref="G294">INDEX($G$5:$G$61,MATCH(1,(D294=$C$5:$C$61)*(A294=$B$5:$B$61),0))</f>
        <v>#N/A</v>
      </c>
      <c r="H294" s="196" t="e" cm="1">
        <f t="array" ref="H294">INDEX($H$5:$H$61,MATCH(1,(D294=$C$5:$C$61)*(A294=$B$5:$B$61),0))</f>
        <v>#N/A</v>
      </c>
      <c r="I294" s="196" t="e" cm="1">
        <f t="array" ref="I294">INDEX($I$5:$I$61,MATCH(1,(D294=$C$5:$C$61)*(A294=$B$5:$B$61),0))</f>
        <v>#N/A</v>
      </c>
      <c r="J294" s="273"/>
      <c r="K294" s="273"/>
      <c r="L294" s="272"/>
      <c r="M294" s="273"/>
      <c r="N294" s="197"/>
      <c r="O294" s="200">
        <f t="shared" si="51"/>
        <v>0</v>
      </c>
      <c r="P294" s="274"/>
      <c r="Q294" s="274"/>
      <c r="R294" s="276"/>
      <c r="S294" s="274"/>
      <c r="T294" s="197">
        <f t="shared" si="52"/>
        <v>0</v>
      </c>
      <c r="U294" s="197">
        <f t="shared" si="53"/>
        <v>0</v>
      </c>
      <c r="V294" s="197">
        <f t="shared" si="54"/>
        <v>0</v>
      </c>
      <c r="W294" s="197">
        <f t="shared" si="55"/>
        <v>0</v>
      </c>
      <c r="Z294" s="197"/>
      <c r="AA294" s="228"/>
      <c r="AB294" s="228"/>
      <c r="AD294" s="228"/>
      <c r="AE294" s="228"/>
      <c r="AF294" s="228"/>
      <c r="AG294" s="228"/>
      <c r="AH294" s="228"/>
      <c r="AI294" s="228"/>
      <c r="AJ294" s="228"/>
      <c r="AK294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</row>
    <row r="295" spans="1:64" s="198" customFormat="1" x14ac:dyDescent="0.25">
      <c r="A295" s="290" t="str">
        <f t="shared" si="50"/>
        <v>Hudson View Park</v>
      </c>
      <c r="B295" s="195">
        <f t="shared" si="56"/>
        <v>197</v>
      </c>
      <c r="C295" s="196" t="str">
        <f t="shared" si="57"/>
        <v>Occ</v>
      </c>
      <c r="D295" s="196" t="e" cm="1">
        <f t="array" ref="D295">INDEX($C$5:$C$61,MATCH(1,(K295=$D$5:$D$61)*(A295=$B$5:$B$61),0))</f>
        <v>#N/A</v>
      </c>
      <c r="E295" s="196" t="e" cm="1">
        <f t="array" ref="E295">INDEX($E$5:$E$61,MATCH(1,(D295=$C$5:$C$61)*(A295=$B$5:$B$61),0))</f>
        <v>#N/A</v>
      </c>
      <c r="F295" s="196" t="e" cm="1">
        <f t="array" ref="F295">INDEX($F$5:$F$61,MATCH(1,(D295=$C$5:$C$61)*(A295=$B$5:$B$61),0))</f>
        <v>#N/A</v>
      </c>
      <c r="G295" s="196" t="e" cm="1">
        <f t="array" ref="G295">INDEX($G$5:$G$61,MATCH(1,(D295=$C$5:$C$61)*(A295=$B$5:$B$61),0))</f>
        <v>#N/A</v>
      </c>
      <c r="H295" s="196" t="e" cm="1">
        <f t="array" ref="H295">INDEX($H$5:$H$61,MATCH(1,(D295=$C$5:$C$61)*(A295=$B$5:$B$61),0))</f>
        <v>#N/A</v>
      </c>
      <c r="I295" s="196" t="e" cm="1">
        <f t="array" ref="I295">INDEX($I$5:$I$61,MATCH(1,(D295=$C$5:$C$61)*(A295=$B$5:$B$61),0))</f>
        <v>#N/A</v>
      </c>
      <c r="J295" s="273"/>
      <c r="K295" s="273"/>
      <c r="L295" s="272"/>
      <c r="M295" s="273"/>
      <c r="N295" s="197"/>
      <c r="O295" s="200">
        <f t="shared" si="51"/>
        <v>0</v>
      </c>
      <c r="P295" s="274"/>
      <c r="Q295" s="274"/>
      <c r="R295" s="276"/>
      <c r="S295" s="274"/>
      <c r="T295" s="197">
        <f t="shared" si="52"/>
        <v>0</v>
      </c>
      <c r="U295" s="197">
        <f t="shared" si="53"/>
        <v>0</v>
      </c>
      <c r="V295" s="197">
        <f t="shared" si="54"/>
        <v>0</v>
      </c>
      <c r="W295" s="197">
        <f t="shared" si="55"/>
        <v>0</v>
      </c>
      <c r="Z295" s="197"/>
      <c r="AA295" s="228"/>
      <c r="AB295" s="228"/>
      <c r="AD295" s="228"/>
      <c r="AE295" s="228"/>
      <c r="AF295" s="228"/>
      <c r="AG295" s="228"/>
      <c r="AH295" s="228"/>
      <c r="AI295" s="228"/>
      <c r="AJ295" s="228"/>
      <c r="AK295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</row>
    <row r="296" spans="1:64" s="198" customFormat="1" x14ac:dyDescent="0.25">
      <c r="A296" s="290" t="str">
        <f t="shared" si="50"/>
        <v>Hudson View Park</v>
      </c>
      <c r="B296" s="195">
        <f t="shared" si="56"/>
        <v>198</v>
      </c>
      <c r="C296" s="196" t="str">
        <f t="shared" si="57"/>
        <v>Occ</v>
      </c>
      <c r="D296" s="196" t="e" cm="1">
        <f t="array" ref="D296">INDEX($C$5:$C$61,MATCH(1,(K296=$D$5:$D$61)*(A296=$B$5:$B$61),0))</f>
        <v>#N/A</v>
      </c>
      <c r="E296" s="196" t="e" cm="1">
        <f t="array" ref="E296">INDEX($E$5:$E$61,MATCH(1,(D296=$C$5:$C$61)*(A296=$B$5:$B$61),0))</f>
        <v>#N/A</v>
      </c>
      <c r="F296" s="196" t="e" cm="1">
        <f t="array" ref="F296">INDEX($F$5:$F$61,MATCH(1,(D296=$C$5:$C$61)*(A296=$B$5:$B$61),0))</f>
        <v>#N/A</v>
      </c>
      <c r="G296" s="196" t="e" cm="1">
        <f t="array" ref="G296">INDEX($G$5:$G$61,MATCH(1,(D296=$C$5:$C$61)*(A296=$B$5:$B$61),0))</f>
        <v>#N/A</v>
      </c>
      <c r="H296" s="196" t="e" cm="1">
        <f t="array" ref="H296">INDEX($H$5:$H$61,MATCH(1,(D296=$C$5:$C$61)*(A296=$B$5:$B$61),0))</f>
        <v>#N/A</v>
      </c>
      <c r="I296" s="196" t="e" cm="1">
        <f t="array" ref="I296">INDEX($I$5:$I$61,MATCH(1,(D296=$C$5:$C$61)*(A296=$B$5:$B$61),0))</f>
        <v>#N/A</v>
      </c>
      <c r="J296" s="273"/>
      <c r="K296" s="273"/>
      <c r="L296" s="272"/>
      <c r="M296" s="273"/>
      <c r="N296" s="197"/>
      <c r="O296" s="200">
        <f t="shared" si="51"/>
        <v>0</v>
      </c>
      <c r="P296" s="274"/>
      <c r="Q296" s="274"/>
      <c r="R296" s="276"/>
      <c r="S296" s="274"/>
      <c r="T296" s="197">
        <f t="shared" si="52"/>
        <v>0</v>
      </c>
      <c r="U296" s="197">
        <f t="shared" si="53"/>
        <v>0</v>
      </c>
      <c r="V296" s="197">
        <f t="shared" si="54"/>
        <v>0</v>
      </c>
      <c r="W296" s="197">
        <f t="shared" si="55"/>
        <v>0</v>
      </c>
      <c r="Z296" s="197"/>
      <c r="AA296" s="228"/>
      <c r="AB296" s="228"/>
      <c r="AD296" s="228"/>
      <c r="AE296" s="228"/>
      <c r="AF296" s="228"/>
      <c r="AG296" s="228"/>
      <c r="AH296" s="228"/>
      <c r="AI296" s="228"/>
      <c r="AJ296" s="228"/>
      <c r="AK296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</row>
    <row r="297" spans="1:64" s="198" customFormat="1" x14ac:dyDescent="0.25">
      <c r="A297" s="290" t="str">
        <f t="shared" si="50"/>
        <v>Hudson View Park</v>
      </c>
      <c r="B297" s="195">
        <f t="shared" si="56"/>
        <v>199</v>
      </c>
      <c r="C297" s="196" t="str">
        <f t="shared" si="57"/>
        <v>Occ</v>
      </c>
      <c r="D297" s="196" t="e" cm="1">
        <f t="array" ref="D297">INDEX($C$5:$C$61,MATCH(1,(K297=$D$5:$D$61)*(A297=$B$5:$B$61),0))</f>
        <v>#N/A</v>
      </c>
      <c r="E297" s="196" t="e" cm="1">
        <f t="array" ref="E297">INDEX($E$5:$E$61,MATCH(1,(D297=$C$5:$C$61)*(A297=$B$5:$B$61),0))</f>
        <v>#N/A</v>
      </c>
      <c r="F297" s="196" t="e" cm="1">
        <f t="array" ref="F297">INDEX($F$5:$F$61,MATCH(1,(D297=$C$5:$C$61)*(A297=$B$5:$B$61),0))</f>
        <v>#N/A</v>
      </c>
      <c r="G297" s="196" t="e" cm="1">
        <f t="array" ref="G297">INDEX($G$5:$G$61,MATCH(1,(D297=$C$5:$C$61)*(A297=$B$5:$B$61),0))</f>
        <v>#N/A</v>
      </c>
      <c r="H297" s="196" t="e" cm="1">
        <f t="array" ref="H297">INDEX($H$5:$H$61,MATCH(1,(D297=$C$5:$C$61)*(A297=$B$5:$B$61),0))</f>
        <v>#N/A</v>
      </c>
      <c r="I297" s="196" t="e" cm="1">
        <f t="array" ref="I297">INDEX($I$5:$I$61,MATCH(1,(D297=$C$5:$C$61)*(A297=$B$5:$B$61),0))</f>
        <v>#N/A</v>
      </c>
      <c r="J297" s="273"/>
      <c r="K297" s="273"/>
      <c r="L297" s="272"/>
      <c r="M297" s="273"/>
      <c r="N297" s="197"/>
      <c r="O297" s="200">
        <f t="shared" si="51"/>
        <v>0</v>
      </c>
      <c r="P297" s="274"/>
      <c r="Q297" s="274"/>
      <c r="R297" s="276"/>
      <c r="S297" s="274"/>
      <c r="T297" s="197">
        <f t="shared" si="52"/>
        <v>0</v>
      </c>
      <c r="U297" s="197">
        <f t="shared" si="53"/>
        <v>0</v>
      </c>
      <c r="V297" s="197">
        <f t="shared" si="54"/>
        <v>0</v>
      </c>
      <c r="W297" s="197">
        <f t="shared" si="55"/>
        <v>0</v>
      </c>
      <c r="Z297" s="197"/>
      <c r="AA297" s="228"/>
      <c r="AB297" s="228"/>
      <c r="AD297" s="228"/>
      <c r="AE297" s="228"/>
      <c r="AF297" s="228"/>
      <c r="AG297" s="228"/>
      <c r="AH297" s="228"/>
      <c r="AI297" s="228"/>
      <c r="AJ297" s="228"/>
      <c r="AK297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</row>
    <row r="298" spans="1:64" s="198" customFormat="1" x14ac:dyDescent="0.25">
      <c r="A298" s="290" t="str">
        <f t="shared" si="50"/>
        <v>Hudson View Park</v>
      </c>
      <c r="B298" s="195">
        <f t="shared" si="56"/>
        <v>200</v>
      </c>
      <c r="C298" s="196" t="str">
        <f t="shared" si="57"/>
        <v>Occ</v>
      </c>
      <c r="D298" s="196" t="e" cm="1">
        <f t="array" ref="D298">INDEX($C$5:$C$61,MATCH(1,(K298=$D$5:$D$61)*(A298=$B$5:$B$61),0))</f>
        <v>#N/A</v>
      </c>
      <c r="E298" s="196" t="e" cm="1">
        <f t="array" ref="E298">INDEX($E$5:$E$61,MATCH(1,(D298=$C$5:$C$61)*(A298=$B$5:$B$61),0))</f>
        <v>#N/A</v>
      </c>
      <c r="F298" s="196" t="e" cm="1">
        <f t="array" ref="F298">INDEX($F$5:$F$61,MATCH(1,(D298=$C$5:$C$61)*(A298=$B$5:$B$61),0))</f>
        <v>#N/A</v>
      </c>
      <c r="G298" s="196" t="e" cm="1">
        <f t="array" ref="G298">INDEX($G$5:$G$61,MATCH(1,(D298=$C$5:$C$61)*(A298=$B$5:$B$61),0))</f>
        <v>#N/A</v>
      </c>
      <c r="H298" s="196" t="e" cm="1">
        <f t="array" ref="H298">INDEX($H$5:$H$61,MATCH(1,(D298=$C$5:$C$61)*(A298=$B$5:$B$61),0))</f>
        <v>#N/A</v>
      </c>
      <c r="I298" s="196" t="e" cm="1">
        <f t="array" ref="I298">INDEX($I$5:$I$61,MATCH(1,(D298=$C$5:$C$61)*(A298=$B$5:$B$61),0))</f>
        <v>#N/A</v>
      </c>
      <c r="J298" s="273"/>
      <c r="K298" s="273"/>
      <c r="L298" s="272"/>
      <c r="M298" s="273"/>
      <c r="N298" s="197"/>
      <c r="O298" s="200">
        <f t="shared" si="51"/>
        <v>0</v>
      </c>
      <c r="P298" s="274"/>
      <c r="Q298" s="274"/>
      <c r="R298" s="276"/>
      <c r="S298" s="274"/>
      <c r="T298" s="197">
        <f t="shared" si="52"/>
        <v>0</v>
      </c>
      <c r="U298" s="197">
        <f t="shared" si="53"/>
        <v>0</v>
      </c>
      <c r="V298" s="197">
        <f t="shared" si="54"/>
        <v>0</v>
      </c>
      <c r="W298" s="197">
        <f t="shared" si="55"/>
        <v>0</v>
      </c>
      <c r="Z298" s="197"/>
      <c r="AA298" s="228"/>
      <c r="AB298" s="228"/>
      <c r="AD298" s="228"/>
      <c r="AE298" s="228"/>
      <c r="AF298" s="228"/>
      <c r="AG298" s="228"/>
      <c r="AH298" s="228"/>
      <c r="AI298" s="228"/>
      <c r="AJ298" s="228"/>
      <c r="AK29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</row>
    <row r="299" spans="1:64" s="198" customFormat="1" x14ac:dyDescent="0.25">
      <c r="A299" s="290" t="str">
        <f t="shared" si="50"/>
        <v>Hudson View Park</v>
      </c>
      <c r="B299" s="195">
        <f t="shared" si="56"/>
        <v>201</v>
      </c>
      <c r="C299" s="196" t="str">
        <f t="shared" si="57"/>
        <v>Occ</v>
      </c>
      <c r="D299" s="196" t="e" cm="1">
        <f t="array" ref="D299">INDEX($C$5:$C$61,MATCH(1,(K299=$D$5:$D$61)*(A299=$B$5:$B$61),0))</f>
        <v>#N/A</v>
      </c>
      <c r="E299" s="196" t="e" cm="1">
        <f t="array" ref="E299">INDEX($E$5:$E$61,MATCH(1,(D299=$C$5:$C$61)*(A299=$B$5:$B$61),0))</f>
        <v>#N/A</v>
      </c>
      <c r="F299" s="196" t="e" cm="1">
        <f t="array" ref="F299">INDEX($F$5:$F$61,MATCH(1,(D299=$C$5:$C$61)*(A299=$B$5:$B$61),0))</f>
        <v>#N/A</v>
      </c>
      <c r="G299" s="196" t="e" cm="1">
        <f t="array" ref="G299">INDEX($G$5:$G$61,MATCH(1,(D299=$C$5:$C$61)*(A299=$B$5:$B$61),0))</f>
        <v>#N/A</v>
      </c>
      <c r="H299" s="196" t="e" cm="1">
        <f t="array" ref="H299">INDEX($H$5:$H$61,MATCH(1,(D299=$C$5:$C$61)*(A299=$B$5:$B$61),0))</f>
        <v>#N/A</v>
      </c>
      <c r="I299" s="196" t="e" cm="1">
        <f t="array" ref="I299">INDEX($I$5:$I$61,MATCH(1,(D299=$C$5:$C$61)*(A299=$B$5:$B$61),0))</f>
        <v>#N/A</v>
      </c>
      <c r="J299" s="273"/>
      <c r="K299" s="273"/>
      <c r="L299" s="272"/>
      <c r="M299" s="273"/>
      <c r="N299" s="197"/>
      <c r="O299" s="200">
        <f t="shared" si="51"/>
        <v>0</v>
      </c>
      <c r="P299" s="274"/>
      <c r="Q299" s="274"/>
      <c r="R299" s="276"/>
      <c r="S299" s="274"/>
      <c r="T299" s="197">
        <f t="shared" si="52"/>
        <v>0</v>
      </c>
      <c r="U299" s="197">
        <f t="shared" si="53"/>
        <v>0</v>
      </c>
      <c r="V299" s="197">
        <f t="shared" si="54"/>
        <v>0</v>
      </c>
      <c r="W299" s="197">
        <f t="shared" si="55"/>
        <v>0</v>
      </c>
      <c r="Z299" s="197"/>
      <c r="AA299" s="228"/>
      <c r="AB299" s="228"/>
      <c r="AD299" s="228"/>
      <c r="AE299" s="228"/>
      <c r="AF299" s="228"/>
      <c r="AG299" s="228"/>
      <c r="AH299" s="228"/>
      <c r="AI299" s="228"/>
      <c r="AJ299" s="228"/>
      <c r="AK299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</row>
    <row r="300" spans="1:64" s="198" customFormat="1" x14ac:dyDescent="0.25">
      <c r="A300" s="290" t="str">
        <f t="shared" si="50"/>
        <v>Hudson View Park</v>
      </c>
      <c r="B300" s="195">
        <f t="shared" si="56"/>
        <v>202</v>
      </c>
      <c r="C300" s="196" t="str">
        <f t="shared" si="57"/>
        <v>Occ</v>
      </c>
      <c r="D300" s="196" t="e" cm="1">
        <f t="array" ref="D300">INDEX($C$5:$C$61,MATCH(1,(K300=$D$5:$D$61)*(A300=$B$5:$B$61),0))</f>
        <v>#N/A</v>
      </c>
      <c r="E300" s="196" t="e" cm="1">
        <f t="array" ref="E300">INDEX($E$5:$E$61,MATCH(1,(D300=$C$5:$C$61)*(A300=$B$5:$B$61),0))</f>
        <v>#N/A</v>
      </c>
      <c r="F300" s="196" t="e" cm="1">
        <f t="array" ref="F300">INDEX($F$5:$F$61,MATCH(1,(D300=$C$5:$C$61)*(A300=$B$5:$B$61),0))</f>
        <v>#N/A</v>
      </c>
      <c r="G300" s="196" t="e" cm="1">
        <f t="array" ref="G300">INDEX($G$5:$G$61,MATCH(1,(D300=$C$5:$C$61)*(A300=$B$5:$B$61),0))</f>
        <v>#N/A</v>
      </c>
      <c r="H300" s="196" t="e" cm="1">
        <f t="array" ref="H300">INDEX($H$5:$H$61,MATCH(1,(D300=$C$5:$C$61)*(A300=$B$5:$B$61),0))</f>
        <v>#N/A</v>
      </c>
      <c r="I300" s="196" t="e" cm="1">
        <f t="array" ref="I300">INDEX($I$5:$I$61,MATCH(1,(D300=$C$5:$C$61)*(A300=$B$5:$B$61),0))</f>
        <v>#N/A</v>
      </c>
      <c r="J300" s="273"/>
      <c r="K300" s="273"/>
      <c r="L300" s="272"/>
      <c r="M300" s="273"/>
      <c r="N300" s="197"/>
      <c r="O300" s="200">
        <f t="shared" si="51"/>
        <v>0</v>
      </c>
      <c r="P300" s="274"/>
      <c r="Q300" s="274"/>
      <c r="R300" s="276"/>
      <c r="S300" s="274"/>
      <c r="T300" s="197">
        <f t="shared" si="52"/>
        <v>0</v>
      </c>
      <c r="U300" s="197">
        <f t="shared" si="53"/>
        <v>0</v>
      </c>
      <c r="V300" s="197">
        <f t="shared" si="54"/>
        <v>0</v>
      </c>
      <c r="W300" s="197">
        <f t="shared" si="55"/>
        <v>0</v>
      </c>
      <c r="Z300" s="197"/>
      <c r="AA300" s="228"/>
      <c r="AB300" s="228"/>
      <c r="AD300" s="228"/>
      <c r="AE300" s="228"/>
      <c r="AF300" s="228"/>
      <c r="AG300" s="228"/>
      <c r="AH300" s="228"/>
      <c r="AI300" s="228"/>
      <c r="AJ300" s="228"/>
      <c r="AK300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 spans="1:64" s="198" customFormat="1" x14ac:dyDescent="0.25">
      <c r="A301" s="290" t="str">
        <f t="shared" si="50"/>
        <v>Hudson View Park</v>
      </c>
      <c r="B301" s="195">
        <f t="shared" si="56"/>
        <v>203</v>
      </c>
      <c r="C301" s="196" t="str">
        <f t="shared" si="57"/>
        <v>Occ</v>
      </c>
      <c r="D301" s="196" t="e" cm="1">
        <f t="array" ref="D301">INDEX($C$5:$C$61,MATCH(1,(K301=$D$5:$D$61)*(A301=$B$5:$B$61),0))</f>
        <v>#N/A</v>
      </c>
      <c r="E301" s="196" t="e" cm="1">
        <f t="array" ref="E301">INDEX($E$5:$E$61,MATCH(1,(D301=$C$5:$C$61)*(A301=$B$5:$B$61),0))</f>
        <v>#N/A</v>
      </c>
      <c r="F301" s="196" t="e" cm="1">
        <f t="array" ref="F301">INDEX($F$5:$F$61,MATCH(1,(D301=$C$5:$C$61)*(A301=$B$5:$B$61),0))</f>
        <v>#N/A</v>
      </c>
      <c r="G301" s="196" t="e" cm="1">
        <f t="array" ref="G301">INDEX($G$5:$G$61,MATCH(1,(D301=$C$5:$C$61)*(A301=$B$5:$B$61),0))</f>
        <v>#N/A</v>
      </c>
      <c r="H301" s="196" t="e" cm="1">
        <f t="array" ref="H301">INDEX($H$5:$H$61,MATCH(1,(D301=$C$5:$C$61)*(A301=$B$5:$B$61),0))</f>
        <v>#N/A</v>
      </c>
      <c r="I301" s="196" t="e" cm="1">
        <f t="array" ref="I301">INDEX($I$5:$I$61,MATCH(1,(D301=$C$5:$C$61)*(A301=$B$5:$B$61),0))</f>
        <v>#N/A</v>
      </c>
      <c r="J301" s="273"/>
      <c r="K301" s="273"/>
      <c r="L301" s="272"/>
      <c r="M301" s="273"/>
      <c r="N301" s="197"/>
      <c r="O301" s="200">
        <f t="shared" si="51"/>
        <v>0</v>
      </c>
      <c r="P301" s="274"/>
      <c r="Q301" s="274"/>
      <c r="R301" s="276"/>
      <c r="S301" s="274"/>
      <c r="T301" s="197">
        <f t="shared" si="52"/>
        <v>0</v>
      </c>
      <c r="U301" s="197">
        <f t="shared" si="53"/>
        <v>0</v>
      </c>
      <c r="V301" s="197">
        <f t="shared" si="54"/>
        <v>0</v>
      </c>
      <c r="W301" s="197">
        <f t="shared" si="55"/>
        <v>0</v>
      </c>
      <c r="Z301" s="197"/>
      <c r="AA301" s="228"/>
      <c r="AB301" s="228"/>
      <c r="AD301" s="228"/>
      <c r="AE301" s="228"/>
      <c r="AF301" s="228"/>
      <c r="AG301" s="228"/>
      <c r="AH301" s="228"/>
      <c r="AI301" s="228"/>
      <c r="AJ301" s="228"/>
      <c r="AK301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</row>
    <row r="302" spans="1:64" s="198" customFormat="1" x14ac:dyDescent="0.25">
      <c r="A302" s="290" t="str">
        <f t="shared" si="50"/>
        <v>Hudson View Park</v>
      </c>
      <c r="B302" s="195">
        <f t="shared" si="56"/>
        <v>204</v>
      </c>
      <c r="C302" s="196" t="str">
        <f t="shared" si="57"/>
        <v>Occ</v>
      </c>
      <c r="D302" s="196" t="e" cm="1">
        <f t="array" ref="D302">INDEX($C$5:$C$61,MATCH(1,(K302=$D$5:$D$61)*(A302=$B$5:$B$61),0))</f>
        <v>#N/A</v>
      </c>
      <c r="E302" s="196" t="e" cm="1">
        <f t="array" ref="E302">INDEX($E$5:$E$61,MATCH(1,(D302=$C$5:$C$61)*(A302=$B$5:$B$61),0))</f>
        <v>#N/A</v>
      </c>
      <c r="F302" s="196" t="e" cm="1">
        <f t="array" ref="F302">INDEX($F$5:$F$61,MATCH(1,(D302=$C$5:$C$61)*(A302=$B$5:$B$61),0))</f>
        <v>#N/A</v>
      </c>
      <c r="G302" s="196" t="e" cm="1">
        <f t="array" ref="G302">INDEX($G$5:$G$61,MATCH(1,(D302=$C$5:$C$61)*(A302=$B$5:$B$61),0))</f>
        <v>#N/A</v>
      </c>
      <c r="H302" s="196" t="e" cm="1">
        <f t="array" ref="H302">INDEX($H$5:$H$61,MATCH(1,(D302=$C$5:$C$61)*(A302=$B$5:$B$61),0))</f>
        <v>#N/A</v>
      </c>
      <c r="I302" s="196" t="e" cm="1">
        <f t="array" ref="I302">INDEX($I$5:$I$61,MATCH(1,(D302=$C$5:$C$61)*(A302=$B$5:$B$61),0))</f>
        <v>#N/A</v>
      </c>
      <c r="J302" s="273"/>
      <c r="K302" s="273"/>
      <c r="L302" s="272"/>
      <c r="M302" s="273"/>
      <c r="N302" s="197"/>
      <c r="O302" s="200">
        <f t="shared" si="51"/>
        <v>0</v>
      </c>
      <c r="P302" s="274"/>
      <c r="Q302" s="274"/>
      <c r="R302" s="276"/>
      <c r="S302" s="274"/>
      <c r="T302" s="197">
        <f t="shared" si="52"/>
        <v>0</v>
      </c>
      <c r="U302" s="197">
        <f t="shared" si="53"/>
        <v>0</v>
      </c>
      <c r="V302" s="197">
        <f t="shared" si="54"/>
        <v>0</v>
      </c>
      <c r="W302" s="197">
        <f t="shared" si="55"/>
        <v>0</v>
      </c>
      <c r="Z302" s="197"/>
      <c r="AA302" s="228"/>
      <c r="AB302" s="228"/>
      <c r="AD302" s="228"/>
      <c r="AE302" s="228"/>
      <c r="AF302" s="228"/>
      <c r="AG302" s="228"/>
      <c r="AH302" s="228"/>
      <c r="AI302" s="228"/>
      <c r="AJ302" s="228"/>
      <c r="AK302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 spans="1:64" s="198" customFormat="1" x14ac:dyDescent="0.25">
      <c r="A303" s="290" t="str">
        <f t="shared" si="50"/>
        <v>Hudson View Park</v>
      </c>
      <c r="B303" s="195">
        <f t="shared" si="56"/>
        <v>205</v>
      </c>
      <c r="C303" s="196" t="str">
        <f t="shared" si="57"/>
        <v>Occ</v>
      </c>
      <c r="D303" s="196" t="e" cm="1">
        <f t="array" ref="D303">INDEX($C$5:$C$61,MATCH(1,(K303=$D$5:$D$61)*(A303=$B$5:$B$61),0))</f>
        <v>#N/A</v>
      </c>
      <c r="E303" s="196" t="e" cm="1">
        <f t="array" ref="E303">INDEX($E$5:$E$61,MATCH(1,(D303=$C$5:$C$61)*(A303=$B$5:$B$61),0))</f>
        <v>#N/A</v>
      </c>
      <c r="F303" s="196" t="e" cm="1">
        <f t="array" ref="F303">INDEX($F$5:$F$61,MATCH(1,(D303=$C$5:$C$61)*(A303=$B$5:$B$61),0))</f>
        <v>#N/A</v>
      </c>
      <c r="G303" s="196" t="e" cm="1">
        <f t="array" ref="G303">INDEX($G$5:$G$61,MATCH(1,(D303=$C$5:$C$61)*(A303=$B$5:$B$61),0))</f>
        <v>#N/A</v>
      </c>
      <c r="H303" s="196" t="e" cm="1">
        <f t="array" ref="H303">INDEX($H$5:$H$61,MATCH(1,(D303=$C$5:$C$61)*(A303=$B$5:$B$61),0))</f>
        <v>#N/A</v>
      </c>
      <c r="I303" s="196" t="e" cm="1">
        <f t="array" ref="I303">INDEX($I$5:$I$61,MATCH(1,(D303=$C$5:$C$61)*(A303=$B$5:$B$61),0))</f>
        <v>#N/A</v>
      </c>
      <c r="J303" s="273"/>
      <c r="K303" s="273"/>
      <c r="L303" s="272"/>
      <c r="M303" s="273"/>
      <c r="N303" s="197"/>
      <c r="O303" s="200">
        <f t="shared" si="51"/>
        <v>0</v>
      </c>
      <c r="P303" s="274"/>
      <c r="Q303" s="274"/>
      <c r="R303" s="276"/>
      <c r="S303" s="274"/>
      <c r="T303" s="197">
        <f t="shared" si="52"/>
        <v>0</v>
      </c>
      <c r="U303" s="197">
        <f t="shared" si="53"/>
        <v>0</v>
      </c>
      <c r="V303" s="197">
        <f t="shared" si="54"/>
        <v>0</v>
      </c>
      <c r="W303" s="197">
        <f t="shared" si="55"/>
        <v>0</v>
      </c>
      <c r="Z303" s="197"/>
      <c r="AA303" s="228"/>
      <c r="AB303" s="228"/>
      <c r="AD303" s="228"/>
      <c r="AE303" s="228"/>
      <c r="AF303" s="228"/>
      <c r="AG303" s="228"/>
      <c r="AH303" s="228"/>
      <c r="AI303" s="228"/>
      <c r="AJ303" s="228"/>
      <c r="AK303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 spans="1:64" s="198" customFormat="1" x14ac:dyDescent="0.25">
      <c r="A304" s="290" t="str">
        <f t="shared" si="50"/>
        <v>Hudson View Park</v>
      </c>
      <c r="B304" s="195">
        <f t="shared" si="56"/>
        <v>206</v>
      </c>
      <c r="C304" s="196" t="str">
        <f t="shared" si="57"/>
        <v>Occ</v>
      </c>
      <c r="D304" s="196" t="e" cm="1">
        <f t="array" ref="D304">INDEX($C$5:$C$61,MATCH(1,(K304=$D$5:$D$61)*(A304=$B$5:$B$61),0))</f>
        <v>#N/A</v>
      </c>
      <c r="E304" s="196" t="e" cm="1">
        <f t="array" ref="E304">INDEX($E$5:$E$61,MATCH(1,(D304=$C$5:$C$61)*(A304=$B$5:$B$61),0))</f>
        <v>#N/A</v>
      </c>
      <c r="F304" s="196" t="e" cm="1">
        <f t="array" ref="F304">INDEX($F$5:$F$61,MATCH(1,(D304=$C$5:$C$61)*(A304=$B$5:$B$61),0))</f>
        <v>#N/A</v>
      </c>
      <c r="G304" s="196" t="e" cm="1">
        <f t="array" ref="G304">INDEX($G$5:$G$61,MATCH(1,(D304=$C$5:$C$61)*(A304=$B$5:$B$61),0))</f>
        <v>#N/A</v>
      </c>
      <c r="H304" s="196" t="e" cm="1">
        <f t="array" ref="H304">INDEX($H$5:$H$61,MATCH(1,(D304=$C$5:$C$61)*(A304=$B$5:$B$61),0))</f>
        <v>#N/A</v>
      </c>
      <c r="I304" s="196" t="e" cm="1">
        <f t="array" ref="I304">INDEX($I$5:$I$61,MATCH(1,(D304=$C$5:$C$61)*(A304=$B$5:$B$61),0))</f>
        <v>#N/A</v>
      </c>
      <c r="J304" s="273"/>
      <c r="K304" s="273"/>
      <c r="L304" s="272"/>
      <c r="M304" s="273"/>
      <c r="N304" s="197"/>
      <c r="O304" s="200">
        <f t="shared" si="51"/>
        <v>0</v>
      </c>
      <c r="P304" s="274"/>
      <c r="Q304" s="274"/>
      <c r="R304" s="276"/>
      <c r="S304" s="274"/>
      <c r="T304" s="197">
        <f t="shared" si="52"/>
        <v>0</v>
      </c>
      <c r="U304" s="197">
        <f t="shared" si="53"/>
        <v>0</v>
      </c>
      <c r="V304" s="197">
        <f t="shared" si="54"/>
        <v>0</v>
      </c>
      <c r="W304" s="197">
        <f t="shared" si="55"/>
        <v>0</v>
      </c>
      <c r="Z304" s="197"/>
      <c r="AA304" s="228"/>
      <c r="AB304" s="228"/>
      <c r="AD304" s="228"/>
      <c r="AE304" s="228"/>
      <c r="AF304" s="228"/>
      <c r="AG304" s="228"/>
      <c r="AH304" s="228"/>
      <c r="AI304" s="228"/>
      <c r="AJ304" s="228"/>
      <c r="AK304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</row>
    <row r="305" spans="1:64" s="198" customFormat="1" x14ac:dyDescent="0.25">
      <c r="A305" s="290" t="str">
        <f t="shared" si="50"/>
        <v>Hudson View Park</v>
      </c>
      <c r="B305" s="195">
        <f t="shared" si="56"/>
        <v>207</v>
      </c>
      <c r="C305" s="196" t="str">
        <f t="shared" si="57"/>
        <v>Occ</v>
      </c>
      <c r="D305" s="196" t="e" cm="1">
        <f t="array" ref="D305">INDEX($C$5:$C$61,MATCH(1,(K305=$D$5:$D$61)*(A305=$B$5:$B$61),0))</f>
        <v>#N/A</v>
      </c>
      <c r="E305" s="196" t="e" cm="1">
        <f t="array" ref="E305">INDEX($E$5:$E$61,MATCH(1,(D305=$C$5:$C$61)*(A305=$B$5:$B$61),0))</f>
        <v>#N/A</v>
      </c>
      <c r="F305" s="196" t="e" cm="1">
        <f t="array" ref="F305">INDEX($F$5:$F$61,MATCH(1,(D305=$C$5:$C$61)*(A305=$B$5:$B$61),0))</f>
        <v>#N/A</v>
      </c>
      <c r="G305" s="196" t="e" cm="1">
        <f t="array" ref="G305">INDEX($G$5:$G$61,MATCH(1,(D305=$C$5:$C$61)*(A305=$B$5:$B$61),0))</f>
        <v>#N/A</v>
      </c>
      <c r="H305" s="196" t="e" cm="1">
        <f t="array" ref="H305">INDEX($H$5:$H$61,MATCH(1,(D305=$C$5:$C$61)*(A305=$B$5:$B$61),0))</f>
        <v>#N/A</v>
      </c>
      <c r="I305" s="196" t="e" cm="1">
        <f t="array" ref="I305">INDEX($I$5:$I$61,MATCH(1,(D305=$C$5:$C$61)*(A305=$B$5:$B$61),0))</f>
        <v>#N/A</v>
      </c>
      <c r="J305" s="273"/>
      <c r="K305" s="273"/>
      <c r="L305" s="272"/>
      <c r="M305" s="273"/>
      <c r="N305" s="197"/>
      <c r="O305" s="200">
        <f t="shared" si="51"/>
        <v>0</v>
      </c>
      <c r="P305" s="274"/>
      <c r="Q305" s="274"/>
      <c r="R305" s="276"/>
      <c r="S305" s="274"/>
      <c r="T305" s="197">
        <f t="shared" si="52"/>
        <v>0</v>
      </c>
      <c r="U305" s="197">
        <f t="shared" si="53"/>
        <v>0</v>
      </c>
      <c r="V305" s="197">
        <f t="shared" si="54"/>
        <v>0</v>
      </c>
      <c r="W305" s="197">
        <f t="shared" si="55"/>
        <v>0</v>
      </c>
      <c r="Z305" s="197"/>
      <c r="AA305" s="228"/>
      <c r="AB305" s="228"/>
      <c r="AD305" s="228"/>
      <c r="AE305" s="228"/>
      <c r="AF305" s="228"/>
      <c r="AG305" s="228"/>
      <c r="AH305" s="228"/>
      <c r="AI305" s="228"/>
      <c r="AJ305" s="228"/>
      <c r="AK305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</row>
    <row r="306" spans="1:64" s="198" customFormat="1" x14ac:dyDescent="0.25">
      <c r="A306" s="290" t="str">
        <f t="shared" si="50"/>
        <v>Hudson View Park</v>
      </c>
      <c r="B306" s="195">
        <f t="shared" si="56"/>
        <v>208</v>
      </c>
      <c r="C306" s="196" t="str">
        <f t="shared" si="57"/>
        <v>Occ</v>
      </c>
      <c r="D306" s="196" t="e" cm="1">
        <f t="array" ref="D306">INDEX($C$5:$C$61,MATCH(1,(K306=$D$5:$D$61)*(A306=$B$5:$B$61),0))</f>
        <v>#N/A</v>
      </c>
      <c r="E306" s="196" t="e" cm="1">
        <f t="array" ref="E306">INDEX($E$5:$E$61,MATCH(1,(D306=$C$5:$C$61)*(A306=$B$5:$B$61),0))</f>
        <v>#N/A</v>
      </c>
      <c r="F306" s="196" t="e" cm="1">
        <f t="array" ref="F306">INDEX($F$5:$F$61,MATCH(1,(D306=$C$5:$C$61)*(A306=$B$5:$B$61),0))</f>
        <v>#N/A</v>
      </c>
      <c r="G306" s="196" t="e" cm="1">
        <f t="array" ref="G306">INDEX($G$5:$G$61,MATCH(1,(D306=$C$5:$C$61)*(A306=$B$5:$B$61),0))</f>
        <v>#N/A</v>
      </c>
      <c r="H306" s="196" t="e" cm="1">
        <f t="array" ref="H306">INDEX($H$5:$H$61,MATCH(1,(D306=$C$5:$C$61)*(A306=$B$5:$B$61),0))</f>
        <v>#N/A</v>
      </c>
      <c r="I306" s="196" t="e" cm="1">
        <f t="array" ref="I306">INDEX($I$5:$I$61,MATCH(1,(D306=$C$5:$C$61)*(A306=$B$5:$B$61),0))</f>
        <v>#N/A</v>
      </c>
      <c r="J306" s="273"/>
      <c r="K306" s="273"/>
      <c r="L306" s="272"/>
      <c r="M306" s="273"/>
      <c r="N306" s="197"/>
      <c r="O306" s="200">
        <f t="shared" si="51"/>
        <v>0</v>
      </c>
      <c r="P306" s="274"/>
      <c r="Q306" s="274"/>
      <c r="R306" s="276"/>
      <c r="S306" s="274"/>
      <c r="T306" s="197">
        <f t="shared" si="52"/>
        <v>0</v>
      </c>
      <c r="U306" s="197">
        <f t="shared" si="53"/>
        <v>0</v>
      </c>
      <c r="V306" s="197">
        <f t="shared" si="54"/>
        <v>0</v>
      </c>
      <c r="W306" s="197">
        <f t="shared" si="55"/>
        <v>0</v>
      </c>
      <c r="Z306" s="197"/>
      <c r="AA306" s="228"/>
      <c r="AB306" s="228"/>
      <c r="AD306" s="228"/>
      <c r="AE306" s="228"/>
      <c r="AF306" s="228"/>
      <c r="AG306" s="228"/>
      <c r="AH306" s="228"/>
      <c r="AI306" s="228"/>
      <c r="AJ306" s="228"/>
      <c r="AK306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</row>
    <row r="307" spans="1:64" s="198" customFormat="1" x14ac:dyDescent="0.25">
      <c r="A307" s="290" t="str">
        <f t="shared" si="50"/>
        <v>Hudson View Park</v>
      </c>
      <c r="B307" s="195">
        <f t="shared" si="56"/>
        <v>209</v>
      </c>
      <c r="C307" s="196" t="str">
        <f t="shared" si="57"/>
        <v>Occ</v>
      </c>
      <c r="D307" s="196" t="e" cm="1">
        <f t="array" ref="D307">INDEX($C$5:$C$61,MATCH(1,(K307=$D$5:$D$61)*(A307=$B$5:$B$61),0))</f>
        <v>#N/A</v>
      </c>
      <c r="E307" s="196" t="e" cm="1">
        <f t="array" ref="E307">INDEX($E$5:$E$61,MATCH(1,(D307=$C$5:$C$61)*(A307=$B$5:$B$61),0))</f>
        <v>#N/A</v>
      </c>
      <c r="F307" s="196" t="e" cm="1">
        <f t="array" ref="F307">INDEX($F$5:$F$61,MATCH(1,(D307=$C$5:$C$61)*(A307=$B$5:$B$61),0))</f>
        <v>#N/A</v>
      </c>
      <c r="G307" s="196" t="e" cm="1">
        <f t="array" ref="G307">INDEX($G$5:$G$61,MATCH(1,(D307=$C$5:$C$61)*(A307=$B$5:$B$61),0))</f>
        <v>#N/A</v>
      </c>
      <c r="H307" s="196" t="e" cm="1">
        <f t="array" ref="H307">INDEX($H$5:$H$61,MATCH(1,(D307=$C$5:$C$61)*(A307=$B$5:$B$61),0))</f>
        <v>#N/A</v>
      </c>
      <c r="I307" s="196" t="e" cm="1">
        <f t="array" ref="I307">INDEX($I$5:$I$61,MATCH(1,(D307=$C$5:$C$61)*(A307=$B$5:$B$61),0))</f>
        <v>#N/A</v>
      </c>
      <c r="J307" s="273"/>
      <c r="K307" s="273"/>
      <c r="L307" s="272"/>
      <c r="M307" s="273"/>
      <c r="N307" s="197"/>
      <c r="O307" s="200">
        <f t="shared" si="51"/>
        <v>0</v>
      </c>
      <c r="P307" s="274"/>
      <c r="Q307" s="274"/>
      <c r="R307" s="276"/>
      <c r="S307" s="274"/>
      <c r="T307" s="197">
        <f t="shared" si="52"/>
        <v>0</v>
      </c>
      <c r="U307" s="197">
        <f t="shared" si="53"/>
        <v>0</v>
      </c>
      <c r="V307" s="197">
        <f t="shared" si="54"/>
        <v>0</v>
      </c>
      <c r="W307" s="197">
        <f t="shared" si="55"/>
        <v>0</v>
      </c>
      <c r="Z307" s="197"/>
      <c r="AA307" s="228"/>
      <c r="AB307" s="228"/>
      <c r="AD307" s="228"/>
      <c r="AE307" s="228"/>
      <c r="AF307" s="228"/>
      <c r="AG307" s="228"/>
      <c r="AH307" s="228"/>
      <c r="AI307" s="228"/>
      <c r="AJ307" s="228"/>
      <c r="AK307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</row>
    <row r="308" spans="1:64" s="198" customFormat="1" x14ac:dyDescent="0.25">
      <c r="A308" s="290" t="str">
        <f t="shared" si="50"/>
        <v>Hudson View Park</v>
      </c>
      <c r="B308" s="195">
        <f t="shared" si="56"/>
        <v>210</v>
      </c>
      <c r="C308" s="196" t="str">
        <f t="shared" si="57"/>
        <v>Occ</v>
      </c>
      <c r="D308" s="196" t="e" cm="1">
        <f t="array" ref="D308">INDEX($C$5:$C$61,MATCH(1,(K308=$D$5:$D$61)*(A308=$B$5:$B$61),0))</f>
        <v>#N/A</v>
      </c>
      <c r="E308" s="196" t="e" cm="1">
        <f t="array" ref="E308">INDEX($E$5:$E$61,MATCH(1,(D308=$C$5:$C$61)*(A308=$B$5:$B$61),0))</f>
        <v>#N/A</v>
      </c>
      <c r="F308" s="196" t="e" cm="1">
        <f t="array" ref="F308">INDEX($F$5:$F$61,MATCH(1,(D308=$C$5:$C$61)*(A308=$B$5:$B$61),0))</f>
        <v>#N/A</v>
      </c>
      <c r="G308" s="196" t="e" cm="1">
        <f t="array" ref="G308">INDEX($G$5:$G$61,MATCH(1,(D308=$C$5:$C$61)*(A308=$B$5:$B$61),0))</f>
        <v>#N/A</v>
      </c>
      <c r="H308" s="196" t="e" cm="1">
        <f t="array" ref="H308">INDEX($H$5:$H$61,MATCH(1,(D308=$C$5:$C$61)*(A308=$B$5:$B$61),0))</f>
        <v>#N/A</v>
      </c>
      <c r="I308" s="196" t="e" cm="1">
        <f t="array" ref="I308">INDEX($I$5:$I$61,MATCH(1,(D308=$C$5:$C$61)*(A308=$B$5:$B$61),0))</f>
        <v>#N/A</v>
      </c>
      <c r="J308" s="273"/>
      <c r="K308" s="273"/>
      <c r="L308" s="272"/>
      <c r="M308" s="273"/>
      <c r="N308" s="197"/>
      <c r="O308" s="200">
        <f t="shared" si="51"/>
        <v>0</v>
      </c>
      <c r="P308" s="274"/>
      <c r="Q308" s="274"/>
      <c r="R308" s="276"/>
      <c r="S308" s="274"/>
      <c r="T308" s="197">
        <f t="shared" si="52"/>
        <v>0</v>
      </c>
      <c r="U308" s="197">
        <f t="shared" si="53"/>
        <v>0</v>
      </c>
      <c r="V308" s="197">
        <f t="shared" si="54"/>
        <v>0</v>
      </c>
      <c r="W308" s="197">
        <f t="shared" si="55"/>
        <v>0</v>
      </c>
      <c r="Z308" s="197"/>
      <c r="AA308" s="228"/>
      <c r="AB308" s="228"/>
      <c r="AD308" s="228"/>
      <c r="AE308" s="228"/>
      <c r="AF308" s="228"/>
      <c r="AG308" s="228"/>
      <c r="AH308" s="228"/>
      <c r="AI308" s="228"/>
      <c r="AJ308" s="228"/>
      <c r="AK30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</row>
    <row r="309" spans="1:64" s="198" customFormat="1" x14ac:dyDescent="0.25">
      <c r="A309" s="290" t="str">
        <f t="shared" si="50"/>
        <v>Hudson View Park</v>
      </c>
      <c r="B309" s="195">
        <f t="shared" si="56"/>
        <v>211</v>
      </c>
      <c r="C309" s="196" t="str">
        <f t="shared" si="57"/>
        <v>Occ</v>
      </c>
      <c r="D309" s="196" t="e" cm="1">
        <f t="array" ref="D309">INDEX($C$5:$C$61,MATCH(1,(K309=$D$5:$D$61)*(A309=$B$5:$B$61),0))</f>
        <v>#N/A</v>
      </c>
      <c r="E309" s="196" t="e" cm="1">
        <f t="array" ref="E309">INDEX($E$5:$E$61,MATCH(1,(D309=$C$5:$C$61)*(A309=$B$5:$B$61),0))</f>
        <v>#N/A</v>
      </c>
      <c r="F309" s="196" t="e" cm="1">
        <f t="array" ref="F309">INDEX($F$5:$F$61,MATCH(1,(D309=$C$5:$C$61)*(A309=$B$5:$B$61),0))</f>
        <v>#N/A</v>
      </c>
      <c r="G309" s="196" t="e" cm="1">
        <f t="array" ref="G309">INDEX($G$5:$G$61,MATCH(1,(D309=$C$5:$C$61)*(A309=$B$5:$B$61),0))</f>
        <v>#N/A</v>
      </c>
      <c r="H309" s="196" t="e" cm="1">
        <f t="array" ref="H309">INDEX($H$5:$H$61,MATCH(1,(D309=$C$5:$C$61)*(A309=$B$5:$B$61),0))</f>
        <v>#N/A</v>
      </c>
      <c r="I309" s="196" t="e" cm="1">
        <f t="array" ref="I309">INDEX($I$5:$I$61,MATCH(1,(D309=$C$5:$C$61)*(A309=$B$5:$B$61),0))</f>
        <v>#N/A</v>
      </c>
      <c r="J309" s="273"/>
      <c r="K309" s="273"/>
      <c r="L309" s="272"/>
      <c r="M309" s="273"/>
      <c r="N309" s="197"/>
      <c r="O309" s="200">
        <f t="shared" si="51"/>
        <v>0</v>
      </c>
      <c r="P309" s="274"/>
      <c r="Q309" s="274"/>
      <c r="R309" s="276"/>
      <c r="S309" s="274"/>
      <c r="T309" s="197">
        <f t="shared" si="52"/>
        <v>0</v>
      </c>
      <c r="U309" s="197">
        <f t="shared" si="53"/>
        <v>0</v>
      </c>
      <c r="V309" s="197">
        <f t="shared" si="54"/>
        <v>0</v>
      </c>
      <c r="W309" s="197">
        <f t="shared" si="55"/>
        <v>0</v>
      </c>
      <c r="Z309" s="197"/>
      <c r="AA309" s="228"/>
      <c r="AB309" s="228"/>
      <c r="AD309" s="228"/>
      <c r="AE309" s="228"/>
      <c r="AF309" s="228"/>
      <c r="AG309" s="228"/>
      <c r="AH309" s="228"/>
      <c r="AI309" s="228"/>
      <c r="AJ309" s="228"/>
      <c r="AK309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</row>
    <row r="310" spans="1:64" s="198" customFormat="1" x14ac:dyDescent="0.25">
      <c r="A310" s="290" t="str">
        <f t="shared" si="50"/>
        <v>Hudson View Park</v>
      </c>
      <c r="B310" s="195">
        <f t="shared" si="56"/>
        <v>212</v>
      </c>
      <c r="C310" s="196" t="str">
        <f t="shared" si="57"/>
        <v>Occ</v>
      </c>
      <c r="D310" s="196" t="e" cm="1">
        <f t="array" ref="D310">INDEX($C$5:$C$61,MATCH(1,(K310=$D$5:$D$61)*(A310=$B$5:$B$61),0))</f>
        <v>#N/A</v>
      </c>
      <c r="E310" s="196" t="e" cm="1">
        <f t="array" ref="E310">INDEX($E$5:$E$61,MATCH(1,(D310=$C$5:$C$61)*(A310=$B$5:$B$61),0))</f>
        <v>#N/A</v>
      </c>
      <c r="F310" s="196" t="e" cm="1">
        <f t="array" ref="F310">INDEX($F$5:$F$61,MATCH(1,(D310=$C$5:$C$61)*(A310=$B$5:$B$61),0))</f>
        <v>#N/A</v>
      </c>
      <c r="G310" s="196" t="e" cm="1">
        <f t="array" ref="G310">INDEX($G$5:$G$61,MATCH(1,(D310=$C$5:$C$61)*(A310=$B$5:$B$61),0))</f>
        <v>#N/A</v>
      </c>
      <c r="H310" s="196" t="e" cm="1">
        <f t="array" ref="H310">INDEX($H$5:$H$61,MATCH(1,(D310=$C$5:$C$61)*(A310=$B$5:$B$61),0))</f>
        <v>#N/A</v>
      </c>
      <c r="I310" s="196" t="e" cm="1">
        <f t="array" ref="I310">INDEX($I$5:$I$61,MATCH(1,(D310=$C$5:$C$61)*(A310=$B$5:$B$61),0))</f>
        <v>#N/A</v>
      </c>
      <c r="J310" s="273"/>
      <c r="K310" s="273"/>
      <c r="L310" s="272"/>
      <c r="M310" s="273"/>
      <c r="N310" s="197"/>
      <c r="O310" s="200">
        <f t="shared" si="51"/>
        <v>0</v>
      </c>
      <c r="P310" s="274"/>
      <c r="Q310" s="274"/>
      <c r="R310" s="276"/>
      <c r="S310" s="274"/>
      <c r="T310" s="197">
        <f t="shared" si="52"/>
        <v>0</v>
      </c>
      <c r="U310" s="197">
        <f t="shared" si="53"/>
        <v>0</v>
      </c>
      <c r="V310" s="197">
        <f t="shared" si="54"/>
        <v>0</v>
      </c>
      <c r="W310" s="197">
        <f t="shared" si="55"/>
        <v>0</v>
      </c>
      <c r="Z310" s="197"/>
      <c r="AA310" s="228"/>
      <c r="AB310" s="228"/>
      <c r="AD310" s="228"/>
      <c r="AE310" s="228"/>
      <c r="AF310" s="228"/>
      <c r="AG310" s="228"/>
      <c r="AH310" s="228"/>
      <c r="AI310" s="228"/>
      <c r="AJ310" s="228"/>
      <c r="AK310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</row>
    <row r="311" spans="1:64" s="198" customFormat="1" x14ac:dyDescent="0.25">
      <c r="A311" s="290" t="str">
        <f t="shared" si="50"/>
        <v>Hudson View Park</v>
      </c>
      <c r="B311" s="195">
        <f t="shared" si="56"/>
        <v>213</v>
      </c>
      <c r="C311" s="196" t="str">
        <f t="shared" si="57"/>
        <v>Occ</v>
      </c>
      <c r="D311" s="196" t="e" cm="1">
        <f t="array" ref="D311">INDEX($C$5:$C$61,MATCH(1,(K311=$D$5:$D$61)*(A311=$B$5:$B$61),0))</f>
        <v>#N/A</v>
      </c>
      <c r="E311" s="196" t="e" cm="1">
        <f t="array" ref="E311">INDEX($E$5:$E$61,MATCH(1,(D311=$C$5:$C$61)*(A311=$B$5:$B$61),0))</f>
        <v>#N/A</v>
      </c>
      <c r="F311" s="196" t="e" cm="1">
        <f t="array" ref="F311">INDEX($F$5:$F$61,MATCH(1,(D311=$C$5:$C$61)*(A311=$B$5:$B$61),0))</f>
        <v>#N/A</v>
      </c>
      <c r="G311" s="196" t="e" cm="1">
        <f t="array" ref="G311">INDEX($G$5:$G$61,MATCH(1,(D311=$C$5:$C$61)*(A311=$B$5:$B$61),0))</f>
        <v>#N/A</v>
      </c>
      <c r="H311" s="196" t="e" cm="1">
        <f t="array" ref="H311">INDEX($H$5:$H$61,MATCH(1,(D311=$C$5:$C$61)*(A311=$B$5:$B$61),0))</f>
        <v>#N/A</v>
      </c>
      <c r="I311" s="196" t="e" cm="1">
        <f t="array" ref="I311">INDEX($I$5:$I$61,MATCH(1,(D311=$C$5:$C$61)*(A311=$B$5:$B$61),0))</f>
        <v>#N/A</v>
      </c>
      <c r="J311" s="273"/>
      <c r="K311" s="273"/>
      <c r="L311" s="272"/>
      <c r="M311" s="273"/>
      <c r="N311" s="197"/>
      <c r="O311" s="200">
        <f t="shared" si="51"/>
        <v>0</v>
      </c>
      <c r="P311" s="274"/>
      <c r="Q311" s="274"/>
      <c r="R311" s="276"/>
      <c r="S311" s="274"/>
      <c r="T311" s="197">
        <f t="shared" si="52"/>
        <v>0</v>
      </c>
      <c r="U311" s="197">
        <f t="shared" si="53"/>
        <v>0</v>
      </c>
      <c r="V311" s="197">
        <f t="shared" si="54"/>
        <v>0</v>
      </c>
      <c r="W311" s="197">
        <f t="shared" si="55"/>
        <v>0</v>
      </c>
      <c r="Z311" s="197"/>
      <c r="AA311" s="228"/>
      <c r="AB311" s="228"/>
      <c r="AD311" s="228"/>
      <c r="AE311" s="228"/>
      <c r="AF311" s="228"/>
      <c r="AG311" s="228"/>
      <c r="AH311" s="228"/>
      <c r="AI311" s="228"/>
      <c r="AJ311" s="228"/>
      <c r="AK311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</row>
    <row r="312" spans="1:64" s="198" customFormat="1" x14ac:dyDescent="0.25">
      <c r="A312" s="290" t="str">
        <f t="shared" ref="A312:A375" si="58">$C$67</f>
        <v>Hudson View Park</v>
      </c>
      <c r="B312" s="195">
        <f t="shared" si="56"/>
        <v>214</v>
      </c>
      <c r="C312" s="196" t="str">
        <f t="shared" si="57"/>
        <v>Occ</v>
      </c>
      <c r="D312" s="196" t="e" cm="1">
        <f t="array" ref="D312">INDEX($C$5:$C$61,MATCH(1,(K312=$D$5:$D$61)*(A312=$B$5:$B$61),0))</f>
        <v>#N/A</v>
      </c>
      <c r="E312" s="196" t="e" cm="1">
        <f t="array" ref="E312">INDEX($E$5:$E$61,MATCH(1,(D312=$C$5:$C$61)*(A312=$B$5:$B$61),0))</f>
        <v>#N/A</v>
      </c>
      <c r="F312" s="196" t="e" cm="1">
        <f t="array" ref="F312">INDEX($F$5:$F$61,MATCH(1,(D312=$C$5:$C$61)*(A312=$B$5:$B$61),0))</f>
        <v>#N/A</v>
      </c>
      <c r="G312" s="196" t="e" cm="1">
        <f t="array" ref="G312">INDEX($G$5:$G$61,MATCH(1,(D312=$C$5:$C$61)*(A312=$B$5:$B$61),0))</f>
        <v>#N/A</v>
      </c>
      <c r="H312" s="196" t="e" cm="1">
        <f t="array" ref="H312">INDEX($H$5:$H$61,MATCH(1,(D312=$C$5:$C$61)*(A312=$B$5:$B$61),0))</f>
        <v>#N/A</v>
      </c>
      <c r="I312" s="196" t="e" cm="1">
        <f t="array" ref="I312">INDEX($I$5:$I$61,MATCH(1,(D312=$C$5:$C$61)*(A312=$B$5:$B$61),0))</f>
        <v>#N/A</v>
      </c>
      <c r="J312" s="273"/>
      <c r="K312" s="273"/>
      <c r="L312" s="272"/>
      <c r="M312" s="273"/>
      <c r="N312" s="197"/>
      <c r="O312" s="200">
        <f t="shared" si="51"/>
        <v>0</v>
      </c>
      <c r="P312" s="274"/>
      <c r="Q312" s="274"/>
      <c r="R312" s="276"/>
      <c r="S312" s="274"/>
      <c r="T312" s="197">
        <f t="shared" si="52"/>
        <v>0</v>
      </c>
      <c r="U312" s="197">
        <f t="shared" si="53"/>
        <v>0</v>
      </c>
      <c r="V312" s="197">
        <f t="shared" si="54"/>
        <v>0</v>
      </c>
      <c r="W312" s="197">
        <f t="shared" si="55"/>
        <v>0</v>
      </c>
      <c r="Z312" s="197"/>
      <c r="AA312" s="228"/>
      <c r="AB312" s="228"/>
      <c r="AD312" s="228"/>
      <c r="AE312" s="228"/>
      <c r="AF312" s="228"/>
      <c r="AG312" s="228"/>
      <c r="AH312" s="228"/>
      <c r="AI312" s="228"/>
      <c r="AJ312" s="228"/>
      <c r="AK312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</row>
    <row r="313" spans="1:64" s="198" customFormat="1" x14ac:dyDescent="0.25">
      <c r="A313" s="290" t="str">
        <f t="shared" si="58"/>
        <v>Hudson View Park</v>
      </c>
      <c r="B313" s="195">
        <f t="shared" si="56"/>
        <v>215</v>
      </c>
      <c r="C313" s="196" t="str">
        <f t="shared" si="57"/>
        <v>Occ</v>
      </c>
      <c r="D313" s="196" t="e" cm="1">
        <f t="array" ref="D313">INDEX($C$5:$C$61,MATCH(1,(K313=$D$5:$D$61)*(A313=$B$5:$B$61),0))</f>
        <v>#N/A</v>
      </c>
      <c r="E313" s="196" t="e" cm="1">
        <f t="array" ref="E313">INDEX($E$5:$E$61,MATCH(1,(D313=$C$5:$C$61)*(A313=$B$5:$B$61),0))</f>
        <v>#N/A</v>
      </c>
      <c r="F313" s="196" t="e" cm="1">
        <f t="array" ref="F313">INDEX($F$5:$F$61,MATCH(1,(D313=$C$5:$C$61)*(A313=$B$5:$B$61),0))</f>
        <v>#N/A</v>
      </c>
      <c r="G313" s="196" t="e" cm="1">
        <f t="array" ref="G313">INDEX($G$5:$G$61,MATCH(1,(D313=$C$5:$C$61)*(A313=$B$5:$B$61),0))</f>
        <v>#N/A</v>
      </c>
      <c r="H313" s="196" t="e" cm="1">
        <f t="array" ref="H313">INDEX($H$5:$H$61,MATCH(1,(D313=$C$5:$C$61)*(A313=$B$5:$B$61),0))</f>
        <v>#N/A</v>
      </c>
      <c r="I313" s="196" t="e" cm="1">
        <f t="array" ref="I313">INDEX($I$5:$I$61,MATCH(1,(D313=$C$5:$C$61)*(A313=$B$5:$B$61),0))</f>
        <v>#N/A</v>
      </c>
      <c r="J313" s="273"/>
      <c r="K313" s="273"/>
      <c r="L313" s="272"/>
      <c r="M313" s="273"/>
      <c r="N313" s="197"/>
      <c r="O313" s="200">
        <f t="shared" si="51"/>
        <v>0</v>
      </c>
      <c r="P313" s="274"/>
      <c r="Q313" s="274"/>
      <c r="R313" s="276"/>
      <c r="S313" s="274"/>
      <c r="T313" s="197">
        <f t="shared" si="52"/>
        <v>0</v>
      </c>
      <c r="U313" s="197">
        <f t="shared" si="53"/>
        <v>0</v>
      </c>
      <c r="V313" s="197">
        <f t="shared" si="54"/>
        <v>0</v>
      </c>
      <c r="W313" s="197">
        <f t="shared" si="55"/>
        <v>0</v>
      </c>
      <c r="Z313" s="197"/>
      <c r="AA313" s="228"/>
      <c r="AB313" s="228"/>
      <c r="AD313" s="228"/>
      <c r="AE313" s="228"/>
      <c r="AF313" s="228"/>
      <c r="AG313" s="228"/>
      <c r="AH313" s="228"/>
      <c r="AI313" s="228"/>
      <c r="AJ313" s="228"/>
      <c r="AK313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</row>
    <row r="314" spans="1:64" s="198" customFormat="1" x14ac:dyDescent="0.25">
      <c r="A314" s="290" t="str">
        <f t="shared" si="58"/>
        <v>Hudson View Park</v>
      </c>
      <c r="B314" s="195">
        <f t="shared" si="56"/>
        <v>216</v>
      </c>
      <c r="C314" s="196" t="str">
        <f t="shared" si="57"/>
        <v>Occ</v>
      </c>
      <c r="D314" s="196" t="e" cm="1">
        <f t="array" ref="D314">INDEX($C$5:$C$61,MATCH(1,(K314=$D$5:$D$61)*(A314=$B$5:$B$61),0))</f>
        <v>#N/A</v>
      </c>
      <c r="E314" s="196" t="e" cm="1">
        <f t="array" ref="E314">INDEX($E$5:$E$61,MATCH(1,(D314=$C$5:$C$61)*(A314=$B$5:$B$61),0))</f>
        <v>#N/A</v>
      </c>
      <c r="F314" s="196" t="e" cm="1">
        <f t="array" ref="F314">INDEX($F$5:$F$61,MATCH(1,(D314=$C$5:$C$61)*(A314=$B$5:$B$61),0))</f>
        <v>#N/A</v>
      </c>
      <c r="G314" s="196" t="e" cm="1">
        <f t="array" ref="G314">INDEX($G$5:$G$61,MATCH(1,(D314=$C$5:$C$61)*(A314=$B$5:$B$61),0))</f>
        <v>#N/A</v>
      </c>
      <c r="H314" s="196" t="e" cm="1">
        <f t="array" ref="H314">INDEX($H$5:$H$61,MATCH(1,(D314=$C$5:$C$61)*(A314=$B$5:$B$61),0))</f>
        <v>#N/A</v>
      </c>
      <c r="I314" s="196" t="e" cm="1">
        <f t="array" ref="I314">INDEX($I$5:$I$61,MATCH(1,(D314=$C$5:$C$61)*(A314=$B$5:$B$61),0))</f>
        <v>#N/A</v>
      </c>
      <c r="J314" s="273"/>
      <c r="K314" s="273"/>
      <c r="L314" s="272"/>
      <c r="M314" s="273"/>
      <c r="N314" s="197"/>
      <c r="O314" s="200">
        <f t="shared" si="51"/>
        <v>0</v>
      </c>
      <c r="P314" s="274"/>
      <c r="Q314" s="274"/>
      <c r="R314" s="276"/>
      <c r="S314" s="274"/>
      <c r="T314" s="197">
        <f t="shared" si="52"/>
        <v>0</v>
      </c>
      <c r="U314" s="197">
        <f t="shared" si="53"/>
        <v>0</v>
      </c>
      <c r="V314" s="197">
        <f t="shared" si="54"/>
        <v>0</v>
      </c>
      <c r="W314" s="197">
        <f t="shared" si="55"/>
        <v>0</v>
      </c>
      <c r="Z314" s="197"/>
      <c r="AA314" s="228"/>
      <c r="AB314" s="228"/>
      <c r="AD314" s="228"/>
      <c r="AE314" s="228"/>
      <c r="AF314" s="228"/>
      <c r="AG314" s="228"/>
      <c r="AH314" s="228"/>
      <c r="AI314" s="228"/>
      <c r="AJ314" s="228"/>
      <c r="AK314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</row>
    <row r="315" spans="1:64" s="198" customFormat="1" x14ac:dyDescent="0.25">
      <c r="A315" s="290" t="str">
        <f t="shared" si="58"/>
        <v>Hudson View Park</v>
      </c>
      <c r="B315" s="195">
        <f t="shared" si="56"/>
        <v>217</v>
      </c>
      <c r="C315" s="196" t="str">
        <f t="shared" si="57"/>
        <v>Occ</v>
      </c>
      <c r="D315" s="196" t="e" cm="1">
        <f t="array" ref="D315">INDEX($C$5:$C$61,MATCH(1,(K315=$D$5:$D$61)*(A315=$B$5:$B$61),0))</f>
        <v>#N/A</v>
      </c>
      <c r="E315" s="196" t="e" cm="1">
        <f t="array" ref="E315">INDEX($E$5:$E$61,MATCH(1,(D315=$C$5:$C$61)*(A315=$B$5:$B$61),0))</f>
        <v>#N/A</v>
      </c>
      <c r="F315" s="196" t="e" cm="1">
        <f t="array" ref="F315">INDEX($F$5:$F$61,MATCH(1,(D315=$C$5:$C$61)*(A315=$B$5:$B$61),0))</f>
        <v>#N/A</v>
      </c>
      <c r="G315" s="196" t="e" cm="1">
        <f t="array" ref="G315">INDEX($G$5:$G$61,MATCH(1,(D315=$C$5:$C$61)*(A315=$B$5:$B$61),0))</f>
        <v>#N/A</v>
      </c>
      <c r="H315" s="196" t="e" cm="1">
        <f t="array" ref="H315">INDEX($H$5:$H$61,MATCH(1,(D315=$C$5:$C$61)*(A315=$B$5:$B$61),0))</f>
        <v>#N/A</v>
      </c>
      <c r="I315" s="196" t="e" cm="1">
        <f t="array" ref="I315">INDEX($I$5:$I$61,MATCH(1,(D315=$C$5:$C$61)*(A315=$B$5:$B$61),0))</f>
        <v>#N/A</v>
      </c>
      <c r="J315" s="273"/>
      <c r="K315" s="273"/>
      <c r="L315" s="272"/>
      <c r="M315" s="273"/>
      <c r="N315" s="197"/>
      <c r="O315" s="200">
        <f t="shared" si="51"/>
        <v>0</v>
      </c>
      <c r="P315" s="274"/>
      <c r="Q315" s="274"/>
      <c r="R315" s="276"/>
      <c r="S315" s="274"/>
      <c r="T315" s="197">
        <f t="shared" si="52"/>
        <v>0</v>
      </c>
      <c r="U315" s="197">
        <f t="shared" si="53"/>
        <v>0</v>
      </c>
      <c r="V315" s="197">
        <f t="shared" si="54"/>
        <v>0</v>
      </c>
      <c r="W315" s="197">
        <f t="shared" si="55"/>
        <v>0</v>
      </c>
      <c r="Z315" s="197"/>
      <c r="AA315" s="228"/>
      <c r="AB315" s="228"/>
      <c r="AD315" s="228"/>
      <c r="AE315" s="228"/>
      <c r="AF315" s="228"/>
      <c r="AG315" s="228"/>
      <c r="AH315" s="228"/>
      <c r="AI315" s="228"/>
      <c r="AJ315" s="228"/>
      <c r="AK315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 spans="1:64" s="198" customFormat="1" x14ac:dyDescent="0.25">
      <c r="A316" s="290" t="str">
        <f t="shared" si="58"/>
        <v>Hudson View Park</v>
      </c>
      <c r="B316" s="195">
        <f t="shared" si="56"/>
        <v>218</v>
      </c>
      <c r="C316" s="196" t="str">
        <f t="shared" si="57"/>
        <v>Occ</v>
      </c>
      <c r="D316" s="196" t="e" cm="1">
        <f t="array" ref="D316">INDEX($C$5:$C$61,MATCH(1,(K316=$D$5:$D$61)*(A316=$B$5:$B$61),0))</f>
        <v>#N/A</v>
      </c>
      <c r="E316" s="196" t="e" cm="1">
        <f t="array" ref="E316">INDEX($E$5:$E$61,MATCH(1,(D316=$C$5:$C$61)*(A316=$B$5:$B$61),0))</f>
        <v>#N/A</v>
      </c>
      <c r="F316" s="196" t="e" cm="1">
        <f t="array" ref="F316">INDEX($F$5:$F$61,MATCH(1,(D316=$C$5:$C$61)*(A316=$B$5:$B$61),0))</f>
        <v>#N/A</v>
      </c>
      <c r="G316" s="196" t="e" cm="1">
        <f t="array" ref="G316">INDEX($G$5:$G$61,MATCH(1,(D316=$C$5:$C$61)*(A316=$B$5:$B$61),0))</f>
        <v>#N/A</v>
      </c>
      <c r="H316" s="196" t="e" cm="1">
        <f t="array" ref="H316">INDEX($H$5:$H$61,MATCH(1,(D316=$C$5:$C$61)*(A316=$B$5:$B$61),0))</f>
        <v>#N/A</v>
      </c>
      <c r="I316" s="196" t="e" cm="1">
        <f t="array" ref="I316">INDEX($I$5:$I$61,MATCH(1,(D316=$C$5:$C$61)*(A316=$B$5:$B$61),0))</f>
        <v>#N/A</v>
      </c>
      <c r="J316" s="273"/>
      <c r="K316" s="273"/>
      <c r="L316" s="272"/>
      <c r="M316" s="273"/>
      <c r="N316" s="197"/>
      <c r="O316" s="200">
        <f t="shared" si="51"/>
        <v>0</v>
      </c>
      <c r="P316" s="274"/>
      <c r="Q316" s="274"/>
      <c r="R316" s="276"/>
      <c r="S316" s="274"/>
      <c r="T316" s="197">
        <f t="shared" si="52"/>
        <v>0</v>
      </c>
      <c r="U316" s="197">
        <f t="shared" si="53"/>
        <v>0</v>
      </c>
      <c r="V316" s="197">
        <f t="shared" si="54"/>
        <v>0</v>
      </c>
      <c r="W316" s="197">
        <f t="shared" si="55"/>
        <v>0</v>
      </c>
      <c r="Z316" s="197"/>
      <c r="AA316" s="228"/>
      <c r="AB316" s="228"/>
      <c r="AD316" s="228"/>
      <c r="AE316" s="228"/>
      <c r="AF316" s="228"/>
      <c r="AG316" s="228"/>
      <c r="AH316" s="228"/>
      <c r="AI316" s="228"/>
      <c r="AJ316" s="228"/>
      <c r="AK316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 spans="1:64" s="198" customFormat="1" x14ac:dyDescent="0.25">
      <c r="A317" s="290" t="str">
        <f t="shared" si="58"/>
        <v>Hudson View Park</v>
      </c>
      <c r="B317" s="195">
        <f t="shared" si="56"/>
        <v>219</v>
      </c>
      <c r="C317" s="196" t="str">
        <f t="shared" si="57"/>
        <v>Occ</v>
      </c>
      <c r="D317" s="196" t="e" cm="1">
        <f t="array" ref="D317">INDEX($C$5:$C$61,MATCH(1,(K317=$D$5:$D$61)*(A317=$B$5:$B$61),0))</f>
        <v>#N/A</v>
      </c>
      <c r="E317" s="196" t="e" cm="1">
        <f t="array" ref="E317">INDEX($E$5:$E$61,MATCH(1,(D317=$C$5:$C$61)*(A317=$B$5:$B$61),0))</f>
        <v>#N/A</v>
      </c>
      <c r="F317" s="196" t="e" cm="1">
        <f t="array" ref="F317">INDEX($F$5:$F$61,MATCH(1,(D317=$C$5:$C$61)*(A317=$B$5:$B$61),0))</f>
        <v>#N/A</v>
      </c>
      <c r="G317" s="196" t="e" cm="1">
        <f t="array" ref="G317">INDEX($G$5:$G$61,MATCH(1,(D317=$C$5:$C$61)*(A317=$B$5:$B$61),0))</f>
        <v>#N/A</v>
      </c>
      <c r="H317" s="196" t="e" cm="1">
        <f t="array" ref="H317">INDEX($H$5:$H$61,MATCH(1,(D317=$C$5:$C$61)*(A317=$B$5:$B$61),0))</f>
        <v>#N/A</v>
      </c>
      <c r="I317" s="196" t="e" cm="1">
        <f t="array" ref="I317">INDEX($I$5:$I$61,MATCH(1,(D317=$C$5:$C$61)*(A317=$B$5:$B$61),0))</f>
        <v>#N/A</v>
      </c>
      <c r="J317" s="273"/>
      <c r="K317" s="273"/>
      <c r="L317" s="272"/>
      <c r="M317" s="273"/>
      <c r="N317" s="197"/>
      <c r="O317" s="200">
        <f t="shared" si="51"/>
        <v>0</v>
      </c>
      <c r="P317" s="274"/>
      <c r="Q317" s="274"/>
      <c r="R317" s="276"/>
      <c r="S317" s="274"/>
      <c r="T317" s="197">
        <f t="shared" si="52"/>
        <v>0</v>
      </c>
      <c r="U317" s="197">
        <f t="shared" si="53"/>
        <v>0</v>
      </c>
      <c r="V317" s="197">
        <f t="shared" si="54"/>
        <v>0</v>
      </c>
      <c r="W317" s="197">
        <f t="shared" si="55"/>
        <v>0</v>
      </c>
      <c r="Z317" s="197"/>
      <c r="AA317" s="228"/>
      <c r="AB317" s="228"/>
      <c r="AD317" s="228"/>
      <c r="AE317" s="228"/>
      <c r="AF317" s="228"/>
      <c r="AG317" s="228"/>
      <c r="AH317" s="228"/>
      <c r="AI317" s="228"/>
      <c r="AJ317" s="228"/>
      <c r="AK317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</row>
    <row r="318" spans="1:64" s="198" customFormat="1" x14ac:dyDescent="0.25">
      <c r="A318" s="290" t="str">
        <f t="shared" si="58"/>
        <v>Hudson View Park</v>
      </c>
      <c r="B318" s="195">
        <f t="shared" si="56"/>
        <v>220</v>
      </c>
      <c r="C318" s="196" t="str">
        <f t="shared" si="57"/>
        <v>Occ</v>
      </c>
      <c r="D318" s="196" t="e" cm="1">
        <f t="array" ref="D318">INDEX($C$5:$C$61,MATCH(1,(K318=$D$5:$D$61)*(A318=$B$5:$B$61),0))</f>
        <v>#N/A</v>
      </c>
      <c r="E318" s="196" t="e" cm="1">
        <f t="array" ref="E318">INDEX($E$5:$E$61,MATCH(1,(D318=$C$5:$C$61)*(A318=$B$5:$B$61),0))</f>
        <v>#N/A</v>
      </c>
      <c r="F318" s="196" t="e" cm="1">
        <f t="array" ref="F318">INDEX($F$5:$F$61,MATCH(1,(D318=$C$5:$C$61)*(A318=$B$5:$B$61),0))</f>
        <v>#N/A</v>
      </c>
      <c r="G318" s="196" t="e" cm="1">
        <f t="array" ref="G318">INDEX($G$5:$G$61,MATCH(1,(D318=$C$5:$C$61)*(A318=$B$5:$B$61),0))</f>
        <v>#N/A</v>
      </c>
      <c r="H318" s="196" t="e" cm="1">
        <f t="array" ref="H318">INDEX($H$5:$H$61,MATCH(1,(D318=$C$5:$C$61)*(A318=$B$5:$B$61),0))</f>
        <v>#N/A</v>
      </c>
      <c r="I318" s="196" t="e" cm="1">
        <f t="array" ref="I318">INDEX($I$5:$I$61,MATCH(1,(D318=$C$5:$C$61)*(A318=$B$5:$B$61),0))</f>
        <v>#N/A</v>
      </c>
      <c r="J318" s="273"/>
      <c r="K318" s="273"/>
      <c r="L318" s="272"/>
      <c r="M318" s="273"/>
      <c r="N318" s="197"/>
      <c r="O318" s="200">
        <f t="shared" si="51"/>
        <v>0</v>
      </c>
      <c r="P318" s="274"/>
      <c r="Q318" s="274"/>
      <c r="R318" s="276"/>
      <c r="S318" s="274"/>
      <c r="T318" s="197">
        <f t="shared" si="52"/>
        <v>0</v>
      </c>
      <c r="U318" s="197">
        <f t="shared" si="53"/>
        <v>0</v>
      </c>
      <c r="V318" s="197">
        <f t="shared" si="54"/>
        <v>0</v>
      </c>
      <c r="W318" s="197">
        <f t="shared" si="55"/>
        <v>0</v>
      </c>
      <c r="Z318" s="197"/>
      <c r="AA318" s="228"/>
      <c r="AB318" s="228"/>
      <c r="AD318" s="228"/>
      <c r="AE318" s="228"/>
      <c r="AF318" s="228"/>
      <c r="AG318" s="228"/>
      <c r="AH318" s="228"/>
      <c r="AI318" s="228"/>
      <c r="AJ318" s="228"/>
      <c r="AK31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</row>
    <row r="319" spans="1:64" s="198" customFormat="1" x14ac:dyDescent="0.25">
      <c r="A319" s="290" t="str">
        <f t="shared" si="58"/>
        <v>Hudson View Park</v>
      </c>
      <c r="B319" s="195">
        <f t="shared" si="56"/>
        <v>221</v>
      </c>
      <c r="C319" s="196" t="str">
        <f t="shared" si="57"/>
        <v>Occ</v>
      </c>
      <c r="D319" s="196" t="e" cm="1">
        <f t="array" ref="D319">INDEX($C$5:$C$61,MATCH(1,(K319=$D$5:$D$61)*(A319=$B$5:$B$61),0))</f>
        <v>#N/A</v>
      </c>
      <c r="E319" s="196" t="e" cm="1">
        <f t="array" ref="E319">INDEX($E$5:$E$61,MATCH(1,(D319=$C$5:$C$61)*(A319=$B$5:$B$61),0))</f>
        <v>#N/A</v>
      </c>
      <c r="F319" s="196" t="e" cm="1">
        <f t="array" ref="F319">INDEX($F$5:$F$61,MATCH(1,(D319=$C$5:$C$61)*(A319=$B$5:$B$61),0))</f>
        <v>#N/A</v>
      </c>
      <c r="G319" s="196" t="e" cm="1">
        <f t="array" ref="G319">INDEX($G$5:$G$61,MATCH(1,(D319=$C$5:$C$61)*(A319=$B$5:$B$61),0))</f>
        <v>#N/A</v>
      </c>
      <c r="H319" s="196" t="e" cm="1">
        <f t="array" ref="H319">INDEX($H$5:$H$61,MATCH(1,(D319=$C$5:$C$61)*(A319=$B$5:$B$61),0))</f>
        <v>#N/A</v>
      </c>
      <c r="I319" s="196" t="e" cm="1">
        <f t="array" ref="I319">INDEX($I$5:$I$61,MATCH(1,(D319=$C$5:$C$61)*(A319=$B$5:$B$61),0))</f>
        <v>#N/A</v>
      </c>
      <c r="J319" s="273"/>
      <c r="K319" s="273"/>
      <c r="L319" s="272"/>
      <c r="M319" s="273"/>
      <c r="N319" s="197"/>
      <c r="O319" s="200">
        <f t="shared" si="51"/>
        <v>0</v>
      </c>
      <c r="P319" s="274"/>
      <c r="Q319" s="274"/>
      <c r="R319" s="276"/>
      <c r="S319" s="274"/>
      <c r="T319" s="197">
        <f t="shared" si="52"/>
        <v>0</v>
      </c>
      <c r="U319" s="197">
        <f t="shared" si="53"/>
        <v>0</v>
      </c>
      <c r="V319" s="197">
        <f t="shared" si="54"/>
        <v>0</v>
      </c>
      <c r="W319" s="197">
        <f t="shared" si="55"/>
        <v>0</v>
      </c>
      <c r="Z319" s="197"/>
      <c r="AA319" s="228"/>
      <c r="AB319" s="228"/>
      <c r="AD319" s="228"/>
      <c r="AE319" s="228"/>
      <c r="AF319" s="228"/>
      <c r="AG319" s="228"/>
      <c r="AH319" s="228"/>
      <c r="AI319" s="228"/>
      <c r="AJ319" s="228"/>
      <c r="AK319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</row>
    <row r="320" spans="1:64" s="198" customFormat="1" x14ac:dyDescent="0.25">
      <c r="A320" s="290" t="str">
        <f t="shared" si="58"/>
        <v>Hudson View Park</v>
      </c>
      <c r="B320" s="195">
        <f t="shared" si="56"/>
        <v>222</v>
      </c>
      <c r="C320" s="196" t="str">
        <f t="shared" si="57"/>
        <v>Occ</v>
      </c>
      <c r="D320" s="196" t="e" cm="1">
        <f t="array" ref="D320">INDEX($C$5:$C$61,MATCH(1,(K320=$D$5:$D$61)*(A320=$B$5:$B$61),0))</f>
        <v>#N/A</v>
      </c>
      <c r="E320" s="196" t="e" cm="1">
        <f t="array" ref="E320">INDEX($E$5:$E$61,MATCH(1,(D320=$C$5:$C$61)*(A320=$B$5:$B$61),0))</f>
        <v>#N/A</v>
      </c>
      <c r="F320" s="196" t="e" cm="1">
        <f t="array" ref="F320">INDEX($F$5:$F$61,MATCH(1,(D320=$C$5:$C$61)*(A320=$B$5:$B$61),0))</f>
        <v>#N/A</v>
      </c>
      <c r="G320" s="196" t="e" cm="1">
        <f t="array" ref="G320">INDEX($G$5:$G$61,MATCH(1,(D320=$C$5:$C$61)*(A320=$B$5:$B$61),0))</f>
        <v>#N/A</v>
      </c>
      <c r="H320" s="196" t="e" cm="1">
        <f t="array" ref="H320">INDEX($H$5:$H$61,MATCH(1,(D320=$C$5:$C$61)*(A320=$B$5:$B$61),0))</f>
        <v>#N/A</v>
      </c>
      <c r="I320" s="196" t="e" cm="1">
        <f t="array" ref="I320">INDEX($I$5:$I$61,MATCH(1,(D320=$C$5:$C$61)*(A320=$B$5:$B$61),0))</f>
        <v>#N/A</v>
      </c>
      <c r="J320" s="273"/>
      <c r="K320" s="273"/>
      <c r="L320" s="272"/>
      <c r="M320" s="273"/>
      <c r="N320" s="197"/>
      <c r="O320" s="200">
        <f t="shared" si="51"/>
        <v>0</v>
      </c>
      <c r="P320" s="274"/>
      <c r="Q320" s="274"/>
      <c r="R320" s="276"/>
      <c r="S320" s="274"/>
      <c r="T320" s="197">
        <f t="shared" si="52"/>
        <v>0</v>
      </c>
      <c r="U320" s="197">
        <f t="shared" si="53"/>
        <v>0</v>
      </c>
      <c r="V320" s="197">
        <f t="shared" si="54"/>
        <v>0</v>
      </c>
      <c r="W320" s="197">
        <f t="shared" si="55"/>
        <v>0</v>
      </c>
      <c r="Z320" s="197"/>
      <c r="AA320" s="228"/>
      <c r="AB320" s="228"/>
      <c r="AD320" s="228"/>
      <c r="AE320" s="228"/>
      <c r="AF320" s="228"/>
      <c r="AG320" s="228"/>
      <c r="AH320" s="228"/>
      <c r="AI320" s="228"/>
      <c r="AJ320" s="228"/>
      <c r="AK320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</row>
    <row r="321" spans="1:64" s="198" customFormat="1" x14ac:dyDescent="0.25">
      <c r="A321" s="290" t="str">
        <f t="shared" si="58"/>
        <v>Hudson View Park</v>
      </c>
      <c r="B321" s="195">
        <f t="shared" si="56"/>
        <v>223</v>
      </c>
      <c r="C321" s="196" t="str">
        <f t="shared" si="57"/>
        <v>Occ</v>
      </c>
      <c r="D321" s="196" t="e" cm="1">
        <f t="array" ref="D321">INDEX($C$5:$C$61,MATCH(1,(K321=$D$5:$D$61)*(A321=$B$5:$B$61),0))</f>
        <v>#N/A</v>
      </c>
      <c r="E321" s="196" t="e" cm="1">
        <f t="array" ref="E321">INDEX($E$5:$E$61,MATCH(1,(D321=$C$5:$C$61)*(A321=$B$5:$B$61),0))</f>
        <v>#N/A</v>
      </c>
      <c r="F321" s="196" t="e" cm="1">
        <f t="array" ref="F321">INDEX($F$5:$F$61,MATCH(1,(D321=$C$5:$C$61)*(A321=$B$5:$B$61),0))</f>
        <v>#N/A</v>
      </c>
      <c r="G321" s="196" t="e" cm="1">
        <f t="array" ref="G321">INDEX($G$5:$G$61,MATCH(1,(D321=$C$5:$C$61)*(A321=$B$5:$B$61),0))</f>
        <v>#N/A</v>
      </c>
      <c r="H321" s="196" t="e" cm="1">
        <f t="array" ref="H321">INDEX($H$5:$H$61,MATCH(1,(D321=$C$5:$C$61)*(A321=$B$5:$B$61),0))</f>
        <v>#N/A</v>
      </c>
      <c r="I321" s="196" t="e" cm="1">
        <f t="array" ref="I321">INDEX($I$5:$I$61,MATCH(1,(D321=$C$5:$C$61)*(A321=$B$5:$B$61),0))</f>
        <v>#N/A</v>
      </c>
      <c r="J321" s="273"/>
      <c r="K321" s="273"/>
      <c r="L321" s="272"/>
      <c r="M321" s="273"/>
      <c r="N321" s="197"/>
      <c r="O321" s="200">
        <f t="shared" si="51"/>
        <v>0</v>
      </c>
      <c r="P321" s="274"/>
      <c r="Q321" s="274"/>
      <c r="R321" s="276"/>
      <c r="S321" s="274"/>
      <c r="T321" s="197">
        <f t="shared" si="52"/>
        <v>0</v>
      </c>
      <c r="U321" s="197">
        <f t="shared" si="53"/>
        <v>0</v>
      </c>
      <c r="V321" s="197">
        <f t="shared" si="54"/>
        <v>0</v>
      </c>
      <c r="W321" s="197">
        <f t="shared" si="55"/>
        <v>0</v>
      </c>
      <c r="Z321" s="197"/>
      <c r="AA321" s="228"/>
      <c r="AB321" s="228"/>
      <c r="AD321" s="228"/>
      <c r="AE321" s="228"/>
      <c r="AF321" s="228"/>
      <c r="AG321" s="228"/>
      <c r="AH321" s="228"/>
      <c r="AI321" s="228"/>
      <c r="AJ321" s="228"/>
      <c r="AK321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</row>
    <row r="322" spans="1:64" s="198" customFormat="1" x14ac:dyDescent="0.25">
      <c r="A322" s="290" t="str">
        <f t="shared" si="58"/>
        <v>Hudson View Park</v>
      </c>
      <c r="B322" s="195">
        <f t="shared" si="56"/>
        <v>224</v>
      </c>
      <c r="C322" s="196" t="str">
        <f t="shared" si="57"/>
        <v>Occ</v>
      </c>
      <c r="D322" s="196" t="e" cm="1">
        <f t="array" ref="D322">INDEX($C$5:$C$61,MATCH(1,(K322=$D$5:$D$61)*(A322=$B$5:$B$61),0))</f>
        <v>#N/A</v>
      </c>
      <c r="E322" s="196" t="e" cm="1">
        <f t="array" ref="E322">INDEX($E$5:$E$61,MATCH(1,(D322=$C$5:$C$61)*(A322=$B$5:$B$61),0))</f>
        <v>#N/A</v>
      </c>
      <c r="F322" s="196" t="e" cm="1">
        <f t="array" ref="F322">INDEX($F$5:$F$61,MATCH(1,(D322=$C$5:$C$61)*(A322=$B$5:$B$61),0))</f>
        <v>#N/A</v>
      </c>
      <c r="G322" s="196" t="e" cm="1">
        <f t="array" ref="G322">INDEX($G$5:$G$61,MATCH(1,(D322=$C$5:$C$61)*(A322=$B$5:$B$61),0))</f>
        <v>#N/A</v>
      </c>
      <c r="H322" s="196" t="e" cm="1">
        <f t="array" ref="H322">INDEX($H$5:$H$61,MATCH(1,(D322=$C$5:$C$61)*(A322=$B$5:$B$61),0))</f>
        <v>#N/A</v>
      </c>
      <c r="I322" s="196" t="e" cm="1">
        <f t="array" ref="I322">INDEX($I$5:$I$61,MATCH(1,(D322=$C$5:$C$61)*(A322=$B$5:$B$61),0))</f>
        <v>#N/A</v>
      </c>
      <c r="J322" s="273"/>
      <c r="K322" s="273"/>
      <c r="L322" s="272"/>
      <c r="M322" s="273"/>
      <c r="N322" s="197"/>
      <c r="O322" s="200">
        <f t="shared" si="51"/>
        <v>0</v>
      </c>
      <c r="P322" s="274"/>
      <c r="Q322" s="274"/>
      <c r="R322" s="276"/>
      <c r="S322" s="274"/>
      <c r="T322" s="197">
        <f t="shared" si="52"/>
        <v>0</v>
      </c>
      <c r="U322" s="197">
        <f t="shared" si="53"/>
        <v>0</v>
      </c>
      <c r="V322" s="197">
        <f t="shared" si="54"/>
        <v>0</v>
      </c>
      <c r="W322" s="197">
        <f t="shared" si="55"/>
        <v>0</v>
      </c>
      <c r="Z322" s="197"/>
      <c r="AA322" s="228"/>
      <c r="AB322" s="228"/>
      <c r="AD322" s="228"/>
      <c r="AE322" s="228"/>
      <c r="AF322" s="228"/>
      <c r="AG322" s="228"/>
      <c r="AH322" s="228"/>
      <c r="AI322" s="228"/>
      <c r="AJ322" s="228"/>
      <c r="AK322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</row>
    <row r="323" spans="1:64" s="198" customFormat="1" x14ac:dyDescent="0.25">
      <c r="A323" s="290" t="str">
        <f t="shared" si="58"/>
        <v>Hudson View Park</v>
      </c>
      <c r="B323" s="195">
        <f t="shared" si="56"/>
        <v>225</v>
      </c>
      <c r="C323" s="196" t="str">
        <f t="shared" si="57"/>
        <v>Occ</v>
      </c>
      <c r="D323" s="196" t="e" cm="1">
        <f t="array" ref="D323">INDEX($C$5:$C$61,MATCH(1,(K323=$D$5:$D$61)*(A323=$B$5:$B$61),0))</f>
        <v>#N/A</v>
      </c>
      <c r="E323" s="196" t="e" cm="1">
        <f t="array" ref="E323">INDEX($E$5:$E$61,MATCH(1,(D323=$C$5:$C$61)*(A323=$B$5:$B$61),0))</f>
        <v>#N/A</v>
      </c>
      <c r="F323" s="196" t="e" cm="1">
        <f t="array" ref="F323">INDEX($F$5:$F$61,MATCH(1,(D323=$C$5:$C$61)*(A323=$B$5:$B$61),0))</f>
        <v>#N/A</v>
      </c>
      <c r="G323" s="196" t="e" cm="1">
        <f t="array" ref="G323">INDEX($G$5:$G$61,MATCH(1,(D323=$C$5:$C$61)*(A323=$B$5:$B$61),0))</f>
        <v>#N/A</v>
      </c>
      <c r="H323" s="196" t="e" cm="1">
        <f t="array" ref="H323">INDEX($H$5:$H$61,MATCH(1,(D323=$C$5:$C$61)*(A323=$B$5:$B$61),0))</f>
        <v>#N/A</v>
      </c>
      <c r="I323" s="196" t="e" cm="1">
        <f t="array" ref="I323">INDEX($I$5:$I$61,MATCH(1,(D323=$C$5:$C$61)*(A323=$B$5:$B$61),0))</f>
        <v>#N/A</v>
      </c>
      <c r="J323" s="273"/>
      <c r="K323" s="273"/>
      <c r="L323" s="272"/>
      <c r="M323" s="273"/>
      <c r="N323" s="197"/>
      <c r="O323" s="200">
        <f t="shared" si="51"/>
        <v>0</v>
      </c>
      <c r="P323" s="274"/>
      <c r="Q323" s="274"/>
      <c r="R323" s="276"/>
      <c r="S323" s="274"/>
      <c r="T323" s="197">
        <f t="shared" si="52"/>
        <v>0</v>
      </c>
      <c r="U323" s="197">
        <f t="shared" si="53"/>
        <v>0</v>
      </c>
      <c r="V323" s="197">
        <f t="shared" si="54"/>
        <v>0</v>
      </c>
      <c r="W323" s="197">
        <f t="shared" si="55"/>
        <v>0</v>
      </c>
      <c r="Z323" s="197"/>
      <c r="AA323" s="228"/>
      <c r="AB323" s="228"/>
      <c r="AD323" s="228"/>
      <c r="AE323" s="228"/>
      <c r="AF323" s="228"/>
      <c r="AG323" s="228"/>
      <c r="AH323" s="228"/>
      <c r="AI323" s="228"/>
      <c r="AJ323" s="228"/>
      <c r="AK323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</row>
    <row r="324" spans="1:64" s="198" customFormat="1" x14ac:dyDescent="0.25">
      <c r="A324" s="290" t="str">
        <f t="shared" si="58"/>
        <v>Hudson View Park</v>
      </c>
      <c r="B324" s="195">
        <f t="shared" si="56"/>
        <v>226</v>
      </c>
      <c r="C324" s="196" t="str">
        <f t="shared" si="57"/>
        <v>Occ</v>
      </c>
      <c r="D324" s="196" t="e" cm="1">
        <f t="array" ref="D324">INDEX($C$5:$C$61,MATCH(1,(K324=$D$5:$D$61)*(A324=$B$5:$B$61),0))</f>
        <v>#N/A</v>
      </c>
      <c r="E324" s="196" t="e" cm="1">
        <f t="array" ref="E324">INDEX($E$5:$E$61,MATCH(1,(D324=$C$5:$C$61)*(A324=$B$5:$B$61),0))</f>
        <v>#N/A</v>
      </c>
      <c r="F324" s="196" t="e" cm="1">
        <f t="array" ref="F324">INDEX($F$5:$F$61,MATCH(1,(D324=$C$5:$C$61)*(A324=$B$5:$B$61),0))</f>
        <v>#N/A</v>
      </c>
      <c r="G324" s="196" t="e" cm="1">
        <f t="array" ref="G324">INDEX($G$5:$G$61,MATCH(1,(D324=$C$5:$C$61)*(A324=$B$5:$B$61),0))</f>
        <v>#N/A</v>
      </c>
      <c r="H324" s="196" t="e" cm="1">
        <f t="array" ref="H324">INDEX($H$5:$H$61,MATCH(1,(D324=$C$5:$C$61)*(A324=$B$5:$B$61),0))</f>
        <v>#N/A</v>
      </c>
      <c r="I324" s="196" t="e" cm="1">
        <f t="array" ref="I324">INDEX($I$5:$I$61,MATCH(1,(D324=$C$5:$C$61)*(A324=$B$5:$B$61),0))</f>
        <v>#N/A</v>
      </c>
      <c r="J324" s="273"/>
      <c r="K324" s="273"/>
      <c r="L324" s="272"/>
      <c r="M324" s="273"/>
      <c r="N324" s="197"/>
      <c r="O324" s="200">
        <f t="shared" si="51"/>
        <v>0</v>
      </c>
      <c r="P324" s="274"/>
      <c r="Q324" s="274"/>
      <c r="R324" s="276"/>
      <c r="S324" s="274"/>
      <c r="T324" s="197">
        <f t="shared" si="52"/>
        <v>0</v>
      </c>
      <c r="U324" s="197">
        <f t="shared" si="53"/>
        <v>0</v>
      </c>
      <c r="V324" s="197">
        <f t="shared" si="54"/>
        <v>0</v>
      </c>
      <c r="W324" s="197">
        <f t="shared" si="55"/>
        <v>0</v>
      </c>
      <c r="Z324" s="197"/>
      <c r="AA324" s="228"/>
      <c r="AB324" s="228"/>
      <c r="AD324" s="228"/>
      <c r="AE324" s="228"/>
      <c r="AF324" s="228"/>
      <c r="AG324" s="228"/>
      <c r="AH324" s="228"/>
      <c r="AI324" s="228"/>
      <c r="AJ324" s="228"/>
      <c r="AK324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</row>
    <row r="325" spans="1:64" s="198" customFormat="1" x14ac:dyDescent="0.25">
      <c r="A325" s="290" t="str">
        <f t="shared" si="58"/>
        <v>Hudson View Park</v>
      </c>
      <c r="B325" s="195">
        <f t="shared" si="56"/>
        <v>227</v>
      </c>
      <c r="C325" s="196" t="str">
        <f t="shared" si="57"/>
        <v>Occ</v>
      </c>
      <c r="D325" s="196" t="e" cm="1">
        <f t="array" ref="D325">INDEX($C$5:$C$61,MATCH(1,(K325=$D$5:$D$61)*(A325=$B$5:$B$61),0))</f>
        <v>#N/A</v>
      </c>
      <c r="E325" s="196" t="e" cm="1">
        <f t="array" ref="E325">INDEX($E$5:$E$61,MATCH(1,(D325=$C$5:$C$61)*(A325=$B$5:$B$61),0))</f>
        <v>#N/A</v>
      </c>
      <c r="F325" s="196" t="e" cm="1">
        <f t="array" ref="F325">INDEX($F$5:$F$61,MATCH(1,(D325=$C$5:$C$61)*(A325=$B$5:$B$61),0))</f>
        <v>#N/A</v>
      </c>
      <c r="G325" s="196" t="e" cm="1">
        <f t="array" ref="G325">INDEX($G$5:$G$61,MATCH(1,(D325=$C$5:$C$61)*(A325=$B$5:$B$61),0))</f>
        <v>#N/A</v>
      </c>
      <c r="H325" s="196" t="e" cm="1">
        <f t="array" ref="H325">INDEX($H$5:$H$61,MATCH(1,(D325=$C$5:$C$61)*(A325=$B$5:$B$61),0))</f>
        <v>#N/A</v>
      </c>
      <c r="I325" s="196" t="e" cm="1">
        <f t="array" ref="I325">INDEX($I$5:$I$61,MATCH(1,(D325=$C$5:$C$61)*(A325=$B$5:$B$61),0))</f>
        <v>#N/A</v>
      </c>
      <c r="J325" s="273"/>
      <c r="K325" s="273"/>
      <c r="L325" s="272"/>
      <c r="M325" s="273"/>
      <c r="N325" s="197"/>
      <c r="O325" s="200">
        <f t="shared" si="51"/>
        <v>0</v>
      </c>
      <c r="P325" s="274"/>
      <c r="Q325" s="274"/>
      <c r="R325" s="276"/>
      <c r="S325" s="274"/>
      <c r="T325" s="197">
        <f t="shared" si="52"/>
        <v>0</v>
      </c>
      <c r="U325" s="197">
        <f t="shared" si="53"/>
        <v>0</v>
      </c>
      <c r="V325" s="197">
        <f t="shared" si="54"/>
        <v>0</v>
      </c>
      <c r="W325" s="197">
        <f t="shared" si="55"/>
        <v>0</v>
      </c>
      <c r="Z325" s="197"/>
      <c r="AA325" s="228"/>
      <c r="AB325" s="228"/>
      <c r="AD325" s="228"/>
      <c r="AE325" s="228"/>
      <c r="AF325" s="228"/>
      <c r="AG325" s="228"/>
      <c r="AH325" s="228"/>
      <c r="AI325" s="228"/>
      <c r="AJ325" s="228"/>
      <c r="AK325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</row>
    <row r="326" spans="1:64" s="198" customFormat="1" x14ac:dyDescent="0.25">
      <c r="A326" s="290" t="str">
        <f t="shared" si="58"/>
        <v>Hudson View Park</v>
      </c>
      <c r="B326" s="195">
        <f t="shared" si="56"/>
        <v>228</v>
      </c>
      <c r="C326" s="196" t="str">
        <f t="shared" si="57"/>
        <v>Occ</v>
      </c>
      <c r="D326" s="196" t="e" cm="1">
        <f t="array" ref="D326">INDEX($C$5:$C$61,MATCH(1,(K326=$D$5:$D$61)*(A326=$B$5:$B$61),0))</f>
        <v>#N/A</v>
      </c>
      <c r="E326" s="196" t="e" cm="1">
        <f t="array" ref="E326">INDEX($E$5:$E$61,MATCH(1,(D326=$C$5:$C$61)*(A326=$B$5:$B$61),0))</f>
        <v>#N/A</v>
      </c>
      <c r="F326" s="196" t="e" cm="1">
        <f t="array" ref="F326">INDEX($F$5:$F$61,MATCH(1,(D326=$C$5:$C$61)*(A326=$B$5:$B$61),0))</f>
        <v>#N/A</v>
      </c>
      <c r="G326" s="196" t="e" cm="1">
        <f t="array" ref="G326">INDEX($G$5:$G$61,MATCH(1,(D326=$C$5:$C$61)*(A326=$B$5:$B$61),0))</f>
        <v>#N/A</v>
      </c>
      <c r="H326" s="196" t="e" cm="1">
        <f t="array" ref="H326">INDEX($H$5:$H$61,MATCH(1,(D326=$C$5:$C$61)*(A326=$B$5:$B$61),0))</f>
        <v>#N/A</v>
      </c>
      <c r="I326" s="196" t="e" cm="1">
        <f t="array" ref="I326">INDEX($I$5:$I$61,MATCH(1,(D326=$C$5:$C$61)*(A326=$B$5:$B$61),0))</f>
        <v>#N/A</v>
      </c>
      <c r="J326" s="273"/>
      <c r="K326" s="273"/>
      <c r="L326" s="272"/>
      <c r="M326" s="273"/>
      <c r="N326" s="197"/>
      <c r="O326" s="200">
        <f t="shared" si="51"/>
        <v>0</v>
      </c>
      <c r="P326" s="274"/>
      <c r="Q326" s="274"/>
      <c r="R326" s="276"/>
      <c r="S326" s="274"/>
      <c r="T326" s="197">
        <f t="shared" si="52"/>
        <v>0</v>
      </c>
      <c r="U326" s="197">
        <f t="shared" si="53"/>
        <v>0</v>
      </c>
      <c r="V326" s="197">
        <f t="shared" si="54"/>
        <v>0</v>
      </c>
      <c r="W326" s="197">
        <f t="shared" si="55"/>
        <v>0</v>
      </c>
      <c r="Z326" s="197"/>
      <c r="AA326" s="228"/>
      <c r="AB326" s="228"/>
      <c r="AD326" s="228"/>
      <c r="AE326" s="228"/>
      <c r="AF326" s="228"/>
      <c r="AG326" s="228"/>
      <c r="AH326" s="228"/>
      <c r="AI326" s="228"/>
      <c r="AJ326" s="228"/>
      <c r="AK326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 spans="1:64" s="198" customFormat="1" x14ac:dyDescent="0.25">
      <c r="A327" s="290" t="str">
        <f t="shared" si="58"/>
        <v>Hudson View Park</v>
      </c>
      <c r="B327" s="195">
        <f t="shared" si="56"/>
        <v>229</v>
      </c>
      <c r="C327" s="196" t="str">
        <f t="shared" si="57"/>
        <v>Occ</v>
      </c>
      <c r="D327" s="196" t="e" cm="1">
        <f t="array" ref="D327">INDEX($C$5:$C$61,MATCH(1,(K327=$D$5:$D$61)*(A327=$B$5:$B$61),0))</f>
        <v>#N/A</v>
      </c>
      <c r="E327" s="196" t="e" cm="1">
        <f t="array" ref="E327">INDEX($E$5:$E$61,MATCH(1,(D327=$C$5:$C$61)*(A327=$B$5:$B$61),0))</f>
        <v>#N/A</v>
      </c>
      <c r="F327" s="196" t="e" cm="1">
        <f t="array" ref="F327">INDEX($F$5:$F$61,MATCH(1,(D327=$C$5:$C$61)*(A327=$B$5:$B$61),0))</f>
        <v>#N/A</v>
      </c>
      <c r="G327" s="196" t="e" cm="1">
        <f t="array" ref="G327">INDEX($G$5:$G$61,MATCH(1,(D327=$C$5:$C$61)*(A327=$B$5:$B$61),0))</f>
        <v>#N/A</v>
      </c>
      <c r="H327" s="196" t="e" cm="1">
        <f t="array" ref="H327">INDEX($H$5:$H$61,MATCH(1,(D327=$C$5:$C$61)*(A327=$B$5:$B$61),0))</f>
        <v>#N/A</v>
      </c>
      <c r="I327" s="196" t="e" cm="1">
        <f t="array" ref="I327">INDEX($I$5:$I$61,MATCH(1,(D327=$C$5:$C$61)*(A327=$B$5:$B$61),0))</f>
        <v>#N/A</v>
      </c>
      <c r="J327" s="273"/>
      <c r="K327" s="273"/>
      <c r="L327" s="272"/>
      <c r="M327" s="273"/>
      <c r="N327" s="197"/>
      <c r="O327" s="200">
        <f t="shared" si="51"/>
        <v>0</v>
      </c>
      <c r="P327" s="274"/>
      <c r="Q327" s="274"/>
      <c r="R327" s="276"/>
      <c r="S327" s="274"/>
      <c r="T327" s="197">
        <f t="shared" si="52"/>
        <v>0</v>
      </c>
      <c r="U327" s="197">
        <f t="shared" si="53"/>
        <v>0</v>
      </c>
      <c r="V327" s="197">
        <f t="shared" si="54"/>
        <v>0</v>
      </c>
      <c r="W327" s="197">
        <f t="shared" si="55"/>
        <v>0</v>
      </c>
      <c r="Z327" s="197"/>
      <c r="AA327" s="228"/>
      <c r="AB327" s="228"/>
      <c r="AD327" s="228"/>
      <c r="AE327" s="228"/>
      <c r="AF327" s="228"/>
      <c r="AG327" s="228"/>
      <c r="AH327" s="228"/>
      <c r="AI327" s="228"/>
      <c r="AJ327" s="228"/>
      <c r="AK327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 spans="1:64" s="198" customFormat="1" x14ac:dyDescent="0.25">
      <c r="A328" s="290" t="str">
        <f t="shared" si="58"/>
        <v>Hudson View Park</v>
      </c>
      <c r="B328" s="195">
        <f t="shared" si="56"/>
        <v>230</v>
      </c>
      <c r="C328" s="196" t="str">
        <f t="shared" si="57"/>
        <v>Occ</v>
      </c>
      <c r="D328" s="196" t="e" cm="1">
        <f t="array" ref="D328">INDEX($C$5:$C$61,MATCH(1,(K328=$D$5:$D$61)*(A328=$B$5:$B$61),0))</f>
        <v>#N/A</v>
      </c>
      <c r="E328" s="196" t="e" cm="1">
        <f t="array" ref="E328">INDEX($E$5:$E$61,MATCH(1,(D328=$C$5:$C$61)*(A328=$B$5:$B$61),0))</f>
        <v>#N/A</v>
      </c>
      <c r="F328" s="196" t="e" cm="1">
        <f t="array" ref="F328">INDEX($F$5:$F$61,MATCH(1,(D328=$C$5:$C$61)*(A328=$B$5:$B$61),0))</f>
        <v>#N/A</v>
      </c>
      <c r="G328" s="196" t="e" cm="1">
        <f t="array" ref="G328">INDEX($G$5:$G$61,MATCH(1,(D328=$C$5:$C$61)*(A328=$B$5:$B$61),0))</f>
        <v>#N/A</v>
      </c>
      <c r="H328" s="196" t="e" cm="1">
        <f t="array" ref="H328">INDEX($H$5:$H$61,MATCH(1,(D328=$C$5:$C$61)*(A328=$B$5:$B$61),0))</f>
        <v>#N/A</v>
      </c>
      <c r="I328" s="196" t="e" cm="1">
        <f t="array" ref="I328">INDEX($I$5:$I$61,MATCH(1,(D328=$C$5:$C$61)*(A328=$B$5:$B$61),0))</f>
        <v>#N/A</v>
      </c>
      <c r="J328" s="273"/>
      <c r="K328" s="273"/>
      <c r="L328" s="272"/>
      <c r="M328" s="273"/>
      <c r="N328" s="197"/>
      <c r="O328" s="200">
        <f t="shared" si="51"/>
        <v>0</v>
      </c>
      <c r="P328" s="274"/>
      <c r="Q328" s="274"/>
      <c r="R328" s="276"/>
      <c r="S328" s="274"/>
      <c r="T328" s="197">
        <f t="shared" si="52"/>
        <v>0</v>
      </c>
      <c r="U328" s="197">
        <f t="shared" si="53"/>
        <v>0</v>
      </c>
      <c r="V328" s="197">
        <f t="shared" si="54"/>
        <v>0</v>
      </c>
      <c r="W328" s="197">
        <f t="shared" si="55"/>
        <v>0</v>
      </c>
      <c r="Z328" s="197"/>
      <c r="AA328" s="228"/>
      <c r="AB328" s="228"/>
      <c r="AD328" s="228"/>
      <c r="AE328" s="228"/>
      <c r="AF328" s="228"/>
      <c r="AG328" s="228"/>
      <c r="AH328" s="228"/>
      <c r="AI328" s="228"/>
      <c r="AJ328" s="228"/>
      <c r="AK3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</row>
    <row r="329" spans="1:64" s="198" customFormat="1" x14ac:dyDescent="0.25">
      <c r="A329" s="290" t="str">
        <f t="shared" si="58"/>
        <v>Hudson View Park</v>
      </c>
      <c r="B329" s="195">
        <f t="shared" si="56"/>
        <v>231</v>
      </c>
      <c r="C329" s="196" t="str">
        <f t="shared" si="57"/>
        <v>Occ</v>
      </c>
      <c r="D329" s="196" t="e" cm="1">
        <f t="array" ref="D329">INDEX($C$5:$C$61,MATCH(1,(K329=$D$5:$D$61)*(A329=$B$5:$B$61),0))</f>
        <v>#N/A</v>
      </c>
      <c r="E329" s="196" t="e" cm="1">
        <f t="array" ref="E329">INDEX($E$5:$E$61,MATCH(1,(D329=$C$5:$C$61)*(A329=$B$5:$B$61),0))</f>
        <v>#N/A</v>
      </c>
      <c r="F329" s="196" t="e" cm="1">
        <f t="array" ref="F329">INDEX($F$5:$F$61,MATCH(1,(D329=$C$5:$C$61)*(A329=$B$5:$B$61),0))</f>
        <v>#N/A</v>
      </c>
      <c r="G329" s="196" t="e" cm="1">
        <f t="array" ref="G329">INDEX($G$5:$G$61,MATCH(1,(D329=$C$5:$C$61)*(A329=$B$5:$B$61),0))</f>
        <v>#N/A</v>
      </c>
      <c r="H329" s="196" t="e" cm="1">
        <f t="array" ref="H329">INDEX($H$5:$H$61,MATCH(1,(D329=$C$5:$C$61)*(A329=$B$5:$B$61),0))</f>
        <v>#N/A</v>
      </c>
      <c r="I329" s="196" t="e" cm="1">
        <f t="array" ref="I329">INDEX($I$5:$I$61,MATCH(1,(D329=$C$5:$C$61)*(A329=$B$5:$B$61),0))</f>
        <v>#N/A</v>
      </c>
      <c r="J329" s="273"/>
      <c r="K329" s="273"/>
      <c r="L329" s="272"/>
      <c r="M329" s="273"/>
      <c r="N329" s="197"/>
      <c r="O329" s="200">
        <f t="shared" si="51"/>
        <v>0</v>
      </c>
      <c r="P329" s="274"/>
      <c r="Q329" s="274"/>
      <c r="R329" s="276"/>
      <c r="S329" s="274"/>
      <c r="T329" s="197">
        <f t="shared" si="52"/>
        <v>0</v>
      </c>
      <c r="U329" s="197">
        <f t="shared" si="53"/>
        <v>0</v>
      </c>
      <c r="V329" s="197">
        <f t="shared" si="54"/>
        <v>0</v>
      </c>
      <c r="W329" s="197">
        <f t="shared" si="55"/>
        <v>0</v>
      </c>
      <c r="Z329" s="197"/>
      <c r="AA329" s="228"/>
      <c r="AB329" s="228"/>
      <c r="AD329" s="228"/>
      <c r="AE329" s="228"/>
      <c r="AF329" s="228"/>
      <c r="AG329" s="228"/>
      <c r="AH329" s="228"/>
      <c r="AI329" s="228"/>
      <c r="AJ329" s="228"/>
      <c r="AK329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 spans="1:64" s="198" customFormat="1" x14ac:dyDescent="0.25">
      <c r="A330" s="290" t="str">
        <f t="shared" si="58"/>
        <v>Hudson View Park</v>
      </c>
      <c r="B330" s="195">
        <f t="shared" si="56"/>
        <v>232</v>
      </c>
      <c r="C330" s="196" t="str">
        <f t="shared" si="57"/>
        <v>Occ</v>
      </c>
      <c r="D330" s="196" t="e" cm="1">
        <f t="array" ref="D330">INDEX($C$5:$C$61,MATCH(1,(K330=$D$5:$D$61)*(A330=$B$5:$B$61),0))</f>
        <v>#N/A</v>
      </c>
      <c r="E330" s="196" t="e" cm="1">
        <f t="array" ref="E330">INDEX($E$5:$E$61,MATCH(1,(D330=$C$5:$C$61)*(A330=$B$5:$B$61),0))</f>
        <v>#N/A</v>
      </c>
      <c r="F330" s="196" t="e" cm="1">
        <f t="array" ref="F330">INDEX($F$5:$F$61,MATCH(1,(D330=$C$5:$C$61)*(A330=$B$5:$B$61),0))</f>
        <v>#N/A</v>
      </c>
      <c r="G330" s="196" t="e" cm="1">
        <f t="array" ref="G330">INDEX($G$5:$G$61,MATCH(1,(D330=$C$5:$C$61)*(A330=$B$5:$B$61),0))</f>
        <v>#N/A</v>
      </c>
      <c r="H330" s="196" t="e" cm="1">
        <f t="array" ref="H330">INDEX($H$5:$H$61,MATCH(1,(D330=$C$5:$C$61)*(A330=$B$5:$B$61),0))</f>
        <v>#N/A</v>
      </c>
      <c r="I330" s="196" t="e" cm="1">
        <f t="array" ref="I330">INDEX($I$5:$I$61,MATCH(1,(D330=$C$5:$C$61)*(A330=$B$5:$B$61),0))</f>
        <v>#N/A</v>
      </c>
      <c r="J330" s="273"/>
      <c r="K330" s="273"/>
      <c r="L330" s="272"/>
      <c r="M330" s="273"/>
      <c r="N330" s="197"/>
      <c r="O330" s="200">
        <f t="shared" si="51"/>
        <v>0</v>
      </c>
      <c r="P330" s="274"/>
      <c r="Q330" s="274"/>
      <c r="R330" s="276"/>
      <c r="S330" s="274"/>
      <c r="T330" s="197">
        <f t="shared" si="52"/>
        <v>0</v>
      </c>
      <c r="U330" s="197">
        <f t="shared" si="53"/>
        <v>0</v>
      </c>
      <c r="V330" s="197">
        <f t="shared" si="54"/>
        <v>0</v>
      </c>
      <c r="W330" s="197">
        <f t="shared" si="55"/>
        <v>0</v>
      </c>
      <c r="Z330" s="197"/>
      <c r="AA330" s="228"/>
      <c r="AB330" s="228"/>
      <c r="AD330" s="228"/>
      <c r="AE330" s="228"/>
      <c r="AF330" s="228"/>
      <c r="AG330" s="228"/>
      <c r="AH330" s="228"/>
      <c r="AI330" s="228"/>
      <c r="AJ330" s="228"/>
      <c r="AK330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 spans="1:64" s="198" customFormat="1" x14ac:dyDescent="0.25">
      <c r="A331" s="290" t="str">
        <f t="shared" si="58"/>
        <v>Hudson View Park</v>
      </c>
      <c r="B331" s="195">
        <f t="shared" si="56"/>
        <v>233</v>
      </c>
      <c r="C331" s="196" t="str">
        <f t="shared" si="57"/>
        <v>Occ</v>
      </c>
      <c r="D331" s="196" t="e" cm="1">
        <f t="array" ref="D331">INDEX($C$5:$C$61,MATCH(1,(K331=$D$5:$D$61)*(A331=$B$5:$B$61),0))</f>
        <v>#N/A</v>
      </c>
      <c r="E331" s="196" t="e" cm="1">
        <f t="array" ref="E331">INDEX($E$5:$E$61,MATCH(1,(D331=$C$5:$C$61)*(A331=$B$5:$B$61),0))</f>
        <v>#N/A</v>
      </c>
      <c r="F331" s="196" t="e" cm="1">
        <f t="array" ref="F331">INDEX($F$5:$F$61,MATCH(1,(D331=$C$5:$C$61)*(A331=$B$5:$B$61),0))</f>
        <v>#N/A</v>
      </c>
      <c r="G331" s="196" t="e" cm="1">
        <f t="array" ref="G331">INDEX($G$5:$G$61,MATCH(1,(D331=$C$5:$C$61)*(A331=$B$5:$B$61),0))</f>
        <v>#N/A</v>
      </c>
      <c r="H331" s="196" t="e" cm="1">
        <f t="array" ref="H331">INDEX($H$5:$H$61,MATCH(1,(D331=$C$5:$C$61)*(A331=$B$5:$B$61),0))</f>
        <v>#N/A</v>
      </c>
      <c r="I331" s="196" t="e" cm="1">
        <f t="array" ref="I331">INDEX($I$5:$I$61,MATCH(1,(D331=$C$5:$C$61)*(A331=$B$5:$B$61),0))</f>
        <v>#N/A</v>
      </c>
      <c r="J331" s="273"/>
      <c r="K331" s="273"/>
      <c r="L331" s="272"/>
      <c r="M331" s="273"/>
      <c r="N331" s="197"/>
      <c r="O331" s="200">
        <f t="shared" si="51"/>
        <v>0</v>
      </c>
      <c r="P331" s="274"/>
      <c r="Q331" s="274"/>
      <c r="R331" s="276"/>
      <c r="S331" s="274"/>
      <c r="T331" s="197">
        <f t="shared" si="52"/>
        <v>0</v>
      </c>
      <c r="U331" s="197">
        <f t="shared" si="53"/>
        <v>0</v>
      </c>
      <c r="V331" s="197">
        <f t="shared" si="54"/>
        <v>0</v>
      </c>
      <c r="W331" s="197">
        <f t="shared" si="55"/>
        <v>0</v>
      </c>
      <c r="Z331" s="197"/>
      <c r="AA331" s="228"/>
      <c r="AB331" s="228"/>
      <c r="AD331" s="228"/>
      <c r="AE331" s="228"/>
      <c r="AF331" s="228"/>
      <c r="AG331" s="228"/>
      <c r="AH331" s="228"/>
      <c r="AI331" s="228"/>
      <c r="AJ331" s="228"/>
      <c r="AK331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 spans="1:64" s="198" customFormat="1" x14ac:dyDescent="0.25">
      <c r="A332" s="290" t="str">
        <f t="shared" si="58"/>
        <v>Hudson View Park</v>
      </c>
      <c r="B332" s="195">
        <f t="shared" si="56"/>
        <v>234</v>
      </c>
      <c r="C332" s="196" t="str">
        <f t="shared" si="57"/>
        <v>Occ</v>
      </c>
      <c r="D332" s="196" t="e" cm="1">
        <f t="array" ref="D332">INDEX($C$5:$C$61,MATCH(1,(K332=$D$5:$D$61)*(A332=$B$5:$B$61),0))</f>
        <v>#N/A</v>
      </c>
      <c r="E332" s="196" t="e" cm="1">
        <f t="array" ref="E332">INDEX($E$5:$E$61,MATCH(1,(D332=$C$5:$C$61)*(A332=$B$5:$B$61),0))</f>
        <v>#N/A</v>
      </c>
      <c r="F332" s="196" t="e" cm="1">
        <f t="array" ref="F332">INDEX($F$5:$F$61,MATCH(1,(D332=$C$5:$C$61)*(A332=$B$5:$B$61),0))</f>
        <v>#N/A</v>
      </c>
      <c r="G332" s="196" t="e" cm="1">
        <f t="array" ref="G332">INDEX($G$5:$G$61,MATCH(1,(D332=$C$5:$C$61)*(A332=$B$5:$B$61),0))</f>
        <v>#N/A</v>
      </c>
      <c r="H332" s="196" t="e" cm="1">
        <f t="array" ref="H332">INDEX($H$5:$H$61,MATCH(1,(D332=$C$5:$C$61)*(A332=$B$5:$B$61),0))</f>
        <v>#N/A</v>
      </c>
      <c r="I332" s="196" t="e" cm="1">
        <f t="array" ref="I332">INDEX($I$5:$I$61,MATCH(1,(D332=$C$5:$C$61)*(A332=$B$5:$B$61),0))</f>
        <v>#N/A</v>
      </c>
      <c r="J332" s="273"/>
      <c r="K332" s="273"/>
      <c r="L332" s="272"/>
      <c r="M332" s="273"/>
      <c r="N332" s="197"/>
      <c r="O332" s="200">
        <f t="shared" si="51"/>
        <v>0</v>
      </c>
      <c r="P332" s="274"/>
      <c r="Q332" s="274"/>
      <c r="R332" s="276"/>
      <c r="S332" s="274"/>
      <c r="T332" s="197">
        <f t="shared" si="52"/>
        <v>0</v>
      </c>
      <c r="U332" s="197">
        <f t="shared" si="53"/>
        <v>0</v>
      </c>
      <c r="V332" s="197">
        <f t="shared" si="54"/>
        <v>0</v>
      </c>
      <c r="W332" s="197">
        <f t="shared" si="55"/>
        <v>0</v>
      </c>
      <c r="Z332" s="197"/>
      <c r="AA332" s="228"/>
      <c r="AB332" s="228"/>
      <c r="AD332" s="228"/>
      <c r="AE332" s="228"/>
      <c r="AF332" s="228"/>
      <c r="AG332" s="228"/>
      <c r="AH332" s="228"/>
      <c r="AI332" s="228"/>
      <c r="AJ332" s="228"/>
      <c r="AK332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 spans="1:64" s="198" customFormat="1" x14ac:dyDescent="0.25">
      <c r="A333" s="290" t="str">
        <f t="shared" si="58"/>
        <v>Hudson View Park</v>
      </c>
      <c r="B333" s="195">
        <f t="shared" si="56"/>
        <v>235</v>
      </c>
      <c r="C333" s="196" t="str">
        <f t="shared" si="57"/>
        <v>Occ</v>
      </c>
      <c r="D333" s="196" t="e" cm="1">
        <f t="array" ref="D333">INDEX($C$5:$C$61,MATCH(1,(K333=$D$5:$D$61)*(A333=$B$5:$B$61),0))</f>
        <v>#N/A</v>
      </c>
      <c r="E333" s="196" t="e" cm="1">
        <f t="array" ref="E333">INDEX($E$5:$E$61,MATCH(1,(D333=$C$5:$C$61)*(A333=$B$5:$B$61),0))</f>
        <v>#N/A</v>
      </c>
      <c r="F333" s="196" t="e" cm="1">
        <f t="array" ref="F333">INDEX($F$5:$F$61,MATCH(1,(D333=$C$5:$C$61)*(A333=$B$5:$B$61),0))</f>
        <v>#N/A</v>
      </c>
      <c r="G333" s="196" t="e" cm="1">
        <f t="array" ref="G333">INDEX($G$5:$G$61,MATCH(1,(D333=$C$5:$C$61)*(A333=$B$5:$B$61),0))</f>
        <v>#N/A</v>
      </c>
      <c r="H333" s="196" t="e" cm="1">
        <f t="array" ref="H333">INDEX($H$5:$H$61,MATCH(1,(D333=$C$5:$C$61)*(A333=$B$5:$B$61),0))</f>
        <v>#N/A</v>
      </c>
      <c r="I333" s="196" t="e" cm="1">
        <f t="array" ref="I333">INDEX($I$5:$I$61,MATCH(1,(D333=$C$5:$C$61)*(A333=$B$5:$B$61),0))</f>
        <v>#N/A</v>
      </c>
      <c r="J333" s="273"/>
      <c r="K333" s="273"/>
      <c r="L333" s="272"/>
      <c r="M333" s="273"/>
      <c r="N333" s="197"/>
      <c r="O333" s="200">
        <f t="shared" si="51"/>
        <v>0</v>
      </c>
      <c r="P333" s="274"/>
      <c r="Q333" s="274"/>
      <c r="R333" s="276"/>
      <c r="S333" s="274"/>
      <c r="T333" s="197">
        <f t="shared" si="52"/>
        <v>0</v>
      </c>
      <c r="U333" s="197">
        <f t="shared" si="53"/>
        <v>0</v>
      </c>
      <c r="V333" s="197">
        <f t="shared" si="54"/>
        <v>0</v>
      </c>
      <c r="W333" s="197">
        <f t="shared" si="55"/>
        <v>0</v>
      </c>
      <c r="Z333" s="197"/>
      <c r="AA333" s="228"/>
      <c r="AB333" s="228"/>
      <c r="AD333" s="228"/>
      <c r="AE333" s="228"/>
      <c r="AF333" s="228"/>
      <c r="AG333" s="228"/>
      <c r="AH333" s="228"/>
      <c r="AI333" s="228"/>
      <c r="AJ333" s="228"/>
      <c r="AK333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 spans="1:64" s="198" customFormat="1" x14ac:dyDescent="0.25">
      <c r="A334" s="290" t="str">
        <f t="shared" si="58"/>
        <v>Hudson View Park</v>
      </c>
      <c r="B334" s="195">
        <f t="shared" si="56"/>
        <v>236</v>
      </c>
      <c r="C334" s="196" t="str">
        <f t="shared" si="57"/>
        <v>Occ</v>
      </c>
      <c r="D334" s="196" t="e" cm="1">
        <f t="array" ref="D334">INDEX($C$5:$C$61,MATCH(1,(K334=$D$5:$D$61)*(A334=$B$5:$B$61),0))</f>
        <v>#N/A</v>
      </c>
      <c r="E334" s="196" t="e" cm="1">
        <f t="array" ref="E334">INDEX($E$5:$E$61,MATCH(1,(D334=$C$5:$C$61)*(A334=$B$5:$B$61),0))</f>
        <v>#N/A</v>
      </c>
      <c r="F334" s="196" t="e" cm="1">
        <f t="array" ref="F334">INDEX($F$5:$F$61,MATCH(1,(D334=$C$5:$C$61)*(A334=$B$5:$B$61),0))</f>
        <v>#N/A</v>
      </c>
      <c r="G334" s="196" t="e" cm="1">
        <f t="array" ref="G334">INDEX($G$5:$G$61,MATCH(1,(D334=$C$5:$C$61)*(A334=$B$5:$B$61),0))</f>
        <v>#N/A</v>
      </c>
      <c r="H334" s="196" t="e" cm="1">
        <f t="array" ref="H334">INDEX($H$5:$H$61,MATCH(1,(D334=$C$5:$C$61)*(A334=$B$5:$B$61),0))</f>
        <v>#N/A</v>
      </c>
      <c r="I334" s="196" t="e" cm="1">
        <f t="array" ref="I334">INDEX($I$5:$I$61,MATCH(1,(D334=$C$5:$C$61)*(A334=$B$5:$B$61),0))</f>
        <v>#N/A</v>
      </c>
      <c r="J334" s="273"/>
      <c r="K334" s="273"/>
      <c r="L334" s="272"/>
      <c r="M334" s="273"/>
      <c r="N334" s="197"/>
      <c r="O334" s="200">
        <f t="shared" si="51"/>
        <v>0</v>
      </c>
      <c r="P334" s="274"/>
      <c r="Q334" s="274"/>
      <c r="R334" s="276"/>
      <c r="S334" s="274"/>
      <c r="T334" s="197">
        <f t="shared" si="52"/>
        <v>0</v>
      </c>
      <c r="U334" s="197">
        <f t="shared" si="53"/>
        <v>0</v>
      </c>
      <c r="V334" s="197">
        <f t="shared" si="54"/>
        <v>0</v>
      </c>
      <c r="W334" s="197">
        <f t="shared" si="55"/>
        <v>0</v>
      </c>
      <c r="Z334" s="197"/>
      <c r="AA334" s="228"/>
      <c r="AB334" s="228"/>
      <c r="AD334" s="228"/>
      <c r="AE334" s="228"/>
      <c r="AF334" s="228"/>
      <c r="AG334" s="228"/>
      <c r="AH334" s="228"/>
      <c r="AI334" s="228"/>
      <c r="AJ334" s="228"/>
      <c r="AK334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 spans="1:64" s="198" customFormat="1" x14ac:dyDescent="0.25">
      <c r="A335" s="290" t="str">
        <f t="shared" si="58"/>
        <v>Hudson View Park</v>
      </c>
      <c r="B335" s="195">
        <f t="shared" si="56"/>
        <v>237</v>
      </c>
      <c r="C335" s="196" t="str">
        <f t="shared" si="57"/>
        <v>Occ</v>
      </c>
      <c r="D335" s="196" t="e" cm="1">
        <f t="array" ref="D335">INDEX($C$5:$C$61,MATCH(1,(K335=$D$5:$D$61)*(A335=$B$5:$B$61),0))</f>
        <v>#N/A</v>
      </c>
      <c r="E335" s="196" t="e" cm="1">
        <f t="array" ref="E335">INDEX($E$5:$E$61,MATCH(1,(D335=$C$5:$C$61)*(A335=$B$5:$B$61),0))</f>
        <v>#N/A</v>
      </c>
      <c r="F335" s="196" t="e" cm="1">
        <f t="array" ref="F335">INDEX($F$5:$F$61,MATCH(1,(D335=$C$5:$C$61)*(A335=$B$5:$B$61),0))</f>
        <v>#N/A</v>
      </c>
      <c r="G335" s="196" t="e" cm="1">
        <f t="array" ref="G335">INDEX($G$5:$G$61,MATCH(1,(D335=$C$5:$C$61)*(A335=$B$5:$B$61),0))</f>
        <v>#N/A</v>
      </c>
      <c r="H335" s="196" t="e" cm="1">
        <f t="array" ref="H335">INDEX($H$5:$H$61,MATCH(1,(D335=$C$5:$C$61)*(A335=$B$5:$B$61),0))</f>
        <v>#N/A</v>
      </c>
      <c r="I335" s="196" t="e" cm="1">
        <f t="array" ref="I335">INDEX($I$5:$I$61,MATCH(1,(D335=$C$5:$C$61)*(A335=$B$5:$B$61),0))</f>
        <v>#N/A</v>
      </c>
      <c r="J335" s="273"/>
      <c r="K335" s="273"/>
      <c r="L335" s="272"/>
      <c r="M335" s="273"/>
      <c r="N335" s="197"/>
      <c r="O335" s="200">
        <f t="shared" si="51"/>
        <v>0</v>
      </c>
      <c r="P335" s="274"/>
      <c r="Q335" s="274"/>
      <c r="R335" s="276"/>
      <c r="S335" s="274"/>
      <c r="T335" s="197">
        <f t="shared" si="52"/>
        <v>0</v>
      </c>
      <c r="U335" s="197">
        <f t="shared" si="53"/>
        <v>0</v>
      </c>
      <c r="V335" s="197">
        <f t="shared" si="54"/>
        <v>0</v>
      </c>
      <c r="W335" s="197">
        <f t="shared" si="55"/>
        <v>0</v>
      </c>
      <c r="Z335" s="197"/>
      <c r="AA335" s="228"/>
      <c r="AB335" s="228"/>
      <c r="AD335" s="228"/>
      <c r="AE335" s="228"/>
      <c r="AF335" s="228"/>
      <c r="AG335" s="228"/>
      <c r="AH335" s="228"/>
      <c r="AI335" s="228"/>
      <c r="AJ335" s="228"/>
      <c r="AK335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 spans="1:64" s="198" customFormat="1" x14ac:dyDescent="0.25">
      <c r="A336" s="290" t="str">
        <f t="shared" si="58"/>
        <v>Hudson View Park</v>
      </c>
      <c r="B336" s="195">
        <f t="shared" si="56"/>
        <v>238</v>
      </c>
      <c r="C336" s="196" t="str">
        <f t="shared" si="57"/>
        <v>Occ</v>
      </c>
      <c r="D336" s="196" t="e" cm="1">
        <f t="array" ref="D336">INDEX($C$5:$C$61,MATCH(1,(K336=$D$5:$D$61)*(A336=$B$5:$B$61),0))</f>
        <v>#N/A</v>
      </c>
      <c r="E336" s="196" t="e" cm="1">
        <f t="array" ref="E336">INDEX($E$5:$E$61,MATCH(1,(D336=$C$5:$C$61)*(A336=$B$5:$B$61),0))</f>
        <v>#N/A</v>
      </c>
      <c r="F336" s="196" t="e" cm="1">
        <f t="array" ref="F336">INDEX($F$5:$F$61,MATCH(1,(D336=$C$5:$C$61)*(A336=$B$5:$B$61),0))</f>
        <v>#N/A</v>
      </c>
      <c r="G336" s="196" t="e" cm="1">
        <f t="array" ref="G336">INDEX($G$5:$G$61,MATCH(1,(D336=$C$5:$C$61)*(A336=$B$5:$B$61),0))</f>
        <v>#N/A</v>
      </c>
      <c r="H336" s="196" t="e" cm="1">
        <f t="array" ref="H336">INDEX($H$5:$H$61,MATCH(1,(D336=$C$5:$C$61)*(A336=$B$5:$B$61),0))</f>
        <v>#N/A</v>
      </c>
      <c r="I336" s="196" t="e" cm="1">
        <f t="array" ref="I336">INDEX($I$5:$I$61,MATCH(1,(D336=$C$5:$C$61)*(A336=$B$5:$B$61),0))</f>
        <v>#N/A</v>
      </c>
      <c r="J336" s="273"/>
      <c r="K336" s="273"/>
      <c r="L336" s="272"/>
      <c r="M336" s="273"/>
      <c r="N336" s="197"/>
      <c r="O336" s="200">
        <f t="shared" si="51"/>
        <v>0</v>
      </c>
      <c r="P336" s="274"/>
      <c r="Q336" s="274"/>
      <c r="R336" s="276"/>
      <c r="S336" s="274"/>
      <c r="T336" s="197">
        <f t="shared" si="52"/>
        <v>0</v>
      </c>
      <c r="U336" s="197">
        <f t="shared" si="53"/>
        <v>0</v>
      </c>
      <c r="V336" s="197">
        <f t="shared" si="54"/>
        <v>0</v>
      </c>
      <c r="W336" s="197">
        <f t="shared" si="55"/>
        <v>0</v>
      </c>
      <c r="Z336" s="197"/>
      <c r="AA336" s="228"/>
      <c r="AB336" s="228"/>
      <c r="AD336" s="228"/>
      <c r="AE336" s="228"/>
      <c r="AF336" s="228"/>
      <c r="AG336" s="228"/>
      <c r="AH336" s="228"/>
      <c r="AI336" s="228"/>
      <c r="AJ336" s="228"/>
      <c r="AK336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 spans="1:64" s="198" customFormat="1" x14ac:dyDescent="0.25">
      <c r="A337" s="290" t="str">
        <f t="shared" si="58"/>
        <v>Hudson View Park</v>
      </c>
      <c r="B337" s="195">
        <f t="shared" si="56"/>
        <v>239</v>
      </c>
      <c r="C337" s="196" t="str">
        <f t="shared" si="57"/>
        <v>Occ</v>
      </c>
      <c r="D337" s="196" t="e" cm="1">
        <f t="array" ref="D337">INDEX($C$5:$C$61,MATCH(1,(K337=$D$5:$D$61)*(A337=$B$5:$B$61),0))</f>
        <v>#N/A</v>
      </c>
      <c r="E337" s="196" t="e" cm="1">
        <f t="array" ref="E337">INDEX($E$5:$E$61,MATCH(1,(D337=$C$5:$C$61)*(A337=$B$5:$B$61),0))</f>
        <v>#N/A</v>
      </c>
      <c r="F337" s="196" t="e" cm="1">
        <f t="array" ref="F337">INDEX($F$5:$F$61,MATCH(1,(D337=$C$5:$C$61)*(A337=$B$5:$B$61),0))</f>
        <v>#N/A</v>
      </c>
      <c r="G337" s="196" t="e" cm="1">
        <f t="array" ref="G337">INDEX($G$5:$G$61,MATCH(1,(D337=$C$5:$C$61)*(A337=$B$5:$B$61),0))</f>
        <v>#N/A</v>
      </c>
      <c r="H337" s="196" t="e" cm="1">
        <f t="array" ref="H337">INDEX($H$5:$H$61,MATCH(1,(D337=$C$5:$C$61)*(A337=$B$5:$B$61),0))</f>
        <v>#N/A</v>
      </c>
      <c r="I337" s="196" t="e" cm="1">
        <f t="array" ref="I337">INDEX($I$5:$I$61,MATCH(1,(D337=$C$5:$C$61)*(A337=$B$5:$B$61),0))</f>
        <v>#N/A</v>
      </c>
      <c r="J337" s="273"/>
      <c r="K337" s="273"/>
      <c r="L337" s="272"/>
      <c r="M337" s="273"/>
      <c r="N337" s="197"/>
      <c r="O337" s="200">
        <f t="shared" si="51"/>
        <v>0</v>
      </c>
      <c r="P337" s="274"/>
      <c r="Q337" s="274"/>
      <c r="R337" s="276"/>
      <c r="S337" s="274"/>
      <c r="T337" s="197">
        <f t="shared" si="52"/>
        <v>0</v>
      </c>
      <c r="U337" s="197">
        <f t="shared" si="53"/>
        <v>0</v>
      </c>
      <c r="V337" s="197">
        <f t="shared" si="54"/>
        <v>0</v>
      </c>
      <c r="W337" s="197">
        <f t="shared" si="55"/>
        <v>0</v>
      </c>
      <c r="Z337" s="197"/>
      <c r="AA337" s="228"/>
      <c r="AB337" s="228"/>
      <c r="AD337" s="228"/>
      <c r="AE337" s="228"/>
      <c r="AF337" s="228"/>
      <c r="AG337" s="228"/>
      <c r="AH337" s="228"/>
      <c r="AI337" s="228"/>
      <c r="AJ337" s="228"/>
      <c r="AK337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 spans="1:64" s="198" customFormat="1" x14ac:dyDescent="0.25">
      <c r="A338" s="290" t="str">
        <f t="shared" si="58"/>
        <v>Hudson View Park</v>
      </c>
      <c r="B338" s="195">
        <f t="shared" si="56"/>
        <v>240</v>
      </c>
      <c r="C338" s="196" t="str">
        <f t="shared" si="57"/>
        <v>Occ</v>
      </c>
      <c r="D338" s="196" t="e" cm="1">
        <f t="array" ref="D338">INDEX($C$5:$C$61,MATCH(1,(K338=$D$5:$D$61)*(A338=$B$5:$B$61),0))</f>
        <v>#N/A</v>
      </c>
      <c r="E338" s="196" t="e" cm="1">
        <f t="array" ref="E338">INDEX($E$5:$E$61,MATCH(1,(D338=$C$5:$C$61)*(A338=$B$5:$B$61),0))</f>
        <v>#N/A</v>
      </c>
      <c r="F338" s="196" t="e" cm="1">
        <f t="array" ref="F338">INDEX($F$5:$F$61,MATCH(1,(D338=$C$5:$C$61)*(A338=$B$5:$B$61),0))</f>
        <v>#N/A</v>
      </c>
      <c r="G338" s="196" t="e" cm="1">
        <f t="array" ref="G338">INDEX($G$5:$G$61,MATCH(1,(D338=$C$5:$C$61)*(A338=$B$5:$B$61),0))</f>
        <v>#N/A</v>
      </c>
      <c r="H338" s="196" t="e" cm="1">
        <f t="array" ref="H338">INDEX($H$5:$H$61,MATCH(1,(D338=$C$5:$C$61)*(A338=$B$5:$B$61),0))</f>
        <v>#N/A</v>
      </c>
      <c r="I338" s="196" t="e" cm="1">
        <f t="array" ref="I338">INDEX($I$5:$I$61,MATCH(1,(D338=$C$5:$C$61)*(A338=$B$5:$B$61),0))</f>
        <v>#N/A</v>
      </c>
      <c r="J338" s="273"/>
      <c r="K338" s="273"/>
      <c r="L338" s="272"/>
      <c r="M338" s="273"/>
      <c r="N338" s="197"/>
      <c r="O338" s="200">
        <f t="shared" si="51"/>
        <v>0</v>
      </c>
      <c r="P338" s="274"/>
      <c r="Q338" s="274"/>
      <c r="R338" s="276"/>
      <c r="S338" s="274"/>
      <c r="T338" s="197">
        <f t="shared" si="52"/>
        <v>0</v>
      </c>
      <c r="U338" s="197">
        <f t="shared" si="53"/>
        <v>0</v>
      </c>
      <c r="V338" s="197">
        <f t="shared" si="54"/>
        <v>0</v>
      </c>
      <c r="W338" s="197">
        <f t="shared" si="55"/>
        <v>0</v>
      </c>
      <c r="Z338" s="197"/>
      <c r="AA338" s="228"/>
      <c r="AB338" s="228"/>
      <c r="AD338" s="228"/>
      <c r="AE338" s="228"/>
      <c r="AF338" s="228"/>
      <c r="AG338" s="228"/>
      <c r="AH338" s="228"/>
      <c r="AI338" s="228"/>
      <c r="AJ338" s="228"/>
      <c r="AK33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 spans="1:64" s="198" customFormat="1" x14ac:dyDescent="0.25">
      <c r="A339" s="290" t="str">
        <f t="shared" si="58"/>
        <v>Hudson View Park</v>
      </c>
      <c r="B339" s="195">
        <f t="shared" si="56"/>
        <v>241</v>
      </c>
      <c r="C339" s="196" t="str">
        <f t="shared" si="57"/>
        <v>Occ</v>
      </c>
      <c r="D339" s="196" t="e" cm="1">
        <f t="array" ref="D339">INDEX($C$5:$C$61,MATCH(1,(K339=$D$5:$D$61)*(A339=$B$5:$B$61),0))</f>
        <v>#N/A</v>
      </c>
      <c r="E339" s="196" t="e" cm="1">
        <f t="array" ref="E339">INDEX($E$5:$E$61,MATCH(1,(D339=$C$5:$C$61)*(A339=$B$5:$B$61),0))</f>
        <v>#N/A</v>
      </c>
      <c r="F339" s="196" t="e" cm="1">
        <f t="array" ref="F339">INDEX($F$5:$F$61,MATCH(1,(D339=$C$5:$C$61)*(A339=$B$5:$B$61),0))</f>
        <v>#N/A</v>
      </c>
      <c r="G339" s="196" t="e" cm="1">
        <f t="array" ref="G339">INDEX($G$5:$G$61,MATCH(1,(D339=$C$5:$C$61)*(A339=$B$5:$B$61),0))</f>
        <v>#N/A</v>
      </c>
      <c r="H339" s="196" t="e" cm="1">
        <f t="array" ref="H339">INDEX($H$5:$H$61,MATCH(1,(D339=$C$5:$C$61)*(A339=$B$5:$B$61),0))</f>
        <v>#N/A</v>
      </c>
      <c r="I339" s="196" t="e" cm="1">
        <f t="array" ref="I339">INDEX($I$5:$I$61,MATCH(1,(D339=$C$5:$C$61)*(A339=$B$5:$B$61),0))</f>
        <v>#N/A</v>
      </c>
      <c r="J339" s="273"/>
      <c r="K339" s="273"/>
      <c r="L339" s="272"/>
      <c r="M339" s="273"/>
      <c r="N339" s="197"/>
      <c r="O339" s="200">
        <f t="shared" si="51"/>
        <v>0</v>
      </c>
      <c r="P339" s="274"/>
      <c r="Q339" s="274"/>
      <c r="R339" s="276"/>
      <c r="S339" s="274"/>
      <c r="T339" s="197">
        <f t="shared" si="52"/>
        <v>0</v>
      </c>
      <c r="U339" s="197">
        <f t="shared" si="53"/>
        <v>0</v>
      </c>
      <c r="V339" s="197">
        <f t="shared" si="54"/>
        <v>0</v>
      </c>
      <c r="W339" s="197">
        <f t="shared" si="55"/>
        <v>0</v>
      </c>
      <c r="Z339" s="197"/>
      <c r="AA339" s="228"/>
      <c r="AB339" s="228"/>
      <c r="AD339" s="228"/>
      <c r="AE339" s="228"/>
      <c r="AF339" s="228"/>
      <c r="AG339" s="228"/>
      <c r="AH339" s="228"/>
      <c r="AI339" s="228"/>
      <c r="AJ339" s="228"/>
      <c r="AK339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 spans="1:64" s="198" customFormat="1" x14ac:dyDescent="0.25">
      <c r="A340" s="290" t="str">
        <f t="shared" si="58"/>
        <v>Hudson View Park</v>
      </c>
      <c r="B340" s="195">
        <f t="shared" si="56"/>
        <v>242</v>
      </c>
      <c r="C340" s="196" t="str">
        <f t="shared" si="57"/>
        <v>Occ</v>
      </c>
      <c r="D340" s="196" t="e" cm="1">
        <f t="array" ref="D340">INDEX($C$5:$C$61,MATCH(1,(K340=$D$5:$D$61)*(A340=$B$5:$B$61),0))</f>
        <v>#N/A</v>
      </c>
      <c r="E340" s="196" t="e" cm="1">
        <f t="array" ref="E340">INDEX($E$5:$E$61,MATCH(1,(D340=$C$5:$C$61)*(A340=$B$5:$B$61),0))</f>
        <v>#N/A</v>
      </c>
      <c r="F340" s="196" t="e" cm="1">
        <f t="array" ref="F340">INDEX($F$5:$F$61,MATCH(1,(D340=$C$5:$C$61)*(A340=$B$5:$B$61),0))</f>
        <v>#N/A</v>
      </c>
      <c r="G340" s="196" t="e" cm="1">
        <f t="array" ref="G340">INDEX($G$5:$G$61,MATCH(1,(D340=$C$5:$C$61)*(A340=$B$5:$B$61),0))</f>
        <v>#N/A</v>
      </c>
      <c r="H340" s="196" t="e" cm="1">
        <f t="array" ref="H340">INDEX($H$5:$H$61,MATCH(1,(D340=$C$5:$C$61)*(A340=$B$5:$B$61),0))</f>
        <v>#N/A</v>
      </c>
      <c r="I340" s="196" t="e" cm="1">
        <f t="array" ref="I340">INDEX($I$5:$I$61,MATCH(1,(D340=$C$5:$C$61)*(A340=$B$5:$B$61),0))</f>
        <v>#N/A</v>
      </c>
      <c r="J340" s="273"/>
      <c r="K340" s="273"/>
      <c r="L340" s="272"/>
      <c r="M340" s="273"/>
      <c r="N340" s="197"/>
      <c r="O340" s="200">
        <f t="shared" si="51"/>
        <v>0</v>
      </c>
      <c r="P340" s="274"/>
      <c r="Q340" s="274"/>
      <c r="R340" s="276"/>
      <c r="S340" s="274"/>
      <c r="T340" s="197">
        <f t="shared" si="52"/>
        <v>0</v>
      </c>
      <c r="U340" s="197">
        <f t="shared" si="53"/>
        <v>0</v>
      </c>
      <c r="V340" s="197">
        <f t="shared" si="54"/>
        <v>0</v>
      </c>
      <c r="W340" s="197">
        <f t="shared" si="55"/>
        <v>0</v>
      </c>
      <c r="Z340" s="197"/>
      <c r="AA340" s="228"/>
      <c r="AB340" s="228"/>
      <c r="AD340" s="228"/>
      <c r="AE340" s="228"/>
      <c r="AF340" s="228"/>
      <c r="AG340" s="228"/>
      <c r="AH340" s="228"/>
      <c r="AI340" s="228"/>
      <c r="AJ340" s="228"/>
      <c r="AK340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 spans="1:64" s="198" customFormat="1" x14ac:dyDescent="0.25">
      <c r="A341" s="290" t="str">
        <f t="shared" si="58"/>
        <v>Hudson View Park</v>
      </c>
      <c r="B341" s="195">
        <f t="shared" si="56"/>
        <v>243</v>
      </c>
      <c r="C341" s="196" t="str">
        <f t="shared" si="57"/>
        <v>Occ</v>
      </c>
      <c r="D341" s="196" t="e" cm="1">
        <f t="array" ref="D341">INDEX($C$5:$C$61,MATCH(1,(K341=$D$5:$D$61)*(A341=$B$5:$B$61),0))</f>
        <v>#N/A</v>
      </c>
      <c r="E341" s="196" t="e" cm="1">
        <f t="array" ref="E341">INDEX($E$5:$E$61,MATCH(1,(D341=$C$5:$C$61)*(A341=$B$5:$B$61),0))</f>
        <v>#N/A</v>
      </c>
      <c r="F341" s="196" t="e" cm="1">
        <f t="array" ref="F341">INDEX($F$5:$F$61,MATCH(1,(D341=$C$5:$C$61)*(A341=$B$5:$B$61),0))</f>
        <v>#N/A</v>
      </c>
      <c r="G341" s="196" t="e" cm="1">
        <f t="array" ref="G341">INDEX($G$5:$G$61,MATCH(1,(D341=$C$5:$C$61)*(A341=$B$5:$B$61),0))</f>
        <v>#N/A</v>
      </c>
      <c r="H341" s="196" t="e" cm="1">
        <f t="array" ref="H341">INDEX($H$5:$H$61,MATCH(1,(D341=$C$5:$C$61)*(A341=$B$5:$B$61),0))</f>
        <v>#N/A</v>
      </c>
      <c r="I341" s="196" t="e" cm="1">
        <f t="array" ref="I341">INDEX($I$5:$I$61,MATCH(1,(D341=$C$5:$C$61)*(A341=$B$5:$B$61),0))</f>
        <v>#N/A</v>
      </c>
      <c r="J341" s="273"/>
      <c r="K341" s="273"/>
      <c r="L341" s="272"/>
      <c r="M341" s="273"/>
      <c r="N341" s="197"/>
      <c r="O341" s="200">
        <f t="shared" si="51"/>
        <v>0</v>
      </c>
      <c r="P341" s="274"/>
      <c r="Q341" s="274"/>
      <c r="R341" s="276"/>
      <c r="S341" s="274"/>
      <c r="T341" s="197">
        <f t="shared" si="52"/>
        <v>0</v>
      </c>
      <c r="U341" s="197">
        <f t="shared" si="53"/>
        <v>0</v>
      </c>
      <c r="V341" s="197">
        <f t="shared" si="54"/>
        <v>0</v>
      </c>
      <c r="W341" s="197">
        <f t="shared" si="55"/>
        <v>0</v>
      </c>
      <c r="Z341" s="197"/>
      <c r="AA341" s="228"/>
      <c r="AB341" s="228"/>
      <c r="AD341" s="228"/>
      <c r="AE341" s="228"/>
      <c r="AF341" s="228"/>
      <c r="AG341" s="228"/>
      <c r="AH341" s="228"/>
      <c r="AI341" s="228"/>
      <c r="AJ341" s="228"/>
      <c r="AK341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  <row r="342" spans="1:64" s="198" customFormat="1" x14ac:dyDescent="0.25">
      <c r="A342" s="290" t="str">
        <f t="shared" si="58"/>
        <v>Hudson View Park</v>
      </c>
      <c r="B342" s="195">
        <f t="shared" si="56"/>
        <v>244</v>
      </c>
      <c r="C342" s="196" t="str">
        <f t="shared" si="57"/>
        <v>Occ</v>
      </c>
      <c r="D342" s="196" t="e" cm="1">
        <f t="array" ref="D342">INDEX($C$5:$C$61,MATCH(1,(K342=$D$5:$D$61)*(A342=$B$5:$B$61),0))</f>
        <v>#N/A</v>
      </c>
      <c r="E342" s="196" t="e" cm="1">
        <f t="array" ref="E342">INDEX($E$5:$E$61,MATCH(1,(D342=$C$5:$C$61)*(A342=$B$5:$B$61),0))</f>
        <v>#N/A</v>
      </c>
      <c r="F342" s="196" t="e" cm="1">
        <f t="array" ref="F342">INDEX($F$5:$F$61,MATCH(1,(D342=$C$5:$C$61)*(A342=$B$5:$B$61),0))</f>
        <v>#N/A</v>
      </c>
      <c r="G342" s="196" t="e" cm="1">
        <f t="array" ref="G342">INDEX($G$5:$G$61,MATCH(1,(D342=$C$5:$C$61)*(A342=$B$5:$B$61),0))</f>
        <v>#N/A</v>
      </c>
      <c r="H342" s="196" t="e" cm="1">
        <f t="array" ref="H342">INDEX($H$5:$H$61,MATCH(1,(D342=$C$5:$C$61)*(A342=$B$5:$B$61),0))</f>
        <v>#N/A</v>
      </c>
      <c r="I342" s="196" t="e" cm="1">
        <f t="array" ref="I342">INDEX($I$5:$I$61,MATCH(1,(D342=$C$5:$C$61)*(A342=$B$5:$B$61),0))</f>
        <v>#N/A</v>
      </c>
      <c r="J342" s="273"/>
      <c r="K342" s="273"/>
      <c r="L342" s="272"/>
      <c r="M342" s="273"/>
      <c r="N342" s="197"/>
      <c r="O342" s="200">
        <f t="shared" si="51"/>
        <v>0</v>
      </c>
      <c r="P342" s="274"/>
      <c r="Q342" s="274"/>
      <c r="R342" s="276"/>
      <c r="S342" s="274"/>
      <c r="T342" s="197">
        <f t="shared" si="52"/>
        <v>0</v>
      </c>
      <c r="U342" s="197">
        <f t="shared" si="53"/>
        <v>0</v>
      </c>
      <c r="V342" s="197">
        <f t="shared" si="54"/>
        <v>0</v>
      </c>
      <c r="W342" s="197">
        <f t="shared" si="55"/>
        <v>0</v>
      </c>
      <c r="Z342" s="197"/>
      <c r="AA342" s="228"/>
      <c r="AB342" s="228"/>
      <c r="AD342" s="228"/>
      <c r="AE342" s="228"/>
      <c r="AF342" s="228"/>
      <c r="AG342" s="228"/>
      <c r="AH342" s="228"/>
      <c r="AI342" s="228"/>
      <c r="AJ342" s="228"/>
      <c r="AK342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</row>
    <row r="343" spans="1:64" s="198" customFormat="1" x14ac:dyDescent="0.25">
      <c r="A343" s="290" t="str">
        <f t="shared" si="58"/>
        <v>Hudson View Park</v>
      </c>
      <c r="B343" s="195">
        <f t="shared" si="56"/>
        <v>245</v>
      </c>
      <c r="C343" s="196" t="str">
        <f t="shared" si="57"/>
        <v>Occ</v>
      </c>
      <c r="D343" s="196" t="e" cm="1">
        <f t="array" ref="D343">INDEX($C$5:$C$61,MATCH(1,(K343=$D$5:$D$61)*(A343=$B$5:$B$61),0))</f>
        <v>#N/A</v>
      </c>
      <c r="E343" s="196" t="e" cm="1">
        <f t="array" ref="E343">INDEX($E$5:$E$61,MATCH(1,(D343=$C$5:$C$61)*(A343=$B$5:$B$61),0))</f>
        <v>#N/A</v>
      </c>
      <c r="F343" s="196" t="e" cm="1">
        <f t="array" ref="F343">INDEX($F$5:$F$61,MATCH(1,(D343=$C$5:$C$61)*(A343=$B$5:$B$61),0))</f>
        <v>#N/A</v>
      </c>
      <c r="G343" s="196" t="e" cm="1">
        <f t="array" ref="G343">INDEX($G$5:$G$61,MATCH(1,(D343=$C$5:$C$61)*(A343=$B$5:$B$61),0))</f>
        <v>#N/A</v>
      </c>
      <c r="H343" s="196" t="e" cm="1">
        <f t="array" ref="H343">INDEX($H$5:$H$61,MATCH(1,(D343=$C$5:$C$61)*(A343=$B$5:$B$61),0))</f>
        <v>#N/A</v>
      </c>
      <c r="I343" s="196" t="e" cm="1">
        <f t="array" ref="I343">INDEX($I$5:$I$61,MATCH(1,(D343=$C$5:$C$61)*(A343=$B$5:$B$61),0))</f>
        <v>#N/A</v>
      </c>
      <c r="J343" s="273"/>
      <c r="K343" s="273"/>
      <c r="L343" s="272"/>
      <c r="M343" s="273"/>
      <c r="N343" s="197"/>
      <c r="O343" s="200">
        <f t="shared" si="51"/>
        <v>0</v>
      </c>
      <c r="P343" s="274"/>
      <c r="Q343" s="274"/>
      <c r="R343" s="276"/>
      <c r="S343" s="274"/>
      <c r="T343" s="197">
        <f t="shared" si="52"/>
        <v>0</v>
      </c>
      <c r="U343" s="197">
        <f t="shared" si="53"/>
        <v>0</v>
      </c>
      <c r="V343" s="197">
        <f t="shared" si="54"/>
        <v>0</v>
      </c>
      <c r="W343" s="197">
        <f t="shared" si="55"/>
        <v>0</v>
      </c>
      <c r="Z343" s="197"/>
      <c r="AA343" s="228"/>
      <c r="AB343" s="228"/>
      <c r="AD343" s="228"/>
      <c r="AE343" s="228"/>
      <c r="AF343" s="228"/>
      <c r="AG343" s="228"/>
      <c r="AH343" s="228"/>
      <c r="AI343" s="228"/>
      <c r="AJ343" s="228"/>
      <c r="AK343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</row>
    <row r="344" spans="1:64" s="198" customFormat="1" x14ac:dyDescent="0.25">
      <c r="A344" s="290" t="str">
        <f t="shared" si="58"/>
        <v>Hudson View Park</v>
      </c>
      <c r="B344" s="195">
        <f t="shared" si="56"/>
        <v>246</v>
      </c>
      <c r="C344" s="196" t="str">
        <f t="shared" si="57"/>
        <v>Occ</v>
      </c>
      <c r="D344" s="196" t="e" cm="1">
        <f t="array" ref="D344">INDEX($C$5:$C$61,MATCH(1,(K344=$D$5:$D$61)*(A344=$B$5:$B$61),0))</f>
        <v>#N/A</v>
      </c>
      <c r="E344" s="196" t="e" cm="1">
        <f t="array" ref="E344">INDEX($E$5:$E$61,MATCH(1,(D344=$C$5:$C$61)*(A344=$B$5:$B$61),0))</f>
        <v>#N/A</v>
      </c>
      <c r="F344" s="196" t="e" cm="1">
        <f t="array" ref="F344">INDEX($F$5:$F$61,MATCH(1,(D344=$C$5:$C$61)*(A344=$B$5:$B$61),0))</f>
        <v>#N/A</v>
      </c>
      <c r="G344" s="196" t="e" cm="1">
        <f t="array" ref="G344">INDEX($G$5:$G$61,MATCH(1,(D344=$C$5:$C$61)*(A344=$B$5:$B$61),0))</f>
        <v>#N/A</v>
      </c>
      <c r="H344" s="196" t="e" cm="1">
        <f t="array" ref="H344">INDEX($H$5:$H$61,MATCH(1,(D344=$C$5:$C$61)*(A344=$B$5:$B$61),0))</f>
        <v>#N/A</v>
      </c>
      <c r="I344" s="196" t="e" cm="1">
        <f t="array" ref="I344">INDEX($I$5:$I$61,MATCH(1,(D344=$C$5:$C$61)*(A344=$B$5:$B$61),0))</f>
        <v>#N/A</v>
      </c>
      <c r="J344" s="273"/>
      <c r="K344" s="273"/>
      <c r="L344" s="272"/>
      <c r="M344" s="273"/>
      <c r="N344" s="197"/>
      <c r="O344" s="200">
        <f t="shared" si="51"/>
        <v>0</v>
      </c>
      <c r="P344" s="274"/>
      <c r="Q344" s="274"/>
      <c r="R344" s="276"/>
      <c r="S344" s="274"/>
      <c r="T344" s="197">
        <f t="shared" si="52"/>
        <v>0</v>
      </c>
      <c r="U344" s="197">
        <f t="shared" si="53"/>
        <v>0</v>
      </c>
      <c r="V344" s="197">
        <f t="shared" si="54"/>
        <v>0</v>
      </c>
      <c r="W344" s="197">
        <f t="shared" si="55"/>
        <v>0</v>
      </c>
      <c r="Z344" s="197"/>
      <c r="AA344" s="228"/>
      <c r="AB344" s="228"/>
      <c r="AD344" s="228"/>
      <c r="AE344" s="228"/>
      <c r="AF344" s="228"/>
      <c r="AG344" s="228"/>
      <c r="AH344" s="228"/>
      <c r="AI344" s="228"/>
      <c r="AJ344" s="228"/>
      <c r="AK344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</row>
    <row r="345" spans="1:64" s="198" customFormat="1" x14ac:dyDescent="0.25">
      <c r="A345" s="290" t="str">
        <f t="shared" si="58"/>
        <v>Hudson View Park</v>
      </c>
      <c r="B345" s="195">
        <f t="shared" si="56"/>
        <v>247</v>
      </c>
      <c r="C345" s="196" t="str">
        <f t="shared" si="57"/>
        <v>Occ</v>
      </c>
      <c r="D345" s="196" t="e" cm="1">
        <f t="array" ref="D345">INDEX($C$5:$C$61,MATCH(1,(K345=$D$5:$D$61)*(A345=$B$5:$B$61),0))</f>
        <v>#N/A</v>
      </c>
      <c r="E345" s="196" t="e" cm="1">
        <f t="array" ref="E345">INDEX($E$5:$E$61,MATCH(1,(D345=$C$5:$C$61)*(A345=$B$5:$B$61),0))</f>
        <v>#N/A</v>
      </c>
      <c r="F345" s="196" t="e" cm="1">
        <f t="array" ref="F345">INDEX($F$5:$F$61,MATCH(1,(D345=$C$5:$C$61)*(A345=$B$5:$B$61),0))</f>
        <v>#N/A</v>
      </c>
      <c r="G345" s="196" t="e" cm="1">
        <f t="array" ref="G345">INDEX($G$5:$G$61,MATCH(1,(D345=$C$5:$C$61)*(A345=$B$5:$B$61),0))</f>
        <v>#N/A</v>
      </c>
      <c r="H345" s="196" t="e" cm="1">
        <f t="array" ref="H345">INDEX($H$5:$H$61,MATCH(1,(D345=$C$5:$C$61)*(A345=$B$5:$B$61),0))</f>
        <v>#N/A</v>
      </c>
      <c r="I345" s="196" t="e" cm="1">
        <f t="array" ref="I345">INDEX($I$5:$I$61,MATCH(1,(D345=$C$5:$C$61)*(A345=$B$5:$B$61),0))</f>
        <v>#N/A</v>
      </c>
      <c r="J345" s="273"/>
      <c r="K345" s="273"/>
      <c r="L345" s="272"/>
      <c r="M345" s="273"/>
      <c r="N345" s="197"/>
      <c r="O345" s="200">
        <f t="shared" si="51"/>
        <v>0</v>
      </c>
      <c r="P345" s="274"/>
      <c r="Q345" s="274"/>
      <c r="R345" s="276"/>
      <c r="S345" s="274"/>
      <c r="T345" s="197">
        <f t="shared" si="52"/>
        <v>0</v>
      </c>
      <c r="U345" s="197">
        <f t="shared" si="53"/>
        <v>0</v>
      </c>
      <c r="V345" s="197">
        <f t="shared" si="54"/>
        <v>0</v>
      </c>
      <c r="W345" s="197">
        <f t="shared" si="55"/>
        <v>0</v>
      </c>
      <c r="Z345" s="197"/>
      <c r="AA345" s="228"/>
      <c r="AB345" s="228"/>
      <c r="AD345" s="228"/>
      <c r="AE345" s="228"/>
      <c r="AF345" s="228"/>
      <c r="AG345" s="228"/>
      <c r="AH345" s="228"/>
      <c r="AI345" s="228"/>
      <c r="AJ345" s="228"/>
      <c r="AK345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</row>
    <row r="346" spans="1:64" s="198" customFormat="1" x14ac:dyDescent="0.25">
      <c r="A346" s="290" t="str">
        <f t="shared" si="58"/>
        <v>Hudson View Park</v>
      </c>
      <c r="B346" s="195">
        <f t="shared" si="56"/>
        <v>248</v>
      </c>
      <c r="C346" s="196" t="str">
        <f t="shared" si="57"/>
        <v>Occ</v>
      </c>
      <c r="D346" s="196" t="e" cm="1">
        <f t="array" ref="D346">INDEX($C$5:$C$61,MATCH(1,(K346=$D$5:$D$61)*(A346=$B$5:$B$61),0))</f>
        <v>#N/A</v>
      </c>
      <c r="E346" s="196" t="e" cm="1">
        <f t="array" ref="E346">INDEX($E$5:$E$61,MATCH(1,(D346=$C$5:$C$61)*(A346=$B$5:$B$61),0))</f>
        <v>#N/A</v>
      </c>
      <c r="F346" s="196" t="e" cm="1">
        <f t="array" ref="F346">INDEX($F$5:$F$61,MATCH(1,(D346=$C$5:$C$61)*(A346=$B$5:$B$61),0))</f>
        <v>#N/A</v>
      </c>
      <c r="G346" s="196" t="e" cm="1">
        <f t="array" ref="G346">INDEX($G$5:$G$61,MATCH(1,(D346=$C$5:$C$61)*(A346=$B$5:$B$61),0))</f>
        <v>#N/A</v>
      </c>
      <c r="H346" s="196" t="e" cm="1">
        <f t="array" ref="H346">INDEX($H$5:$H$61,MATCH(1,(D346=$C$5:$C$61)*(A346=$B$5:$B$61),0))</f>
        <v>#N/A</v>
      </c>
      <c r="I346" s="196" t="e" cm="1">
        <f t="array" ref="I346">INDEX($I$5:$I$61,MATCH(1,(D346=$C$5:$C$61)*(A346=$B$5:$B$61),0))</f>
        <v>#N/A</v>
      </c>
      <c r="J346" s="273"/>
      <c r="K346" s="273"/>
      <c r="L346" s="272"/>
      <c r="M346" s="273"/>
      <c r="N346" s="197"/>
      <c r="O346" s="200">
        <f t="shared" si="51"/>
        <v>0</v>
      </c>
      <c r="P346" s="274"/>
      <c r="Q346" s="274"/>
      <c r="R346" s="276"/>
      <c r="S346" s="274"/>
      <c r="T346" s="197">
        <f t="shared" si="52"/>
        <v>0</v>
      </c>
      <c r="U346" s="197">
        <f t="shared" si="53"/>
        <v>0</v>
      </c>
      <c r="V346" s="197">
        <f t="shared" si="54"/>
        <v>0</v>
      </c>
      <c r="W346" s="197">
        <f t="shared" si="55"/>
        <v>0</v>
      </c>
      <c r="Z346" s="197"/>
      <c r="AA346" s="228"/>
      <c r="AB346" s="228"/>
      <c r="AD346" s="228"/>
      <c r="AE346" s="228"/>
      <c r="AF346" s="228"/>
      <c r="AG346" s="228"/>
      <c r="AH346" s="228"/>
      <c r="AI346" s="228"/>
      <c r="AJ346" s="228"/>
      <c r="AK346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</row>
    <row r="347" spans="1:64" s="198" customFormat="1" x14ac:dyDescent="0.25">
      <c r="A347" s="290" t="str">
        <f t="shared" si="58"/>
        <v>Hudson View Park</v>
      </c>
      <c r="B347" s="195">
        <f t="shared" si="56"/>
        <v>249</v>
      </c>
      <c r="C347" s="196" t="str">
        <f t="shared" si="57"/>
        <v>Occ</v>
      </c>
      <c r="D347" s="196" t="e" cm="1">
        <f t="array" ref="D347">INDEX($C$5:$C$61,MATCH(1,(K347=$D$5:$D$61)*(A347=$B$5:$B$61),0))</f>
        <v>#N/A</v>
      </c>
      <c r="E347" s="196" t="e" cm="1">
        <f t="array" ref="E347">INDEX($E$5:$E$61,MATCH(1,(D347=$C$5:$C$61)*(A347=$B$5:$B$61),0))</f>
        <v>#N/A</v>
      </c>
      <c r="F347" s="196" t="e" cm="1">
        <f t="array" ref="F347">INDEX($F$5:$F$61,MATCH(1,(D347=$C$5:$C$61)*(A347=$B$5:$B$61),0))</f>
        <v>#N/A</v>
      </c>
      <c r="G347" s="196" t="e" cm="1">
        <f t="array" ref="G347">INDEX($G$5:$G$61,MATCH(1,(D347=$C$5:$C$61)*(A347=$B$5:$B$61),0))</f>
        <v>#N/A</v>
      </c>
      <c r="H347" s="196" t="e" cm="1">
        <f t="array" ref="H347">INDEX($H$5:$H$61,MATCH(1,(D347=$C$5:$C$61)*(A347=$B$5:$B$61),0))</f>
        <v>#N/A</v>
      </c>
      <c r="I347" s="196" t="e" cm="1">
        <f t="array" ref="I347">INDEX($I$5:$I$61,MATCH(1,(D347=$C$5:$C$61)*(A347=$B$5:$B$61),0))</f>
        <v>#N/A</v>
      </c>
      <c r="J347" s="273"/>
      <c r="K347" s="273"/>
      <c r="L347" s="272"/>
      <c r="M347" s="273"/>
      <c r="N347" s="197"/>
      <c r="O347" s="200">
        <f t="shared" si="51"/>
        <v>0</v>
      </c>
      <c r="P347" s="274"/>
      <c r="Q347" s="274"/>
      <c r="R347" s="276"/>
      <c r="S347" s="274"/>
      <c r="T347" s="197">
        <f t="shared" si="52"/>
        <v>0</v>
      </c>
      <c r="U347" s="197">
        <f t="shared" si="53"/>
        <v>0</v>
      </c>
      <c r="V347" s="197">
        <f t="shared" si="54"/>
        <v>0</v>
      </c>
      <c r="W347" s="197">
        <f t="shared" si="55"/>
        <v>0</v>
      </c>
      <c r="Z347" s="197"/>
      <c r="AA347" s="228"/>
      <c r="AB347" s="228"/>
      <c r="AD347" s="228"/>
      <c r="AE347" s="228"/>
      <c r="AF347" s="228"/>
      <c r="AG347" s="228"/>
      <c r="AH347" s="228"/>
      <c r="AI347" s="228"/>
      <c r="AJ347" s="228"/>
      <c r="AK347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 spans="1:64" s="198" customFormat="1" x14ac:dyDescent="0.25">
      <c r="A348" s="290" t="str">
        <f t="shared" si="58"/>
        <v>Hudson View Park</v>
      </c>
      <c r="B348" s="195">
        <f t="shared" si="56"/>
        <v>250</v>
      </c>
      <c r="C348" s="196" t="str">
        <f t="shared" si="57"/>
        <v>Occ</v>
      </c>
      <c r="D348" s="196" t="e" cm="1">
        <f t="array" ref="D348">INDEX($C$5:$C$61,MATCH(1,(K348=$D$5:$D$61)*(A348=$B$5:$B$61),0))</f>
        <v>#N/A</v>
      </c>
      <c r="E348" s="196" t="e" cm="1">
        <f t="array" ref="E348">INDEX($E$5:$E$61,MATCH(1,(D348=$C$5:$C$61)*(A348=$B$5:$B$61),0))</f>
        <v>#N/A</v>
      </c>
      <c r="F348" s="196" t="e" cm="1">
        <f t="array" ref="F348">INDEX($F$5:$F$61,MATCH(1,(D348=$C$5:$C$61)*(A348=$B$5:$B$61),0))</f>
        <v>#N/A</v>
      </c>
      <c r="G348" s="196" t="e" cm="1">
        <f t="array" ref="G348">INDEX($G$5:$G$61,MATCH(1,(D348=$C$5:$C$61)*(A348=$B$5:$B$61),0))</f>
        <v>#N/A</v>
      </c>
      <c r="H348" s="196" t="e" cm="1">
        <f t="array" ref="H348">INDEX($H$5:$H$61,MATCH(1,(D348=$C$5:$C$61)*(A348=$B$5:$B$61),0))</f>
        <v>#N/A</v>
      </c>
      <c r="I348" s="196" t="e" cm="1">
        <f t="array" ref="I348">INDEX($I$5:$I$61,MATCH(1,(D348=$C$5:$C$61)*(A348=$B$5:$B$61),0))</f>
        <v>#N/A</v>
      </c>
      <c r="J348" s="273"/>
      <c r="K348" s="273"/>
      <c r="L348" s="272"/>
      <c r="M348" s="273"/>
      <c r="N348" s="197"/>
      <c r="O348" s="200">
        <f t="shared" si="51"/>
        <v>0</v>
      </c>
      <c r="P348" s="274"/>
      <c r="Q348" s="274"/>
      <c r="R348" s="276"/>
      <c r="S348" s="274"/>
      <c r="T348" s="197">
        <f t="shared" si="52"/>
        <v>0</v>
      </c>
      <c r="U348" s="197">
        <f t="shared" si="53"/>
        <v>0</v>
      </c>
      <c r="V348" s="197">
        <f t="shared" si="54"/>
        <v>0</v>
      </c>
      <c r="W348" s="197">
        <f t="shared" si="55"/>
        <v>0</v>
      </c>
      <c r="Z348" s="197"/>
      <c r="AA348" s="228"/>
      <c r="AB348" s="228"/>
      <c r="AD348" s="228"/>
      <c r="AE348" s="228"/>
      <c r="AF348" s="228"/>
      <c r="AG348" s="228"/>
      <c r="AH348" s="228"/>
      <c r="AI348" s="228"/>
      <c r="AJ348" s="228"/>
      <c r="AK34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 spans="1:64" s="198" customFormat="1" x14ac:dyDescent="0.25">
      <c r="A349" s="290" t="str">
        <f t="shared" si="58"/>
        <v>Hudson View Park</v>
      </c>
      <c r="B349" s="195">
        <f t="shared" si="56"/>
        <v>251</v>
      </c>
      <c r="C349" s="196" t="str">
        <f t="shared" si="57"/>
        <v>Occ</v>
      </c>
      <c r="D349" s="196" t="e" cm="1">
        <f t="array" ref="D349">INDEX($C$5:$C$61,MATCH(1,(K349=$D$5:$D$61)*(A349=$B$5:$B$61),0))</f>
        <v>#N/A</v>
      </c>
      <c r="E349" s="196" t="e" cm="1">
        <f t="array" ref="E349">INDEX($E$5:$E$61,MATCH(1,(D349=$C$5:$C$61)*(A349=$B$5:$B$61),0))</f>
        <v>#N/A</v>
      </c>
      <c r="F349" s="196" t="e" cm="1">
        <f t="array" ref="F349">INDEX($F$5:$F$61,MATCH(1,(D349=$C$5:$C$61)*(A349=$B$5:$B$61),0))</f>
        <v>#N/A</v>
      </c>
      <c r="G349" s="196" t="e" cm="1">
        <f t="array" ref="G349">INDEX($G$5:$G$61,MATCH(1,(D349=$C$5:$C$61)*(A349=$B$5:$B$61),0))</f>
        <v>#N/A</v>
      </c>
      <c r="H349" s="196" t="e" cm="1">
        <f t="array" ref="H349">INDEX($H$5:$H$61,MATCH(1,(D349=$C$5:$C$61)*(A349=$B$5:$B$61),0))</f>
        <v>#N/A</v>
      </c>
      <c r="I349" s="196" t="e" cm="1">
        <f t="array" ref="I349">INDEX($I$5:$I$61,MATCH(1,(D349=$C$5:$C$61)*(A349=$B$5:$B$61),0))</f>
        <v>#N/A</v>
      </c>
      <c r="J349" s="273"/>
      <c r="K349" s="273"/>
      <c r="L349" s="272"/>
      <c r="M349" s="273"/>
      <c r="N349" s="197"/>
      <c r="O349" s="200">
        <f t="shared" si="51"/>
        <v>0</v>
      </c>
      <c r="P349" s="274"/>
      <c r="Q349" s="274"/>
      <c r="R349" s="276"/>
      <c r="S349" s="274"/>
      <c r="T349" s="197">
        <f t="shared" si="52"/>
        <v>0</v>
      </c>
      <c r="U349" s="197">
        <f t="shared" si="53"/>
        <v>0</v>
      </c>
      <c r="V349" s="197">
        <f t="shared" si="54"/>
        <v>0</v>
      </c>
      <c r="W349" s="197">
        <f t="shared" si="55"/>
        <v>0</v>
      </c>
      <c r="Z349" s="197"/>
      <c r="AA349" s="228"/>
      <c r="AB349" s="228"/>
      <c r="AD349" s="228"/>
      <c r="AE349" s="228"/>
      <c r="AF349" s="228"/>
      <c r="AG349" s="228"/>
      <c r="AH349" s="228"/>
      <c r="AI349" s="228"/>
      <c r="AJ349" s="228"/>
      <c r="AK349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</row>
    <row r="350" spans="1:64" s="198" customFormat="1" x14ac:dyDescent="0.25">
      <c r="A350" s="290" t="str">
        <f t="shared" si="58"/>
        <v>Hudson View Park</v>
      </c>
      <c r="B350" s="195">
        <f t="shared" si="56"/>
        <v>252</v>
      </c>
      <c r="C350" s="196" t="str">
        <f t="shared" si="57"/>
        <v>Occ</v>
      </c>
      <c r="D350" s="196" t="e" cm="1">
        <f t="array" ref="D350">INDEX($C$5:$C$61,MATCH(1,(K350=$D$5:$D$61)*(A350=$B$5:$B$61),0))</f>
        <v>#N/A</v>
      </c>
      <c r="E350" s="196" t="e" cm="1">
        <f t="array" ref="E350">INDEX($E$5:$E$61,MATCH(1,(D350=$C$5:$C$61)*(A350=$B$5:$B$61),0))</f>
        <v>#N/A</v>
      </c>
      <c r="F350" s="196" t="e" cm="1">
        <f t="array" ref="F350">INDEX($F$5:$F$61,MATCH(1,(D350=$C$5:$C$61)*(A350=$B$5:$B$61),0))</f>
        <v>#N/A</v>
      </c>
      <c r="G350" s="196" t="e" cm="1">
        <f t="array" ref="G350">INDEX($G$5:$G$61,MATCH(1,(D350=$C$5:$C$61)*(A350=$B$5:$B$61),0))</f>
        <v>#N/A</v>
      </c>
      <c r="H350" s="196" t="e" cm="1">
        <f t="array" ref="H350">INDEX($H$5:$H$61,MATCH(1,(D350=$C$5:$C$61)*(A350=$B$5:$B$61),0))</f>
        <v>#N/A</v>
      </c>
      <c r="I350" s="196" t="e" cm="1">
        <f t="array" ref="I350">INDEX($I$5:$I$61,MATCH(1,(D350=$C$5:$C$61)*(A350=$B$5:$B$61),0))</f>
        <v>#N/A</v>
      </c>
      <c r="J350" s="273"/>
      <c r="K350" s="273"/>
      <c r="L350" s="272"/>
      <c r="M350" s="273"/>
      <c r="N350" s="197"/>
      <c r="O350" s="200">
        <f t="shared" si="51"/>
        <v>0</v>
      </c>
      <c r="P350" s="274"/>
      <c r="Q350" s="274"/>
      <c r="R350" s="276"/>
      <c r="S350" s="274"/>
      <c r="T350" s="197">
        <f t="shared" si="52"/>
        <v>0</v>
      </c>
      <c r="U350" s="197">
        <f t="shared" si="53"/>
        <v>0</v>
      </c>
      <c r="V350" s="197">
        <f t="shared" si="54"/>
        <v>0</v>
      </c>
      <c r="W350" s="197">
        <f t="shared" si="55"/>
        <v>0</v>
      </c>
      <c r="Z350" s="197"/>
      <c r="AA350" s="228"/>
      <c r="AB350" s="228"/>
      <c r="AD350" s="228"/>
      <c r="AE350" s="228"/>
      <c r="AF350" s="228"/>
      <c r="AG350" s="228"/>
      <c r="AH350" s="228"/>
      <c r="AI350" s="228"/>
      <c r="AJ350" s="228"/>
      <c r="AK350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 spans="1:64" s="198" customFormat="1" x14ac:dyDescent="0.25">
      <c r="A351" s="290" t="str">
        <f t="shared" si="58"/>
        <v>Hudson View Park</v>
      </c>
      <c r="B351" s="195">
        <f t="shared" si="56"/>
        <v>253</v>
      </c>
      <c r="C351" s="196" t="str">
        <f t="shared" si="57"/>
        <v>Occ</v>
      </c>
      <c r="D351" s="196" t="e" cm="1">
        <f t="array" ref="D351">INDEX($C$5:$C$61,MATCH(1,(K351=$D$5:$D$61)*(A351=$B$5:$B$61),0))</f>
        <v>#N/A</v>
      </c>
      <c r="E351" s="196" t="e" cm="1">
        <f t="array" ref="E351">INDEX($E$5:$E$61,MATCH(1,(D351=$C$5:$C$61)*(A351=$B$5:$B$61),0))</f>
        <v>#N/A</v>
      </c>
      <c r="F351" s="196" t="e" cm="1">
        <f t="array" ref="F351">INDEX($F$5:$F$61,MATCH(1,(D351=$C$5:$C$61)*(A351=$B$5:$B$61),0))</f>
        <v>#N/A</v>
      </c>
      <c r="G351" s="196" t="e" cm="1">
        <f t="array" ref="G351">INDEX($G$5:$G$61,MATCH(1,(D351=$C$5:$C$61)*(A351=$B$5:$B$61),0))</f>
        <v>#N/A</v>
      </c>
      <c r="H351" s="196" t="e" cm="1">
        <f t="array" ref="H351">INDEX($H$5:$H$61,MATCH(1,(D351=$C$5:$C$61)*(A351=$B$5:$B$61),0))</f>
        <v>#N/A</v>
      </c>
      <c r="I351" s="196" t="e" cm="1">
        <f t="array" ref="I351">INDEX($I$5:$I$61,MATCH(1,(D351=$C$5:$C$61)*(A351=$B$5:$B$61),0))</f>
        <v>#N/A</v>
      </c>
      <c r="J351" s="273"/>
      <c r="K351" s="273"/>
      <c r="L351" s="272"/>
      <c r="M351" s="273"/>
      <c r="N351" s="197"/>
      <c r="O351" s="200">
        <f t="shared" si="51"/>
        <v>0</v>
      </c>
      <c r="P351" s="274"/>
      <c r="Q351" s="274"/>
      <c r="R351" s="276"/>
      <c r="S351" s="274"/>
      <c r="T351" s="197">
        <f t="shared" si="52"/>
        <v>0</v>
      </c>
      <c r="U351" s="197">
        <f t="shared" si="53"/>
        <v>0</v>
      </c>
      <c r="V351" s="197">
        <f t="shared" si="54"/>
        <v>0</v>
      </c>
      <c r="W351" s="197">
        <f t="shared" si="55"/>
        <v>0</v>
      </c>
      <c r="Z351" s="197"/>
      <c r="AA351" s="228"/>
      <c r="AB351" s="228"/>
      <c r="AD351" s="228"/>
      <c r="AE351" s="228"/>
      <c r="AF351" s="228"/>
      <c r="AG351" s="228"/>
      <c r="AH351" s="228"/>
      <c r="AI351" s="228"/>
      <c r="AJ351" s="228"/>
      <c r="AK351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</row>
    <row r="352" spans="1:64" s="198" customFormat="1" x14ac:dyDescent="0.25">
      <c r="A352" s="290" t="str">
        <f t="shared" si="58"/>
        <v>Hudson View Park</v>
      </c>
      <c r="B352" s="195">
        <f t="shared" si="56"/>
        <v>254</v>
      </c>
      <c r="C352" s="196" t="str">
        <f t="shared" si="57"/>
        <v>Occ</v>
      </c>
      <c r="D352" s="196" t="e" cm="1">
        <f t="array" ref="D352">INDEX($C$5:$C$61,MATCH(1,(K352=$D$5:$D$61)*(A352=$B$5:$B$61),0))</f>
        <v>#N/A</v>
      </c>
      <c r="E352" s="196" t="e" cm="1">
        <f t="array" ref="E352">INDEX($E$5:$E$61,MATCH(1,(D352=$C$5:$C$61)*(A352=$B$5:$B$61),0))</f>
        <v>#N/A</v>
      </c>
      <c r="F352" s="196" t="e" cm="1">
        <f t="array" ref="F352">INDEX($F$5:$F$61,MATCH(1,(D352=$C$5:$C$61)*(A352=$B$5:$B$61),0))</f>
        <v>#N/A</v>
      </c>
      <c r="G352" s="196" t="e" cm="1">
        <f t="array" ref="G352">INDEX($G$5:$G$61,MATCH(1,(D352=$C$5:$C$61)*(A352=$B$5:$B$61),0))</f>
        <v>#N/A</v>
      </c>
      <c r="H352" s="196" t="e" cm="1">
        <f t="array" ref="H352">INDEX($H$5:$H$61,MATCH(1,(D352=$C$5:$C$61)*(A352=$B$5:$B$61),0))</f>
        <v>#N/A</v>
      </c>
      <c r="I352" s="196" t="e" cm="1">
        <f t="array" ref="I352">INDEX($I$5:$I$61,MATCH(1,(D352=$C$5:$C$61)*(A352=$B$5:$B$61),0))</f>
        <v>#N/A</v>
      </c>
      <c r="J352" s="273"/>
      <c r="K352" s="273"/>
      <c r="L352" s="272"/>
      <c r="M352" s="273"/>
      <c r="N352" s="197"/>
      <c r="O352" s="200">
        <f t="shared" si="51"/>
        <v>0</v>
      </c>
      <c r="P352" s="274"/>
      <c r="Q352" s="274"/>
      <c r="R352" s="276"/>
      <c r="S352" s="274"/>
      <c r="T352" s="197">
        <f t="shared" si="52"/>
        <v>0</v>
      </c>
      <c r="U352" s="197">
        <f t="shared" si="53"/>
        <v>0</v>
      </c>
      <c r="V352" s="197">
        <f t="shared" si="54"/>
        <v>0</v>
      </c>
      <c r="W352" s="197">
        <f t="shared" si="55"/>
        <v>0</v>
      </c>
      <c r="Z352" s="197"/>
      <c r="AA352" s="228"/>
      <c r="AB352" s="228"/>
      <c r="AD352" s="228"/>
      <c r="AE352" s="228"/>
      <c r="AF352" s="228"/>
      <c r="AG352" s="228"/>
      <c r="AH352" s="228"/>
      <c r="AI352" s="228"/>
      <c r="AJ352" s="228"/>
      <c r="AK352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</row>
    <row r="353" spans="1:64" s="198" customFormat="1" x14ac:dyDescent="0.25">
      <c r="A353" s="290" t="str">
        <f t="shared" si="58"/>
        <v>Hudson View Park</v>
      </c>
      <c r="B353" s="195">
        <f t="shared" si="56"/>
        <v>255</v>
      </c>
      <c r="C353" s="196" t="str">
        <f t="shared" si="57"/>
        <v>Occ</v>
      </c>
      <c r="D353" s="196" t="e" cm="1">
        <f t="array" ref="D353">INDEX($C$5:$C$61,MATCH(1,(K353=$D$5:$D$61)*(A353=$B$5:$B$61),0))</f>
        <v>#N/A</v>
      </c>
      <c r="E353" s="196" t="e" cm="1">
        <f t="array" ref="E353">INDEX($E$5:$E$61,MATCH(1,(D353=$C$5:$C$61)*(A353=$B$5:$B$61),0))</f>
        <v>#N/A</v>
      </c>
      <c r="F353" s="196" t="e" cm="1">
        <f t="array" ref="F353">INDEX($F$5:$F$61,MATCH(1,(D353=$C$5:$C$61)*(A353=$B$5:$B$61),0))</f>
        <v>#N/A</v>
      </c>
      <c r="G353" s="196" t="e" cm="1">
        <f t="array" ref="G353">INDEX($G$5:$G$61,MATCH(1,(D353=$C$5:$C$61)*(A353=$B$5:$B$61),0))</f>
        <v>#N/A</v>
      </c>
      <c r="H353" s="196" t="e" cm="1">
        <f t="array" ref="H353">INDEX($H$5:$H$61,MATCH(1,(D353=$C$5:$C$61)*(A353=$B$5:$B$61),0))</f>
        <v>#N/A</v>
      </c>
      <c r="I353" s="196" t="e" cm="1">
        <f t="array" ref="I353">INDEX($I$5:$I$61,MATCH(1,(D353=$C$5:$C$61)*(A353=$B$5:$B$61),0))</f>
        <v>#N/A</v>
      </c>
      <c r="J353" s="273"/>
      <c r="K353" s="273"/>
      <c r="L353" s="272"/>
      <c r="M353" s="273"/>
      <c r="N353" s="197"/>
      <c r="O353" s="200">
        <f t="shared" si="51"/>
        <v>0</v>
      </c>
      <c r="P353" s="274"/>
      <c r="Q353" s="274"/>
      <c r="R353" s="276"/>
      <c r="S353" s="274"/>
      <c r="T353" s="197">
        <f t="shared" si="52"/>
        <v>0</v>
      </c>
      <c r="U353" s="197">
        <f t="shared" si="53"/>
        <v>0</v>
      </c>
      <c r="V353" s="197">
        <f t="shared" si="54"/>
        <v>0</v>
      </c>
      <c r="W353" s="197">
        <f t="shared" si="55"/>
        <v>0</v>
      </c>
      <c r="Z353" s="197"/>
      <c r="AA353" s="228"/>
      <c r="AB353" s="228"/>
      <c r="AD353" s="228"/>
      <c r="AE353" s="228"/>
      <c r="AF353" s="228"/>
      <c r="AG353" s="228"/>
      <c r="AH353" s="228"/>
      <c r="AI353" s="228"/>
      <c r="AJ353" s="228"/>
      <c r="AK353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</row>
    <row r="354" spans="1:64" s="198" customFormat="1" x14ac:dyDescent="0.25">
      <c r="A354" s="290" t="str">
        <f t="shared" si="58"/>
        <v>Hudson View Park</v>
      </c>
      <c r="B354" s="195">
        <f t="shared" si="56"/>
        <v>256</v>
      </c>
      <c r="C354" s="196" t="str">
        <f t="shared" si="57"/>
        <v>Occ</v>
      </c>
      <c r="D354" s="196" t="e" cm="1">
        <f t="array" ref="D354">INDEX($C$5:$C$61,MATCH(1,(K354=$D$5:$D$61)*(A354=$B$5:$B$61),0))</f>
        <v>#N/A</v>
      </c>
      <c r="E354" s="196" t="e" cm="1">
        <f t="array" ref="E354">INDEX($E$5:$E$61,MATCH(1,(D354=$C$5:$C$61)*(A354=$B$5:$B$61),0))</f>
        <v>#N/A</v>
      </c>
      <c r="F354" s="196" t="e" cm="1">
        <f t="array" ref="F354">INDEX($F$5:$F$61,MATCH(1,(D354=$C$5:$C$61)*(A354=$B$5:$B$61),0))</f>
        <v>#N/A</v>
      </c>
      <c r="G354" s="196" t="e" cm="1">
        <f t="array" ref="G354">INDEX($G$5:$G$61,MATCH(1,(D354=$C$5:$C$61)*(A354=$B$5:$B$61),0))</f>
        <v>#N/A</v>
      </c>
      <c r="H354" s="196" t="e" cm="1">
        <f t="array" ref="H354">INDEX($H$5:$H$61,MATCH(1,(D354=$C$5:$C$61)*(A354=$B$5:$B$61),0))</f>
        <v>#N/A</v>
      </c>
      <c r="I354" s="196" t="e" cm="1">
        <f t="array" ref="I354">INDEX($I$5:$I$61,MATCH(1,(D354=$C$5:$C$61)*(A354=$B$5:$B$61),0))</f>
        <v>#N/A</v>
      </c>
      <c r="J354" s="273"/>
      <c r="K354" s="273"/>
      <c r="L354" s="272"/>
      <c r="M354" s="273"/>
      <c r="N354" s="197"/>
      <c r="O354" s="200">
        <f t="shared" si="51"/>
        <v>0</v>
      </c>
      <c r="P354" s="274"/>
      <c r="Q354" s="274"/>
      <c r="R354" s="276"/>
      <c r="S354" s="274"/>
      <c r="T354" s="197">
        <f t="shared" si="52"/>
        <v>0</v>
      </c>
      <c r="U354" s="197">
        <f t="shared" si="53"/>
        <v>0</v>
      </c>
      <c r="V354" s="197">
        <f t="shared" si="54"/>
        <v>0</v>
      </c>
      <c r="W354" s="197">
        <f t="shared" si="55"/>
        <v>0</v>
      </c>
      <c r="Z354" s="197"/>
      <c r="AA354" s="228"/>
      <c r="AB354" s="228"/>
      <c r="AD354" s="228"/>
      <c r="AE354" s="228"/>
      <c r="AF354" s="228"/>
      <c r="AG354" s="228"/>
      <c r="AH354" s="228"/>
      <c r="AI354" s="228"/>
      <c r="AJ354" s="228"/>
      <c r="AK354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</row>
    <row r="355" spans="1:64" s="198" customFormat="1" x14ac:dyDescent="0.25">
      <c r="A355" s="290" t="str">
        <f t="shared" si="58"/>
        <v>Hudson View Park</v>
      </c>
      <c r="B355" s="195">
        <f t="shared" si="56"/>
        <v>257</v>
      </c>
      <c r="C355" s="196" t="str">
        <f t="shared" si="57"/>
        <v>Occ</v>
      </c>
      <c r="D355" s="196" t="e" cm="1">
        <f t="array" ref="D355">INDEX($C$5:$C$61,MATCH(1,(K355=$D$5:$D$61)*(A355=$B$5:$B$61),0))</f>
        <v>#N/A</v>
      </c>
      <c r="E355" s="196" t="e" cm="1">
        <f t="array" ref="E355">INDEX($E$5:$E$61,MATCH(1,(D355=$C$5:$C$61)*(A355=$B$5:$B$61),0))</f>
        <v>#N/A</v>
      </c>
      <c r="F355" s="196" t="e" cm="1">
        <f t="array" ref="F355">INDEX($F$5:$F$61,MATCH(1,(D355=$C$5:$C$61)*(A355=$B$5:$B$61),0))</f>
        <v>#N/A</v>
      </c>
      <c r="G355" s="196" t="e" cm="1">
        <f t="array" ref="G355">INDEX($G$5:$G$61,MATCH(1,(D355=$C$5:$C$61)*(A355=$B$5:$B$61),0))</f>
        <v>#N/A</v>
      </c>
      <c r="H355" s="196" t="e" cm="1">
        <f t="array" ref="H355">INDEX($H$5:$H$61,MATCH(1,(D355=$C$5:$C$61)*(A355=$B$5:$B$61),0))</f>
        <v>#N/A</v>
      </c>
      <c r="I355" s="196" t="e" cm="1">
        <f t="array" ref="I355">INDEX($I$5:$I$61,MATCH(1,(D355=$C$5:$C$61)*(A355=$B$5:$B$61),0))</f>
        <v>#N/A</v>
      </c>
      <c r="J355" s="273"/>
      <c r="K355" s="273"/>
      <c r="L355" s="272"/>
      <c r="M355" s="273"/>
      <c r="N355" s="197"/>
      <c r="O355" s="200">
        <f t="shared" si="51"/>
        <v>0</v>
      </c>
      <c r="P355" s="274"/>
      <c r="Q355" s="274"/>
      <c r="R355" s="276"/>
      <c r="S355" s="274"/>
      <c r="T355" s="197">
        <f t="shared" si="52"/>
        <v>0</v>
      </c>
      <c r="U355" s="197">
        <f t="shared" si="53"/>
        <v>0</v>
      </c>
      <c r="V355" s="197">
        <f t="shared" si="54"/>
        <v>0</v>
      </c>
      <c r="W355" s="197">
        <f t="shared" si="55"/>
        <v>0</v>
      </c>
      <c r="Z355" s="197"/>
      <c r="AA355" s="228"/>
      <c r="AB355" s="228"/>
      <c r="AD355" s="228"/>
      <c r="AE355" s="228"/>
      <c r="AF355" s="228"/>
      <c r="AG355" s="228"/>
      <c r="AH355" s="228"/>
      <c r="AI355" s="228"/>
      <c r="AJ355" s="228"/>
      <c r="AK355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</row>
    <row r="356" spans="1:64" s="198" customFormat="1" x14ac:dyDescent="0.25">
      <c r="A356" s="290" t="str">
        <f t="shared" si="58"/>
        <v>Hudson View Park</v>
      </c>
      <c r="B356" s="195">
        <f t="shared" si="56"/>
        <v>258</v>
      </c>
      <c r="C356" s="196" t="str">
        <f t="shared" si="57"/>
        <v>Occ</v>
      </c>
      <c r="D356" s="196" t="e" cm="1">
        <f t="array" ref="D356">INDEX($C$5:$C$61,MATCH(1,(K356=$D$5:$D$61)*(A356=$B$5:$B$61),0))</f>
        <v>#N/A</v>
      </c>
      <c r="E356" s="196" t="e" cm="1">
        <f t="array" ref="E356">INDEX($E$5:$E$61,MATCH(1,(D356=$C$5:$C$61)*(A356=$B$5:$B$61),0))</f>
        <v>#N/A</v>
      </c>
      <c r="F356" s="196" t="e" cm="1">
        <f t="array" ref="F356">INDEX($F$5:$F$61,MATCH(1,(D356=$C$5:$C$61)*(A356=$B$5:$B$61),0))</f>
        <v>#N/A</v>
      </c>
      <c r="G356" s="196" t="e" cm="1">
        <f t="array" ref="G356">INDEX($G$5:$G$61,MATCH(1,(D356=$C$5:$C$61)*(A356=$B$5:$B$61),0))</f>
        <v>#N/A</v>
      </c>
      <c r="H356" s="196" t="e" cm="1">
        <f t="array" ref="H356">INDEX($H$5:$H$61,MATCH(1,(D356=$C$5:$C$61)*(A356=$B$5:$B$61),0))</f>
        <v>#N/A</v>
      </c>
      <c r="I356" s="196" t="e" cm="1">
        <f t="array" ref="I356">INDEX($I$5:$I$61,MATCH(1,(D356=$C$5:$C$61)*(A356=$B$5:$B$61),0))</f>
        <v>#N/A</v>
      </c>
      <c r="J356" s="273"/>
      <c r="K356" s="273"/>
      <c r="L356" s="272"/>
      <c r="M356" s="273"/>
      <c r="N356" s="197"/>
      <c r="O356" s="200">
        <f t="shared" ref="O356:O419" si="59">SUM(AA356:AB356)</f>
        <v>0</v>
      </c>
      <c r="P356" s="274"/>
      <c r="Q356" s="274"/>
      <c r="R356" s="276"/>
      <c r="S356" s="274"/>
      <c r="T356" s="197">
        <f t="shared" ref="T356:T419" si="60">SUM(AD356:AJ356)</f>
        <v>0</v>
      </c>
      <c r="U356" s="197">
        <f t="shared" ref="U356:U419" si="61">SUM(AL356:AO356)</f>
        <v>0</v>
      </c>
      <c r="V356" s="197">
        <f t="shared" ref="V356:V419" si="62">SUM(AQ356:AR356)</f>
        <v>0</v>
      </c>
      <c r="W356" s="197">
        <f t="shared" ref="W356:W419" si="63">SUM(AT356:AV356)</f>
        <v>0</v>
      </c>
      <c r="Z356" s="197"/>
      <c r="AA356" s="228"/>
      <c r="AB356" s="228"/>
      <c r="AD356" s="228"/>
      <c r="AE356" s="228"/>
      <c r="AF356" s="228"/>
      <c r="AG356" s="228"/>
      <c r="AH356" s="228"/>
      <c r="AI356" s="228"/>
      <c r="AJ356" s="228"/>
      <c r="AK356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</row>
    <row r="357" spans="1:64" s="198" customFormat="1" x14ac:dyDescent="0.25">
      <c r="A357" s="290" t="str">
        <f t="shared" si="58"/>
        <v>Hudson View Park</v>
      </c>
      <c r="B357" s="195">
        <f t="shared" ref="B357:B420" si="64">B356+1</f>
        <v>259</v>
      </c>
      <c r="C357" s="196" t="str">
        <f t="shared" ref="C357:C420" si="65">IF(M357="Vacant","Vac",IF(M357="Model","Model",IF(M357="Admin","Admin",IF(M357="Down","Down","Occ"))))</f>
        <v>Occ</v>
      </c>
      <c r="D357" s="196" t="e" cm="1">
        <f t="array" ref="D357">INDEX($C$5:$C$61,MATCH(1,(K357=$D$5:$D$61)*(A357=$B$5:$B$61),0))</f>
        <v>#N/A</v>
      </c>
      <c r="E357" s="196" t="e" cm="1">
        <f t="array" ref="E357">INDEX($E$5:$E$61,MATCH(1,(D357=$C$5:$C$61)*(A357=$B$5:$B$61),0))</f>
        <v>#N/A</v>
      </c>
      <c r="F357" s="196" t="e" cm="1">
        <f t="array" ref="F357">INDEX($F$5:$F$61,MATCH(1,(D357=$C$5:$C$61)*(A357=$B$5:$B$61),0))</f>
        <v>#N/A</v>
      </c>
      <c r="G357" s="196" t="e" cm="1">
        <f t="array" ref="G357">INDEX($G$5:$G$61,MATCH(1,(D357=$C$5:$C$61)*(A357=$B$5:$B$61),0))</f>
        <v>#N/A</v>
      </c>
      <c r="H357" s="196" t="e" cm="1">
        <f t="array" ref="H357">INDEX($H$5:$H$61,MATCH(1,(D357=$C$5:$C$61)*(A357=$B$5:$B$61),0))</f>
        <v>#N/A</v>
      </c>
      <c r="I357" s="196" t="e" cm="1">
        <f t="array" ref="I357">INDEX($I$5:$I$61,MATCH(1,(D357=$C$5:$C$61)*(A357=$B$5:$B$61),0))</f>
        <v>#N/A</v>
      </c>
      <c r="J357" s="273"/>
      <c r="K357" s="273"/>
      <c r="L357" s="272"/>
      <c r="M357" s="273"/>
      <c r="N357" s="197"/>
      <c r="O357" s="200">
        <f t="shared" si="59"/>
        <v>0</v>
      </c>
      <c r="P357" s="274"/>
      <c r="Q357" s="274"/>
      <c r="R357" s="276"/>
      <c r="S357" s="274"/>
      <c r="T357" s="197">
        <f t="shared" si="60"/>
        <v>0</v>
      </c>
      <c r="U357" s="197">
        <f t="shared" si="61"/>
        <v>0</v>
      </c>
      <c r="V357" s="197">
        <f t="shared" si="62"/>
        <v>0</v>
      </c>
      <c r="W357" s="197">
        <f t="shared" si="63"/>
        <v>0</v>
      </c>
      <c r="Z357" s="197"/>
      <c r="AA357" s="228"/>
      <c r="AB357" s="228"/>
      <c r="AD357" s="228"/>
      <c r="AE357" s="228"/>
      <c r="AF357" s="228"/>
      <c r="AG357" s="228"/>
      <c r="AH357" s="228"/>
      <c r="AI357" s="228"/>
      <c r="AJ357" s="228"/>
      <c r="AK357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</row>
    <row r="358" spans="1:64" s="198" customFormat="1" x14ac:dyDescent="0.25">
      <c r="A358" s="290" t="str">
        <f t="shared" si="58"/>
        <v>Hudson View Park</v>
      </c>
      <c r="B358" s="195">
        <f t="shared" si="64"/>
        <v>260</v>
      </c>
      <c r="C358" s="196" t="str">
        <f t="shared" si="65"/>
        <v>Occ</v>
      </c>
      <c r="D358" s="196" t="e" cm="1">
        <f t="array" ref="D358">INDEX($C$5:$C$61,MATCH(1,(K358=$D$5:$D$61)*(A358=$B$5:$B$61),0))</f>
        <v>#N/A</v>
      </c>
      <c r="E358" s="196" t="e" cm="1">
        <f t="array" ref="E358">INDEX($E$5:$E$61,MATCH(1,(D358=$C$5:$C$61)*(A358=$B$5:$B$61),0))</f>
        <v>#N/A</v>
      </c>
      <c r="F358" s="196" t="e" cm="1">
        <f t="array" ref="F358">INDEX($F$5:$F$61,MATCH(1,(D358=$C$5:$C$61)*(A358=$B$5:$B$61),0))</f>
        <v>#N/A</v>
      </c>
      <c r="G358" s="196" t="e" cm="1">
        <f t="array" ref="G358">INDEX($G$5:$G$61,MATCH(1,(D358=$C$5:$C$61)*(A358=$B$5:$B$61),0))</f>
        <v>#N/A</v>
      </c>
      <c r="H358" s="196" t="e" cm="1">
        <f t="array" ref="H358">INDEX($H$5:$H$61,MATCH(1,(D358=$C$5:$C$61)*(A358=$B$5:$B$61),0))</f>
        <v>#N/A</v>
      </c>
      <c r="I358" s="196" t="e" cm="1">
        <f t="array" ref="I358">INDEX($I$5:$I$61,MATCH(1,(D358=$C$5:$C$61)*(A358=$B$5:$B$61),0))</f>
        <v>#N/A</v>
      </c>
      <c r="J358" s="273"/>
      <c r="K358" s="273"/>
      <c r="L358" s="272"/>
      <c r="M358" s="273"/>
      <c r="N358" s="197"/>
      <c r="O358" s="200">
        <f t="shared" si="59"/>
        <v>0</v>
      </c>
      <c r="P358" s="274"/>
      <c r="Q358" s="274"/>
      <c r="R358" s="276"/>
      <c r="S358" s="274"/>
      <c r="T358" s="197">
        <f t="shared" si="60"/>
        <v>0</v>
      </c>
      <c r="U358" s="197">
        <f t="shared" si="61"/>
        <v>0</v>
      </c>
      <c r="V358" s="197">
        <f t="shared" si="62"/>
        <v>0</v>
      </c>
      <c r="W358" s="197">
        <f t="shared" si="63"/>
        <v>0</v>
      </c>
      <c r="Z358" s="197"/>
      <c r="AA358" s="228"/>
      <c r="AB358" s="228"/>
      <c r="AD358" s="228"/>
      <c r="AE358" s="228"/>
      <c r="AF358" s="228"/>
      <c r="AG358" s="228"/>
      <c r="AH358" s="228"/>
      <c r="AI358" s="228"/>
      <c r="AJ358" s="228"/>
      <c r="AK35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</row>
    <row r="359" spans="1:64" s="198" customFormat="1" x14ac:dyDescent="0.25">
      <c r="A359" s="290" t="str">
        <f t="shared" si="58"/>
        <v>Hudson View Park</v>
      </c>
      <c r="B359" s="195">
        <f t="shared" si="64"/>
        <v>261</v>
      </c>
      <c r="C359" s="196" t="str">
        <f t="shared" si="65"/>
        <v>Occ</v>
      </c>
      <c r="D359" s="196" t="e" cm="1">
        <f t="array" ref="D359">INDEX($C$5:$C$61,MATCH(1,(K359=$D$5:$D$61)*(A359=$B$5:$B$61),0))</f>
        <v>#N/A</v>
      </c>
      <c r="E359" s="196" t="e" cm="1">
        <f t="array" ref="E359">INDEX($E$5:$E$61,MATCH(1,(D359=$C$5:$C$61)*(A359=$B$5:$B$61),0))</f>
        <v>#N/A</v>
      </c>
      <c r="F359" s="196" t="e" cm="1">
        <f t="array" ref="F359">INDEX($F$5:$F$61,MATCH(1,(D359=$C$5:$C$61)*(A359=$B$5:$B$61),0))</f>
        <v>#N/A</v>
      </c>
      <c r="G359" s="196" t="e" cm="1">
        <f t="array" ref="G359">INDEX($G$5:$G$61,MATCH(1,(D359=$C$5:$C$61)*(A359=$B$5:$B$61),0))</f>
        <v>#N/A</v>
      </c>
      <c r="H359" s="196" t="e" cm="1">
        <f t="array" ref="H359">INDEX($H$5:$H$61,MATCH(1,(D359=$C$5:$C$61)*(A359=$B$5:$B$61),0))</f>
        <v>#N/A</v>
      </c>
      <c r="I359" s="196" t="e" cm="1">
        <f t="array" ref="I359">INDEX($I$5:$I$61,MATCH(1,(D359=$C$5:$C$61)*(A359=$B$5:$B$61),0))</f>
        <v>#N/A</v>
      </c>
      <c r="J359" s="273"/>
      <c r="K359" s="273"/>
      <c r="L359" s="272"/>
      <c r="M359" s="273"/>
      <c r="N359" s="197"/>
      <c r="O359" s="200">
        <f t="shared" si="59"/>
        <v>0</v>
      </c>
      <c r="P359" s="274"/>
      <c r="Q359" s="274"/>
      <c r="R359" s="276"/>
      <c r="S359" s="274"/>
      <c r="T359" s="197">
        <f t="shared" si="60"/>
        <v>0</v>
      </c>
      <c r="U359" s="197">
        <f t="shared" si="61"/>
        <v>0</v>
      </c>
      <c r="V359" s="197">
        <f t="shared" si="62"/>
        <v>0</v>
      </c>
      <c r="W359" s="197">
        <f t="shared" si="63"/>
        <v>0</v>
      </c>
      <c r="Z359" s="197"/>
      <c r="AA359" s="228"/>
      <c r="AB359" s="228"/>
      <c r="AD359" s="228"/>
      <c r="AE359" s="228"/>
      <c r="AF359" s="228"/>
      <c r="AG359" s="228"/>
      <c r="AH359" s="228"/>
      <c r="AI359" s="228"/>
      <c r="AJ359" s="228"/>
      <c r="AK359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</row>
    <row r="360" spans="1:64" s="198" customFormat="1" x14ac:dyDescent="0.25">
      <c r="A360" s="290" t="str">
        <f t="shared" si="58"/>
        <v>Hudson View Park</v>
      </c>
      <c r="B360" s="195">
        <f t="shared" si="64"/>
        <v>262</v>
      </c>
      <c r="C360" s="196" t="str">
        <f t="shared" si="65"/>
        <v>Occ</v>
      </c>
      <c r="D360" s="196" t="e" cm="1">
        <f t="array" ref="D360">INDEX($C$5:$C$61,MATCH(1,(K360=$D$5:$D$61)*(A360=$B$5:$B$61),0))</f>
        <v>#N/A</v>
      </c>
      <c r="E360" s="196" t="e" cm="1">
        <f t="array" ref="E360">INDEX($E$5:$E$61,MATCH(1,(D360=$C$5:$C$61)*(A360=$B$5:$B$61),0))</f>
        <v>#N/A</v>
      </c>
      <c r="F360" s="196" t="e" cm="1">
        <f t="array" ref="F360">INDEX($F$5:$F$61,MATCH(1,(D360=$C$5:$C$61)*(A360=$B$5:$B$61),0))</f>
        <v>#N/A</v>
      </c>
      <c r="G360" s="196" t="e" cm="1">
        <f t="array" ref="G360">INDEX($G$5:$G$61,MATCH(1,(D360=$C$5:$C$61)*(A360=$B$5:$B$61),0))</f>
        <v>#N/A</v>
      </c>
      <c r="H360" s="196" t="e" cm="1">
        <f t="array" ref="H360">INDEX($H$5:$H$61,MATCH(1,(D360=$C$5:$C$61)*(A360=$B$5:$B$61),0))</f>
        <v>#N/A</v>
      </c>
      <c r="I360" s="196" t="e" cm="1">
        <f t="array" ref="I360">INDEX($I$5:$I$61,MATCH(1,(D360=$C$5:$C$61)*(A360=$B$5:$B$61),0))</f>
        <v>#N/A</v>
      </c>
      <c r="J360" s="273"/>
      <c r="K360" s="273"/>
      <c r="L360" s="272"/>
      <c r="M360" s="273"/>
      <c r="N360" s="197"/>
      <c r="O360" s="200">
        <f t="shared" si="59"/>
        <v>0</v>
      </c>
      <c r="P360" s="274"/>
      <c r="Q360" s="274"/>
      <c r="R360" s="276"/>
      <c r="S360" s="274"/>
      <c r="T360" s="197">
        <f t="shared" si="60"/>
        <v>0</v>
      </c>
      <c r="U360" s="197">
        <f t="shared" si="61"/>
        <v>0</v>
      </c>
      <c r="V360" s="197">
        <f t="shared" si="62"/>
        <v>0</v>
      </c>
      <c r="W360" s="197">
        <f t="shared" si="63"/>
        <v>0</v>
      </c>
      <c r="Z360" s="197"/>
      <c r="AA360" s="228"/>
      <c r="AB360" s="228"/>
      <c r="AD360" s="228"/>
      <c r="AE360" s="228"/>
      <c r="AF360" s="228"/>
      <c r="AG360" s="228"/>
      <c r="AH360" s="228"/>
      <c r="AI360" s="228"/>
      <c r="AJ360" s="228"/>
      <c r="AK360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</row>
    <row r="361" spans="1:64" s="198" customFormat="1" x14ac:dyDescent="0.25">
      <c r="A361" s="290" t="str">
        <f t="shared" si="58"/>
        <v>Hudson View Park</v>
      </c>
      <c r="B361" s="195">
        <f t="shared" si="64"/>
        <v>263</v>
      </c>
      <c r="C361" s="196" t="str">
        <f t="shared" si="65"/>
        <v>Occ</v>
      </c>
      <c r="D361" s="196" t="e" cm="1">
        <f t="array" ref="D361">INDEX($C$5:$C$61,MATCH(1,(K361=$D$5:$D$61)*(A361=$B$5:$B$61),0))</f>
        <v>#N/A</v>
      </c>
      <c r="E361" s="196" t="e" cm="1">
        <f t="array" ref="E361">INDEX($E$5:$E$61,MATCH(1,(D361=$C$5:$C$61)*(A361=$B$5:$B$61),0))</f>
        <v>#N/A</v>
      </c>
      <c r="F361" s="196" t="e" cm="1">
        <f t="array" ref="F361">INDEX($F$5:$F$61,MATCH(1,(D361=$C$5:$C$61)*(A361=$B$5:$B$61),0))</f>
        <v>#N/A</v>
      </c>
      <c r="G361" s="196" t="e" cm="1">
        <f t="array" ref="G361">INDEX($G$5:$G$61,MATCH(1,(D361=$C$5:$C$61)*(A361=$B$5:$B$61),0))</f>
        <v>#N/A</v>
      </c>
      <c r="H361" s="196" t="e" cm="1">
        <f t="array" ref="H361">INDEX($H$5:$H$61,MATCH(1,(D361=$C$5:$C$61)*(A361=$B$5:$B$61),0))</f>
        <v>#N/A</v>
      </c>
      <c r="I361" s="196" t="e" cm="1">
        <f t="array" ref="I361">INDEX($I$5:$I$61,MATCH(1,(D361=$C$5:$C$61)*(A361=$B$5:$B$61),0))</f>
        <v>#N/A</v>
      </c>
      <c r="J361" s="273"/>
      <c r="K361" s="273"/>
      <c r="L361" s="272"/>
      <c r="M361" s="273"/>
      <c r="N361" s="197"/>
      <c r="O361" s="200">
        <f t="shared" si="59"/>
        <v>0</v>
      </c>
      <c r="P361" s="274"/>
      <c r="Q361" s="274"/>
      <c r="R361" s="276"/>
      <c r="S361" s="274"/>
      <c r="T361" s="197">
        <f t="shared" si="60"/>
        <v>0</v>
      </c>
      <c r="U361" s="197">
        <f t="shared" si="61"/>
        <v>0</v>
      </c>
      <c r="V361" s="197">
        <f t="shared" si="62"/>
        <v>0</v>
      </c>
      <c r="W361" s="197">
        <f t="shared" si="63"/>
        <v>0</v>
      </c>
      <c r="Z361" s="197"/>
      <c r="AA361" s="228"/>
      <c r="AB361" s="228"/>
      <c r="AD361" s="228"/>
      <c r="AE361" s="228"/>
      <c r="AF361" s="228"/>
      <c r="AG361" s="228"/>
      <c r="AH361" s="228"/>
      <c r="AI361" s="228"/>
      <c r="AJ361" s="228"/>
      <c r="AK361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</row>
    <row r="362" spans="1:64" s="198" customFormat="1" x14ac:dyDescent="0.25">
      <c r="A362" s="290" t="str">
        <f t="shared" si="58"/>
        <v>Hudson View Park</v>
      </c>
      <c r="B362" s="195">
        <f t="shared" si="64"/>
        <v>264</v>
      </c>
      <c r="C362" s="196" t="str">
        <f t="shared" si="65"/>
        <v>Occ</v>
      </c>
      <c r="D362" s="196" t="e" cm="1">
        <f t="array" ref="D362">INDEX($C$5:$C$61,MATCH(1,(K362=$D$5:$D$61)*(A362=$B$5:$B$61),0))</f>
        <v>#N/A</v>
      </c>
      <c r="E362" s="196" t="e" cm="1">
        <f t="array" ref="E362">INDEX($E$5:$E$61,MATCH(1,(D362=$C$5:$C$61)*(A362=$B$5:$B$61),0))</f>
        <v>#N/A</v>
      </c>
      <c r="F362" s="196" t="e" cm="1">
        <f t="array" ref="F362">INDEX($F$5:$F$61,MATCH(1,(D362=$C$5:$C$61)*(A362=$B$5:$B$61),0))</f>
        <v>#N/A</v>
      </c>
      <c r="G362" s="196" t="e" cm="1">
        <f t="array" ref="G362">INDEX($G$5:$G$61,MATCH(1,(D362=$C$5:$C$61)*(A362=$B$5:$B$61),0))</f>
        <v>#N/A</v>
      </c>
      <c r="H362" s="196" t="e" cm="1">
        <f t="array" ref="H362">INDEX($H$5:$H$61,MATCH(1,(D362=$C$5:$C$61)*(A362=$B$5:$B$61),0))</f>
        <v>#N/A</v>
      </c>
      <c r="I362" s="196" t="e" cm="1">
        <f t="array" ref="I362">INDEX($I$5:$I$61,MATCH(1,(D362=$C$5:$C$61)*(A362=$B$5:$B$61),0))</f>
        <v>#N/A</v>
      </c>
      <c r="J362" s="273"/>
      <c r="K362" s="273"/>
      <c r="L362" s="272"/>
      <c r="M362" s="273"/>
      <c r="N362" s="197"/>
      <c r="O362" s="200">
        <f t="shared" si="59"/>
        <v>0</v>
      </c>
      <c r="P362" s="274"/>
      <c r="Q362" s="274"/>
      <c r="R362" s="276"/>
      <c r="S362" s="274"/>
      <c r="T362" s="197">
        <f t="shared" si="60"/>
        <v>0</v>
      </c>
      <c r="U362" s="197">
        <f t="shared" si="61"/>
        <v>0</v>
      </c>
      <c r="V362" s="197">
        <f t="shared" si="62"/>
        <v>0</v>
      </c>
      <c r="W362" s="197">
        <f t="shared" si="63"/>
        <v>0</v>
      </c>
      <c r="Z362" s="197"/>
      <c r="AA362" s="228"/>
      <c r="AB362" s="228"/>
      <c r="AD362" s="228"/>
      <c r="AE362" s="228"/>
      <c r="AF362" s="228"/>
      <c r="AG362" s="228"/>
      <c r="AH362" s="228"/>
      <c r="AI362" s="228"/>
      <c r="AJ362" s="228"/>
      <c r="AK362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</row>
    <row r="363" spans="1:64" s="198" customFormat="1" x14ac:dyDescent="0.25">
      <c r="A363" s="290" t="str">
        <f t="shared" si="58"/>
        <v>Hudson View Park</v>
      </c>
      <c r="B363" s="195">
        <f t="shared" si="64"/>
        <v>265</v>
      </c>
      <c r="C363" s="196" t="str">
        <f t="shared" si="65"/>
        <v>Occ</v>
      </c>
      <c r="D363" s="196" t="e" cm="1">
        <f t="array" ref="D363">INDEX($C$5:$C$61,MATCH(1,(K363=$D$5:$D$61)*(A363=$B$5:$B$61),0))</f>
        <v>#N/A</v>
      </c>
      <c r="E363" s="196" t="e" cm="1">
        <f t="array" ref="E363">INDEX($E$5:$E$61,MATCH(1,(D363=$C$5:$C$61)*(A363=$B$5:$B$61),0))</f>
        <v>#N/A</v>
      </c>
      <c r="F363" s="196" t="e" cm="1">
        <f t="array" ref="F363">INDEX($F$5:$F$61,MATCH(1,(D363=$C$5:$C$61)*(A363=$B$5:$B$61),0))</f>
        <v>#N/A</v>
      </c>
      <c r="G363" s="196" t="e" cm="1">
        <f t="array" ref="G363">INDEX($G$5:$G$61,MATCH(1,(D363=$C$5:$C$61)*(A363=$B$5:$B$61),0))</f>
        <v>#N/A</v>
      </c>
      <c r="H363" s="196" t="e" cm="1">
        <f t="array" ref="H363">INDEX($H$5:$H$61,MATCH(1,(D363=$C$5:$C$61)*(A363=$B$5:$B$61),0))</f>
        <v>#N/A</v>
      </c>
      <c r="I363" s="196" t="e" cm="1">
        <f t="array" ref="I363">INDEX($I$5:$I$61,MATCH(1,(D363=$C$5:$C$61)*(A363=$B$5:$B$61),0))</f>
        <v>#N/A</v>
      </c>
      <c r="J363" s="273"/>
      <c r="K363" s="273"/>
      <c r="L363" s="272"/>
      <c r="M363" s="273"/>
      <c r="N363" s="197"/>
      <c r="O363" s="200">
        <f t="shared" si="59"/>
        <v>0</v>
      </c>
      <c r="P363" s="274"/>
      <c r="Q363" s="274"/>
      <c r="R363" s="276"/>
      <c r="S363" s="274"/>
      <c r="T363" s="197">
        <f t="shared" si="60"/>
        <v>0</v>
      </c>
      <c r="U363" s="197">
        <f t="shared" si="61"/>
        <v>0</v>
      </c>
      <c r="V363" s="197">
        <f t="shared" si="62"/>
        <v>0</v>
      </c>
      <c r="W363" s="197">
        <f t="shared" si="63"/>
        <v>0</v>
      </c>
      <c r="Z363" s="197"/>
      <c r="AA363" s="228"/>
      <c r="AB363" s="228"/>
      <c r="AD363" s="228"/>
      <c r="AE363" s="228"/>
      <c r="AF363" s="228"/>
      <c r="AG363" s="228"/>
      <c r="AH363" s="228"/>
      <c r="AI363" s="228"/>
      <c r="AJ363" s="228"/>
      <c r="AK363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</row>
    <row r="364" spans="1:64" s="198" customFormat="1" x14ac:dyDescent="0.25">
      <c r="A364" s="290" t="str">
        <f t="shared" si="58"/>
        <v>Hudson View Park</v>
      </c>
      <c r="B364" s="195">
        <f t="shared" si="64"/>
        <v>266</v>
      </c>
      <c r="C364" s="196" t="str">
        <f t="shared" si="65"/>
        <v>Occ</v>
      </c>
      <c r="D364" s="196" t="e" cm="1">
        <f t="array" ref="D364">INDEX($C$5:$C$61,MATCH(1,(K364=$D$5:$D$61)*(A364=$B$5:$B$61),0))</f>
        <v>#N/A</v>
      </c>
      <c r="E364" s="196" t="e" cm="1">
        <f t="array" ref="E364">INDEX($E$5:$E$61,MATCH(1,(D364=$C$5:$C$61)*(A364=$B$5:$B$61),0))</f>
        <v>#N/A</v>
      </c>
      <c r="F364" s="196" t="e" cm="1">
        <f t="array" ref="F364">INDEX($F$5:$F$61,MATCH(1,(D364=$C$5:$C$61)*(A364=$B$5:$B$61),0))</f>
        <v>#N/A</v>
      </c>
      <c r="G364" s="196" t="e" cm="1">
        <f t="array" ref="G364">INDEX($G$5:$G$61,MATCH(1,(D364=$C$5:$C$61)*(A364=$B$5:$B$61),0))</f>
        <v>#N/A</v>
      </c>
      <c r="H364" s="196" t="e" cm="1">
        <f t="array" ref="H364">INDEX($H$5:$H$61,MATCH(1,(D364=$C$5:$C$61)*(A364=$B$5:$B$61),0))</f>
        <v>#N/A</v>
      </c>
      <c r="I364" s="196" t="e" cm="1">
        <f t="array" ref="I364">INDEX($I$5:$I$61,MATCH(1,(D364=$C$5:$C$61)*(A364=$B$5:$B$61),0))</f>
        <v>#N/A</v>
      </c>
      <c r="J364" s="273"/>
      <c r="K364" s="273"/>
      <c r="L364" s="272"/>
      <c r="M364" s="273"/>
      <c r="N364" s="197"/>
      <c r="O364" s="200">
        <f t="shared" si="59"/>
        <v>0</v>
      </c>
      <c r="P364" s="274"/>
      <c r="Q364" s="274"/>
      <c r="R364" s="276"/>
      <c r="S364" s="274"/>
      <c r="T364" s="197">
        <f t="shared" si="60"/>
        <v>0</v>
      </c>
      <c r="U364" s="197">
        <f t="shared" si="61"/>
        <v>0</v>
      </c>
      <c r="V364" s="197">
        <f t="shared" si="62"/>
        <v>0</v>
      </c>
      <c r="W364" s="197">
        <f t="shared" si="63"/>
        <v>0</v>
      </c>
      <c r="Z364" s="197"/>
      <c r="AA364" s="228"/>
      <c r="AB364" s="228"/>
      <c r="AD364" s="228"/>
      <c r="AE364" s="228"/>
      <c r="AF364" s="228"/>
      <c r="AG364" s="228"/>
      <c r="AH364" s="228"/>
      <c r="AI364" s="228"/>
      <c r="AJ364" s="228"/>
      <c r="AK364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</row>
    <row r="365" spans="1:64" s="198" customFormat="1" x14ac:dyDescent="0.25">
      <c r="A365" s="290" t="str">
        <f t="shared" si="58"/>
        <v>Hudson View Park</v>
      </c>
      <c r="B365" s="195">
        <f t="shared" si="64"/>
        <v>267</v>
      </c>
      <c r="C365" s="196" t="str">
        <f t="shared" si="65"/>
        <v>Occ</v>
      </c>
      <c r="D365" s="196" t="e" cm="1">
        <f t="array" ref="D365">INDEX($C$5:$C$61,MATCH(1,(K365=$D$5:$D$61)*(A365=$B$5:$B$61),0))</f>
        <v>#N/A</v>
      </c>
      <c r="E365" s="196" t="e" cm="1">
        <f t="array" ref="E365">INDEX($E$5:$E$61,MATCH(1,(D365=$C$5:$C$61)*(A365=$B$5:$B$61),0))</f>
        <v>#N/A</v>
      </c>
      <c r="F365" s="196" t="e" cm="1">
        <f t="array" ref="F365">INDEX($F$5:$F$61,MATCH(1,(D365=$C$5:$C$61)*(A365=$B$5:$B$61),0))</f>
        <v>#N/A</v>
      </c>
      <c r="G365" s="196" t="e" cm="1">
        <f t="array" ref="G365">INDEX($G$5:$G$61,MATCH(1,(D365=$C$5:$C$61)*(A365=$B$5:$B$61),0))</f>
        <v>#N/A</v>
      </c>
      <c r="H365" s="196" t="e" cm="1">
        <f t="array" ref="H365">INDEX($H$5:$H$61,MATCH(1,(D365=$C$5:$C$61)*(A365=$B$5:$B$61),0))</f>
        <v>#N/A</v>
      </c>
      <c r="I365" s="196" t="e" cm="1">
        <f t="array" ref="I365">INDEX($I$5:$I$61,MATCH(1,(D365=$C$5:$C$61)*(A365=$B$5:$B$61),0))</f>
        <v>#N/A</v>
      </c>
      <c r="J365" s="273"/>
      <c r="K365" s="273"/>
      <c r="L365" s="272"/>
      <c r="M365" s="273"/>
      <c r="N365" s="197"/>
      <c r="O365" s="200">
        <f t="shared" si="59"/>
        <v>0</v>
      </c>
      <c r="P365" s="274"/>
      <c r="Q365" s="274"/>
      <c r="R365" s="276"/>
      <c r="S365" s="274"/>
      <c r="T365" s="197">
        <f t="shared" si="60"/>
        <v>0</v>
      </c>
      <c r="U365" s="197">
        <f t="shared" si="61"/>
        <v>0</v>
      </c>
      <c r="V365" s="197">
        <f t="shared" si="62"/>
        <v>0</v>
      </c>
      <c r="W365" s="197">
        <f t="shared" si="63"/>
        <v>0</v>
      </c>
      <c r="Z365" s="197"/>
      <c r="AA365" s="228"/>
      <c r="AB365" s="228"/>
      <c r="AD365" s="228"/>
      <c r="AE365" s="228"/>
      <c r="AF365" s="228"/>
      <c r="AG365" s="228"/>
      <c r="AH365" s="228"/>
      <c r="AI365" s="228"/>
      <c r="AJ365" s="228"/>
      <c r="AK365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</row>
    <row r="366" spans="1:64" s="198" customFormat="1" x14ac:dyDescent="0.25">
      <c r="A366" s="290" t="str">
        <f t="shared" si="58"/>
        <v>Hudson View Park</v>
      </c>
      <c r="B366" s="195">
        <f t="shared" si="64"/>
        <v>268</v>
      </c>
      <c r="C366" s="196" t="str">
        <f t="shared" si="65"/>
        <v>Occ</v>
      </c>
      <c r="D366" s="196" t="e" cm="1">
        <f t="array" ref="D366">INDEX($C$5:$C$61,MATCH(1,(K366=$D$5:$D$61)*(A366=$B$5:$B$61),0))</f>
        <v>#N/A</v>
      </c>
      <c r="E366" s="196" t="e" cm="1">
        <f t="array" ref="E366">INDEX($E$5:$E$61,MATCH(1,(D366=$C$5:$C$61)*(A366=$B$5:$B$61),0))</f>
        <v>#N/A</v>
      </c>
      <c r="F366" s="196" t="e" cm="1">
        <f t="array" ref="F366">INDEX($F$5:$F$61,MATCH(1,(D366=$C$5:$C$61)*(A366=$B$5:$B$61),0))</f>
        <v>#N/A</v>
      </c>
      <c r="G366" s="196" t="e" cm="1">
        <f t="array" ref="G366">INDEX($G$5:$G$61,MATCH(1,(D366=$C$5:$C$61)*(A366=$B$5:$B$61),0))</f>
        <v>#N/A</v>
      </c>
      <c r="H366" s="196" t="e" cm="1">
        <f t="array" ref="H366">INDEX($H$5:$H$61,MATCH(1,(D366=$C$5:$C$61)*(A366=$B$5:$B$61),0))</f>
        <v>#N/A</v>
      </c>
      <c r="I366" s="196" t="e" cm="1">
        <f t="array" ref="I366">INDEX($I$5:$I$61,MATCH(1,(D366=$C$5:$C$61)*(A366=$B$5:$B$61),0))</f>
        <v>#N/A</v>
      </c>
      <c r="J366" s="273"/>
      <c r="K366" s="273"/>
      <c r="L366" s="272"/>
      <c r="M366" s="273"/>
      <c r="N366" s="197"/>
      <c r="O366" s="200">
        <f t="shared" si="59"/>
        <v>0</v>
      </c>
      <c r="P366" s="274"/>
      <c r="Q366" s="274"/>
      <c r="R366" s="276"/>
      <c r="S366" s="274"/>
      <c r="T366" s="197">
        <f t="shared" si="60"/>
        <v>0</v>
      </c>
      <c r="U366" s="197">
        <f t="shared" si="61"/>
        <v>0</v>
      </c>
      <c r="V366" s="197">
        <f t="shared" si="62"/>
        <v>0</v>
      </c>
      <c r="W366" s="197">
        <f t="shared" si="63"/>
        <v>0</v>
      </c>
      <c r="Z366" s="197"/>
      <c r="AA366" s="228"/>
      <c r="AB366" s="228"/>
      <c r="AD366" s="228"/>
      <c r="AE366" s="228"/>
      <c r="AF366" s="228"/>
      <c r="AG366" s="228"/>
      <c r="AH366" s="228"/>
      <c r="AI366" s="228"/>
      <c r="AJ366" s="228"/>
      <c r="AK366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</row>
    <row r="367" spans="1:64" s="198" customFormat="1" x14ac:dyDescent="0.25">
      <c r="A367" s="290" t="str">
        <f t="shared" si="58"/>
        <v>Hudson View Park</v>
      </c>
      <c r="B367" s="195">
        <f t="shared" si="64"/>
        <v>269</v>
      </c>
      <c r="C367" s="196" t="str">
        <f t="shared" si="65"/>
        <v>Occ</v>
      </c>
      <c r="D367" s="196" t="e" cm="1">
        <f t="array" ref="D367">INDEX($C$5:$C$61,MATCH(1,(K367=$D$5:$D$61)*(A367=$B$5:$B$61),0))</f>
        <v>#N/A</v>
      </c>
      <c r="E367" s="196" t="e" cm="1">
        <f t="array" ref="E367">INDEX($E$5:$E$61,MATCH(1,(D367=$C$5:$C$61)*(A367=$B$5:$B$61),0))</f>
        <v>#N/A</v>
      </c>
      <c r="F367" s="196" t="e" cm="1">
        <f t="array" ref="F367">INDEX($F$5:$F$61,MATCH(1,(D367=$C$5:$C$61)*(A367=$B$5:$B$61),0))</f>
        <v>#N/A</v>
      </c>
      <c r="G367" s="196" t="e" cm="1">
        <f t="array" ref="G367">INDEX($G$5:$G$61,MATCH(1,(D367=$C$5:$C$61)*(A367=$B$5:$B$61),0))</f>
        <v>#N/A</v>
      </c>
      <c r="H367" s="196" t="e" cm="1">
        <f t="array" ref="H367">INDEX($H$5:$H$61,MATCH(1,(D367=$C$5:$C$61)*(A367=$B$5:$B$61),0))</f>
        <v>#N/A</v>
      </c>
      <c r="I367" s="196" t="e" cm="1">
        <f t="array" ref="I367">INDEX($I$5:$I$61,MATCH(1,(D367=$C$5:$C$61)*(A367=$B$5:$B$61),0))</f>
        <v>#N/A</v>
      </c>
      <c r="J367" s="273"/>
      <c r="K367" s="273"/>
      <c r="L367" s="272"/>
      <c r="M367" s="273"/>
      <c r="N367" s="197"/>
      <c r="O367" s="200">
        <f t="shared" si="59"/>
        <v>0</v>
      </c>
      <c r="P367" s="274"/>
      <c r="Q367" s="274"/>
      <c r="R367" s="276"/>
      <c r="S367" s="274"/>
      <c r="T367" s="197">
        <f t="shared" si="60"/>
        <v>0</v>
      </c>
      <c r="U367" s="197">
        <f t="shared" si="61"/>
        <v>0</v>
      </c>
      <c r="V367" s="197">
        <f t="shared" si="62"/>
        <v>0</v>
      </c>
      <c r="W367" s="197">
        <f t="shared" si="63"/>
        <v>0</v>
      </c>
      <c r="Z367" s="197"/>
      <c r="AA367" s="228"/>
      <c r="AB367" s="228"/>
      <c r="AD367" s="228"/>
      <c r="AE367" s="228"/>
      <c r="AF367" s="228"/>
      <c r="AG367" s="228"/>
      <c r="AH367" s="228"/>
      <c r="AI367" s="228"/>
      <c r="AJ367" s="228"/>
      <c r="AK367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</row>
    <row r="368" spans="1:64" s="198" customFormat="1" x14ac:dyDescent="0.25">
      <c r="A368" s="290" t="str">
        <f t="shared" si="58"/>
        <v>Hudson View Park</v>
      </c>
      <c r="B368" s="195">
        <f t="shared" si="64"/>
        <v>270</v>
      </c>
      <c r="C368" s="196" t="str">
        <f t="shared" si="65"/>
        <v>Occ</v>
      </c>
      <c r="D368" s="196" t="e" cm="1">
        <f t="array" ref="D368">INDEX($C$5:$C$61,MATCH(1,(K368=$D$5:$D$61)*(A368=$B$5:$B$61),0))</f>
        <v>#N/A</v>
      </c>
      <c r="E368" s="196" t="e" cm="1">
        <f t="array" ref="E368">INDEX($E$5:$E$61,MATCH(1,(D368=$C$5:$C$61)*(A368=$B$5:$B$61),0))</f>
        <v>#N/A</v>
      </c>
      <c r="F368" s="196" t="e" cm="1">
        <f t="array" ref="F368">INDEX($F$5:$F$61,MATCH(1,(D368=$C$5:$C$61)*(A368=$B$5:$B$61),0))</f>
        <v>#N/A</v>
      </c>
      <c r="G368" s="196" t="e" cm="1">
        <f t="array" ref="G368">INDEX($G$5:$G$61,MATCH(1,(D368=$C$5:$C$61)*(A368=$B$5:$B$61),0))</f>
        <v>#N/A</v>
      </c>
      <c r="H368" s="196" t="e" cm="1">
        <f t="array" ref="H368">INDEX($H$5:$H$61,MATCH(1,(D368=$C$5:$C$61)*(A368=$B$5:$B$61),0))</f>
        <v>#N/A</v>
      </c>
      <c r="I368" s="196" t="e" cm="1">
        <f t="array" ref="I368">INDEX($I$5:$I$61,MATCH(1,(D368=$C$5:$C$61)*(A368=$B$5:$B$61),0))</f>
        <v>#N/A</v>
      </c>
      <c r="J368" s="273"/>
      <c r="K368" s="273"/>
      <c r="L368" s="272"/>
      <c r="M368" s="273"/>
      <c r="N368" s="197"/>
      <c r="O368" s="200">
        <f t="shared" si="59"/>
        <v>0</v>
      </c>
      <c r="P368" s="274"/>
      <c r="Q368" s="274"/>
      <c r="R368" s="276"/>
      <c r="S368" s="274"/>
      <c r="T368" s="197">
        <f t="shared" si="60"/>
        <v>0</v>
      </c>
      <c r="U368" s="197">
        <f t="shared" si="61"/>
        <v>0</v>
      </c>
      <c r="V368" s="197">
        <f t="shared" si="62"/>
        <v>0</v>
      </c>
      <c r="W368" s="197">
        <f t="shared" si="63"/>
        <v>0</v>
      </c>
      <c r="Z368" s="197"/>
      <c r="AA368" s="228"/>
      <c r="AB368" s="228"/>
      <c r="AD368" s="228"/>
      <c r="AE368" s="228"/>
      <c r="AF368" s="228"/>
      <c r="AG368" s="228"/>
      <c r="AH368" s="228"/>
      <c r="AI368" s="228"/>
      <c r="AJ368" s="228"/>
      <c r="AK36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</row>
    <row r="369" spans="1:64" s="198" customFormat="1" x14ac:dyDescent="0.25">
      <c r="A369" s="290" t="str">
        <f t="shared" si="58"/>
        <v>Hudson View Park</v>
      </c>
      <c r="B369" s="195">
        <f t="shared" si="64"/>
        <v>271</v>
      </c>
      <c r="C369" s="196" t="str">
        <f t="shared" si="65"/>
        <v>Occ</v>
      </c>
      <c r="D369" s="196" t="e" cm="1">
        <f t="array" ref="D369">INDEX($C$5:$C$61,MATCH(1,(K369=$D$5:$D$61)*(A369=$B$5:$B$61),0))</f>
        <v>#N/A</v>
      </c>
      <c r="E369" s="196" t="e" cm="1">
        <f t="array" ref="E369">INDEX($E$5:$E$61,MATCH(1,(D369=$C$5:$C$61)*(A369=$B$5:$B$61),0))</f>
        <v>#N/A</v>
      </c>
      <c r="F369" s="196" t="e" cm="1">
        <f t="array" ref="F369">INDEX($F$5:$F$61,MATCH(1,(D369=$C$5:$C$61)*(A369=$B$5:$B$61),0))</f>
        <v>#N/A</v>
      </c>
      <c r="G369" s="196" t="e" cm="1">
        <f t="array" ref="G369">INDEX($G$5:$G$61,MATCH(1,(D369=$C$5:$C$61)*(A369=$B$5:$B$61),0))</f>
        <v>#N/A</v>
      </c>
      <c r="H369" s="196" t="e" cm="1">
        <f t="array" ref="H369">INDEX($H$5:$H$61,MATCH(1,(D369=$C$5:$C$61)*(A369=$B$5:$B$61),0))</f>
        <v>#N/A</v>
      </c>
      <c r="I369" s="196" t="e" cm="1">
        <f t="array" ref="I369">INDEX($I$5:$I$61,MATCH(1,(D369=$C$5:$C$61)*(A369=$B$5:$B$61),0))</f>
        <v>#N/A</v>
      </c>
      <c r="J369" s="273"/>
      <c r="K369" s="273"/>
      <c r="L369" s="272"/>
      <c r="M369" s="273"/>
      <c r="N369" s="197"/>
      <c r="O369" s="200">
        <f t="shared" si="59"/>
        <v>0</v>
      </c>
      <c r="P369" s="274"/>
      <c r="Q369" s="274"/>
      <c r="R369" s="276"/>
      <c r="S369" s="274"/>
      <c r="T369" s="197">
        <f t="shared" si="60"/>
        <v>0</v>
      </c>
      <c r="U369" s="197">
        <f t="shared" si="61"/>
        <v>0</v>
      </c>
      <c r="V369" s="197">
        <f t="shared" si="62"/>
        <v>0</v>
      </c>
      <c r="W369" s="197">
        <f t="shared" si="63"/>
        <v>0</v>
      </c>
      <c r="Z369" s="197"/>
      <c r="AA369" s="228"/>
      <c r="AB369" s="228"/>
      <c r="AD369" s="228"/>
      <c r="AE369" s="228"/>
      <c r="AF369" s="228"/>
      <c r="AG369" s="228"/>
      <c r="AH369" s="228"/>
      <c r="AI369" s="228"/>
      <c r="AJ369" s="228"/>
      <c r="AK369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</row>
    <row r="370" spans="1:64" s="198" customFormat="1" x14ac:dyDescent="0.25">
      <c r="A370" s="290" t="str">
        <f t="shared" si="58"/>
        <v>Hudson View Park</v>
      </c>
      <c r="B370" s="195">
        <f t="shared" si="64"/>
        <v>272</v>
      </c>
      <c r="C370" s="196" t="str">
        <f t="shared" si="65"/>
        <v>Occ</v>
      </c>
      <c r="D370" s="196" t="e" cm="1">
        <f t="array" ref="D370">INDEX($C$5:$C$61,MATCH(1,(K370=$D$5:$D$61)*(A370=$B$5:$B$61),0))</f>
        <v>#N/A</v>
      </c>
      <c r="E370" s="196" t="e" cm="1">
        <f t="array" ref="E370">INDEX($E$5:$E$61,MATCH(1,(D370=$C$5:$C$61)*(A370=$B$5:$B$61),0))</f>
        <v>#N/A</v>
      </c>
      <c r="F370" s="196" t="e" cm="1">
        <f t="array" ref="F370">INDEX($F$5:$F$61,MATCH(1,(D370=$C$5:$C$61)*(A370=$B$5:$B$61),0))</f>
        <v>#N/A</v>
      </c>
      <c r="G370" s="196" t="e" cm="1">
        <f t="array" ref="G370">INDEX($G$5:$G$61,MATCH(1,(D370=$C$5:$C$61)*(A370=$B$5:$B$61),0))</f>
        <v>#N/A</v>
      </c>
      <c r="H370" s="196" t="e" cm="1">
        <f t="array" ref="H370">INDEX($H$5:$H$61,MATCH(1,(D370=$C$5:$C$61)*(A370=$B$5:$B$61),0))</f>
        <v>#N/A</v>
      </c>
      <c r="I370" s="196" t="e" cm="1">
        <f t="array" ref="I370">INDEX($I$5:$I$61,MATCH(1,(D370=$C$5:$C$61)*(A370=$B$5:$B$61),0))</f>
        <v>#N/A</v>
      </c>
      <c r="J370" s="273"/>
      <c r="K370" s="273"/>
      <c r="L370" s="272"/>
      <c r="M370" s="273"/>
      <c r="N370" s="197"/>
      <c r="O370" s="200">
        <f t="shared" si="59"/>
        <v>0</v>
      </c>
      <c r="P370" s="274"/>
      <c r="Q370" s="274"/>
      <c r="R370" s="276"/>
      <c r="S370" s="274"/>
      <c r="T370" s="197">
        <f t="shared" si="60"/>
        <v>0</v>
      </c>
      <c r="U370" s="197">
        <f t="shared" si="61"/>
        <v>0</v>
      </c>
      <c r="V370" s="197">
        <f t="shared" si="62"/>
        <v>0</v>
      </c>
      <c r="W370" s="197">
        <f t="shared" si="63"/>
        <v>0</v>
      </c>
      <c r="Z370" s="197"/>
      <c r="AA370" s="228"/>
      <c r="AB370" s="228"/>
      <c r="AD370" s="228"/>
      <c r="AE370" s="228"/>
      <c r="AF370" s="228"/>
      <c r="AG370" s="228"/>
      <c r="AH370" s="228"/>
      <c r="AI370" s="228"/>
      <c r="AJ370" s="228"/>
      <c r="AK370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</row>
    <row r="371" spans="1:64" s="198" customFormat="1" x14ac:dyDescent="0.25">
      <c r="A371" s="290" t="str">
        <f t="shared" si="58"/>
        <v>Hudson View Park</v>
      </c>
      <c r="B371" s="195">
        <f t="shared" si="64"/>
        <v>273</v>
      </c>
      <c r="C371" s="196" t="str">
        <f t="shared" si="65"/>
        <v>Occ</v>
      </c>
      <c r="D371" s="196" t="e" cm="1">
        <f t="array" ref="D371">INDEX($C$5:$C$61,MATCH(1,(K371=$D$5:$D$61)*(A371=$B$5:$B$61),0))</f>
        <v>#N/A</v>
      </c>
      <c r="E371" s="196" t="e" cm="1">
        <f t="array" ref="E371">INDEX($E$5:$E$61,MATCH(1,(D371=$C$5:$C$61)*(A371=$B$5:$B$61),0))</f>
        <v>#N/A</v>
      </c>
      <c r="F371" s="196" t="e" cm="1">
        <f t="array" ref="F371">INDEX($F$5:$F$61,MATCH(1,(D371=$C$5:$C$61)*(A371=$B$5:$B$61),0))</f>
        <v>#N/A</v>
      </c>
      <c r="G371" s="196" t="e" cm="1">
        <f t="array" ref="G371">INDEX($G$5:$G$61,MATCH(1,(D371=$C$5:$C$61)*(A371=$B$5:$B$61),0))</f>
        <v>#N/A</v>
      </c>
      <c r="H371" s="196" t="e" cm="1">
        <f t="array" ref="H371">INDEX($H$5:$H$61,MATCH(1,(D371=$C$5:$C$61)*(A371=$B$5:$B$61),0))</f>
        <v>#N/A</v>
      </c>
      <c r="I371" s="196" t="e" cm="1">
        <f t="array" ref="I371">INDEX($I$5:$I$61,MATCH(1,(D371=$C$5:$C$61)*(A371=$B$5:$B$61),0))</f>
        <v>#N/A</v>
      </c>
      <c r="J371" s="273"/>
      <c r="K371" s="273"/>
      <c r="L371" s="272"/>
      <c r="M371" s="273"/>
      <c r="N371" s="197"/>
      <c r="O371" s="200">
        <f t="shared" si="59"/>
        <v>0</v>
      </c>
      <c r="P371" s="274"/>
      <c r="Q371" s="274"/>
      <c r="R371" s="276"/>
      <c r="S371" s="274"/>
      <c r="T371" s="197">
        <f t="shared" si="60"/>
        <v>0</v>
      </c>
      <c r="U371" s="197">
        <f t="shared" si="61"/>
        <v>0</v>
      </c>
      <c r="V371" s="197">
        <f t="shared" si="62"/>
        <v>0</v>
      </c>
      <c r="W371" s="197">
        <f t="shared" si="63"/>
        <v>0</v>
      </c>
      <c r="Z371" s="197"/>
      <c r="AA371" s="228"/>
      <c r="AB371" s="228"/>
      <c r="AD371" s="228"/>
      <c r="AE371" s="228"/>
      <c r="AF371" s="228"/>
      <c r="AG371" s="228"/>
      <c r="AH371" s="228"/>
      <c r="AI371" s="228"/>
      <c r="AJ371" s="228"/>
      <c r="AK371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</row>
    <row r="372" spans="1:64" s="198" customFormat="1" x14ac:dyDescent="0.25">
      <c r="A372" s="290" t="str">
        <f t="shared" si="58"/>
        <v>Hudson View Park</v>
      </c>
      <c r="B372" s="195">
        <f t="shared" si="64"/>
        <v>274</v>
      </c>
      <c r="C372" s="196" t="str">
        <f t="shared" si="65"/>
        <v>Occ</v>
      </c>
      <c r="D372" s="196" t="e" cm="1">
        <f t="array" ref="D372">INDEX($C$5:$C$61,MATCH(1,(K372=$D$5:$D$61)*(A372=$B$5:$B$61),0))</f>
        <v>#N/A</v>
      </c>
      <c r="E372" s="196" t="e" cm="1">
        <f t="array" ref="E372">INDEX($E$5:$E$61,MATCH(1,(D372=$C$5:$C$61)*(A372=$B$5:$B$61),0))</f>
        <v>#N/A</v>
      </c>
      <c r="F372" s="196" t="e" cm="1">
        <f t="array" ref="F372">INDEX($F$5:$F$61,MATCH(1,(D372=$C$5:$C$61)*(A372=$B$5:$B$61),0))</f>
        <v>#N/A</v>
      </c>
      <c r="G372" s="196" t="e" cm="1">
        <f t="array" ref="G372">INDEX($G$5:$G$61,MATCH(1,(D372=$C$5:$C$61)*(A372=$B$5:$B$61),0))</f>
        <v>#N/A</v>
      </c>
      <c r="H372" s="196" t="e" cm="1">
        <f t="array" ref="H372">INDEX($H$5:$H$61,MATCH(1,(D372=$C$5:$C$61)*(A372=$B$5:$B$61),0))</f>
        <v>#N/A</v>
      </c>
      <c r="I372" s="196" t="e" cm="1">
        <f t="array" ref="I372">INDEX($I$5:$I$61,MATCH(1,(D372=$C$5:$C$61)*(A372=$B$5:$B$61),0))</f>
        <v>#N/A</v>
      </c>
      <c r="J372" s="273"/>
      <c r="K372" s="273"/>
      <c r="L372" s="272"/>
      <c r="M372" s="273"/>
      <c r="N372" s="197"/>
      <c r="O372" s="200">
        <f t="shared" si="59"/>
        <v>0</v>
      </c>
      <c r="P372" s="274"/>
      <c r="Q372" s="274"/>
      <c r="R372" s="276"/>
      <c r="S372" s="274"/>
      <c r="T372" s="197">
        <f t="shared" si="60"/>
        <v>0</v>
      </c>
      <c r="U372" s="197">
        <f t="shared" si="61"/>
        <v>0</v>
      </c>
      <c r="V372" s="197">
        <f t="shared" si="62"/>
        <v>0</v>
      </c>
      <c r="W372" s="197">
        <f t="shared" si="63"/>
        <v>0</v>
      </c>
      <c r="Z372" s="197"/>
      <c r="AA372" s="228"/>
      <c r="AB372" s="228"/>
      <c r="AD372" s="228"/>
      <c r="AE372" s="228"/>
      <c r="AF372" s="228"/>
      <c r="AG372" s="228"/>
      <c r="AH372" s="228"/>
      <c r="AI372" s="228"/>
      <c r="AJ372" s="228"/>
      <c r="AK372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</row>
    <row r="373" spans="1:64" s="198" customFormat="1" x14ac:dyDescent="0.25">
      <c r="A373" s="290" t="str">
        <f t="shared" si="58"/>
        <v>Hudson View Park</v>
      </c>
      <c r="B373" s="195">
        <f t="shared" si="64"/>
        <v>275</v>
      </c>
      <c r="C373" s="196" t="str">
        <f t="shared" si="65"/>
        <v>Occ</v>
      </c>
      <c r="D373" s="196" t="e" cm="1">
        <f t="array" ref="D373">INDEX($C$5:$C$61,MATCH(1,(K373=$D$5:$D$61)*(A373=$B$5:$B$61),0))</f>
        <v>#N/A</v>
      </c>
      <c r="E373" s="196" t="e" cm="1">
        <f t="array" ref="E373">INDEX($E$5:$E$61,MATCH(1,(D373=$C$5:$C$61)*(A373=$B$5:$B$61),0))</f>
        <v>#N/A</v>
      </c>
      <c r="F373" s="196" t="e" cm="1">
        <f t="array" ref="F373">INDEX($F$5:$F$61,MATCH(1,(D373=$C$5:$C$61)*(A373=$B$5:$B$61),0))</f>
        <v>#N/A</v>
      </c>
      <c r="G373" s="196" t="e" cm="1">
        <f t="array" ref="G373">INDEX($G$5:$G$61,MATCH(1,(D373=$C$5:$C$61)*(A373=$B$5:$B$61),0))</f>
        <v>#N/A</v>
      </c>
      <c r="H373" s="196" t="e" cm="1">
        <f t="array" ref="H373">INDEX($H$5:$H$61,MATCH(1,(D373=$C$5:$C$61)*(A373=$B$5:$B$61),0))</f>
        <v>#N/A</v>
      </c>
      <c r="I373" s="196" t="e" cm="1">
        <f t="array" ref="I373">INDEX($I$5:$I$61,MATCH(1,(D373=$C$5:$C$61)*(A373=$B$5:$B$61),0))</f>
        <v>#N/A</v>
      </c>
      <c r="J373" s="273"/>
      <c r="K373" s="273"/>
      <c r="L373" s="272"/>
      <c r="M373" s="273"/>
      <c r="N373" s="197"/>
      <c r="O373" s="200">
        <f t="shared" si="59"/>
        <v>0</v>
      </c>
      <c r="P373" s="274"/>
      <c r="Q373" s="274"/>
      <c r="R373" s="276"/>
      <c r="S373" s="274"/>
      <c r="T373" s="197">
        <f t="shared" si="60"/>
        <v>0</v>
      </c>
      <c r="U373" s="197">
        <f t="shared" si="61"/>
        <v>0</v>
      </c>
      <c r="V373" s="197">
        <f t="shared" si="62"/>
        <v>0</v>
      </c>
      <c r="W373" s="197">
        <f t="shared" si="63"/>
        <v>0</v>
      </c>
      <c r="Z373" s="197"/>
      <c r="AA373" s="228"/>
      <c r="AB373" s="228"/>
      <c r="AD373" s="228"/>
      <c r="AE373" s="228"/>
      <c r="AF373" s="228"/>
      <c r="AG373" s="228"/>
      <c r="AH373" s="228"/>
      <c r="AI373" s="228"/>
      <c r="AJ373" s="228"/>
      <c r="AK373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</row>
    <row r="374" spans="1:64" s="198" customFormat="1" x14ac:dyDescent="0.25">
      <c r="A374" s="290" t="str">
        <f t="shared" si="58"/>
        <v>Hudson View Park</v>
      </c>
      <c r="B374" s="195">
        <f t="shared" si="64"/>
        <v>276</v>
      </c>
      <c r="C374" s="196" t="str">
        <f t="shared" si="65"/>
        <v>Occ</v>
      </c>
      <c r="D374" s="196" t="e" cm="1">
        <f t="array" ref="D374">INDEX($C$5:$C$61,MATCH(1,(K374=$D$5:$D$61)*(A374=$B$5:$B$61),0))</f>
        <v>#N/A</v>
      </c>
      <c r="E374" s="196" t="e" cm="1">
        <f t="array" ref="E374">INDEX($E$5:$E$61,MATCH(1,(D374=$C$5:$C$61)*(A374=$B$5:$B$61),0))</f>
        <v>#N/A</v>
      </c>
      <c r="F374" s="196" t="e" cm="1">
        <f t="array" ref="F374">INDEX($F$5:$F$61,MATCH(1,(D374=$C$5:$C$61)*(A374=$B$5:$B$61),0))</f>
        <v>#N/A</v>
      </c>
      <c r="G374" s="196" t="e" cm="1">
        <f t="array" ref="G374">INDEX($G$5:$G$61,MATCH(1,(D374=$C$5:$C$61)*(A374=$B$5:$B$61),0))</f>
        <v>#N/A</v>
      </c>
      <c r="H374" s="196" t="e" cm="1">
        <f t="array" ref="H374">INDEX($H$5:$H$61,MATCH(1,(D374=$C$5:$C$61)*(A374=$B$5:$B$61),0))</f>
        <v>#N/A</v>
      </c>
      <c r="I374" s="196" t="e" cm="1">
        <f t="array" ref="I374">INDEX($I$5:$I$61,MATCH(1,(D374=$C$5:$C$61)*(A374=$B$5:$B$61),0))</f>
        <v>#N/A</v>
      </c>
      <c r="J374" s="273"/>
      <c r="K374" s="273"/>
      <c r="L374" s="272"/>
      <c r="M374" s="273"/>
      <c r="N374" s="197"/>
      <c r="O374" s="200">
        <f t="shared" si="59"/>
        <v>0</v>
      </c>
      <c r="P374" s="274"/>
      <c r="Q374" s="274"/>
      <c r="R374" s="276"/>
      <c r="S374" s="274"/>
      <c r="T374" s="197">
        <f t="shared" si="60"/>
        <v>0</v>
      </c>
      <c r="U374" s="197">
        <f t="shared" si="61"/>
        <v>0</v>
      </c>
      <c r="V374" s="197">
        <f t="shared" si="62"/>
        <v>0</v>
      </c>
      <c r="W374" s="197">
        <f t="shared" si="63"/>
        <v>0</v>
      </c>
      <c r="Z374" s="197"/>
      <c r="AA374" s="228"/>
      <c r="AB374" s="228"/>
      <c r="AD374" s="228"/>
      <c r="AE374" s="228"/>
      <c r="AF374" s="228"/>
      <c r="AG374" s="228"/>
      <c r="AH374" s="228"/>
      <c r="AI374" s="228"/>
      <c r="AJ374" s="228"/>
      <c r="AK374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</row>
    <row r="375" spans="1:64" s="198" customFormat="1" x14ac:dyDescent="0.25">
      <c r="A375" s="290" t="str">
        <f t="shared" si="58"/>
        <v>Hudson View Park</v>
      </c>
      <c r="B375" s="195">
        <f t="shared" si="64"/>
        <v>277</v>
      </c>
      <c r="C375" s="196" t="str">
        <f t="shared" si="65"/>
        <v>Occ</v>
      </c>
      <c r="D375" s="196" t="e" cm="1">
        <f t="array" ref="D375">INDEX($C$5:$C$61,MATCH(1,(K375=$D$5:$D$61)*(A375=$B$5:$B$61),0))</f>
        <v>#N/A</v>
      </c>
      <c r="E375" s="196" t="e" cm="1">
        <f t="array" ref="E375">INDEX($E$5:$E$61,MATCH(1,(D375=$C$5:$C$61)*(A375=$B$5:$B$61),0))</f>
        <v>#N/A</v>
      </c>
      <c r="F375" s="196" t="e" cm="1">
        <f t="array" ref="F375">INDEX($F$5:$F$61,MATCH(1,(D375=$C$5:$C$61)*(A375=$B$5:$B$61),0))</f>
        <v>#N/A</v>
      </c>
      <c r="G375" s="196" t="e" cm="1">
        <f t="array" ref="G375">INDEX($G$5:$G$61,MATCH(1,(D375=$C$5:$C$61)*(A375=$B$5:$B$61),0))</f>
        <v>#N/A</v>
      </c>
      <c r="H375" s="196" t="e" cm="1">
        <f t="array" ref="H375">INDEX($H$5:$H$61,MATCH(1,(D375=$C$5:$C$61)*(A375=$B$5:$B$61),0))</f>
        <v>#N/A</v>
      </c>
      <c r="I375" s="196" t="e" cm="1">
        <f t="array" ref="I375">INDEX($I$5:$I$61,MATCH(1,(D375=$C$5:$C$61)*(A375=$B$5:$B$61),0))</f>
        <v>#N/A</v>
      </c>
      <c r="J375" s="273"/>
      <c r="K375" s="273"/>
      <c r="L375" s="272"/>
      <c r="M375" s="273"/>
      <c r="N375" s="197"/>
      <c r="O375" s="200">
        <f t="shared" si="59"/>
        <v>0</v>
      </c>
      <c r="P375" s="274"/>
      <c r="Q375" s="274"/>
      <c r="R375" s="276"/>
      <c r="S375" s="274"/>
      <c r="T375" s="197">
        <f t="shared" si="60"/>
        <v>0</v>
      </c>
      <c r="U375" s="197">
        <f t="shared" si="61"/>
        <v>0</v>
      </c>
      <c r="V375" s="197">
        <f t="shared" si="62"/>
        <v>0</v>
      </c>
      <c r="W375" s="197">
        <f t="shared" si="63"/>
        <v>0</v>
      </c>
      <c r="Z375" s="197"/>
      <c r="AA375" s="228"/>
      <c r="AB375" s="228"/>
      <c r="AD375" s="228"/>
      <c r="AE375" s="228"/>
      <c r="AF375" s="228"/>
      <c r="AG375" s="228"/>
      <c r="AH375" s="228"/>
      <c r="AI375" s="228"/>
      <c r="AJ375" s="228"/>
      <c r="AK375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</row>
    <row r="376" spans="1:64" s="198" customFormat="1" x14ac:dyDescent="0.25">
      <c r="A376" s="290" t="str">
        <f t="shared" ref="A376:A439" si="66">$C$67</f>
        <v>Hudson View Park</v>
      </c>
      <c r="B376" s="195">
        <f t="shared" si="64"/>
        <v>278</v>
      </c>
      <c r="C376" s="196" t="str">
        <f t="shared" si="65"/>
        <v>Occ</v>
      </c>
      <c r="D376" s="196" t="e" cm="1">
        <f t="array" ref="D376">INDEX($C$5:$C$61,MATCH(1,(K376=$D$5:$D$61)*(A376=$B$5:$B$61),0))</f>
        <v>#N/A</v>
      </c>
      <c r="E376" s="196" t="e" cm="1">
        <f t="array" ref="E376">INDEX($E$5:$E$61,MATCH(1,(D376=$C$5:$C$61)*(A376=$B$5:$B$61),0))</f>
        <v>#N/A</v>
      </c>
      <c r="F376" s="196" t="e" cm="1">
        <f t="array" ref="F376">INDEX($F$5:$F$61,MATCH(1,(D376=$C$5:$C$61)*(A376=$B$5:$B$61),0))</f>
        <v>#N/A</v>
      </c>
      <c r="G376" s="196" t="e" cm="1">
        <f t="array" ref="G376">INDEX($G$5:$G$61,MATCH(1,(D376=$C$5:$C$61)*(A376=$B$5:$B$61),0))</f>
        <v>#N/A</v>
      </c>
      <c r="H376" s="196" t="e" cm="1">
        <f t="array" ref="H376">INDEX($H$5:$H$61,MATCH(1,(D376=$C$5:$C$61)*(A376=$B$5:$B$61),0))</f>
        <v>#N/A</v>
      </c>
      <c r="I376" s="196" t="e" cm="1">
        <f t="array" ref="I376">INDEX($I$5:$I$61,MATCH(1,(D376=$C$5:$C$61)*(A376=$B$5:$B$61),0))</f>
        <v>#N/A</v>
      </c>
      <c r="J376" s="273"/>
      <c r="K376" s="273"/>
      <c r="L376" s="272"/>
      <c r="M376" s="273"/>
      <c r="N376" s="197"/>
      <c r="O376" s="200">
        <f t="shared" si="59"/>
        <v>0</v>
      </c>
      <c r="P376" s="274"/>
      <c r="Q376" s="274"/>
      <c r="R376" s="276"/>
      <c r="S376" s="274"/>
      <c r="T376" s="197">
        <f t="shared" si="60"/>
        <v>0</v>
      </c>
      <c r="U376" s="197">
        <f t="shared" si="61"/>
        <v>0</v>
      </c>
      <c r="V376" s="197">
        <f t="shared" si="62"/>
        <v>0</v>
      </c>
      <c r="W376" s="197">
        <f t="shared" si="63"/>
        <v>0</v>
      </c>
      <c r="Z376" s="197"/>
      <c r="AA376" s="228"/>
      <c r="AB376" s="228"/>
      <c r="AD376" s="228"/>
      <c r="AE376" s="228"/>
      <c r="AF376" s="228"/>
      <c r="AG376" s="228"/>
      <c r="AH376" s="228"/>
      <c r="AI376" s="228"/>
      <c r="AJ376" s="228"/>
      <c r="AK376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</row>
    <row r="377" spans="1:64" s="198" customFormat="1" x14ac:dyDescent="0.25">
      <c r="A377" s="290" t="str">
        <f t="shared" si="66"/>
        <v>Hudson View Park</v>
      </c>
      <c r="B377" s="195">
        <f t="shared" si="64"/>
        <v>279</v>
      </c>
      <c r="C377" s="196" t="str">
        <f t="shared" si="65"/>
        <v>Occ</v>
      </c>
      <c r="D377" s="196" t="e" cm="1">
        <f t="array" ref="D377">INDEX($C$5:$C$61,MATCH(1,(K377=$D$5:$D$61)*(A377=$B$5:$B$61),0))</f>
        <v>#N/A</v>
      </c>
      <c r="E377" s="196" t="e" cm="1">
        <f t="array" ref="E377">INDEX($E$5:$E$61,MATCH(1,(D377=$C$5:$C$61)*(A377=$B$5:$B$61),0))</f>
        <v>#N/A</v>
      </c>
      <c r="F377" s="196" t="e" cm="1">
        <f t="array" ref="F377">INDEX($F$5:$F$61,MATCH(1,(D377=$C$5:$C$61)*(A377=$B$5:$B$61),0))</f>
        <v>#N/A</v>
      </c>
      <c r="G377" s="196" t="e" cm="1">
        <f t="array" ref="G377">INDEX($G$5:$G$61,MATCH(1,(D377=$C$5:$C$61)*(A377=$B$5:$B$61),0))</f>
        <v>#N/A</v>
      </c>
      <c r="H377" s="196" t="e" cm="1">
        <f t="array" ref="H377">INDEX($H$5:$H$61,MATCH(1,(D377=$C$5:$C$61)*(A377=$B$5:$B$61),0))</f>
        <v>#N/A</v>
      </c>
      <c r="I377" s="196" t="e" cm="1">
        <f t="array" ref="I377">INDEX($I$5:$I$61,MATCH(1,(D377=$C$5:$C$61)*(A377=$B$5:$B$61),0))</f>
        <v>#N/A</v>
      </c>
      <c r="J377" s="273"/>
      <c r="K377" s="273"/>
      <c r="L377" s="272"/>
      <c r="M377" s="273"/>
      <c r="N377" s="197"/>
      <c r="O377" s="200">
        <f t="shared" si="59"/>
        <v>0</v>
      </c>
      <c r="P377" s="274"/>
      <c r="Q377" s="274"/>
      <c r="R377" s="276"/>
      <c r="S377" s="274"/>
      <c r="T377" s="197">
        <f t="shared" si="60"/>
        <v>0</v>
      </c>
      <c r="U377" s="197">
        <f t="shared" si="61"/>
        <v>0</v>
      </c>
      <c r="V377" s="197">
        <f t="shared" si="62"/>
        <v>0</v>
      </c>
      <c r="W377" s="197">
        <f t="shared" si="63"/>
        <v>0</v>
      </c>
      <c r="Z377" s="197"/>
      <c r="AA377" s="228"/>
      <c r="AB377" s="228"/>
      <c r="AD377" s="228"/>
      <c r="AE377" s="228"/>
      <c r="AF377" s="228"/>
      <c r="AG377" s="228"/>
      <c r="AH377" s="228"/>
      <c r="AI377" s="228"/>
      <c r="AJ377" s="228"/>
      <c r="AK377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</row>
    <row r="378" spans="1:64" s="198" customFormat="1" x14ac:dyDescent="0.25">
      <c r="A378" s="290" t="str">
        <f t="shared" si="66"/>
        <v>Hudson View Park</v>
      </c>
      <c r="B378" s="195">
        <f t="shared" si="64"/>
        <v>280</v>
      </c>
      <c r="C378" s="196" t="str">
        <f t="shared" si="65"/>
        <v>Occ</v>
      </c>
      <c r="D378" s="196" t="e" cm="1">
        <f t="array" ref="D378">INDEX($C$5:$C$61,MATCH(1,(K378=$D$5:$D$61)*(A378=$B$5:$B$61),0))</f>
        <v>#N/A</v>
      </c>
      <c r="E378" s="196" t="e" cm="1">
        <f t="array" ref="E378">INDEX($E$5:$E$61,MATCH(1,(D378=$C$5:$C$61)*(A378=$B$5:$B$61),0))</f>
        <v>#N/A</v>
      </c>
      <c r="F378" s="196" t="e" cm="1">
        <f t="array" ref="F378">INDEX($F$5:$F$61,MATCH(1,(D378=$C$5:$C$61)*(A378=$B$5:$B$61),0))</f>
        <v>#N/A</v>
      </c>
      <c r="G378" s="196" t="e" cm="1">
        <f t="array" ref="G378">INDEX($G$5:$G$61,MATCH(1,(D378=$C$5:$C$61)*(A378=$B$5:$B$61),0))</f>
        <v>#N/A</v>
      </c>
      <c r="H378" s="196" t="e" cm="1">
        <f t="array" ref="H378">INDEX($H$5:$H$61,MATCH(1,(D378=$C$5:$C$61)*(A378=$B$5:$B$61),0))</f>
        <v>#N/A</v>
      </c>
      <c r="I378" s="196" t="e" cm="1">
        <f t="array" ref="I378">INDEX($I$5:$I$61,MATCH(1,(D378=$C$5:$C$61)*(A378=$B$5:$B$61),0))</f>
        <v>#N/A</v>
      </c>
      <c r="J378" s="273"/>
      <c r="K378" s="273"/>
      <c r="L378" s="272"/>
      <c r="M378" s="273"/>
      <c r="N378" s="197"/>
      <c r="O378" s="200">
        <f t="shared" si="59"/>
        <v>0</v>
      </c>
      <c r="P378" s="274"/>
      <c r="Q378" s="274"/>
      <c r="R378" s="276"/>
      <c r="S378" s="274"/>
      <c r="T378" s="197">
        <f t="shared" si="60"/>
        <v>0</v>
      </c>
      <c r="U378" s="197">
        <f t="shared" si="61"/>
        <v>0</v>
      </c>
      <c r="V378" s="197">
        <f t="shared" si="62"/>
        <v>0</v>
      </c>
      <c r="W378" s="197">
        <f t="shared" si="63"/>
        <v>0</v>
      </c>
      <c r="Z378" s="197"/>
      <c r="AA378" s="228"/>
      <c r="AB378" s="228"/>
      <c r="AD378" s="228"/>
      <c r="AE378" s="228"/>
      <c r="AF378" s="228"/>
      <c r="AG378" s="228"/>
      <c r="AH378" s="228"/>
      <c r="AI378" s="228"/>
      <c r="AJ378" s="228"/>
      <c r="AK37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</row>
    <row r="379" spans="1:64" s="198" customFormat="1" x14ac:dyDescent="0.25">
      <c r="A379" s="290" t="str">
        <f t="shared" si="66"/>
        <v>Hudson View Park</v>
      </c>
      <c r="B379" s="195">
        <f t="shared" si="64"/>
        <v>281</v>
      </c>
      <c r="C379" s="196" t="str">
        <f t="shared" si="65"/>
        <v>Occ</v>
      </c>
      <c r="D379" s="196" t="e" cm="1">
        <f t="array" ref="D379">INDEX($C$5:$C$61,MATCH(1,(K379=$D$5:$D$61)*(A379=$B$5:$B$61),0))</f>
        <v>#N/A</v>
      </c>
      <c r="E379" s="196" t="e" cm="1">
        <f t="array" ref="E379">INDEX($E$5:$E$61,MATCH(1,(D379=$C$5:$C$61)*(A379=$B$5:$B$61),0))</f>
        <v>#N/A</v>
      </c>
      <c r="F379" s="196" t="e" cm="1">
        <f t="array" ref="F379">INDEX($F$5:$F$61,MATCH(1,(D379=$C$5:$C$61)*(A379=$B$5:$B$61),0))</f>
        <v>#N/A</v>
      </c>
      <c r="G379" s="196" t="e" cm="1">
        <f t="array" ref="G379">INDEX($G$5:$G$61,MATCH(1,(D379=$C$5:$C$61)*(A379=$B$5:$B$61),0))</f>
        <v>#N/A</v>
      </c>
      <c r="H379" s="196" t="e" cm="1">
        <f t="array" ref="H379">INDEX($H$5:$H$61,MATCH(1,(D379=$C$5:$C$61)*(A379=$B$5:$B$61),0))</f>
        <v>#N/A</v>
      </c>
      <c r="I379" s="196" t="e" cm="1">
        <f t="array" ref="I379">INDEX($I$5:$I$61,MATCH(1,(D379=$C$5:$C$61)*(A379=$B$5:$B$61),0))</f>
        <v>#N/A</v>
      </c>
      <c r="J379" s="273"/>
      <c r="K379" s="273"/>
      <c r="L379" s="272"/>
      <c r="M379" s="273"/>
      <c r="N379" s="197"/>
      <c r="O379" s="200">
        <f t="shared" si="59"/>
        <v>0</v>
      </c>
      <c r="P379" s="274"/>
      <c r="Q379" s="274"/>
      <c r="R379" s="276"/>
      <c r="S379" s="274"/>
      <c r="T379" s="197">
        <f t="shared" si="60"/>
        <v>0</v>
      </c>
      <c r="U379" s="197">
        <f t="shared" si="61"/>
        <v>0</v>
      </c>
      <c r="V379" s="197">
        <f t="shared" si="62"/>
        <v>0</v>
      </c>
      <c r="W379" s="197">
        <f t="shared" si="63"/>
        <v>0</v>
      </c>
      <c r="Z379" s="197"/>
      <c r="AA379" s="228"/>
      <c r="AB379" s="228"/>
      <c r="AD379" s="228"/>
      <c r="AE379" s="228"/>
      <c r="AF379" s="228"/>
      <c r="AG379" s="228"/>
      <c r="AH379" s="228"/>
      <c r="AI379" s="228"/>
      <c r="AJ379" s="228"/>
      <c r="AK379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</row>
    <row r="380" spans="1:64" s="198" customFormat="1" x14ac:dyDescent="0.25">
      <c r="A380" s="290" t="str">
        <f t="shared" si="66"/>
        <v>Hudson View Park</v>
      </c>
      <c r="B380" s="195">
        <f t="shared" si="64"/>
        <v>282</v>
      </c>
      <c r="C380" s="196" t="str">
        <f t="shared" si="65"/>
        <v>Occ</v>
      </c>
      <c r="D380" s="196" t="e" cm="1">
        <f t="array" ref="D380">INDEX($C$5:$C$61,MATCH(1,(K380=$D$5:$D$61)*(A380=$B$5:$B$61),0))</f>
        <v>#N/A</v>
      </c>
      <c r="E380" s="196" t="e" cm="1">
        <f t="array" ref="E380">INDEX($E$5:$E$61,MATCH(1,(D380=$C$5:$C$61)*(A380=$B$5:$B$61),0))</f>
        <v>#N/A</v>
      </c>
      <c r="F380" s="196" t="e" cm="1">
        <f t="array" ref="F380">INDEX($F$5:$F$61,MATCH(1,(D380=$C$5:$C$61)*(A380=$B$5:$B$61),0))</f>
        <v>#N/A</v>
      </c>
      <c r="G380" s="196" t="e" cm="1">
        <f t="array" ref="G380">INDEX($G$5:$G$61,MATCH(1,(D380=$C$5:$C$61)*(A380=$B$5:$B$61),0))</f>
        <v>#N/A</v>
      </c>
      <c r="H380" s="196" t="e" cm="1">
        <f t="array" ref="H380">INDEX($H$5:$H$61,MATCH(1,(D380=$C$5:$C$61)*(A380=$B$5:$B$61),0))</f>
        <v>#N/A</v>
      </c>
      <c r="I380" s="196" t="e" cm="1">
        <f t="array" ref="I380">INDEX($I$5:$I$61,MATCH(1,(D380=$C$5:$C$61)*(A380=$B$5:$B$61),0))</f>
        <v>#N/A</v>
      </c>
      <c r="J380" s="273"/>
      <c r="K380" s="273"/>
      <c r="L380" s="272"/>
      <c r="M380" s="273"/>
      <c r="N380" s="197"/>
      <c r="O380" s="200">
        <f t="shared" si="59"/>
        <v>0</v>
      </c>
      <c r="P380" s="274"/>
      <c r="Q380" s="274"/>
      <c r="R380" s="276"/>
      <c r="S380" s="274"/>
      <c r="T380" s="197">
        <f t="shared" si="60"/>
        <v>0</v>
      </c>
      <c r="U380" s="197">
        <f t="shared" si="61"/>
        <v>0</v>
      </c>
      <c r="V380" s="197">
        <f t="shared" si="62"/>
        <v>0</v>
      </c>
      <c r="W380" s="197">
        <f t="shared" si="63"/>
        <v>0</v>
      </c>
      <c r="Z380" s="197"/>
      <c r="AA380" s="228"/>
      <c r="AB380" s="228"/>
      <c r="AD380" s="228"/>
      <c r="AE380" s="228"/>
      <c r="AF380" s="228"/>
      <c r="AG380" s="228"/>
      <c r="AH380" s="228"/>
      <c r="AI380" s="228"/>
      <c r="AJ380" s="228"/>
      <c r="AK380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</row>
    <row r="381" spans="1:64" s="198" customFormat="1" x14ac:dyDescent="0.25">
      <c r="A381" s="290" t="str">
        <f t="shared" si="66"/>
        <v>Hudson View Park</v>
      </c>
      <c r="B381" s="195">
        <f t="shared" si="64"/>
        <v>283</v>
      </c>
      <c r="C381" s="196" t="str">
        <f t="shared" si="65"/>
        <v>Occ</v>
      </c>
      <c r="D381" s="196" t="e" cm="1">
        <f t="array" ref="D381">INDEX($C$5:$C$61,MATCH(1,(K381=$D$5:$D$61)*(A381=$B$5:$B$61),0))</f>
        <v>#N/A</v>
      </c>
      <c r="E381" s="196" t="e" cm="1">
        <f t="array" ref="E381">INDEX($E$5:$E$61,MATCH(1,(D381=$C$5:$C$61)*(A381=$B$5:$B$61),0))</f>
        <v>#N/A</v>
      </c>
      <c r="F381" s="196" t="e" cm="1">
        <f t="array" ref="F381">INDEX($F$5:$F$61,MATCH(1,(D381=$C$5:$C$61)*(A381=$B$5:$B$61),0))</f>
        <v>#N/A</v>
      </c>
      <c r="G381" s="196" t="e" cm="1">
        <f t="array" ref="G381">INDEX($G$5:$G$61,MATCH(1,(D381=$C$5:$C$61)*(A381=$B$5:$B$61),0))</f>
        <v>#N/A</v>
      </c>
      <c r="H381" s="196" t="e" cm="1">
        <f t="array" ref="H381">INDEX($H$5:$H$61,MATCH(1,(D381=$C$5:$C$61)*(A381=$B$5:$B$61),0))</f>
        <v>#N/A</v>
      </c>
      <c r="I381" s="196" t="e" cm="1">
        <f t="array" ref="I381">INDEX($I$5:$I$61,MATCH(1,(D381=$C$5:$C$61)*(A381=$B$5:$B$61),0))</f>
        <v>#N/A</v>
      </c>
      <c r="J381" s="273"/>
      <c r="K381" s="273"/>
      <c r="L381" s="272"/>
      <c r="M381" s="273"/>
      <c r="N381" s="197"/>
      <c r="O381" s="200">
        <f t="shared" si="59"/>
        <v>0</v>
      </c>
      <c r="P381" s="274"/>
      <c r="Q381" s="274"/>
      <c r="R381" s="276"/>
      <c r="S381" s="274"/>
      <c r="T381" s="197">
        <f t="shared" si="60"/>
        <v>0</v>
      </c>
      <c r="U381" s="197">
        <f t="shared" si="61"/>
        <v>0</v>
      </c>
      <c r="V381" s="197">
        <f t="shared" si="62"/>
        <v>0</v>
      </c>
      <c r="W381" s="197">
        <f t="shared" si="63"/>
        <v>0</v>
      </c>
      <c r="Z381" s="197"/>
      <c r="AA381" s="228"/>
      <c r="AB381" s="228"/>
      <c r="AD381" s="228"/>
      <c r="AE381" s="228"/>
      <c r="AF381" s="228"/>
      <c r="AG381" s="228"/>
      <c r="AH381" s="228"/>
      <c r="AI381" s="228"/>
      <c r="AJ381" s="228"/>
      <c r="AK381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</row>
    <row r="382" spans="1:64" s="198" customFormat="1" x14ac:dyDescent="0.25">
      <c r="A382" s="290" t="str">
        <f t="shared" si="66"/>
        <v>Hudson View Park</v>
      </c>
      <c r="B382" s="195">
        <f t="shared" si="64"/>
        <v>284</v>
      </c>
      <c r="C382" s="196" t="str">
        <f t="shared" si="65"/>
        <v>Occ</v>
      </c>
      <c r="D382" s="196" t="e" cm="1">
        <f t="array" ref="D382">INDEX($C$5:$C$61,MATCH(1,(K382=$D$5:$D$61)*(A382=$B$5:$B$61),0))</f>
        <v>#N/A</v>
      </c>
      <c r="E382" s="196" t="e" cm="1">
        <f t="array" ref="E382">INDEX($E$5:$E$61,MATCH(1,(D382=$C$5:$C$61)*(A382=$B$5:$B$61),0))</f>
        <v>#N/A</v>
      </c>
      <c r="F382" s="196" t="e" cm="1">
        <f t="array" ref="F382">INDEX($F$5:$F$61,MATCH(1,(D382=$C$5:$C$61)*(A382=$B$5:$B$61),0))</f>
        <v>#N/A</v>
      </c>
      <c r="G382" s="196" t="e" cm="1">
        <f t="array" ref="G382">INDEX($G$5:$G$61,MATCH(1,(D382=$C$5:$C$61)*(A382=$B$5:$B$61),0))</f>
        <v>#N/A</v>
      </c>
      <c r="H382" s="196" t="e" cm="1">
        <f t="array" ref="H382">INDEX($H$5:$H$61,MATCH(1,(D382=$C$5:$C$61)*(A382=$B$5:$B$61),0))</f>
        <v>#N/A</v>
      </c>
      <c r="I382" s="196" t="e" cm="1">
        <f t="array" ref="I382">INDEX($I$5:$I$61,MATCH(1,(D382=$C$5:$C$61)*(A382=$B$5:$B$61),0))</f>
        <v>#N/A</v>
      </c>
      <c r="J382" s="273"/>
      <c r="K382" s="273"/>
      <c r="L382" s="272"/>
      <c r="M382" s="273"/>
      <c r="N382" s="197"/>
      <c r="O382" s="200">
        <f t="shared" si="59"/>
        <v>0</v>
      </c>
      <c r="P382" s="274"/>
      <c r="Q382" s="274"/>
      <c r="R382" s="276"/>
      <c r="S382" s="274"/>
      <c r="T382" s="197">
        <f t="shared" si="60"/>
        <v>0</v>
      </c>
      <c r="U382" s="197">
        <f t="shared" si="61"/>
        <v>0</v>
      </c>
      <c r="V382" s="197">
        <f t="shared" si="62"/>
        <v>0</v>
      </c>
      <c r="W382" s="197">
        <f t="shared" si="63"/>
        <v>0</v>
      </c>
      <c r="Z382" s="197"/>
      <c r="AA382" s="228"/>
      <c r="AB382" s="228"/>
      <c r="AD382" s="228"/>
      <c r="AE382" s="228"/>
      <c r="AF382" s="228"/>
      <c r="AG382" s="228"/>
      <c r="AH382" s="228"/>
      <c r="AI382" s="228"/>
      <c r="AJ382" s="228"/>
      <c r="AK382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</row>
    <row r="383" spans="1:64" s="198" customFormat="1" x14ac:dyDescent="0.25">
      <c r="A383" s="290" t="str">
        <f t="shared" si="66"/>
        <v>Hudson View Park</v>
      </c>
      <c r="B383" s="195">
        <f t="shared" si="64"/>
        <v>285</v>
      </c>
      <c r="C383" s="196" t="str">
        <f t="shared" si="65"/>
        <v>Occ</v>
      </c>
      <c r="D383" s="196" t="e" cm="1">
        <f t="array" ref="D383">INDEX($C$5:$C$61,MATCH(1,(K383=$D$5:$D$61)*(A383=$B$5:$B$61),0))</f>
        <v>#N/A</v>
      </c>
      <c r="E383" s="196" t="e" cm="1">
        <f t="array" ref="E383">INDEX($E$5:$E$61,MATCH(1,(D383=$C$5:$C$61)*(A383=$B$5:$B$61),0))</f>
        <v>#N/A</v>
      </c>
      <c r="F383" s="196" t="e" cm="1">
        <f t="array" ref="F383">INDEX($F$5:$F$61,MATCH(1,(D383=$C$5:$C$61)*(A383=$B$5:$B$61),0))</f>
        <v>#N/A</v>
      </c>
      <c r="G383" s="196" t="e" cm="1">
        <f t="array" ref="G383">INDEX($G$5:$G$61,MATCH(1,(D383=$C$5:$C$61)*(A383=$B$5:$B$61),0))</f>
        <v>#N/A</v>
      </c>
      <c r="H383" s="196" t="e" cm="1">
        <f t="array" ref="H383">INDEX($H$5:$H$61,MATCH(1,(D383=$C$5:$C$61)*(A383=$B$5:$B$61),0))</f>
        <v>#N/A</v>
      </c>
      <c r="I383" s="196" t="e" cm="1">
        <f t="array" ref="I383">INDEX($I$5:$I$61,MATCH(1,(D383=$C$5:$C$61)*(A383=$B$5:$B$61),0))</f>
        <v>#N/A</v>
      </c>
      <c r="J383" s="273"/>
      <c r="K383" s="273"/>
      <c r="L383" s="272"/>
      <c r="M383" s="273"/>
      <c r="N383" s="197"/>
      <c r="O383" s="200">
        <f t="shared" si="59"/>
        <v>0</v>
      </c>
      <c r="P383" s="274"/>
      <c r="Q383" s="274"/>
      <c r="R383" s="276"/>
      <c r="S383" s="274"/>
      <c r="T383" s="197">
        <f t="shared" si="60"/>
        <v>0</v>
      </c>
      <c r="U383" s="197">
        <f t="shared" si="61"/>
        <v>0</v>
      </c>
      <c r="V383" s="197">
        <f t="shared" si="62"/>
        <v>0</v>
      </c>
      <c r="W383" s="197">
        <f t="shared" si="63"/>
        <v>0</v>
      </c>
      <c r="Z383" s="197"/>
      <c r="AA383" s="228"/>
      <c r="AB383" s="228"/>
      <c r="AD383" s="228"/>
      <c r="AE383" s="228"/>
      <c r="AF383" s="228"/>
      <c r="AG383" s="228"/>
      <c r="AH383" s="228"/>
      <c r="AI383" s="228"/>
      <c r="AJ383" s="228"/>
      <c r="AK383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</row>
    <row r="384" spans="1:64" s="198" customFormat="1" x14ac:dyDescent="0.25">
      <c r="A384" s="290" t="str">
        <f t="shared" si="66"/>
        <v>Hudson View Park</v>
      </c>
      <c r="B384" s="195">
        <f t="shared" si="64"/>
        <v>286</v>
      </c>
      <c r="C384" s="196" t="str">
        <f t="shared" si="65"/>
        <v>Occ</v>
      </c>
      <c r="D384" s="196" t="e" cm="1">
        <f t="array" ref="D384">INDEX($C$5:$C$61,MATCH(1,(K384=$D$5:$D$61)*(A384=$B$5:$B$61),0))</f>
        <v>#N/A</v>
      </c>
      <c r="E384" s="196" t="e" cm="1">
        <f t="array" ref="E384">INDEX($E$5:$E$61,MATCH(1,(D384=$C$5:$C$61)*(A384=$B$5:$B$61),0))</f>
        <v>#N/A</v>
      </c>
      <c r="F384" s="196" t="e" cm="1">
        <f t="array" ref="F384">INDEX($F$5:$F$61,MATCH(1,(D384=$C$5:$C$61)*(A384=$B$5:$B$61),0))</f>
        <v>#N/A</v>
      </c>
      <c r="G384" s="196" t="e" cm="1">
        <f t="array" ref="G384">INDEX($G$5:$G$61,MATCH(1,(D384=$C$5:$C$61)*(A384=$B$5:$B$61),0))</f>
        <v>#N/A</v>
      </c>
      <c r="H384" s="196" t="e" cm="1">
        <f t="array" ref="H384">INDEX($H$5:$H$61,MATCH(1,(D384=$C$5:$C$61)*(A384=$B$5:$B$61),0))</f>
        <v>#N/A</v>
      </c>
      <c r="I384" s="196" t="e" cm="1">
        <f t="array" ref="I384">INDEX($I$5:$I$61,MATCH(1,(D384=$C$5:$C$61)*(A384=$B$5:$B$61),0))</f>
        <v>#N/A</v>
      </c>
      <c r="J384" s="273"/>
      <c r="K384" s="273"/>
      <c r="L384" s="272"/>
      <c r="M384" s="273"/>
      <c r="N384" s="197"/>
      <c r="O384" s="200">
        <f t="shared" si="59"/>
        <v>0</v>
      </c>
      <c r="P384" s="274"/>
      <c r="Q384" s="274"/>
      <c r="R384" s="276"/>
      <c r="S384" s="274"/>
      <c r="T384" s="197">
        <f t="shared" si="60"/>
        <v>0</v>
      </c>
      <c r="U384" s="197">
        <f t="shared" si="61"/>
        <v>0</v>
      </c>
      <c r="V384" s="197">
        <f t="shared" si="62"/>
        <v>0</v>
      </c>
      <c r="W384" s="197">
        <f t="shared" si="63"/>
        <v>0</v>
      </c>
      <c r="Z384" s="197"/>
      <c r="AA384" s="228"/>
      <c r="AB384" s="228"/>
      <c r="AD384" s="228"/>
      <c r="AE384" s="228"/>
      <c r="AF384" s="228"/>
      <c r="AG384" s="228"/>
      <c r="AH384" s="228"/>
      <c r="AI384" s="228"/>
      <c r="AJ384" s="228"/>
      <c r="AK384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</row>
    <row r="385" spans="1:64" s="198" customFormat="1" x14ac:dyDescent="0.25">
      <c r="A385" s="290" t="str">
        <f t="shared" si="66"/>
        <v>Hudson View Park</v>
      </c>
      <c r="B385" s="195">
        <f t="shared" si="64"/>
        <v>287</v>
      </c>
      <c r="C385" s="196" t="str">
        <f t="shared" si="65"/>
        <v>Occ</v>
      </c>
      <c r="D385" s="196" t="e" cm="1">
        <f t="array" ref="D385">INDEX($C$5:$C$61,MATCH(1,(K385=$D$5:$D$61)*(A385=$B$5:$B$61),0))</f>
        <v>#N/A</v>
      </c>
      <c r="E385" s="196" t="e" cm="1">
        <f t="array" ref="E385">INDEX($E$5:$E$61,MATCH(1,(D385=$C$5:$C$61)*(A385=$B$5:$B$61),0))</f>
        <v>#N/A</v>
      </c>
      <c r="F385" s="196" t="e" cm="1">
        <f t="array" ref="F385">INDEX($F$5:$F$61,MATCH(1,(D385=$C$5:$C$61)*(A385=$B$5:$B$61),0))</f>
        <v>#N/A</v>
      </c>
      <c r="G385" s="196" t="e" cm="1">
        <f t="array" ref="G385">INDEX($G$5:$G$61,MATCH(1,(D385=$C$5:$C$61)*(A385=$B$5:$B$61),0))</f>
        <v>#N/A</v>
      </c>
      <c r="H385" s="196" t="e" cm="1">
        <f t="array" ref="H385">INDEX($H$5:$H$61,MATCH(1,(D385=$C$5:$C$61)*(A385=$B$5:$B$61),0))</f>
        <v>#N/A</v>
      </c>
      <c r="I385" s="196" t="e" cm="1">
        <f t="array" ref="I385">INDEX($I$5:$I$61,MATCH(1,(D385=$C$5:$C$61)*(A385=$B$5:$B$61),0))</f>
        <v>#N/A</v>
      </c>
      <c r="J385" s="273"/>
      <c r="K385" s="273"/>
      <c r="L385" s="272"/>
      <c r="M385" s="273"/>
      <c r="N385" s="197"/>
      <c r="O385" s="200">
        <f t="shared" si="59"/>
        <v>0</v>
      </c>
      <c r="P385" s="274"/>
      <c r="Q385" s="274"/>
      <c r="R385" s="276"/>
      <c r="S385" s="274"/>
      <c r="T385" s="197">
        <f t="shared" si="60"/>
        <v>0</v>
      </c>
      <c r="U385" s="197">
        <f t="shared" si="61"/>
        <v>0</v>
      </c>
      <c r="V385" s="197">
        <f t="shared" si="62"/>
        <v>0</v>
      </c>
      <c r="W385" s="197">
        <f t="shared" si="63"/>
        <v>0</v>
      </c>
      <c r="Z385" s="197"/>
      <c r="AA385" s="228"/>
      <c r="AB385" s="228"/>
      <c r="AD385" s="228"/>
      <c r="AE385" s="228"/>
      <c r="AF385" s="228"/>
      <c r="AG385" s="228"/>
      <c r="AH385" s="228"/>
      <c r="AI385" s="228"/>
      <c r="AJ385" s="228"/>
      <c r="AK385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</row>
    <row r="386" spans="1:64" s="198" customFormat="1" x14ac:dyDescent="0.25">
      <c r="A386" s="290" t="str">
        <f t="shared" si="66"/>
        <v>Hudson View Park</v>
      </c>
      <c r="B386" s="195">
        <f t="shared" si="64"/>
        <v>288</v>
      </c>
      <c r="C386" s="196" t="str">
        <f t="shared" si="65"/>
        <v>Occ</v>
      </c>
      <c r="D386" s="196" t="e" cm="1">
        <f t="array" ref="D386">INDEX($C$5:$C$61,MATCH(1,(K386=$D$5:$D$61)*(A386=$B$5:$B$61),0))</f>
        <v>#N/A</v>
      </c>
      <c r="E386" s="196" t="e" cm="1">
        <f t="array" ref="E386">INDEX($E$5:$E$61,MATCH(1,(D386=$C$5:$C$61)*(A386=$B$5:$B$61),0))</f>
        <v>#N/A</v>
      </c>
      <c r="F386" s="196" t="e" cm="1">
        <f t="array" ref="F386">INDEX($F$5:$F$61,MATCH(1,(D386=$C$5:$C$61)*(A386=$B$5:$B$61),0))</f>
        <v>#N/A</v>
      </c>
      <c r="G386" s="196" t="e" cm="1">
        <f t="array" ref="G386">INDEX($G$5:$G$61,MATCH(1,(D386=$C$5:$C$61)*(A386=$B$5:$B$61),0))</f>
        <v>#N/A</v>
      </c>
      <c r="H386" s="196" t="e" cm="1">
        <f t="array" ref="H386">INDEX($H$5:$H$61,MATCH(1,(D386=$C$5:$C$61)*(A386=$B$5:$B$61),0))</f>
        <v>#N/A</v>
      </c>
      <c r="I386" s="196" t="e" cm="1">
        <f t="array" ref="I386">INDEX($I$5:$I$61,MATCH(1,(D386=$C$5:$C$61)*(A386=$B$5:$B$61),0))</f>
        <v>#N/A</v>
      </c>
      <c r="J386" s="273"/>
      <c r="K386" s="273"/>
      <c r="L386" s="272"/>
      <c r="M386" s="273"/>
      <c r="N386" s="197"/>
      <c r="O386" s="200">
        <f t="shared" si="59"/>
        <v>0</v>
      </c>
      <c r="P386" s="274"/>
      <c r="Q386" s="274"/>
      <c r="R386" s="276"/>
      <c r="S386" s="274"/>
      <c r="T386" s="197">
        <f t="shared" si="60"/>
        <v>0</v>
      </c>
      <c r="U386" s="197">
        <f t="shared" si="61"/>
        <v>0</v>
      </c>
      <c r="V386" s="197">
        <f t="shared" si="62"/>
        <v>0</v>
      </c>
      <c r="W386" s="197">
        <f t="shared" si="63"/>
        <v>0</v>
      </c>
      <c r="Z386" s="197"/>
      <c r="AA386" s="228"/>
      <c r="AB386" s="228"/>
      <c r="AD386" s="228"/>
      <c r="AE386" s="228"/>
      <c r="AF386" s="228"/>
      <c r="AG386" s="228"/>
      <c r="AH386" s="228"/>
      <c r="AI386" s="228"/>
      <c r="AJ386" s="228"/>
      <c r="AK386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</row>
    <row r="387" spans="1:64" s="198" customFormat="1" x14ac:dyDescent="0.25">
      <c r="A387" s="290" t="str">
        <f t="shared" si="66"/>
        <v>Hudson View Park</v>
      </c>
      <c r="B387" s="195">
        <f t="shared" si="64"/>
        <v>289</v>
      </c>
      <c r="C387" s="196" t="str">
        <f t="shared" si="65"/>
        <v>Occ</v>
      </c>
      <c r="D387" s="196" t="e" cm="1">
        <f t="array" ref="D387">INDEX($C$5:$C$61,MATCH(1,(K387=$D$5:$D$61)*(A387=$B$5:$B$61),0))</f>
        <v>#N/A</v>
      </c>
      <c r="E387" s="196" t="e" cm="1">
        <f t="array" ref="E387">INDEX($E$5:$E$61,MATCH(1,(D387=$C$5:$C$61)*(A387=$B$5:$B$61),0))</f>
        <v>#N/A</v>
      </c>
      <c r="F387" s="196" t="e" cm="1">
        <f t="array" ref="F387">INDEX($F$5:$F$61,MATCH(1,(D387=$C$5:$C$61)*(A387=$B$5:$B$61),0))</f>
        <v>#N/A</v>
      </c>
      <c r="G387" s="196" t="e" cm="1">
        <f t="array" ref="G387">INDEX($G$5:$G$61,MATCH(1,(D387=$C$5:$C$61)*(A387=$B$5:$B$61),0))</f>
        <v>#N/A</v>
      </c>
      <c r="H387" s="196" t="e" cm="1">
        <f t="array" ref="H387">INDEX($H$5:$H$61,MATCH(1,(D387=$C$5:$C$61)*(A387=$B$5:$B$61),0))</f>
        <v>#N/A</v>
      </c>
      <c r="I387" s="196" t="e" cm="1">
        <f t="array" ref="I387">INDEX($I$5:$I$61,MATCH(1,(D387=$C$5:$C$61)*(A387=$B$5:$B$61),0))</f>
        <v>#N/A</v>
      </c>
      <c r="J387" s="273"/>
      <c r="K387" s="273"/>
      <c r="L387" s="272"/>
      <c r="M387" s="273"/>
      <c r="N387" s="197"/>
      <c r="O387" s="200">
        <f t="shared" si="59"/>
        <v>0</v>
      </c>
      <c r="P387" s="274"/>
      <c r="Q387" s="274"/>
      <c r="R387" s="276"/>
      <c r="S387" s="274"/>
      <c r="T387" s="197">
        <f t="shared" si="60"/>
        <v>0</v>
      </c>
      <c r="U387" s="197">
        <f t="shared" si="61"/>
        <v>0</v>
      </c>
      <c r="V387" s="197">
        <f t="shared" si="62"/>
        <v>0</v>
      </c>
      <c r="W387" s="197">
        <f t="shared" si="63"/>
        <v>0</v>
      </c>
      <c r="Z387" s="197"/>
      <c r="AA387" s="228"/>
      <c r="AB387" s="228"/>
      <c r="AD387" s="228"/>
      <c r="AE387" s="228"/>
      <c r="AF387" s="228"/>
      <c r="AG387" s="228"/>
      <c r="AH387" s="228"/>
      <c r="AI387" s="228"/>
      <c r="AJ387" s="228"/>
      <c r="AK387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</row>
    <row r="388" spans="1:64" s="198" customFormat="1" x14ac:dyDescent="0.25">
      <c r="A388" s="290" t="str">
        <f t="shared" si="66"/>
        <v>Hudson View Park</v>
      </c>
      <c r="B388" s="195">
        <f t="shared" si="64"/>
        <v>290</v>
      </c>
      <c r="C388" s="196" t="str">
        <f t="shared" si="65"/>
        <v>Occ</v>
      </c>
      <c r="D388" s="196" t="e" cm="1">
        <f t="array" ref="D388">INDEX($C$5:$C$61,MATCH(1,(K388=$D$5:$D$61)*(A388=$B$5:$B$61),0))</f>
        <v>#N/A</v>
      </c>
      <c r="E388" s="196" t="e" cm="1">
        <f t="array" ref="E388">INDEX($E$5:$E$61,MATCH(1,(D388=$C$5:$C$61)*(A388=$B$5:$B$61),0))</f>
        <v>#N/A</v>
      </c>
      <c r="F388" s="196" t="e" cm="1">
        <f t="array" ref="F388">INDEX($F$5:$F$61,MATCH(1,(D388=$C$5:$C$61)*(A388=$B$5:$B$61),0))</f>
        <v>#N/A</v>
      </c>
      <c r="G388" s="196" t="e" cm="1">
        <f t="array" ref="G388">INDEX($G$5:$G$61,MATCH(1,(D388=$C$5:$C$61)*(A388=$B$5:$B$61),0))</f>
        <v>#N/A</v>
      </c>
      <c r="H388" s="196" t="e" cm="1">
        <f t="array" ref="H388">INDEX($H$5:$H$61,MATCH(1,(D388=$C$5:$C$61)*(A388=$B$5:$B$61),0))</f>
        <v>#N/A</v>
      </c>
      <c r="I388" s="196" t="e" cm="1">
        <f t="array" ref="I388">INDEX($I$5:$I$61,MATCH(1,(D388=$C$5:$C$61)*(A388=$B$5:$B$61),0))</f>
        <v>#N/A</v>
      </c>
      <c r="J388" s="273"/>
      <c r="K388" s="273"/>
      <c r="L388" s="272"/>
      <c r="M388" s="273"/>
      <c r="N388" s="197"/>
      <c r="O388" s="200">
        <f t="shared" si="59"/>
        <v>0</v>
      </c>
      <c r="P388" s="274"/>
      <c r="Q388" s="274"/>
      <c r="R388" s="276"/>
      <c r="S388" s="274"/>
      <c r="T388" s="197">
        <f t="shared" si="60"/>
        <v>0</v>
      </c>
      <c r="U388" s="197">
        <f t="shared" si="61"/>
        <v>0</v>
      </c>
      <c r="V388" s="197">
        <f t="shared" si="62"/>
        <v>0</v>
      </c>
      <c r="W388" s="197">
        <f t="shared" si="63"/>
        <v>0</v>
      </c>
      <c r="Z388" s="197"/>
      <c r="AA388" s="228"/>
      <c r="AB388" s="228"/>
      <c r="AD388" s="228"/>
      <c r="AE388" s="228"/>
      <c r="AF388" s="228"/>
      <c r="AG388" s="228"/>
      <c r="AH388" s="228"/>
      <c r="AI388" s="228"/>
      <c r="AJ388" s="228"/>
      <c r="AK38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</row>
    <row r="389" spans="1:64" s="198" customFormat="1" x14ac:dyDescent="0.25">
      <c r="A389" s="290" t="str">
        <f t="shared" si="66"/>
        <v>Hudson View Park</v>
      </c>
      <c r="B389" s="195">
        <f t="shared" si="64"/>
        <v>291</v>
      </c>
      <c r="C389" s="196" t="str">
        <f t="shared" si="65"/>
        <v>Occ</v>
      </c>
      <c r="D389" s="196" t="e" cm="1">
        <f t="array" ref="D389">INDEX($C$5:$C$61,MATCH(1,(K389=$D$5:$D$61)*(A389=$B$5:$B$61),0))</f>
        <v>#N/A</v>
      </c>
      <c r="E389" s="196" t="e" cm="1">
        <f t="array" ref="E389">INDEX($E$5:$E$61,MATCH(1,(D389=$C$5:$C$61)*(A389=$B$5:$B$61),0))</f>
        <v>#N/A</v>
      </c>
      <c r="F389" s="196" t="e" cm="1">
        <f t="array" ref="F389">INDEX($F$5:$F$61,MATCH(1,(D389=$C$5:$C$61)*(A389=$B$5:$B$61),0))</f>
        <v>#N/A</v>
      </c>
      <c r="G389" s="196" t="e" cm="1">
        <f t="array" ref="G389">INDEX($G$5:$G$61,MATCH(1,(D389=$C$5:$C$61)*(A389=$B$5:$B$61),0))</f>
        <v>#N/A</v>
      </c>
      <c r="H389" s="196" t="e" cm="1">
        <f t="array" ref="H389">INDEX($H$5:$H$61,MATCH(1,(D389=$C$5:$C$61)*(A389=$B$5:$B$61),0))</f>
        <v>#N/A</v>
      </c>
      <c r="I389" s="196" t="e" cm="1">
        <f t="array" ref="I389">INDEX($I$5:$I$61,MATCH(1,(D389=$C$5:$C$61)*(A389=$B$5:$B$61),0))</f>
        <v>#N/A</v>
      </c>
      <c r="J389" s="273"/>
      <c r="K389" s="273"/>
      <c r="L389" s="272"/>
      <c r="M389" s="273"/>
      <c r="N389" s="197"/>
      <c r="O389" s="200">
        <f t="shared" si="59"/>
        <v>0</v>
      </c>
      <c r="P389" s="274"/>
      <c r="Q389" s="274"/>
      <c r="R389" s="276"/>
      <c r="S389" s="274"/>
      <c r="T389" s="197">
        <f t="shared" si="60"/>
        <v>0</v>
      </c>
      <c r="U389" s="197">
        <f t="shared" si="61"/>
        <v>0</v>
      </c>
      <c r="V389" s="197">
        <f t="shared" si="62"/>
        <v>0</v>
      </c>
      <c r="W389" s="197">
        <f t="shared" si="63"/>
        <v>0</v>
      </c>
      <c r="Z389" s="197"/>
      <c r="AA389" s="228"/>
      <c r="AB389" s="228"/>
      <c r="AD389" s="228"/>
      <c r="AE389" s="228"/>
      <c r="AF389" s="228"/>
      <c r="AG389" s="228"/>
      <c r="AH389" s="228"/>
      <c r="AI389" s="228"/>
      <c r="AJ389" s="228"/>
      <c r="AK389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</row>
    <row r="390" spans="1:64" s="198" customFormat="1" x14ac:dyDescent="0.25">
      <c r="A390" s="290" t="str">
        <f t="shared" si="66"/>
        <v>Hudson View Park</v>
      </c>
      <c r="B390" s="195">
        <f t="shared" si="64"/>
        <v>292</v>
      </c>
      <c r="C390" s="196" t="str">
        <f t="shared" si="65"/>
        <v>Occ</v>
      </c>
      <c r="D390" s="196" t="e" cm="1">
        <f t="array" ref="D390">INDEX($C$5:$C$61,MATCH(1,(K390=$D$5:$D$61)*(A390=$B$5:$B$61),0))</f>
        <v>#N/A</v>
      </c>
      <c r="E390" s="196" t="e" cm="1">
        <f t="array" ref="E390">INDEX($E$5:$E$61,MATCH(1,(D390=$C$5:$C$61)*(A390=$B$5:$B$61),0))</f>
        <v>#N/A</v>
      </c>
      <c r="F390" s="196" t="e" cm="1">
        <f t="array" ref="F390">INDEX($F$5:$F$61,MATCH(1,(D390=$C$5:$C$61)*(A390=$B$5:$B$61),0))</f>
        <v>#N/A</v>
      </c>
      <c r="G390" s="196" t="e" cm="1">
        <f t="array" ref="G390">INDEX($G$5:$G$61,MATCH(1,(D390=$C$5:$C$61)*(A390=$B$5:$B$61),0))</f>
        <v>#N/A</v>
      </c>
      <c r="H390" s="196" t="e" cm="1">
        <f t="array" ref="H390">INDEX($H$5:$H$61,MATCH(1,(D390=$C$5:$C$61)*(A390=$B$5:$B$61),0))</f>
        <v>#N/A</v>
      </c>
      <c r="I390" s="196" t="e" cm="1">
        <f t="array" ref="I390">INDEX($I$5:$I$61,MATCH(1,(D390=$C$5:$C$61)*(A390=$B$5:$B$61),0))</f>
        <v>#N/A</v>
      </c>
      <c r="J390" s="273"/>
      <c r="K390" s="273"/>
      <c r="L390" s="272"/>
      <c r="M390" s="273"/>
      <c r="N390" s="197"/>
      <c r="O390" s="200">
        <f t="shared" si="59"/>
        <v>0</v>
      </c>
      <c r="P390" s="274"/>
      <c r="Q390" s="274"/>
      <c r="R390" s="276"/>
      <c r="S390" s="274"/>
      <c r="T390" s="197">
        <f t="shared" si="60"/>
        <v>0</v>
      </c>
      <c r="U390" s="197">
        <f t="shared" si="61"/>
        <v>0</v>
      </c>
      <c r="V390" s="197">
        <f t="shared" si="62"/>
        <v>0</v>
      </c>
      <c r="W390" s="197">
        <f t="shared" si="63"/>
        <v>0</v>
      </c>
      <c r="Z390" s="197"/>
      <c r="AA390" s="228"/>
      <c r="AB390" s="228"/>
      <c r="AD390" s="228"/>
      <c r="AE390" s="228"/>
      <c r="AF390" s="228"/>
      <c r="AG390" s="228"/>
      <c r="AH390" s="228"/>
      <c r="AI390" s="228"/>
      <c r="AJ390" s="228"/>
      <c r="AK390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</row>
    <row r="391" spans="1:64" s="198" customFormat="1" x14ac:dyDescent="0.25">
      <c r="A391" s="290" t="str">
        <f t="shared" si="66"/>
        <v>Hudson View Park</v>
      </c>
      <c r="B391" s="195">
        <f t="shared" si="64"/>
        <v>293</v>
      </c>
      <c r="C391" s="196" t="str">
        <f t="shared" si="65"/>
        <v>Occ</v>
      </c>
      <c r="D391" s="196" t="e" cm="1">
        <f t="array" ref="D391">INDEX($C$5:$C$61,MATCH(1,(K391=$D$5:$D$61)*(A391=$B$5:$B$61),0))</f>
        <v>#N/A</v>
      </c>
      <c r="E391" s="196" t="e" cm="1">
        <f t="array" ref="E391">INDEX($E$5:$E$61,MATCH(1,(D391=$C$5:$C$61)*(A391=$B$5:$B$61),0))</f>
        <v>#N/A</v>
      </c>
      <c r="F391" s="196" t="e" cm="1">
        <f t="array" ref="F391">INDEX($F$5:$F$61,MATCH(1,(D391=$C$5:$C$61)*(A391=$B$5:$B$61),0))</f>
        <v>#N/A</v>
      </c>
      <c r="G391" s="196" t="e" cm="1">
        <f t="array" ref="G391">INDEX($G$5:$G$61,MATCH(1,(D391=$C$5:$C$61)*(A391=$B$5:$B$61),0))</f>
        <v>#N/A</v>
      </c>
      <c r="H391" s="196" t="e" cm="1">
        <f t="array" ref="H391">INDEX($H$5:$H$61,MATCH(1,(D391=$C$5:$C$61)*(A391=$B$5:$B$61),0))</f>
        <v>#N/A</v>
      </c>
      <c r="I391" s="196" t="e" cm="1">
        <f t="array" ref="I391">INDEX($I$5:$I$61,MATCH(1,(D391=$C$5:$C$61)*(A391=$B$5:$B$61),0))</f>
        <v>#N/A</v>
      </c>
      <c r="J391" s="273"/>
      <c r="K391" s="273"/>
      <c r="L391" s="272"/>
      <c r="M391" s="273"/>
      <c r="N391" s="197"/>
      <c r="O391" s="200">
        <f t="shared" si="59"/>
        <v>0</v>
      </c>
      <c r="P391" s="274"/>
      <c r="Q391" s="274"/>
      <c r="R391" s="276"/>
      <c r="S391" s="274"/>
      <c r="T391" s="197">
        <f t="shared" si="60"/>
        <v>0</v>
      </c>
      <c r="U391" s="197">
        <f t="shared" si="61"/>
        <v>0</v>
      </c>
      <c r="V391" s="197">
        <f t="shared" si="62"/>
        <v>0</v>
      </c>
      <c r="W391" s="197">
        <f t="shared" si="63"/>
        <v>0</v>
      </c>
      <c r="Z391" s="197"/>
      <c r="AA391" s="228"/>
      <c r="AB391" s="228"/>
      <c r="AD391" s="228"/>
      <c r="AE391" s="228"/>
      <c r="AF391" s="228"/>
      <c r="AG391" s="228"/>
      <c r="AH391" s="228"/>
      <c r="AI391" s="228"/>
      <c r="AJ391" s="228"/>
      <c r="AK391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</row>
    <row r="392" spans="1:64" s="198" customFormat="1" x14ac:dyDescent="0.25">
      <c r="A392" s="290" t="str">
        <f t="shared" si="66"/>
        <v>Hudson View Park</v>
      </c>
      <c r="B392" s="195">
        <f t="shared" si="64"/>
        <v>294</v>
      </c>
      <c r="C392" s="196" t="str">
        <f t="shared" si="65"/>
        <v>Occ</v>
      </c>
      <c r="D392" s="196" t="e" cm="1">
        <f t="array" ref="D392">INDEX($C$5:$C$61,MATCH(1,(K392=$D$5:$D$61)*(A392=$B$5:$B$61),0))</f>
        <v>#N/A</v>
      </c>
      <c r="E392" s="196" t="e" cm="1">
        <f t="array" ref="E392">INDEX($E$5:$E$61,MATCH(1,(D392=$C$5:$C$61)*(A392=$B$5:$B$61),0))</f>
        <v>#N/A</v>
      </c>
      <c r="F392" s="196" t="e" cm="1">
        <f t="array" ref="F392">INDEX($F$5:$F$61,MATCH(1,(D392=$C$5:$C$61)*(A392=$B$5:$B$61),0))</f>
        <v>#N/A</v>
      </c>
      <c r="G392" s="196" t="e" cm="1">
        <f t="array" ref="G392">INDEX($G$5:$G$61,MATCH(1,(D392=$C$5:$C$61)*(A392=$B$5:$B$61),0))</f>
        <v>#N/A</v>
      </c>
      <c r="H392" s="196" t="e" cm="1">
        <f t="array" ref="H392">INDEX($H$5:$H$61,MATCH(1,(D392=$C$5:$C$61)*(A392=$B$5:$B$61),0))</f>
        <v>#N/A</v>
      </c>
      <c r="I392" s="196" t="e" cm="1">
        <f t="array" ref="I392">INDEX($I$5:$I$61,MATCH(1,(D392=$C$5:$C$61)*(A392=$B$5:$B$61),0))</f>
        <v>#N/A</v>
      </c>
      <c r="J392" s="273"/>
      <c r="K392" s="273"/>
      <c r="L392" s="272"/>
      <c r="M392" s="273"/>
      <c r="N392" s="197"/>
      <c r="O392" s="200">
        <f t="shared" si="59"/>
        <v>0</v>
      </c>
      <c r="P392" s="274"/>
      <c r="Q392" s="274"/>
      <c r="R392" s="276"/>
      <c r="S392" s="274"/>
      <c r="T392" s="197">
        <f t="shared" si="60"/>
        <v>0</v>
      </c>
      <c r="U392" s="197">
        <f t="shared" si="61"/>
        <v>0</v>
      </c>
      <c r="V392" s="197">
        <f t="shared" si="62"/>
        <v>0</v>
      </c>
      <c r="W392" s="197">
        <f t="shared" si="63"/>
        <v>0</v>
      </c>
      <c r="Z392" s="197"/>
      <c r="AA392" s="228"/>
      <c r="AB392" s="228"/>
      <c r="AD392" s="228"/>
      <c r="AE392" s="228"/>
      <c r="AF392" s="228"/>
      <c r="AG392" s="228"/>
      <c r="AH392" s="228"/>
      <c r="AI392" s="228"/>
      <c r="AJ392" s="228"/>
      <c r="AK392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</row>
    <row r="393" spans="1:64" s="198" customFormat="1" x14ac:dyDescent="0.25">
      <c r="A393" s="290" t="str">
        <f t="shared" si="66"/>
        <v>Hudson View Park</v>
      </c>
      <c r="B393" s="195">
        <f t="shared" si="64"/>
        <v>295</v>
      </c>
      <c r="C393" s="196" t="str">
        <f t="shared" si="65"/>
        <v>Occ</v>
      </c>
      <c r="D393" s="196" t="e" cm="1">
        <f t="array" ref="D393">INDEX($C$5:$C$61,MATCH(1,(K393=$D$5:$D$61)*(A393=$B$5:$B$61),0))</f>
        <v>#N/A</v>
      </c>
      <c r="E393" s="196" t="e" cm="1">
        <f t="array" ref="E393">INDEX($E$5:$E$61,MATCH(1,(D393=$C$5:$C$61)*(A393=$B$5:$B$61),0))</f>
        <v>#N/A</v>
      </c>
      <c r="F393" s="196" t="e" cm="1">
        <f t="array" ref="F393">INDEX($F$5:$F$61,MATCH(1,(D393=$C$5:$C$61)*(A393=$B$5:$B$61),0))</f>
        <v>#N/A</v>
      </c>
      <c r="G393" s="196" t="e" cm="1">
        <f t="array" ref="G393">INDEX($G$5:$G$61,MATCH(1,(D393=$C$5:$C$61)*(A393=$B$5:$B$61),0))</f>
        <v>#N/A</v>
      </c>
      <c r="H393" s="196" t="e" cm="1">
        <f t="array" ref="H393">INDEX($H$5:$H$61,MATCH(1,(D393=$C$5:$C$61)*(A393=$B$5:$B$61),0))</f>
        <v>#N/A</v>
      </c>
      <c r="I393" s="196" t="e" cm="1">
        <f t="array" ref="I393">INDEX($I$5:$I$61,MATCH(1,(D393=$C$5:$C$61)*(A393=$B$5:$B$61),0))</f>
        <v>#N/A</v>
      </c>
      <c r="J393" s="273"/>
      <c r="K393" s="273"/>
      <c r="L393" s="272"/>
      <c r="M393" s="273"/>
      <c r="N393" s="197"/>
      <c r="O393" s="200">
        <f t="shared" si="59"/>
        <v>0</v>
      </c>
      <c r="P393" s="274"/>
      <c r="Q393" s="274"/>
      <c r="R393" s="276"/>
      <c r="S393" s="274"/>
      <c r="T393" s="197">
        <f t="shared" si="60"/>
        <v>0</v>
      </c>
      <c r="U393" s="197">
        <f t="shared" si="61"/>
        <v>0</v>
      </c>
      <c r="V393" s="197">
        <f t="shared" si="62"/>
        <v>0</v>
      </c>
      <c r="W393" s="197">
        <f t="shared" si="63"/>
        <v>0</v>
      </c>
      <c r="Z393" s="197"/>
      <c r="AA393" s="228"/>
      <c r="AB393" s="228"/>
      <c r="AD393" s="228"/>
      <c r="AE393" s="228"/>
      <c r="AF393" s="228"/>
      <c r="AG393" s="228"/>
      <c r="AH393" s="228"/>
      <c r="AI393" s="228"/>
      <c r="AJ393" s="228"/>
      <c r="AK393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</row>
    <row r="394" spans="1:64" s="198" customFormat="1" x14ac:dyDescent="0.25">
      <c r="A394" s="290" t="str">
        <f t="shared" si="66"/>
        <v>Hudson View Park</v>
      </c>
      <c r="B394" s="195">
        <f t="shared" si="64"/>
        <v>296</v>
      </c>
      <c r="C394" s="196" t="str">
        <f t="shared" si="65"/>
        <v>Occ</v>
      </c>
      <c r="D394" s="196" t="e" cm="1">
        <f t="array" ref="D394">INDEX($C$5:$C$61,MATCH(1,(K394=$D$5:$D$61)*(A394=$B$5:$B$61),0))</f>
        <v>#N/A</v>
      </c>
      <c r="E394" s="196" t="e" cm="1">
        <f t="array" ref="E394">INDEX($E$5:$E$61,MATCH(1,(D394=$C$5:$C$61)*(A394=$B$5:$B$61),0))</f>
        <v>#N/A</v>
      </c>
      <c r="F394" s="196" t="e" cm="1">
        <f t="array" ref="F394">INDEX($F$5:$F$61,MATCH(1,(D394=$C$5:$C$61)*(A394=$B$5:$B$61),0))</f>
        <v>#N/A</v>
      </c>
      <c r="G394" s="196" t="e" cm="1">
        <f t="array" ref="G394">INDEX($G$5:$G$61,MATCH(1,(D394=$C$5:$C$61)*(A394=$B$5:$B$61),0))</f>
        <v>#N/A</v>
      </c>
      <c r="H394" s="196" t="e" cm="1">
        <f t="array" ref="H394">INDEX($H$5:$H$61,MATCH(1,(D394=$C$5:$C$61)*(A394=$B$5:$B$61),0))</f>
        <v>#N/A</v>
      </c>
      <c r="I394" s="196" t="e" cm="1">
        <f t="array" ref="I394">INDEX($I$5:$I$61,MATCH(1,(D394=$C$5:$C$61)*(A394=$B$5:$B$61),0))</f>
        <v>#N/A</v>
      </c>
      <c r="J394" s="273"/>
      <c r="K394" s="273"/>
      <c r="L394" s="272"/>
      <c r="M394" s="273"/>
      <c r="N394" s="197"/>
      <c r="O394" s="200">
        <f t="shared" si="59"/>
        <v>0</v>
      </c>
      <c r="P394" s="274"/>
      <c r="Q394" s="274"/>
      <c r="R394" s="276"/>
      <c r="S394" s="274"/>
      <c r="T394" s="197">
        <f t="shared" si="60"/>
        <v>0</v>
      </c>
      <c r="U394" s="197">
        <f t="shared" si="61"/>
        <v>0</v>
      </c>
      <c r="V394" s="197">
        <f t="shared" si="62"/>
        <v>0</v>
      </c>
      <c r="W394" s="197">
        <f t="shared" si="63"/>
        <v>0</v>
      </c>
      <c r="Z394" s="197"/>
      <c r="AA394" s="228"/>
      <c r="AB394" s="228"/>
      <c r="AD394" s="228"/>
      <c r="AE394" s="228"/>
      <c r="AF394" s="228"/>
      <c r="AG394" s="228"/>
      <c r="AH394" s="228"/>
      <c r="AI394" s="228"/>
      <c r="AJ394" s="228"/>
      <c r="AK394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</row>
    <row r="395" spans="1:64" s="198" customFormat="1" x14ac:dyDescent="0.25">
      <c r="A395" s="290" t="str">
        <f t="shared" si="66"/>
        <v>Hudson View Park</v>
      </c>
      <c r="B395" s="195">
        <f t="shared" si="64"/>
        <v>297</v>
      </c>
      <c r="C395" s="196" t="str">
        <f t="shared" si="65"/>
        <v>Occ</v>
      </c>
      <c r="D395" s="196" t="e" cm="1">
        <f t="array" ref="D395">INDEX($C$5:$C$61,MATCH(1,(K395=$D$5:$D$61)*(A395=$B$5:$B$61),0))</f>
        <v>#N/A</v>
      </c>
      <c r="E395" s="196" t="e" cm="1">
        <f t="array" ref="E395">INDEX($E$5:$E$61,MATCH(1,(D395=$C$5:$C$61)*(A395=$B$5:$B$61),0))</f>
        <v>#N/A</v>
      </c>
      <c r="F395" s="196" t="e" cm="1">
        <f t="array" ref="F395">INDEX($F$5:$F$61,MATCH(1,(D395=$C$5:$C$61)*(A395=$B$5:$B$61),0))</f>
        <v>#N/A</v>
      </c>
      <c r="G395" s="196" t="e" cm="1">
        <f t="array" ref="G395">INDEX($G$5:$G$61,MATCH(1,(D395=$C$5:$C$61)*(A395=$B$5:$B$61),0))</f>
        <v>#N/A</v>
      </c>
      <c r="H395" s="196" t="e" cm="1">
        <f t="array" ref="H395">INDEX($H$5:$H$61,MATCH(1,(D395=$C$5:$C$61)*(A395=$B$5:$B$61),0))</f>
        <v>#N/A</v>
      </c>
      <c r="I395" s="196" t="e" cm="1">
        <f t="array" ref="I395">INDEX($I$5:$I$61,MATCH(1,(D395=$C$5:$C$61)*(A395=$B$5:$B$61),0))</f>
        <v>#N/A</v>
      </c>
      <c r="J395" s="273"/>
      <c r="K395" s="273"/>
      <c r="L395" s="272"/>
      <c r="M395" s="273"/>
      <c r="N395" s="197"/>
      <c r="O395" s="200">
        <f t="shared" si="59"/>
        <v>0</v>
      </c>
      <c r="P395" s="274"/>
      <c r="Q395" s="274"/>
      <c r="R395" s="276"/>
      <c r="S395" s="274"/>
      <c r="T395" s="197">
        <f t="shared" si="60"/>
        <v>0</v>
      </c>
      <c r="U395" s="197">
        <f t="shared" si="61"/>
        <v>0</v>
      </c>
      <c r="V395" s="197">
        <f t="shared" si="62"/>
        <v>0</v>
      </c>
      <c r="W395" s="197">
        <f t="shared" si="63"/>
        <v>0</v>
      </c>
      <c r="Z395" s="197"/>
      <c r="AA395" s="228"/>
      <c r="AB395" s="228"/>
      <c r="AD395" s="228"/>
      <c r="AE395" s="228"/>
      <c r="AF395" s="228"/>
      <c r="AG395" s="228"/>
      <c r="AH395" s="228"/>
      <c r="AI395" s="228"/>
      <c r="AJ395" s="228"/>
      <c r="AK395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</row>
    <row r="396" spans="1:64" s="198" customFormat="1" x14ac:dyDescent="0.25">
      <c r="A396" s="290" t="str">
        <f t="shared" si="66"/>
        <v>Hudson View Park</v>
      </c>
      <c r="B396" s="195">
        <f t="shared" si="64"/>
        <v>298</v>
      </c>
      <c r="C396" s="196" t="str">
        <f t="shared" si="65"/>
        <v>Occ</v>
      </c>
      <c r="D396" s="196" t="e" cm="1">
        <f t="array" ref="D396">INDEX($C$5:$C$61,MATCH(1,(K396=$D$5:$D$61)*(A396=$B$5:$B$61),0))</f>
        <v>#N/A</v>
      </c>
      <c r="E396" s="196" t="e" cm="1">
        <f t="array" ref="E396">INDEX($E$5:$E$61,MATCH(1,(D396=$C$5:$C$61)*(A396=$B$5:$B$61),0))</f>
        <v>#N/A</v>
      </c>
      <c r="F396" s="196" t="e" cm="1">
        <f t="array" ref="F396">INDEX($F$5:$F$61,MATCH(1,(D396=$C$5:$C$61)*(A396=$B$5:$B$61),0))</f>
        <v>#N/A</v>
      </c>
      <c r="G396" s="196" t="e" cm="1">
        <f t="array" ref="G396">INDEX($G$5:$G$61,MATCH(1,(D396=$C$5:$C$61)*(A396=$B$5:$B$61),0))</f>
        <v>#N/A</v>
      </c>
      <c r="H396" s="196" t="e" cm="1">
        <f t="array" ref="H396">INDEX($H$5:$H$61,MATCH(1,(D396=$C$5:$C$61)*(A396=$B$5:$B$61),0))</f>
        <v>#N/A</v>
      </c>
      <c r="I396" s="196" t="e" cm="1">
        <f t="array" ref="I396">INDEX($I$5:$I$61,MATCH(1,(D396=$C$5:$C$61)*(A396=$B$5:$B$61),0))</f>
        <v>#N/A</v>
      </c>
      <c r="J396" s="273"/>
      <c r="K396" s="273"/>
      <c r="L396" s="272"/>
      <c r="M396" s="273"/>
      <c r="N396" s="197"/>
      <c r="O396" s="200">
        <f t="shared" si="59"/>
        <v>0</v>
      </c>
      <c r="P396" s="274"/>
      <c r="Q396" s="274"/>
      <c r="R396" s="276"/>
      <c r="S396" s="274"/>
      <c r="T396" s="197">
        <f t="shared" si="60"/>
        <v>0</v>
      </c>
      <c r="U396" s="197">
        <f t="shared" si="61"/>
        <v>0</v>
      </c>
      <c r="V396" s="197">
        <f t="shared" si="62"/>
        <v>0</v>
      </c>
      <c r="W396" s="197">
        <f t="shared" si="63"/>
        <v>0</v>
      </c>
      <c r="Z396" s="197"/>
      <c r="AA396" s="228"/>
      <c r="AB396" s="228"/>
      <c r="AD396" s="228"/>
      <c r="AE396" s="228"/>
      <c r="AF396" s="228"/>
      <c r="AG396" s="228"/>
      <c r="AH396" s="228"/>
      <c r="AI396" s="228"/>
      <c r="AJ396" s="228"/>
      <c r="AK396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</row>
    <row r="397" spans="1:64" s="198" customFormat="1" x14ac:dyDescent="0.25">
      <c r="A397" s="290" t="str">
        <f t="shared" si="66"/>
        <v>Hudson View Park</v>
      </c>
      <c r="B397" s="195">
        <f t="shared" si="64"/>
        <v>299</v>
      </c>
      <c r="C397" s="196" t="str">
        <f t="shared" si="65"/>
        <v>Occ</v>
      </c>
      <c r="D397" s="196" t="e" cm="1">
        <f t="array" ref="D397">INDEX($C$5:$C$61,MATCH(1,(K397=$D$5:$D$61)*(A397=$B$5:$B$61),0))</f>
        <v>#N/A</v>
      </c>
      <c r="E397" s="196" t="e" cm="1">
        <f t="array" ref="E397">INDEX($E$5:$E$61,MATCH(1,(D397=$C$5:$C$61)*(A397=$B$5:$B$61),0))</f>
        <v>#N/A</v>
      </c>
      <c r="F397" s="196" t="e" cm="1">
        <f t="array" ref="F397">INDEX($F$5:$F$61,MATCH(1,(D397=$C$5:$C$61)*(A397=$B$5:$B$61),0))</f>
        <v>#N/A</v>
      </c>
      <c r="G397" s="196" t="e" cm="1">
        <f t="array" ref="G397">INDEX($G$5:$G$61,MATCH(1,(D397=$C$5:$C$61)*(A397=$B$5:$B$61),0))</f>
        <v>#N/A</v>
      </c>
      <c r="H397" s="196" t="e" cm="1">
        <f t="array" ref="H397">INDEX($H$5:$H$61,MATCH(1,(D397=$C$5:$C$61)*(A397=$B$5:$B$61),0))</f>
        <v>#N/A</v>
      </c>
      <c r="I397" s="196" t="e" cm="1">
        <f t="array" ref="I397">INDEX($I$5:$I$61,MATCH(1,(D397=$C$5:$C$61)*(A397=$B$5:$B$61),0))</f>
        <v>#N/A</v>
      </c>
      <c r="J397" s="273"/>
      <c r="K397" s="273"/>
      <c r="L397" s="272"/>
      <c r="M397" s="273"/>
      <c r="N397" s="197"/>
      <c r="O397" s="200">
        <f t="shared" si="59"/>
        <v>0</v>
      </c>
      <c r="P397" s="274"/>
      <c r="Q397" s="274"/>
      <c r="R397" s="276"/>
      <c r="S397" s="274"/>
      <c r="T397" s="197">
        <f t="shared" si="60"/>
        <v>0</v>
      </c>
      <c r="U397" s="197">
        <f t="shared" si="61"/>
        <v>0</v>
      </c>
      <c r="V397" s="197">
        <f t="shared" si="62"/>
        <v>0</v>
      </c>
      <c r="W397" s="197">
        <f t="shared" si="63"/>
        <v>0</v>
      </c>
      <c r="Z397" s="197"/>
      <c r="AA397" s="228"/>
      <c r="AB397" s="228"/>
      <c r="AD397" s="228"/>
      <c r="AE397" s="228"/>
      <c r="AF397" s="228"/>
      <c r="AG397" s="228"/>
      <c r="AH397" s="228"/>
      <c r="AI397" s="228"/>
      <c r="AJ397" s="228"/>
      <c r="AK397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</row>
    <row r="398" spans="1:64" s="198" customFormat="1" x14ac:dyDescent="0.25">
      <c r="A398" s="290" t="str">
        <f t="shared" si="66"/>
        <v>Hudson View Park</v>
      </c>
      <c r="B398" s="195">
        <f t="shared" si="64"/>
        <v>300</v>
      </c>
      <c r="C398" s="196" t="str">
        <f t="shared" si="65"/>
        <v>Occ</v>
      </c>
      <c r="D398" s="196" t="e" cm="1">
        <f t="array" ref="D398">INDEX($C$5:$C$61,MATCH(1,(K398=$D$5:$D$61)*(A398=$B$5:$B$61),0))</f>
        <v>#N/A</v>
      </c>
      <c r="E398" s="196" t="e" cm="1">
        <f t="array" ref="E398">INDEX($E$5:$E$61,MATCH(1,(D398=$C$5:$C$61)*(A398=$B$5:$B$61),0))</f>
        <v>#N/A</v>
      </c>
      <c r="F398" s="196" t="e" cm="1">
        <f t="array" ref="F398">INDEX($F$5:$F$61,MATCH(1,(D398=$C$5:$C$61)*(A398=$B$5:$B$61),0))</f>
        <v>#N/A</v>
      </c>
      <c r="G398" s="196" t="e" cm="1">
        <f t="array" ref="G398">INDEX($G$5:$G$61,MATCH(1,(D398=$C$5:$C$61)*(A398=$B$5:$B$61),0))</f>
        <v>#N/A</v>
      </c>
      <c r="H398" s="196" t="e" cm="1">
        <f t="array" ref="H398">INDEX($H$5:$H$61,MATCH(1,(D398=$C$5:$C$61)*(A398=$B$5:$B$61),0))</f>
        <v>#N/A</v>
      </c>
      <c r="I398" s="196" t="e" cm="1">
        <f t="array" ref="I398">INDEX($I$5:$I$61,MATCH(1,(D398=$C$5:$C$61)*(A398=$B$5:$B$61),0))</f>
        <v>#N/A</v>
      </c>
      <c r="J398" s="273"/>
      <c r="K398" s="273"/>
      <c r="L398" s="272"/>
      <c r="M398" s="273"/>
      <c r="N398" s="197"/>
      <c r="O398" s="200">
        <f t="shared" si="59"/>
        <v>0</v>
      </c>
      <c r="P398" s="274"/>
      <c r="Q398" s="274"/>
      <c r="R398" s="276"/>
      <c r="S398" s="274"/>
      <c r="T398" s="197">
        <f t="shared" si="60"/>
        <v>0</v>
      </c>
      <c r="U398" s="197">
        <f t="shared" si="61"/>
        <v>0</v>
      </c>
      <c r="V398" s="197">
        <f t="shared" si="62"/>
        <v>0</v>
      </c>
      <c r="W398" s="197">
        <f t="shared" si="63"/>
        <v>0</v>
      </c>
      <c r="Z398" s="197"/>
      <c r="AA398" s="228"/>
      <c r="AB398" s="228"/>
      <c r="AD398" s="228"/>
      <c r="AE398" s="228"/>
      <c r="AF398" s="228"/>
      <c r="AG398" s="228"/>
      <c r="AH398" s="228"/>
      <c r="AI398" s="228"/>
      <c r="AJ398" s="228"/>
      <c r="AK39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</row>
    <row r="399" spans="1:64" s="198" customFormat="1" x14ac:dyDescent="0.25">
      <c r="A399" s="290" t="str">
        <f t="shared" si="66"/>
        <v>Hudson View Park</v>
      </c>
      <c r="B399" s="195">
        <f t="shared" si="64"/>
        <v>301</v>
      </c>
      <c r="C399" s="196" t="str">
        <f t="shared" si="65"/>
        <v>Occ</v>
      </c>
      <c r="D399" s="196" t="e" cm="1">
        <f t="array" ref="D399">INDEX($C$5:$C$61,MATCH(1,(K399=$D$5:$D$61)*(A399=$B$5:$B$61),0))</f>
        <v>#N/A</v>
      </c>
      <c r="E399" s="196" t="e" cm="1">
        <f t="array" ref="E399">INDEX($E$5:$E$61,MATCH(1,(D399=$C$5:$C$61)*(A399=$B$5:$B$61),0))</f>
        <v>#N/A</v>
      </c>
      <c r="F399" s="196" t="e" cm="1">
        <f t="array" ref="F399">INDEX($F$5:$F$61,MATCH(1,(D399=$C$5:$C$61)*(A399=$B$5:$B$61),0))</f>
        <v>#N/A</v>
      </c>
      <c r="G399" s="196" t="e" cm="1">
        <f t="array" ref="G399">INDEX($G$5:$G$61,MATCH(1,(D399=$C$5:$C$61)*(A399=$B$5:$B$61),0))</f>
        <v>#N/A</v>
      </c>
      <c r="H399" s="196" t="e" cm="1">
        <f t="array" ref="H399">INDEX($H$5:$H$61,MATCH(1,(D399=$C$5:$C$61)*(A399=$B$5:$B$61),0))</f>
        <v>#N/A</v>
      </c>
      <c r="I399" s="196" t="e" cm="1">
        <f t="array" ref="I399">INDEX($I$5:$I$61,MATCH(1,(D399=$C$5:$C$61)*(A399=$B$5:$B$61),0))</f>
        <v>#N/A</v>
      </c>
      <c r="J399" s="273"/>
      <c r="K399" s="273"/>
      <c r="L399" s="272"/>
      <c r="M399" s="273"/>
      <c r="N399" s="197"/>
      <c r="O399" s="200">
        <f t="shared" si="59"/>
        <v>0</v>
      </c>
      <c r="P399" s="274"/>
      <c r="Q399" s="274"/>
      <c r="R399" s="276"/>
      <c r="S399" s="274"/>
      <c r="T399" s="197">
        <f t="shared" si="60"/>
        <v>0</v>
      </c>
      <c r="U399" s="197">
        <f t="shared" si="61"/>
        <v>0</v>
      </c>
      <c r="V399" s="197">
        <f t="shared" si="62"/>
        <v>0</v>
      </c>
      <c r="W399" s="197">
        <f t="shared" si="63"/>
        <v>0</v>
      </c>
      <c r="Z399" s="197"/>
      <c r="AA399" s="228"/>
      <c r="AB399" s="228"/>
      <c r="AD399" s="228"/>
      <c r="AE399" s="228"/>
      <c r="AF399" s="228"/>
      <c r="AG399" s="228"/>
      <c r="AH399" s="228"/>
      <c r="AI399" s="228"/>
      <c r="AJ399" s="228"/>
      <c r="AK399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</row>
    <row r="400" spans="1:64" s="198" customFormat="1" x14ac:dyDescent="0.25">
      <c r="A400" s="290" t="str">
        <f t="shared" si="66"/>
        <v>Hudson View Park</v>
      </c>
      <c r="B400" s="195">
        <f t="shared" si="64"/>
        <v>302</v>
      </c>
      <c r="C400" s="196" t="str">
        <f t="shared" si="65"/>
        <v>Occ</v>
      </c>
      <c r="D400" s="196" t="e" cm="1">
        <f t="array" ref="D400">INDEX($C$5:$C$61,MATCH(1,(K400=$D$5:$D$61)*(A400=$B$5:$B$61),0))</f>
        <v>#N/A</v>
      </c>
      <c r="E400" s="196" t="e" cm="1">
        <f t="array" ref="E400">INDEX($E$5:$E$61,MATCH(1,(D400=$C$5:$C$61)*(A400=$B$5:$B$61),0))</f>
        <v>#N/A</v>
      </c>
      <c r="F400" s="196" t="e" cm="1">
        <f t="array" ref="F400">INDEX($F$5:$F$61,MATCH(1,(D400=$C$5:$C$61)*(A400=$B$5:$B$61),0))</f>
        <v>#N/A</v>
      </c>
      <c r="G400" s="196" t="e" cm="1">
        <f t="array" ref="G400">INDEX($G$5:$G$61,MATCH(1,(D400=$C$5:$C$61)*(A400=$B$5:$B$61),0))</f>
        <v>#N/A</v>
      </c>
      <c r="H400" s="196" t="e" cm="1">
        <f t="array" ref="H400">INDEX($H$5:$H$61,MATCH(1,(D400=$C$5:$C$61)*(A400=$B$5:$B$61),0))</f>
        <v>#N/A</v>
      </c>
      <c r="I400" s="196" t="e" cm="1">
        <f t="array" ref="I400">INDEX($I$5:$I$61,MATCH(1,(D400=$C$5:$C$61)*(A400=$B$5:$B$61),0))</f>
        <v>#N/A</v>
      </c>
      <c r="J400" s="273"/>
      <c r="K400" s="273"/>
      <c r="L400" s="272"/>
      <c r="M400" s="273"/>
      <c r="N400" s="197"/>
      <c r="O400" s="200">
        <f t="shared" si="59"/>
        <v>0</v>
      </c>
      <c r="P400" s="274"/>
      <c r="Q400" s="274"/>
      <c r="R400" s="276"/>
      <c r="S400" s="274"/>
      <c r="T400" s="197">
        <f t="shared" si="60"/>
        <v>0</v>
      </c>
      <c r="U400" s="197">
        <f t="shared" si="61"/>
        <v>0</v>
      </c>
      <c r="V400" s="197">
        <f t="shared" si="62"/>
        <v>0</v>
      </c>
      <c r="W400" s="197">
        <f t="shared" si="63"/>
        <v>0</v>
      </c>
      <c r="Z400" s="197"/>
      <c r="AA400" s="228"/>
      <c r="AB400" s="228"/>
      <c r="AD400" s="228"/>
      <c r="AE400" s="228"/>
      <c r="AF400" s="228"/>
      <c r="AG400" s="228"/>
      <c r="AH400" s="228"/>
      <c r="AI400" s="228"/>
      <c r="AJ400" s="228"/>
      <c r="AK400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</row>
    <row r="401" spans="1:64" s="198" customFormat="1" x14ac:dyDescent="0.25">
      <c r="A401" s="290" t="str">
        <f t="shared" si="66"/>
        <v>Hudson View Park</v>
      </c>
      <c r="B401" s="195">
        <f t="shared" si="64"/>
        <v>303</v>
      </c>
      <c r="C401" s="196" t="str">
        <f t="shared" si="65"/>
        <v>Occ</v>
      </c>
      <c r="D401" s="196" t="e" cm="1">
        <f t="array" ref="D401">INDEX($C$5:$C$61,MATCH(1,(K401=$D$5:$D$61)*(A401=$B$5:$B$61),0))</f>
        <v>#N/A</v>
      </c>
      <c r="E401" s="196" t="e" cm="1">
        <f t="array" ref="E401">INDEX($E$5:$E$61,MATCH(1,(D401=$C$5:$C$61)*(A401=$B$5:$B$61),0))</f>
        <v>#N/A</v>
      </c>
      <c r="F401" s="196" t="e" cm="1">
        <f t="array" ref="F401">INDEX($F$5:$F$61,MATCH(1,(D401=$C$5:$C$61)*(A401=$B$5:$B$61),0))</f>
        <v>#N/A</v>
      </c>
      <c r="G401" s="196" t="e" cm="1">
        <f t="array" ref="G401">INDEX($G$5:$G$61,MATCH(1,(D401=$C$5:$C$61)*(A401=$B$5:$B$61),0))</f>
        <v>#N/A</v>
      </c>
      <c r="H401" s="196" t="e" cm="1">
        <f t="array" ref="H401">INDEX($H$5:$H$61,MATCH(1,(D401=$C$5:$C$61)*(A401=$B$5:$B$61),0))</f>
        <v>#N/A</v>
      </c>
      <c r="I401" s="196" t="e" cm="1">
        <f t="array" ref="I401">INDEX($I$5:$I$61,MATCH(1,(D401=$C$5:$C$61)*(A401=$B$5:$B$61),0))</f>
        <v>#N/A</v>
      </c>
      <c r="J401" s="273"/>
      <c r="K401" s="273"/>
      <c r="L401" s="272"/>
      <c r="M401" s="273"/>
      <c r="N401" s="197"/>
      <c r="O401" s="200">
        <f t="shared" si="59"/>
        <v>0</v>
      </c>
      <c r="P401" s="274"/>
      <c r="Q401" s="274"/>
      <c r="R401" s="276"/>
      <c r="S401" s="274"/>
      <c r="T401" s="197">
        <f t="shared" si="60"/>
        <v>0</v>
      </c>
      <c r="U401" s="197">
        <f t="shared" si="61"/>
        <v>0</v>
      </c>
      <c r="V401" s="197">
        <f t="shared" si="62"/>
        <v>0</v>
      </c>
      <c r="W401" s="197">
        <f t="shared" si="63"/>
        <v>0</v>
      </c>
      <c r="Z401" s="197"/>
      <c r="AA401" s="228"/>
      <c r="AB401" s="228"/>
      <c r="AD401" s="228"/>
      <c r="AE401" s="228"/>
      <c r="AF401" s="228"/>
      <c r="AG401" s="228"/>
      <c r="AH401" s="228"/>
      <c r="AI401" s="228"/>
      <c r="AJ401" s="228"/>
      <c r="AK401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</row>
    <row r="402" spans="1:64" s="198" customFormat="1" x14ac:dyDescent="0.25">
      <c r="A402" s="290" t="str">
        <f t="shared" si="66"/>
        <v>Hudson View Park</v>
      </c>
      <c r="B402" s="195">
        <f t="shared" si="64"/>
        <v>304</v>
      </c>
      <c r="C402" s="196" t="str">
        <f t="shared" si="65"/>
        <v>Occ</v>
      </c>
      <c r="D402" s="196" t="e" cm="1">
        <f t="array" ref="D402">INDEX($C$5:$C$61,MATCH(1,(K402=$D$5:$D$61)*(A402=$B$5:$B$61),0))</f>
        <v>#N/A</v>
      </c>
      <c r="E402" s="196" t="e" cm="1">
        <f t="array" ref="E402">INDEX($E$5:$E$61,MATCH(1,(D402=$C$5:$C$61)*(A402=$B$5:$B$61),0))</f>
        <v>#N/A</v>
      </c>
      <c r="F402" s="196" t="e" cm="1">
        <f t="array" ref="F402">INDEX($F$5:$F$61,MATCH(1,(D402=$C$5:$C$61)*(A402=$B$5:$B$61),0))</f>
        <v>#N/A</v>
      </c>
      <c r="G402" s="196" t="e" cm="1">
        <f t="array" ref="G402">INDEX($G$5:$G$61,MATCH(1,(D402=$C$5:$C$61)*(A402=$B$5:$B$61),0))</f>
        <v>#N/A</v>
      </c>
      <c r="H402" s="196" t="e" cm="1">
        <f t="array" ref="H402">INDEX($H$5:$H$61,MATCH(1,(D402=$C$5:$C$61)*(A402=$B$5:$B$61),0))</f>
        <v>#N/A</v>
      </c>
      <c r="I402" s="196" t="e" cm="1">
        <f t="array" ref="I402">INDEX($I$5:$I$61,MATCH(1,(D402=$C$5:$C$61)*(A402=$B$5:$B$61),0))</f>
        <v>#N/A</v>
      </c>
      <c r="J402" s="273"/>
      <c r="K402" s="273"/>
      <c r="L402" s="272"/>
      <c r="M402" s="273"/>
      <c r="N402" s="197"/>
      <c r="O402" s="200">
        <f t="shared" si="59"/>
        <v>0</v>
      </c>
      <c r="P402" s="274"/>
      <c r="Q402" s="274"/>
      <c r="R402" s="276"/>
      <c r="S402" s="274"/>
      <c r="T402" s="197">
        <f t="shared" si="60"/>
        <v>0</v>
      </c>
      <c r="U402" s="197">
        <f t="shared" si="61"/>
        <v>0</v>
      </c>
      <c r="V402" s="197">
        <f t="shared" si="62"/>
        <v>0</v>
      </c>
      <c r="W402" s="197">
        <f t="shared" si="63"/>
        <v>0</v>
      </c>
      <c r="Z402" s="197"/>
      <c r="AA402" s="228"/>
      <c r="AB402" s="228"/>
      <c r="AD402" s="228"/>
      <c r="AE402" s="228"/>
      <c r="AF402" s="228"/>
      <c r="AG402" s="228"/>
      <c r="AH402" s="228"/>
      <c r="AI402" s="228"/>
      <c r="AJ402" s="228"/>
      <c r="AK402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</row>
    <row r="403" spans="1:64" s="198" customFormat="1" x14ac:dyDescent="0.25">
      <c r="A403" s="290" t="str">
        <f t="shared" si="66"/>
        <v>Hudson View Park</v>
      </c>
      <c r="B403" s="195">
        <f t="shared" si="64"/>
        <v>305</v>
      </c>
      <c r="C403" s="196" t="str">
        <f t="shared" si="65"/>
        <v>Occ</v>
      </c>
      <c r="D403" s="196" t="e" cm="1">
        <f t="array" ref="D403">INDEX($C$5:$C$61,MATCH(1,(K403=$D$5:$D$61)*(A403=$B$5:$B$61),0))</f>
        <v>#N/A</v>
      </c>
      <c r="E403" s="196" t="e" cm="1">
        <f t="array" ref="E403">INDEX($E$5:$E$61,MATCH(1,(D403=$C$5:$C$61)*(A403=$B$5:$B$61),0))</f>
        <v>#N/A</v>
      </c>
      <c r="F403" s="196" t="e" cm="1">
        <f t="array" ref="F403">INDEX($F$5:$F$61,MATCH(1,(D403=$C$5:$C$61)*(A403=$B$5:$B$61),0))</f>
        <v>#N/A</v>
      </c>
      <c r="G403" s="196" t="e" cm="1">
        <f t="array" ref="G403">INDEX($G$5:$G$61,MATCH(1,(D403=$C$5:$C$61)*(A403=$B$5:$B$61),0))</f>
        <v>#N/A</v>
      </c>
      <c r="H403" s="196" t="e" cm="1">
        <f t="array" ref="H403">INDEX($H$5:$H$61,MATCH(1,(D403=$C$5:$C$61)*(A403=$B$5:$B$61),0))</f>
        <v>#N/A</v>
      </c>
      <c r="I403" s="196" t="e" cm="1">
        <f t="array" ref="I403">INDEX($I$5:$I$61,MATCH(1,(D403=$C$5:$C$61)*(A403=$B$5:$B$61),0))</f>
        <v>#N/A</v>
      </c>
      <c r="J403" s="273"/>
      <c r="K403" s="273"/>
      <c r="L403" s="272"/>
      <c r="M403" s="273"/>
      <c r="N403" s="197"/>
      <c r="O403" s="200">
        <f t="shared" si="59"/>
        <v>0</v>
      </c>
      <c r="P403" s="274"/>
      <c r="Q403" s="274"/>
      <c r="R403" s="276"/>
      <c r="S403" s="274"/>
      <c r="T403" s="197">
        <f t="shared" si="60"/>
        <v>0</v>
      </c>
      <c r="U403" s="197">
        <f t="shared" si="61"/>
        <v>0</v>
      </c>
      <c r="V403" s="197">
        <f t="shared" si="62"/>
        <v>0</v>
      </c>
      <c r="W403" s="197">
        <f t="shared" si="63"/>
        <v>0</v>
      </c>
      <c r="Z403" s="197"/>
      <c r="AA403" s="228"/>
      <c r="AB403" s="228"/>
      <c r="AD403" s="228"/>
      <c r="AE403" s="228"/>
      <c r="AF403" s="228"/>
      <c r="AG403" s="228"/>
      <c r="AH403" s="228"/>
      <c r="AI403" s="228"/>
      <c r="AJ403" s="228"/>
      <c r="AK403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</row>
    <row r="404" spans="1:64" s="198" customFormat="1" x14ac:dyDescent="0.25">
      <c r="A404" s="290" t="str">
        <f t="shared" si="66"/>
        <v>Hudson View Park</v>
      </c>
      <c r="B404" s="195">
        <f t="shared" si="64"/>
        <v>306</v>
      </c>
      <c r="C404" s="196" t="str">
        <f t="shared" si="65"/>
        <v>Occ</v>
      </c>
      <c r="D404" s="196" t="e" cm="1">
        <f t="array" ref="D404">INDEX($C$5:$C$61,MATCH(1,(K404=$D$5:$D$61)*(A404=$B$5:$B$61),0))</f>
        <v>#N/A</v>
      </c>
      <c r="E404" s="196" t="e" cm="1">
        <f t="array" ref="E404">INDEX($E$5:$E$61,MATCH(1,(D404=$C$5:$C$61)*(A404=$B$5:$B$61),0))</f>
        <v>#N/A</v>
      </c>
      <c r="F404" s="196" t="e" cm="1">
        <f t="array" ref="F404">INDEX($F$5:$F$61,MATCH(1,(D404=$C$5:$C$61)*(A404=$B$5:$B$61),0))</f>
        <v>#N/A</v>
      </c>
      <c r="G404" s="196" t="e" cm="1">
        <f t="array" ref="G404">INDEX($G$5:$G$61,MATCH(1,(D404=$C$5:$C$61)*(A404=$B$5:$B$61),0))</f>
        <v>#N/A</v>
      </c>
      <c r="H404" s="196" t="e" cm="1">
        <f t="array" ref="H404">INDEX($H$5:$H$61,MATCH(1,(D404=$C$5:$C$61)*(A404=$B$5:$B$61),0))</f>
        <v>#N/A</v>
      </c>
      <c r="I404" s="196" t="e" cm="1">
        <f t="array" ref="I404">INDEX($I$5:$I$61,MATCH(1,(D404=$C$5:$C$61)*(A404=$B$5:$B$61),0))</f>
        <v>#N/A</v>
      </c>
      <c r="J404" s="273"/>
      <c r="K404" s="273"/>
      <c r="L404" s="272"/>
      <c r="M404" s="273"/>
      <c r="N404" s="197"/>
      <c r="O404" s="200">
        <f t="shared" si="59"/>
        <v>0</v>
      </c>
      <c r="P404" s="274"/>
      <c r="Q404" s="274"/>
      <c r="R404" s="276"/>
      <c r="S404" s="274"/>
      <c r="T404" s="197">
        <f t="shared" si="60"/>
        <v>0</v>
      </c>
      <c r="U404" s="197">
        <f t="shared" si="61"/>
        <v>0</v>
      </c>
      <c r="V404" s="197">
        <f t="shared" si="62"/>
        <v>0</v>
      </c>
      <c r="W404" s="197">
        <f t="shared" si="63"/>
        <v>0</v>
      </c>
      <c r="Z404" s="197"/>
      <c r="AA404" s="228"/>
      <c r="AB404" s="228"/>
      <c r="AD404" s="228"/>
      <c r="AE404" s="228"/>
      <c r="AF404" s="228"/>
      <c r="AG404" s="228"/>
      <c r="AH404" s="228"/>
      <c r="AI404" s="228"/>
      <c r="AJ404" s="228"/>
      <c r="AK404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</row>
    <row r="405" spans="1:64" s="198" customFormat="1" x14ac:dyDescent="0.25">
      <c r="A405" s="290" t="str">
        <f t="shared" si="66"/>
        <v>Hudson View Park</v>
      </c>
      <c r="B405" s="195">
        <f t="shared" si="64"/>
        <v>307</v>
      </c>
      <c r="C405" s="196" t="str">
        <f t="shared" si="65"/>
        <v>Occ</v>
      </c>
      <c r="D405" s="196" t="e" cm="1">
        <f t="array" ref="D405">INDEX($C$5:$C$61,MATCH(1,(K405=$D$5:$D$61)*(A405=$B$5:$B$61),0))</f>
        <v>#N/A</v>
      </c>
      <c r="E405" s="196" t="e" cm="1">
        <f t="array" ref="E405">INDEX($E$5:$E$61,MATCH(1,(D405=$C$5:$C$61)*(A405=$B$5:$B$61),0))</f>
        <v>#N/A</v>
      </c>
      <c r="F405" s="196" t="e" cm="1">
        <f t="array" ref="F405">INDEX($F$5:$F$61,MATCH(1,(D405=$C$5:$C$61)*(A405=$B$5:$B$61),0))</f>
        <v>#N/A</v>
      </c>
      <c r="G405" s="196" t="e" cm="1">
        <f t="array" ref="G405">INDEX($G$5:$G$61,MATCH(1,(D405=$C$5:$C$61)*(A405=$B$5:$B$61),0))</f>
        <v>#N/A</v>
      </c>
      <c r="H405" s="196" t="e" cm="1">
        <f t="array" ref="H405">INDEX($H$5:$H$61,MATCH(1,(D405=$C$5:$C$61)*(A405=$B$5:$B$61),0))</f>
        <v>#N/A</v>
      </c>
      <c r="I405" s="196" t="e" cm="1">
        <f t="array" ref="I405">INDEX($I$5:$I$61,MATCH(1,(D405=$C$5:$C$61)*(A405=$B$5:$B$61),0))</f>
        <v>#N/A</v>
      </c>
      <c r="J405" s="273"/>
      <c r="K405" s="273"/>
      <c r="L405" s="272"/>
      <c r="M405" s="273"/>
      <c r="N405" s="197"/>
      <c r="O405" s="200">
        <f t="shared" si="59"/>
        <v>0</v>
      </c>
      <c r="P405" s="274"/>
      <c r="Q405" s="274"/>
      <c r="R405" s="276"/>
      <c r="S405" s="274"/>
      <c r="T405" s="197">
        <f t="shared" si="60"/>
        <v>0</v>
      </c>
      <c r="U405" s="197">
        <f t="shared" si="61"/>
        <v>0</v>
      </c>
      <c r="V405" s="197">
        <f t="shared" si="62"/>
        <v>0</v>
      </c>
      <c r="W405" s="197">
        <f t="shared" si="63"/>
        <v>0</v>
      </c>
      <c r="Z405" s="197"/>
      <c r="AA405" s="228"/>
      <c r="AB405" s="228"/>
      <c r="AD405" s="228"/>
      <c r="AE405" s="228"/>
      <c r="AF405" s="228"/>
      <c r="AG405" s="228"/>
      <c r="AH405" s="228"/>
      <c r="AI405" s="228"/>
      <c r="AJ405" s="228"/>
      <c r="AK405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</row>
    <row r="406" spans="1:64" s="198" customFormat="1" x14ac:dyDescent="0.25">
      <c r="A406" s="290" t="str">
        <f t="shared" si="66"/>
        <v>Hudson View Park</v>
      </c>
      <c r="B406" s="195">
        <f t="shared" si="64"/>
        <v>308</v>
      </c>
      <c r="C406" s="196" t="str">
        <f t="shared" si="65"/>
        <v>Occ</v>
      </c>
      <c r="D406" s="196" t="e" cm="1">
        <f t="array" ref="D406">INDEX($C$5:$C$61,MATCH(1,(K406=$D$5:$D$61)*(A406=$B$5:$B$61),0))</f>
        <v>#N/A</v>
      </c>
      <c r="E406" s="196" t="e" cm="1">
        <f t="array" ref="E406">INDEX($E$5:$E$61,MATCH(1,(D406=$C$5:$C$61)*(A406=$B$5:$B$61),0))</f>
        <v>#N/A</v>
      </c>
      <c r="F406" s="196" t="e" cm="1">
        <f t="array" ref="F406">INDEX($F$5:$F$61,MATCH(1,(D406=$C$5:$C$61)*(A406=$B$5:$B$61),0))</f>
        <v>#N/A</v>
      </c>
      <c r="G406" s="196" t="e" cm="1">
        <f t="array" ref="G406">INDEX($G$5:$G$61,MATCH(1,(D406=$C$5:$C$61)*(A406=$B$5:$B$61),0))</f>
        <v>#N/A</v>
      </c>
      <c r="H406" s="196" t="e" cm="1">
        <f t="array" ref="H406">INDEX($H$5:$H$61,MATCH(1,(D406=$C$5:$C$61)*(A406=$B$5:$B$61),0))</f>
        <v>#N/A</v>
      </c>
      <c r="I406" s="196" t="e" cm="1">
        <f t="array" ref="I406">INDEX($I$5:$I$61,MATCH(1,(D406=$C$5:$C$61)*(A406=$B$5:$B$61),0))</f>
        <v>#N/A</v>
      </c>
      <c r="J406" s="273"/>
      <c r="K406" s="273"/>
      <c r="L406" s="272"/>
      <c r="M406" s="273"/>
      <c r="N406" s="197"/>
      <c r="O406" s="200">
        <f t="shared" si="59"/>
        <v>0</v>
      </c>
      <c r="P406" s="274"/>
      <c r="Q406" s="274"/>
      <c r="R406" s="276"/>
      <c r="S406" s="274"/>
      <c r="T406" s="197">
        <f t="shared" si="60"/>
        <v>0</v>
      </c>
      <c r="U406" s="197">
        <f t="shared" si="61"/>
        <v>0</v>
      </c>
      <c r="V406" s="197">
        <f t="shared" si="62"/>
        <v>0</v>
      </c>
      <c r="W406" s="197">
        <f t="shared" si="63"/>
        <v>0</v>
      </c>
      <c r="Z406" s="197"/>
      <c r="AA406" s="228"/>
      <c r="AB406" s="228"/>
      <c r="AD406" s="228"/>
      <c r="AE406" s="228"/>
      <c r="AF406" s="228"/>
      <c r="AG406" s="228"/>
      <c r="AH406" s="228"/>
      <c r="AI406" s="228"/>
      <c r="AJ406" s="228"/>
      <c r="AK406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</row>
    <row r="407" spans="1:64" s="198" customFormat="1" x14ac:dyDescent="0.25">
      <c r="A407" s="290" t="str">
        <f t="shared" si="66"/>
        <v>Hudson View Park</v>
      </c>
      <c r="B407" s="195">
        <f t="shared" si="64"/>
        <v>309</v>
      </c>
      <c r="C407" s="196" t="str">
        <f t="shared" si="65"/>
        <v>Occ</v>
      </c>
      <c r="D407" s="196" t="e" cm="1">
        <f t="array" ref="D407">INDEX($C$5:$C$61,MATCH(1,(K407=$D$5:$D$61)*(A407=$B$5:$B$61),0))</f>
        <v>#N/A</v>
      </c>
      <c r="E407" s="196" t="e" cm="1">
        <f t="array" ref="E407">INDEX($E$5:$E$61,MATCH(1,(D407=$C$5:$C$61)*(A407=$B$5:$B$61),0))</f>
        <v>#N/A</v>
      </c>
      <c r="F407" s="196" t="e" cm="1">
        <f t="array" ref="F407">INDEX($F$5:$F$61,MATCH(1,(D407=$C$5:$C$61)*(A407=$B$5:$B$61),0))</f>
        <v>#N/A</v>
      </c>
      <c r="G407" s="196" t="e" cm="1">
        <f t="array" ref="G407">INDEX($G$5:$G$61,MATCH(1,(D407=$C$5:$C$61)*(A407=$B$5:$B$61),0))</f>
        <v>#N/A</v>
      </c>
      <c r="H407" s="196" t="e" cm="1">
        <f t="array" ref="H407">INDEX($H$5:$H$61,MATCH(1,(D407=$C$5:$C$61)*(A407=$B$5:$B$61),0))</f>
        <v>#N/A</v>
      </c>
      <c r="I407" s="196" t="e" cm="1">
        <f t="array" ref="I407">INDEX($I$5:$I$61,MATCH(1,(D407=$C$5:$C$61)*(A407=$B$5:$B$61),0))</f>
        <v>#N/A</v>
      </c>
      <c r="J407" s="273"/>
      <c r="K407" s="273"/>
      <c r="L407" s="272"/>
      <c r="M407" s="273"/>
      <c r="N407" s="197"/>
      <c r="O407" s="200">
        <f t="shared" si="59"/>
        <v>0</v>
      </c>
      <c r="P407" s="274"/>
      <c r="Q407" s="274"/>
      <c r="R407" s="276"/>
      <c r="S407" s="274"/>
      <c r="T407" s="197">
        <f t="shared" si="60"/>
        <v>0</v>
      </c>
      <c r="U407" s="197">
        <f t="shared" si="61"/>
        <v>0</v>
      </c>
      <c r="V407" s="197">
        <f t="shared" si="62"/>
        <v>0</v>
      </c>
      <c r="W407" s="197">
        <f t="shared" si="63"/>
        <v>0</v>
      </c>
      <c r="Z407" s="197"/>
      <c r="AA407" s="228"/>
      <c r="AB407" s="228"/>
      <c r="AD407" s="228"/>
      <c r="AE407" s="228"/>
      <c r="AF407" s="228"/>
      <c r="AG407" s="228"/>
      <c r="AH407" s="228"/>
      <c r="AI407" s="228"/>
      <c r="AJ407" s="228"/>
      <c r="AK407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</row>
    <row r="408" spans="1:64" s="198" customFormat="1" x14ac:dyDescent="0.25">
      <c r="A408" s="290" t="str">
        <f t="shared" si="66"/>
        <v>Hudson View Park</v>
      </c>
      <c r="B408" s="195">
        <f t="shared" si="64"/>
        <v>310</v>
      </c>
      <c r="C408" s="196" t="str">
        <f t="shared" si="65"/>
        <v>Occ</v>
      </c>
      <c r="D408" s="196" t="e" cm="1">
        <f t="array" ref="D408">INDEX($C$5:$C$61,MATCH(1,(K408=$D$5:$D$61)*(A408=$B$5:$B$61),0))</f>
        <v>#N/A</v>
      </c>
      <c r="E408" s="196" t="e" cm="1">
        <f t="array" ref="E408">INDEX($E$5:$E$61,MATCH(1,(D408=$C$5:$C$61)*(A408=$B$5:$B$61),0))</f>
        <v>#N/A</v>
      </c>
      <c r="F408" s="196" t="e" cm="1">
        <f t="array" ref="F408">INDEX($F$5:$F$61,MATCH(1,(D408=$C$5:$C$61)*(A408=$B$5:$B$61),0))</f>
        <v>#N/A</v>
      </c>
      <c r="G408" s="196" t="e" cm="1">
        <f t="array" ref="G408">INDEX($G$5:$G$61,MATCH(1,(D408=$C$5:$C$61)*(A408=$B$5:$B$61),0))</f>
        <v>#N/A</v>
      </c>
      <c r="H408" s="196" t="e" cm="1">
        <f t="array" ref="H408">INDEX($H$5:$H$61,MATCH(1,(D408=$C$5:$C$61)*(A408=$B$5:$B$61),0))</f>
        <v>#N/A</v>
      </c>
      <c r="I408" s="196" t="e" cm="1">
        <f t="array" ref="I408">INDEX($I$5:$I$61,MATCH(1,(D408=$C$5:$C$61)*(A408=$B$5:$B$61),0))</f>
        <v>#N/A</v>
      </c>
      <c r="J408" s="273"/>
      <c r="K408" s="273"/>
      <c r="L408" s="272"/>
      <c r="M408" s="273"/>
      <c r="N408" s="197"/>
      <c r="O408" s="200">
        <f t="shared" si="59"/>
        <v>0</v>
      </c>
      <c r="P408" s="274"/>
      <c r="Q408" s="274"/>
      <c r="R408" s="276"/>
      <c r="S408" s="274"/>
      <c r="T408" s="197">
        <f t="shared" si="60"/>
        <v>0</v>
      </c>
      <c r="U408" s="197">
        <f t="shared" si="61"/>
        <v>0</v>
      </c>
      <c r="V408" s="197">
        <f t="shared" si="62"/>
        <v>0</v>
      </c>
      <c r="W408" s="197">
        <f t="shared" si="63"/>
        <v>0</v>
      </c>
      <c r="Z408" s="197"/>
      <c r="AA408" s="228"/>
      <c r="AB408" s="228"/>
      <c r="AD408" s="228"/>
      <c r="AE408" s="228"/>
      <c r="AF408" s="228"/>
      <c r="AG408" s="228"/>
      <c r="AH408" s="228"/>
      <c r="AI408" s="228"/>
      <c r="AJ408" s="228"/>
      <c r="AK40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</row>
    <row r="409" spans="1:64" s="198" customFormat="1" x14ac:dyDescent="0.25">
      <c r="A409" s="290" t="str">
        <f t="shared" si="66"/>
        <v>Hudson View Park</v>
      </c>
      <c r="B409" s="195">
        <f t="shared" si="64"/>
        <v>311</v>
      </c>
      <c r="C409" s="196" t="str">
        <f t="shared" si="65"/>
        <v>Occ</v>
      </c>
      <c r="D409" s="196" t="e" cm="1">
        <f t="array" ref="D409">INDEX($C$5:$C$61,MATCH(1,(K409=$D$5:$D$61)*(A409=$B$5:$B$61),0))</f>
        <v>#N/A</v>
      </c>
      <c r="E409" s="196" t="e" cm="1">
        <f t="array" ref="E409">INDEX($E$5:$E$61,MATCH(1,(D409=$C$5:$C$61)*(A409=$B$5:$B$61),0))</f>
        <v>#N/A</v>
      </c>
      <c r="F409" s="196" t="e" cm="1">
        <f t="array" ref="F409">INDEX($F$5:$F$61,MATCH(1,(D409=$C$5:$C$61)*(A409=$B$5:$B$61),0))</f>
        <v>#N/A</v>
      </c>
      <c r="G409" s="196" t="e" cm="1">
        <f t="array" ref="G409">INDEX($G$5:$G$61,MATCH(1,(D409=$C$5:$C$61)*(A409=$B$5:$B$61),0))</f>
        <v>#N/A</v>
      </c>
      <c r="H409" s="196" t="e" cm="1">
        <f t="array" ref="H409">INDEX($H$5:$H$61,MATCH(1,(D409=$C$5:$C$61)*(A409=$B$5:$B$61),0))</f>
        <v>#N/A</v>
      </c>
      <c r="I409" s="196" t="e" cm="1">
        <f t="array" ref="I409">INDEX($I$5:$I$61,MATCH(1,(D409=$C$5:$C$61)*(A409=$B$5:$B$61),0))</f>
        <v>#N/A</v>
      </c>
      <c r="J409" s="273"/>
      <c r="K409" s="273"/>
      <c r="L409" s="272"/>
      <c r="M409" s="273"/>
      <c r="N409" s="197"/>
      <c r="O409" s="200">
        <f t="shared" si="59"/>
        <v>0</v>
      </c>
      <c r="P409" s="274"/>
      <c r="Q409" s="274"/>
      <c r="R409" s="276"/>
      <c r="S409" s="274"/>
      <c r="T409" s="197">
        <f t="shared" si="60"/>
        <v>0</v>
      </c>
      <c r="U409" s="197">
        <f t="shared" si="61"/>
        <v>0</v>
      </c>
      <c r="V409" s="197">
        <f t="shared" si="62"/>
        <v>0</v>
      </c>
      <c r="W409" s="197">
        <f t="shared" si="63"/>
        <v>0</v>
      </c>
      <c r="Z409" s="197"/>
      <c r="AA409" s="228"/>
      <c r="AB409" s="228"/>
      <c r="AD409" s="228"/>
      <c r="AE409" s="228"/>
      <c r="AF409" s="228"/>
      <c r="AG409" s="228"/>
      <c r="AH409" s="228"/>
      <c r="AI409" s="228"/>
      <c r="AJ409" s="228"/>
      <c r="AK409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</row>
    <row r="410" spans="1:64" s="198" customFormat="1" x14ac:dyDescent="0.25">
      <c r="A410" s="290" t="str">
        <f t="shared" si="66"/>
        <v>Hudson View Park</v>
      </c>
      <c r="B410" s="195">
        <f t="shared" si="64"/>
        <v>312</v>
      </c>
      <c r="C410" s="196" t="str">
        <f t="shared" si="65"/>
        <v>Occ</v>
      </c>
      <c r="D410" s="196" t="e" cm="1">
        <f t="array" ref="D410">INDEX($C$5:$C$61,MATCH(1,(K410=$D$5:$D$61)*(A410=$B$5:$B$61),0))</f>
        <v>#N/A</v>
      </c>
      <c r="E410" s="196" t="e" cm="1">
        <f t="array" ref="E410">INDEX($E$5:$E$61,MATCH(1,(D410=$C$5:$C$61)*(A410=$B$5:$B$61),0))</f>
        <v>#N/A</v>
      </c>
      <c r="F410" s="196" t="e" cm="1">
        <f t="array" ref="F410">INDEX($F$5:$F$61,MATCH(1,(D410=$C$5:$C$61)*(A410=$B$5:$B$61),0))</f>
        <v>#N/A</v>
      </c>
      <c r="G410" s="196" t="e" cm="1">
        <f t="array" ref="G410">INDEX($G$5:$G$61,MATCH(1,(D410=$C$5:$C$61)*(A410=$B$5:$B$61),0))</f>
        <v>#N/A</v>
      </c>
      <c r="H410" s="196" t="e" cm="1">
        <f t="array" ref="H410">INDEX($H$5:$H$61,MATCH(1,(D410=$C$5:$C$61)*(A410=$B$5:$B$61),0))</f>
        <v>#N/A</v>
      </c>
      <c r="I410" s="196" t="e" cm="1">
        <f t="array" ref="I410">INDEX($I$5:$I$61,MATCH(1,(D410=$C$5:$C$61)*(A410=$B$5:$B$61),0))</f>
        <v>#N/A</v>
      </c>
      <c r="J410" s="273"/>
      <c r="K410" s="273"/>
      <c r="L410" s="272"/>
      <c r="M410" s="273"/>
      <c r="N410" s="197"/>
      <c r="O410" s="200">
        <f t="shared" si="59"/>
        <v>0</v>
      </c>
      <c r="P410" s="274"/>
      <c r="Q410" s="274"/>
      <c r="R410" s="276"/>
      <c r="S410" s="274"/>
      <c r="T410" s="197">
        <f t="shared" si="60"/>
        <v>0</v>
      </c>
      <c r="U410" s="197">
        <f t="shared" si="61"/>
        <v>0</v>
      </c>
      <c r="V410" s="197">
        <f t="shared" si="62"/>
        <v>0</v>
      </c>
      <c r="W410" s="197">
        <f t="shared" si="63"/>
        <v>0</v>
      </c>
      <c r="Z410" s="197"/>
      <c r="AA410" s="228"/>
      <c r="AB410" s="228"/>
      <c r="AD410" s="228"/>
      <c r="AE410" s="228"/>
      <c r="AF410" s="228"/>
      <c r="AG410" s="228"/>
      <c r="AH410" s="228"/>
      <c r="AI410" s="228"/>
      <c r="AJ410" s="228"/>
      <c r="AK410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</row>
    <row r="411" spans="1:64" s="198" customFormat="1" x14ac:dyDescent="0.25">
      <c r="A411" s="290" t="str">
        <f t="shared" si="66"/>
        <v>Hudson View Park</v>
      </c>
      <c r="B411" s="195">
        <f t="shared" si="64"/>
        <v>313</v>
      </c>
      <c r="C411" s="196" t="str">
        <f t="shared" si="65"/>
        <v>Occ</v>
      </c>
      <c r="D411" s="196" t="e" cm="1">
        <f t="array" ref="D411">INDEX($C$5:$C$61,MATCH(1,(K411=$D$5:$D$61)*(A411=$B$5:$B$61),0))</f>
        <v>#N/A</v>
      </c>
      <c r="E411" s="196" t="e" cm="1">
        <f t="array" ref="E411">INDEX($E$5:$E$61,MATCH(1,(D411=$C$5:$C$61)*(A411=$B$5:$B$61),0))</f>
        <v>#N/A</v>
      </c>
      <c r="F411" s="196" t="e" cm="1">
        <f t="array" ref="F411">INDEX($F$5:$F$61,MATCH(1,(D411=$C$5:$C$61)*(A411=$B$5:$B$61),0))</f>
        <v>#N/A</v>
      </c>
      <c r="G411" s="196" t="e" cm="1">
        <f t="array" ref="G411">INDEX($G$5:$G$61,MATCH(1,(D411=$C$5:$C$61)*(A411=$B$5:$B$61),0))</f>
        <v>#N/A</v>
      </c>
      <c r="H411" s="196" t="e" cm="1">
        <f t="array" ref="H411">INDEX($H$5:$H$61,MATCH(1,(D411=$C$5:$C$61)*(A411=$B$5:$B$61),0))</f>
        <v>#N/A</v>
      </c>
      <c r="I411" s="196" t="e" cm="1">
        <f t="array" ref="I411">INDEX($I$5:$I$61,MATCH(1,(D411=$C$5:$C$61)*(A411=$B$5:$B$61),0))</f>
        <v>#N/A</v>
      </c>
      <c r="J411" s="273"/>
      <c r="K411" s="273"/>
      <c r="L411" s="272"/>
      <c r="M411" s="273"/>
      <c r="N411" s="197"/>
      <c r="O411" s="200">
        <f t="shared" si="59"/>
        <v>0</v>
      </c>
      <c r="P411" s="274"/>
      <c r="Q411" s="274"/>
      <c r="R411" s="276"/>
      <c r="S411" s="274"/>
      <c r="T411" s="197">
        <f t="shared" si="60"/>
        <v>0</v>
      </c>
      <c r="U411" s="197">
        <f t="shared" si="61"/>
        <v>0</v>
      </c>
      <c r="V411" s="197">
        <f t="shared" si="62"/>
        <v>0</v>
      </c>
      <c r="W411" s="197">
        <f t="shared" si="63"/>
        <v>0</v>
      </c>
      <c r="Z411" s="197"/>
      <c r="AA411" s="228"/>
      <c r="AB411" s="228"/>
      <c r="AD411" s="228"/>
      <c r="AE411" s="228"/>
      <c r="AF411" s="228"/>
      <c r="AG411" s="228"/>
      <c r="AH411" s="228"/>
      <c r="AI411" s="228"/>
      <c r="AJ411" s="228"/>
      <c r="AK411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</row>
    <row r="412" spans="1:64" s="198" customFormat="1" x14ac:dyDescent="0.25">
      <c r="A412" s="290" t="str">
        <f t="shared" si="66"/>
        <v>Hudson View Park</v>
      </c>
      <c r="B412" s="195">
        <f t="shared" si="64"/>
        <v>314</v>
      </c>
      <c r="C412" s="196" t="str">
        <f t="shared" si="65"/>
        <v>Occ</v>
      </c>
      <c r="D412" s="196" t="e" cm="1">
        <f t="array" ref="D412">INDEX($C$5:$C$61,MATCH(1,(K412=$D$5:$D$61)*(A412=$B$5:$B$61),0))</f>
        <v>#N/A</v>
      </c>
      <c r="E412" s="196" t="e" cm="1">
        <f t="array" ref="E412">INDEX($E$5:$E$61,MATCH(1,(D412=$C$5:$C$61)*(A412=$B$5:$B$61),0))</f>
        <v>#N/A</v>
      </c>
      <c r="F412" s="196" t="e" cm="1">
        <f t="array" ref="F412">INDEX($F$5:$F$61,MATCH(1,(D412=$C$5:$C$61)*(A412=$B$5:$B$61),0))</f>
        <v>#N/A</v>
      </c>
      <c r="G412" s="196" t="e" cm="1">
        <f t="array" ref="G412">INDEX($G$5:$G$61,MATCH(1,(D412=$C$5:$C$61)*(A412=$B$5:$B$61),0))</f>
        <v>#N/A</v>
      </c>
      <c r="H412" s="196" t="e" cm="1">
        <f t="array" ref="H412">INDEX($H$5:$H$61,MATCH(1,(D412=$C$5:$C$61)*(A412=$B$5:$B$61),0))</f>
        <v>#N/A</v>
      </c>
      <c r="I412" s="196" t="e" cm="1">
        <f t="array" ref="I412">INDEX($I$5:$I$61,MATCH(1,(D412=$C$5:$C$61)*(A412=$B$5:$B$61),0))</f>
        <v>#N/A</v>
      </c>
      <c r="J412" s="273"/>
      <c r="K412" s="273"/>
      <c r="L412" s="272"/>
      <c r="M412" s="273"/>
      <c r="N412" s="197"/>
      <c r="O412" s="200">
        <f t="shared" si="59"/>
        <v>0</v>
      </c>
      <c r="P412" s="274"/>
      <c r="Q412" s="274"/>
      <c r="R412" s="276"/>
      <c r="S412" s="274"/>
      <c r="T412" s="197">
        <f t="shared" si="60"/>
        <v>0</v>
      </c>
      <c r="U412" s="197">
        <f t="shared" si="61"/>
        <v>0</v>
      </c>
      <c r="V412" s="197">
        <f t="shared" si="62"/>
        <v>0</v>
      </c>
      <c r="W412" s="197">
        <f t="shared" si="63"/>
        <v>0</v>
      </c>
      <c r="Z412" s="197"/>
      <c r="AA412" s="228"/>
      <c r="AB412" s="228"/>
      <c r="AD412" s="228"/>
      <c r="AE412" s="228"/>
      <c r="AF412" s="228"/>
      <c r="AG412" s="228"/>
      <c r="AH412" s="228"/>
      <c r="AI412" s="228"/>
      <c r="AJ412" s="228"/>
      <c r="AK412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</row>
    <row r="413" spans="1:64" s="198" customFormat="1" x14ac:dyDescent="0.25">
      <c r="A413" s="290" t="str">
        <f t="shared" si="66"/>
        <v>Hudson View Park</v>
      </c>
      <c r="B413" s="195">
        <f t="shared" si="64"/>
        <v>315</v>
      </c>
      <c r="C413" s="196" t="str">
        <f t="shared" si="65"/>
        <v>Occ</v>
      </c>
      <c r="D413" s="196" t="e" cm="1">
        <f t="array" ref="D413">INDEX($C$5:$C$61,MATCH(1,(K413=$D$5:$D$61)*(A413=$B$5:$B$61),0))</f>
        <v>#N/A</v>
      </c>
      <c r="E413" s="196" t="e" cm="1">
        <f t="array" ref="E413">INDEX($E$5:$E$61,MATCH(1,(D413=$C$5:$C$61)*(A413=$B$5:$B$61),0))</f>
        <v>#N/A</v>
      </c>
      <c r="F413" s="196" t="e" cm="1">
        <f t="array" ref="F413">INDEX($F$5:$F$61,MATCH(1,(D413=$C$5:$C$61)*(A413=$B$5:$B$61),0))</f>
        <v>#N/A</v>
      </c>
      <c r="G413" s="196" t="e" cm="1">
        <f t="array" ref="G413">INDEX($G$5:$G$61,MATCH(1,(D413=$C$5:$C$61)*(A413=$B$5:$B$61),0))</f>
        <v>#N/A</v>
      </c>
      <c r="H413" s="196" t="e" cm="1">
        <f t="array" ref="H413">INDEX($H$5:$H$61,MATCH(1,(D413=$C$5:$C$61)*(A413=$B$5:$B$61),0))</f>
        <v>#N/A</v>
      </c>
      <c r="I413" s="196" t="e" cm="1">
        <f t="array" ref="I413">INDEX($I$5:$I$61,MATCH(1,(D413=$C$5:$C$61)*(A413=$B$5:$B$61),0))</f>
        <v>#N/A</v>
      </c>
      <c r="J413" s="273"/>
      <c r="K413" s="273"/>
      <c r="L413" s="272"/>
      <c r="M413" s="273"/>
      <c r="N413" s="197"/>
      <c r="O413" s="200">
        <f t="shared" si="59"/>
        <v>0</v>
      </c>
      <c r="P413" s="274"/>
      <c r="Q413" s="274"/>
      <c r="R413" s="276"/>
      <c r="S413" s="274"/>
      <c r="T413" s="197">
        <f t="shared" si="60"/>
        <v>0</v>
      </c>
      <c r="U413" s="197">
        <f t="shared" si="61"/>
        <v>0</v>
      </c>
      <c r="V413" s="197">
        <f t="shared" si="62"/>
        <v>0</v>
      </c>
      <c r="W413" s="197">
        <f t="shared" si="63"/>
        <v>0</v>
      </c>
      <c r="Z413" s="197"/>
      <c r="AA413" s="228"/>
      <c r="AB413" s="228"/>
      <c r="AD413" s="228"/>
      <c r="AE413" s="228"/>
      <c r="AF413" s="228"/>
      <c r="AG413" s="228"/>
      <c r="AH413" s="228"/>
      <c r="AI413" s="228"/>
      <c r="AJ413" s="228"/>
      <c r="AK413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</row>
    <row r="414" spans="1:64" s="198" customFormat="1" x14ac:dyDescent="0.25">
      <c r="A414" s="290" t="str">
        <f t="shared" si="66"/>
        <v>Hudson View Park</v>
      </c>
      <c r="B414" s="195">
        <f t="shared" si="64"/>
        <v>316</v>
      </c>
      <c r="C414" s="196" t="str">
        <f t="shared" si="65"/>
        <v>Occ</v>
      </c>
      <c r="D414" s="196" t="e" cm="1">
        <f t="array" ref="D414">INDEX($C$5:$C$61,MATCH(1,(K414=$D$5:$D$61)*(A414=$B$5:$B$61),0))</f>
        <v>#N/A</v>
      </c>
      <c r="E414" s="196" t="e" cm="1">
        <f t="array" ref="E414">INDEX($E$5:$E$61,MATCH(1,(D414=$C$5:$C$61)*(A414=$B$5:$B$61),0))</f>
        <v>#N/A</v>
      </c>
      <c r="F414" s="196" t="e" cm="1">
        <f t="array" ref="F414">INDEX($F$5:$F$61,MATCH(1,(D414=$C$5:$C$61)*(A414=$B$5:$B$61),0))</f>
        <v>#N/A</v>
      </c>
      <c r="G414" s="196" t="e" cm="1">
        <f t="array" ref="G414">INDEX($G$5:$G$61,MATCH(1,(D414=$C$5:$C$61)*(A414=$B$5:$B$61),0))</f>
        <v>#N/A</v>
      </c>
      <c r="H414" s="196" t="e" cm="1">
        <f t="array" ref="H414">INDEX($H$5:$H$61,MATCH(1,(D414=$C$5:$C$61)*(A414=$B$5:$B$61),0))</f>
        <v>#N/A</v>
      </c>
      <c r="I414" s="196" t="e" cm="1">
        <f t="array" ref="I414">INDEX($I$5:$I$61,MATCH(1,(D414=$C$5:$C$61)*(A414=$B$5:$B$61),0))</f>
        <v>#N/A</v>
      </c>
      <c r="J414" s="273"/>
      <c r="K414" s="273"/>
      <c r="L414" s="272"/>
      <c r="M414" s="273"/>
      <c r="N414" s="197"/>
      <c r="O414" s="200">
        <f t="shared" si="59"/>
        <v>0</v>
      </c>
      <c r="P414" s="274"/>
      <c r="Q414" s="274"/>
      <c r="R414" s="276"/>
      <c r="S414" s="274"/>
      <c r="T414" s="197">
        <f t="shared" si="60"/>
        <v>0</v>
      </c>
      <c r="U414" s="197">
        <f t="shared" si="61"/>
        <v>0</v>
      </c>
      <c r="V414" s="197">
        <f t="shared" si="62"/>
        <v>0</v>
      </c>
      <c r="W414" s="197">
        <f t="shared" si="63"/>
        <v>0</v>
      </c>
      <c r="Z414" s="197"/>
      <c r="AA414" s="228"/>
      <c r="AB414" s="228"/>
      <c r="AD414" s="228"/>
      <c r="AE414" s="228"/>
      <c r="AF414" s="228"/>
      <c r="AG414" s="228"/>
      <c r="AH414" s="228"/>
      <c r="AI414" s="228"/>
      <c r="AJ414" s="228"/>
      <c r="AK414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</row>
    <row r="415" spans="1:64" s="198" customFormat="1" x14ac:dyDescent="0.25">
      <c r="A415" s="290" t="str">
        <f t="shared" si="66"/>
        <v>Hudson View Park</v>
      </c>
      <c r="B415" s="195">
        <f t="shared" si="64"/>
        <v>317</v>
      </c>
      <c r="C415" s="196" t="str">
        <f t="shared" si="65"/>
        <v>Occ</v>
      </c>
      <c r="D415" s="196" t="e" cm="1">
        <f t="array" ref="D415">INDEX($C$5:$C$61,MATCH(1,(K415=$D$5:$D$61)*(A415=$B$5:$B$61),0))</f>
        <v>#N/A</v>
      </c>
      <c r="E415" s="196" t="e" cm="1">
        <f t="array" ref="E415">INDEX($E$5:$E$61,MATCH(1,(D415=$C$5:$C$61)*(A415=$B$5:$B$61),0))</f>
        <v>#N/A</v>
      </c>
      <c r="F415" s="196" t="e" cm="1">
        <f t="array" ref="F415">INDEX($F$5:$F$61,MATCH(1,(D415=$C$5:$C$61)*(A415=$B$5:$B$61),0))</f>
        <v>#N/A</v>
      </c>
      <c r="G415" s="196" t="e" cm="1">
        <f t="array" ref="G415">INDEX($G$5:$G$61,MATCH(1,(D415=$C$5:$C$61)*(A415=$B$5:$B$61),0))</f>
        <v>#N/A</v>
      </c>
      <c r="H415" s="196" t="e" cm="1">
        <f t="array" ref="H415">INDEX($H$5:$H$61,MATCH(1,(D415=$C$5:$C$61)*(A415=$B$5:$B$61),0))</f>
        <v>#N/A</v>
      </c>
      <c r="I415" s="196" t="e" cm="1">
        <f t="array" ref="I415">INDEX($I$5:$I$61,MATCH(1,(D415=$C$5:$C$61)*(A415=$B$5:$B$61),0))</f>
        <v>#N/A</v>
      </c>
      <c r="J415" s="273"/>
      <c r="K415" s="273"/>
      <c r="L415" s="272"/>
      <c r="M415" s="273"/>
      <c r="N415" s="197"/>
      <c r="O415" s="200">
        <f t="shared" si="59"/>
        <v>0</v>
      </c>
      <c r="P415" s="274"/>
      <c r="Q415" s="274"/>
      <c r="R415" s="276"/>
      <c r="S415" s="274"/>
      <c r="T415" s="197">
        <f t="shared" si="60"/>
        <v>0</v>
      </c>
      <c r="U415" s="197">
        <f t="shared" si="61"/>
        <v>0</v>
      </c>
      <c r="V415" s="197">
        <f t="shared" si="62"/>
        <v>0</v>
      </c>
      <c r="W415" s="197">
        <f t="shared" si="63"/>
        <v>0</v>
      </c>
      <c r="Z415" s="197"/>
      <c r="AA415" s="228"/>
      <c r="AB415" s="228"/>
      <c r="AD415" s="228"/>
      <c r="AE415" s="228"/>
      <c r="AF415" s="228"/>
      <c r="AG415" s="228"/>
      <c r="AH415" s="228"/>
      <c r="AI415" s="228"/>
      <c r="AJ415" s="228"/>
      <c r="AK415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</row>
    <row r="416" spans="1:64" s="198" customFormat="1" x14ac:dyDescent="0.25">
      <c r="A416" s="290" t="str">
        <f t="shared" si="66"/>
        <v>Hudson View Park</v>
      </c>
      <c r="B416" s="195">
        <f t="shared" si="64"/>
        <v>318</v>
      </c>
      <c r="C416" s="196" t="str">
        <f t="shared" si="65"/>
        <v>Occ</v>
      </c>
      <c r="D416" s="196" t="e" cm="1">
        <f t="array" ref="D416">INDEX($C$5:$C$61,MATCH(1,(K416=$D$5:$D$61)*(A416=$B$5:$B$61),0))</f>
        <v>#N/A</v>
      </c>
      <c r="E416" s="196" t="e" cm="1">
        <f t="array" ref="E416">INDEX($E$5:$E$61,MATCH(1,(D416=$C$5:$C$61)*(A416=$B$5:$B$61),0))</f>
        <v>#N/A</v>
      </c>
      <c r="F416" s="196" t="e" cm="1">
        <f t="array" ref="F416">INDEX($F$5:$F$61,MATCH(1,(D416=$C$5:$C$61)*(A416=$B$5:$B$61),0))</f>
        <v>#N/A</v>
      </c>
      <c r="G416" s="196" t="e" cm="1">
        <f t="array" ref="G416">INDEX($G$5:$G$61,MATCH(1,(D416=$C$5:$C$61)*(A416=$B$5:$B$61),0))</f>
        <v>#N/A</v>
      </c>
      <c r="H416" s="196" t="e" cm="1">
        <f t="array" ref="H416">INDEX($H$5:$H$61,MATCH(1,(D416=$C$5:$C$61)*(A416=$B$5:$B$61),0))</f>
        <v>#N/A</v>
      </c>
      <c r="I416" s="196" t="e" cm="1">
        <f t="array" ref="I416">INDEX($I$5:$I$61,MATCH(1,(D416=$C$5:$C$61)*(A416=$B$5:$B$61),0))</f>
        <v>#N/A</v>
      </c>
      <c r="J416" s="273"/>
      <c r="K416" s="273"/>
      <c r="L416" s="272"/>
      <c r="M416" s="273"/>
      <c r="N416" s="197"/>
      <c r="O416" s="200">
        <f t="shared" si="59"/>
        <v>0</v>
      </c>
      <c r="P416" s="274"/>
      <c r="Q416" s="274"/>
      <c r="R416" s="276"/>
      <c r="S416" s="274"/>
      <c r="T416" s="197">
        <f t="shared" si="60"/>
        <v>0</v>
      </c>
      <c r="U416" s="197">
        <f t="shared" si="61"/>
        <v>0</v>
      </c>
      <c r="V416" s="197">
        <f t="shared" si="62"/>
        <v>0</v>
      </c>
      <c r="W416" s="197">
        <f t="shared" si="63"/>
        <v>0</v>
      </c>
      <c r="Z416" s="197"/>
      <c r="AA416" s="228"/>
      <c r="AB416" s="228"/>
      <c r="AD416" s="228"/>
      <c r="AE416" s="228"/>
      <c r="AF416" s="228"/>
      <c r="AG416" s="228"/>
      <c r="AH416" s="228"/>
      <c r="AI416" s="228"/>
      <c r="AJ416" s="228"/>
      <c r="AK416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</row>
    <row r="417" spans="1:64" s="198" customFormat="1" x14ac:dyDescent="0.25">
      <c r="A417" s="290" t="str">
        <f t="shared" si="66"/>
        <v>Hudson View Park</v>
      </c>
      <c r="B417" s="195">
        <f t="shared" si="64"/>
        <v>319</v>
      </c>
      <c r="C417" s="196" t="str">
        <f t="shared" si="65"/>
        <v>Occ</v>
      </c>
      <c r="D417" s="196" t="e" cm="1">
        <f t="array" ref="D417">INDEX($C$5:$C$61,MATCH(1,(K417=$D$5:$D$61)*(A417=$B$5:$B$61),0))</f>
        <v>#N/A</v>
      </c>
      <c r="E417" s="196" t="e" cm="1">
        <f t="array" ref="E417">INDEX($E$5:$E$61,MATCH(1,(D417=$C$5:$C$61)*(A417=$B$5:$B$61),0))</f>
        <v>#N/A</v>
      </c>
      <c r="F417" s="196" t="e" cm="1">
        <f t="array" ref="F417">INDEX($F$5:$F$61,MATCH(1,(D417=$C$5:$C$61)*(A417=$B$5:$B$61),0))</f>
        <v>#N/A</v>
      </c>
      <c r="G417" s="196" t="e" cm="1">
        <f t="array" ref="G417">INDEX($G$5:$G$61,MATCH(1,(D417=$C$5:$C$61)*(A417=$B$5:$B$61),0))</f>
        <v>#N/A</v>
      </c>
      <c r="H417" s="196" t="e" cm="1">
        <f t="array" ref="H417">INDEX($H$5:$H$61,MATCH(1,(D417=$C$5:$C$61)*(A417=$B$5:$B$61),0))</f>
        <v>#N/A</v>
      </c>
      <c r="I417" s="196" t="e" cm="1">
        <f t="array" ref="I417">INDEX($I$5:$I$61,MATCH(1,(D417=$C$5:$C$61)*(A417=$B$5:$B$61),0))</f>
        <v>#N/A</v>
      </c>
      <c r="J417" s="273"/>
      <c r="K417" s="273"/>
      <c r="L417" s="272"/>
      <c r="M417" s="273"/>
      <c r="N417" s="197"/>
      <c r="O417" s="200">
        <f t="shared" si="59"/>
        <v>0</v>
      </c>
      <c r="P417" s="274"/>
      <c r="Q417" s="274"/>
      <c r="R417" s="276"/>
      <c r="S417" s="274"/>
      <c r="T417" s="197">
        <f t="shared" si="60"/>
        <v>0</v>
      </c>
      <c r="U417" s="197">
        <f t="shared" si="61"/>
        <v>0</v>
      </c>
      <c r="V417" s="197">
        <f t="shared" si="62"/>
        <v>0</v>
      </c>
      <c r="W417" s="197">
        <f t="shared" si="63"/>
        <v>0</v>
      </c>
      <c r="Z417" s="197"/>
      <c r="AA417" s="228"/>
      <c r="AB417" s="228"/>
      <c r="AD417" s="228"/>
      <c r="AE417" s="228"/>
      <c r="AF417" s="228"/>
      <c r="AG417" s="228"/>
      <c r="AH417" s="228"/>
      <c r="AI417" s="228"/>
      <c r="AJ417" s="228"/>
      <c r="AK417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</row>
    <row r="418" spans="1:64" s="198" customFormat="1" x14ac:dyDescent="0.25">
      <c r="A418" s="290" t="str">
        <f t="shared" si="66"/>
        <v>Hudson View Park</v>
      </c>
      <c r="B418" s="195">
        <f t="shared" si="64"/>
        <v>320</v>
      </c>
      <c r="C418" s="196" t="str">
        <f t="shared" si="65"/>
        <v>Occ</v>
      </c>
      <c r="D418" s="196" t="e" cm="1">
        <f t="array" ref="D418">INDEX($C$5:$C$61,MATCH(1,(K418=$D$5:$D$61)*(A418=$B$5:$B$61),0))</f>
        <v>#N/A</v>
      </c>
      <c r="E418" s="196" t="e" cm="1">
        <f t="array" ref="E418">INDEX($E$5:$E$61,MATCH(1,(D418=$C$5:$C$61)*(A418=$B$5:$B$61),0))</f>
        <v>#N/A</v>
      </c>
      <c r="F418" s="196" t="e" cm="1">
        <f t="array" ref="F418">INDEX($F$5:$F$61,MATCH(1,(D418=$C$5:$C$61)*(A418=$B$5:$B$61),0))</f>
        <v>#N/A</v>
      </c>
      <c r="G418" s="196" t="e" cm="1">
        <f t="array" ref="G418">INDEX($G$5:$G$61,MATCH(1,(D418=$C$5:$C$61)*(A418=$B$5:$B$61),0))</f>
        <v>#N/A</v>
      </c>
      <c r="H418" s="196" t="e" cm="1">
        <f t="array" ref="H418">INDEX($H$5:$H$61,MATCH(1,(D418=$C$5:$C$61)*(A418=$B$5:$B$61),0))</f>
        <v>#N/A</v>
      </c>
      <c r="I418" s="196" t="e" cm="1">
        <f t="array" ref="I418">INDEX($I$5:$I$61,MATCH(1,(D418=$C$5:$C$61)*(A418=$B$5:$B$61),0))</f>
        <v>#N/A</v>
      </c>
      <c r="J418" s="273"/>
      <c r="K418" s="273"/>
      <c r="L418" s="272"/>
      <c r="M418" s="273"/>
      <c r="N418" s="197"/>
      <c r="O418" s="200">
        <f t="shared" si="59"/>
        <v>0</v>
      </c>
      <c r="P418" s="274"/>
      <c r="Q418" s="274"/>
      <c r="R418" s="276"/>
      <c r="S418" s="274"/>
      <c r="T418" s="197">
        <f t="shared" si="60"/>
        <v>0</v>
      </c>
      <c r="U418" s="197">
        <f t="shared" si="61"/>
        <v>0</v>
      </c>
      <c r="V418" s="197">
        <f t="shared" si="62"/>
        <v>0</v>
      </c>
      <c r="W418" s="197">
        <f t="shared" si="63"/>
        <v>0</v>
      </c>
      <c r="Z418" s="197"/>
      <c r="AA418" s="228"/>
      <c r="AB418" s="228"/>
      <c r="AD418" s="228"/>
      <c r="AE418" s="228"/>
      <c r="AF418" s="228"/>
      <c r="AG418" s="228"/>
      <c r="AH418" s="228"/>
      <c r="AI418" s="228"/>
      <c r="AJ418" s="228"/>
      <c r="AK41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</row>
    <row r="419" spans="1:64" s="198" customFormat="1" x14ac:dyDescent="0.25">
      <c r="A419" s="290" t="str">
        <f t="shared" si="66"/>
        <v>Hudson View Park</v>
      </c>
      <c r="B419" s="195">
        <f t="shared" si="64"/>
        <v>321</v>
      </c>
      <c r="C419" s="196" t="str">
        <f t="shared" si="65"/>
        <v>Occ</v>
      </c>
      <c r="D419" s="196" t="e" cm="1">
        <f t="array" ref="D419">INDEX($C$5:$C$61,MATCH(1,(K419=$D$5:$D$61)*(A419=$B$5:$B$61),0))</f>
        <v>#N/A</v>
      </c>
      <c r="E419" s="196" t="e" cm="1">
        <f t="array" ref="E419">INDEX($E$5:$E$61,MATCH(1,(D419=$C$5:$C$61)*(A419=$B$5:$B$61),0))</f>
        <v>#N/A</v>
      </c>
      <c r="F419" s="196" t="e" cm="1">
        <f t="array" ref="F419">INDEX($F$5:$F$61,MATCH(1,(D419=$C$5:$C$61)*(A419=$B$5:$B$61),0))</f>
        <v>#N/A</v>
      </c>
      <c r="G419" s="196" t="e" cm="1">
        <f t="array" ref="G419">INDEX($G$5:$G$61,MATCH(1,(D419=$C$5:$C$61)*(A419=$B$5:$B$61),0))</f>
        <v>#N/A</v>
      </c>
      <c r="H419" s="196" t="e" cm="1">
        <f t="array" ref="H419">INDEX($H$5:$H$61,MATCH(1,(D419=$C$5:$C$61)*(A419=$B$5:$B$61),0))</f>
        <v>#N/A</v>
      </c>
      <c r="I419" s="196" t="e" cm="1">
        <f t="array" ref="I419">INDEX($I$5:$I$61,MATCH(1,(D419=$C$5:$C$61)*(A419=$B$5:$B$61),0))</f>
        <v>#N/A</v>
      </c>
      <c r="J419" s="273"/>
      <c r="K419" s="273"/>
      <c r="L419" s="272"/>
      <c r="M419" s="273"/>
      <c r="N419" s="197"/>
      <c r="O419" s="200">
        <f t="shared" si="59"/>
        <v>0</v>
      </c>
      <c r="P419" s="274"/>
      <c r="Q419" s="274"/>
      <c r="R419" s="276"/>
      <c r="S419" s="274"/>
      <c r="T419" s="197">
        <f t="shared" si="60"/>
        <v>0</v>
      </c>
      <c r="U419" s="197">
        <f t="shared" si="61"/>
        <v>0</v>
      </c>
      <c r="V419" s="197">
        <f t="shared" si="62"/>
        <v>0</v>
      </c>
      <c r="W419" s="197">
        <f t="shared" si="63"/>
        <v>0</v>
      </c>
      <c r="Z419" s="197"/>
      <c r="AA419" s="228"/>
      <c r="AB419" s="228"/>
      <c r="AD419" s="228"/>
      <c r="AE419" s="228"/>
      <c r="AF419" s="228"/>
      <c r="AG419" s="228"/>
      <c r="AH419" s="228"/>
      <c r="AI419" s="228"/>
      <c r="AJ419" s="228"/>
      <c r="AK419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</row>
    <row r="420" spans="1:64" s="198" customFormat="1" x14ac:dyDescent="0.25">
      <c r="A420" s="290" t="str">
        <f t="shared" si="66"/>
        <v>Hudson View Park</v>
      </c>
      <c r="B420" s="195">
        <f t="shared" si="64"/>
        <v>322</v>
      </c>
      <c r="C420" s="196" t="str">
        <f t="shared" si="65"/>
        <v>Occ</v>
      </c>
      <c r="D420" s="196" t="e" cm="1">
        <f t="array" ref="D420">INDEX($C$5:$C$61,MATCH(1,(K420=$D$5:$D$61)*(A420=$B$5:$B$61),0))</f>
        <v>#N/A</v>
      </c>
      <c r="E420" s="196" t="e" cm="1">
        <f t="array" ref="E420">INDEX($E$5:$E$61,MATCH(1,(D420=$C$5:$C$61)*(A420=$B$5:$B$61),0))</f>
        <v>#N/A</v>
      </c>
      <c r="F420" s="196" t="e" cm="1">
        <f t="array" ref="F420">INDEX($F$5:$F$61,MATCH(1,(D420=$C$5:$C$61)*(A420=$B$5:$B$61),0))</f>
        <v>#N/A</v>
      </c>
      <c r="G420" s="196" t="e" cm="1">
        <f t="array" ref="G420">INDEX($G$5:$G$61,MATCH(1,(D420=$C$5:$C$61)*(A420=$B$5:$B$61),0))</f>
        <v>#N/A</v>
      </c>
      <c r="H420" s="196" t="e" cm="1">
        <f t="array" ref="H420">INDEX($H$5:$H$61,MATCH(1,(D420=$C$5:$C$61)*(A420=$B$5:$B$61),0))</f>
        <v>#N/A</v>
      </c>
      <c r="I420" s="196" t="e" cm="1">
        <f t="array" ref="I420">INDEX($I$5:$I$61,MATCH(1,(D420=$C$5:$C$61)*(A420=$B$5:$B$61),0))</f>
        <v>#N/A</v>
      </c>
      <c r="J420" s="273"/>
      <c r="K420" s="273"/>
      <c r="L420" s="272"/>
      <c r="M420" s="273"/>
      <c r="N420" s="197"/>
      <c r="O420" s="200">
        <f t="shared" ref="O420:O483" si="67">SUM(AA420:AB420)</f>
        <v>0</v>
      </c>
      <c r="P420" s="274"/>
      <c r="Q420" s="274"/>
      <c r="R420" s="276"/>
      <c r="S420" s="274"/>
      <c r="T420" s="197">
        <f t="shared" ref="T420:T483" si="68">SUM(AD420:AJ420)</f>
        <v>0</v>
      </c>
      <c r="U420" s="197">
        <f t="shared" ref="U420:U483" si="69">SUM(AL420:AO420)</f>
        <v>0</v>
      </c>
      <c r="V420" s="197">
        <f t="shared" ref="V420:V483" si="70">SUM(AQ420:AR420)</f>
        <v>0</v>
      </c>
      <c r="W420" s="197">
        <f t="shared" ref="W420:W483" si="71">SUM(AT420:AV420)</f>
        <v>0</v>
      </c>
      <c r="Z420" s="197"/>
      <c r="AA420" s="228"/>
      <c r="AB420" s="228"/>
      <c r="AD420" s="228"/>
      <c r="AE420" s="228"/>
      <c r="AF420" s="228"/>
      <c r="AG420" s="228"/>
      <c r="AH420" s="228"/>
      <c r="AI420" s="228"/>
      <c r="AJ420" s="228"/>
      <c r="AK420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</row>
    <row r="421" spans="1:64" s="198" customFormat="1" x14ac:dyDescent="0.25">
      <c r="A421" s="290" t="str">
        <f t="shared" si="66"/>
        <v>Hudson View Park</v>
      </c>
      <c r="B421" s="195">
        <f t="shared" ref="B421:B484" si="72">B420+1</f>
        <v>323</v>
      </c>
      <c r="C421" s="196" t="str">
        <f t="shared" ref="C421:C484" si="73">IF(M421="Vacant","Vac",IF(M421="Model","Model",IF(M421="Admin","Admin",IF(M421="Down","Down","Occ"))))</f>
        <v>Occ</v>
      </c>
      <c r="D421" s="196" t="e" cm="1">
        <f t="array" ref="D421">INDEX($C$5:$C$61,MATCH(1,(K421=$D$5:$D$61)*(A421=$B$5:$B$61),0))</f>
        <v>#N/A</v>
      </c>
      <c r="E421" s="196" t="e" cm="1">
        <f t="array" ref="E421">INDEX($E$5:$E$61,MATCH(1,(D421=$C$5:$C$61)*(A421=$B$5:$B$61),0))</f>
        <v>#N/A</v>
      </c>
      <c r="F421" s="196" t="e" cm="1">
        <f t="array" ref="F421">INDEX($F$5:$F$61,MATCH(1,(D421=$C$5:$C$61)*(A421=$B$5:$B$61),0))</f>
        <v>#N/A</v>
      </c>
      <c r="G421" s="196" t="e" cm="1">
        <f t="array" ref="G421">INDEX($G$5:$G$61,MATCH(1,(D421=$C$5:$C$61)*(A421=$B$5:$B$61),0))</f>
        <v>#N/A</v>
      </c>
      <c r="H421" s="196" t="e" cm="1">
        <f t="array" ref="H421">INDEX($H$5:$H$61,MATCH(1,(D421=$C$5:$C$61)*(A421=$B$5:$B$61),0))</f>
        <v>#N/A</v>
      </c>
      <c r="I421" s="196" t="e" cm="1">
        <f t="array" ref="I421">INDEX($I$5:$I$61,MATCH(1,(D421=$C$5:$C$61)*(A421=$B$5:$B$61),0))</f>
        <v>#N/A</v>
      </c>
      <c r="J421" s="273"/>
      <c r="K421" s="273"/>
      <c r="L421" s="272"/>
      <c r="M421" s="273"/>
      <c r="N421" s="197"/>
      <c r="O421" s="200">
        <f t="shared" si="67"/>
        <v>0</v>
      </c>
      <c r="P421" s="274"/>
      <c r="Q421" s="274"/>
      <c r="R421" s="276"/>
      <c r="S421" s="274"/>
      <c r="T421" s="197">
        <f t="shared" si="68"/>
        <v>0</v>
      </c>
      <c r="U421" s="197">
        <f t="shared" si="69"/>
        <v>0</v>
      </c>
      <c r="V421" s="197">
        <f t="shared" si="70"/>
        <v>0</v>
      </c>
      <c r="W421" s="197">
        <f t="shared" si="71"/>
        <v>0</v>
      </c>
      <c r="Z421" s="197"/>
      <c r="AA421" s="228"/>
      <c r="AB421" s="228"/>
      <c r="AD421" s="228"/>
      <c r="AE421" s="228"/>
      <c r="AF421" s="228"/>
      <c r="AG421" s="228"/>
      <c r="AH421" s="228"/>
      <c r="AI421" s="228"/>
      <c r="AJ421" s="228"/>
      <c r="AK421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</row>
    <row r="422" spans="1:64" s="198" customFormat="1" x14ac:dyDescent="0.25">
      <c r="A422" s="290" t="str">
        <f t="shared" si="66"/>
        <v>Hudson View Park</v>
      </c>
      <c r="B422" s="195">
        <f t="shared" si="72"/>
        <v>324</v>
      </c>
      <c r="C422" s="196" t="str">
        <f t="shared" si="73"/>
        <v>Occ</v>
      </c>
      <c r="D422" s="196" t="e" cm="1">
        <f t="array" ref="D422">INDEX($C$5:$C$61,MATCH(1,(K422=$D$5:$D$61)*(A422=$B$5:$B$61),0))</f>
        <v>#N/A</v>
      </c>
      <c r="E422" s="196" t="e" cm="1">
        <f t="array" ref="E422">INDEX($E$5:$E$61,MATCH(1,(D422=$C$5:$C$61)*(A422=$B$5:$B$61),0))</f>
        <v>#N/A</v>
      </c>
      <c r="F422" s="196" t="e" cm="1">
        <f t="array" ref="F422">INDEX($F$5:$F$61,MATCH(1,(D422=$C$5:$C$61)*(A422=$B$5:$B$61),0))</f>
        <v>#N/A</v>
      </c>
      <c r="G422" s="196" t="e" cm="1">
        <f t="array" ref="G422">INDEX($G$5:$G$61,MATCH(1,(D422=$C$5:$C$61)*(A422=$B$5:$B$61),0))</f>
        <v>#N/A</v>
      </c>
      <c r="H422" s="196" t="e" cm="1">
        <f t="array" ref="H422">INDEX($H$5:$H$61,MATCH(1,(D422=$C$5:$C$61)*(A422=$B$5:$B$61),0))</f>
        <v>#N/A</v>
      </c>
      <c r="I422" s="196" t="e" cm="1">
        <f t="array" ref="I422">INDEX($I$5:$I$61,MATCH(1,(D422=$C$5:$C$61)*(A422=$B$5:$B$61),0))</f>
        <v>#N/A</v>
      </c>
      <c r="J422" s="273"/>
      <c r="K422" s="273"/>
      <c r="L422" s="272"/>
      <c r="M422" s="273"/>
      <c r="N422" s="197"/>
      <c r="O422" s="200">
        <f t="shared" si="67"/>
        <v>0</v>
      </c>
      <c r="P422" s="274"/>
      <c r="Q422" s="274"/>
      <c r="R422" s="276"/>
      <c r="S422" s="274"/>
      <c r="T422" s="197">
        <f t="shared" si="68"/>
        <v>0</v>
      </c>
      <c r="U422" s="197">
        <f t="shared" si="69"/>
        <v>0</v>
      </c>
      <c r="V422" s="197">
        <f t="shared" si="70"/>
        <v>0</v>
      </c>
      <c r="W422" s="197">
        <f t="shared" si="71"/>
        <v>0</v>
      </c>
      <c r="Z422" s="197"/>
      <c r="AA422" s="228"/>
      <c r="AB422" s="228"/>
      <c r="AD422" s="228"/>
      <c r="AE422" s="228"/>
      <c r="AF422" s="228"/>
      <c r="AG422" s="228"/>
      <c r="AH422" s="228"/>
      <c r="AI422" s="228"/>
      <c r="AJ422" s="228"/>
      <c r="AK422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</row>
    <row r="423" spans="1:64" s="198" customFormat="1" x14ac:dyDescent="0.25">
      <c r="A423" s="290" t="str">
        <f t="shared" si="66"/>
        <v>Hudson View Park</v>
      </c>
      <c r="B423" s="195">
        <f t="shared" si="72"/>
        <v>325</v>
      </c>
      <c r="C423" s="196" t="str">
        <f t="shared" si="73"/>
        <v>Occ</v>
      </c>
      <c r="D423" s="196" t="e" cm="1">
        <f t="array" ref="D423">INDEX($C$5:$C$61,MATCH(1,(K423=$D$5:$D$61)*(A423=$B$5:$B$61),0))</f>
        <v>#N/A</v>
      </c>
      <c r="E423" s="196" t="e" cm="1">
        <f t="array" ref="E423">INDEX($E$5:$E$61,MATCH(1,(D423=$C$5:$C$61)*(A423=$B$5:$B$61),0))</f>
        <v>#N/A</v>
      </c>
      <c r="F423" s="196" t="e" cm="1">
        <f t="array" ref="F423">INDEX($F$5:$F$61,MATCH(1,(D423=$C$5:$C$61)*(A423=$B$5:$B$61),0))</f>
        <v>#N/A</v>
      </c>
      <c r="G423" s="196" t="e" cm="1">
        <f t="array" ref="G423">INDEX($G$5:$G$61,MATCH(1,(D423=$C$5:$C$61)*(A423=$B$5:$B$61),0))</f>
        <v>#N/A</v>
      </c>
      <c r="H423" s="196" t="e" cm="1">
        <f t="array" ref="H423">INDEX($H$5:$H$61,MATCH(1,(D423=$C$5:$C$61)*(A423=$B$5:$B$61),0))</f>
        <v>#N/A</v>
      </c>
      <c r="I423" s="196" t="e" cm="1">
        <f t="array" ref="I423">INDEX($I$5:$I$61,MATCH(1,(D423=$C$5:$C$61)*(A423=$B$5:$B$61),0))</f>
        <v>#N/A</v>
      </c>
      <c r="J423" s="273"/>
      <c r="K423" s="273"/>
      <c r="L423" s="272"/>
      <c r="M423" s="273"/>
      <c r="N423" s="197"/>
      <c r="O423" s="200">
        <f t="shared" si="67"/>
        <v>0</v>
      </c>
      <c r="P423" s="274"/>
      <c r="Q423" s="274"/>
      <c r="R423" s="276"/>
      <c r="S423" s="274"/>
      <c r="T423" s="197">
        <f t="shared" si="68"/>
        <v>0</v>
      </c>
      <c r="U423" s="197">
        <f t="shared" si="69"/>
        <v>0</v>
      </c>
      <c r="V423" s="197">
        <f t="shared" si="70"/>
        <v>0</v>
      </c>
      <c r="W423" s="197">
        <f t="shared" si="71"/>
        <v>0</v>
      </c>
      <c r="Z423" s="197"/>
      <c r="AA423" s="228"/>
      <c r="AB423" s="228"/>
      <c r="AD423" s="228"/>
      <c r="AE423" s="228"/>
      <c r="AF423" s="228"/>
      <c r="AG423" s="228"/>
      <c r="AH423" s="228"/>
      <c r="AI423" s="228"/>
      <c r="AJ423" s="228"/>
      <c r="AK423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</row>
    <row r="424" spans="1:64" s="198" customFormat="1" x14ac:dyDescent="0.25">
      <c r="A424" s="290" t="str">
        <f t="shared" si="66"/>
        <v>Hudson View Park</v>
      </c>
      <c r="B424" s="195">
        <f t="shared" si="72"/>
        <v>326</v>
      </c>
      <c r="C424" s="196" t="str">
        <f t="shared" si="73"/>
        <v>Occ</v>
      </c>
      <c r="D424" s="196" t="e" cm="1">
        <f t="array" ref="D424">INDEX($C$5:$C$61,MATCH(1,(K424=$D$5:$D$61)*(A424=$B$5:$B$61),0))</f>
        <v>#N/A</v>
      </c>
      <c r="E424" s="196" t="e" cm="1">
        <f t="array" ref="E424">INDEX($E$5:$E$61,MATCH(1,(D424=$C$5:$C$61)*(A424=$B$5:$B$61),0))</f>
        <v>#N/A</v>
      </c>
      <c r="F424" s="196" t="e" cm="1">
        <f t="array" ref="F424">INDEX($F$5:$F$61,MATCH(1,(D424=$C$5:$C$61)*(A424=$B$5:$B$61),0))</f>
        <v>#N/A</v>
      </c>
      <c r="G424" s="196" t="e" cm="1">
        <f t="array" ref="G424">INDEX($G$5:$G$61,MATCH(1,(D424=$C$5:$C$61)*(A424=$B$5:$B$61),0))</f>
        <v>#N/A</v>
      </c>
      <c r="H424" s="196" t="e" cm="1">
        <f t="array" ref="H424">INDEX($H$5:$H$61,MATCH(1,(D424=$C$5:$C$61)*(A424=$B$5:$B$61),0))</f>
        <v>#N/A</v>
      </c>
      <c r="I424" s="196" t="e" cm="1">
        <f t="array" ref="I424">INDEX($I$5:$I$61,MATCH(1,(D424=$C$5:$C$61)*(A424=$B$5:$B$61),0))</f>
        <v>#N/A</v>
      </c>
      <c r="J424" s="273"/>
      <c r="K424" s="273"/>
      <c r="L424" s="272"/>
      <c r="M424" s="273"/>
      <c r="N424" s="197"/>
      <c r="O424" s="200">
        <f t="shared" si="67"/>
        <v>0</v>
      </c>
      <c r="P424" s="274"/>
      <c r="Q424" s="274"/>
      <c r="R424" s="276"/>
      <c r="S424" s="274"/>
      <c r="T424" s="197">
        <f t="shared" si="68"/>
        <v>0</v>
      </c>
      <c r="U424" s="197">
        <f t="shared" si="69"/>
        <v>0</v>
      </c>
      <c r="V424" s="197">
        <f t="shared" si="70"/>
        <v>0</v>
      </c>
      <c r="W424" s="197">
        <f t="shared" si="71"/>
        <v>0</v>
      </c>
      <c r="Z424" s="197"/>
      <c r="AA424" s="228"/>
      <c r="AB424" s="228"/>
      <c r="AD424" s="228"/>
      <c r="AE424" s="228"/>
      <c r="AF424" s="228"/>
      <c r="AG424" s="228"/>
      <c r="AH424" s="228"/>
      <c r="AI424" s="228"/>
      <c r="AJ424" s="228"/>
      <c r="AK424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</row>
    <row r="425" spans="1:64" s="198" customFormat="1" x14ac:dyDescent="0.25">
      <c r="A425" s="290" t="str">
        <f t="shared" si="66"/>
        <v>Hudson View Park</v>
      </c>
      <c r="B425" s="195">
        <f t="shared" si="72"/>
        <v>327</v>
      </c>
      <c r="C425" s="196" t="str">
        <f t="shared" si="73"/>
        <v>Occ</v>
      </c>
      <c r="D425" s="196" t="e" cm="1">
        <f t="array" ref="D425">INDEX($C$5:$C$61,MATCH(1,(K425=$D$5:$D$61)*(A425=$B$5:$B$61),0))</f>
        <v>#N/A</v>
      </c>
      <c r="E425" s="196" t="e" cm="1">
        <f t="array" ref="E425">INDEX($E$5:$E$61,MATCH(1,(D425=$C$5:$C$61)*(A425=$B$5:$B$61),0))</f>
        <v>#N/A</v>
      </c>
      <c r="F425" s="196" t="e" cm="1">
        <f t="array" ref="F425">INDEX($F$5:$F$61,MATCH(1,(D425=$C$5:$C$61)*(A425=$B$5:$B$61),0))</f>
        <v>#N/A</v>
      </c>
      <c r="G425" s="196" t="e" cm="1">
        <f t="array" ref="G425">INDEX($G$5:$G$61,MATCH(1,(D425=$C$5:$C$61)*(A425=$B$5:$B$61),0))</f>
        <v>#N/A</v>
      </c>
      <c r="H425" s="196" t="e" cm="1">
        <f t="array" ref="H425">INDEX($H$5:$H$61,MATCH(1,(D425=$C$5:$C$61)*(A425=$B$5:$B$61),0))</f>
        <v>#N/A</v>
      </c>
      <c r="I425" s="196" t="e" cm="1">
        <f t="array" ref="I425">INDEX($I$5:$I$61,MATCH(1,(D425=$C$5:$C$61)*(A425=$B$5:$B$61),0))</f>
        <v>#N/A</v>
      </c>
      <c r="J425" s="273"/>
      <c r="K425" s="273"/>
      <c r="L425" s="272"/>
      <c r="M425" s="273"/>
      <c r="N425" s="197"/>
      <c r="O425" s="200">
        <f t="shared" si="67"/>
        <v>0</v>
      </c>
      <c r="P425" s="274"/>
      <c r="Q425" s="274"/>
      <c r="R425" s="276"/>
      <c r="S425" s="274"/>
      <c r="T425" s="197">
        <f t="shared" si="68"/>
        <v>0</v>
      </c>
      <c r="U425" s="197">
        <f t="shared" si="69"/>
        <v>0</v>
      </c>
      <c r="V425" s="197">
        <f t="shared" si="70"/>
        <v>0</v>
      </c>
      <c r="W425" s="197">
        <f t="shared" si="71"/>
        <v>0</v>
      </c>
      <c r="Z425" s="197"/>
      <c r="AA425" s="228"/>
      <c r="AB425" s="228"/>
      <c r="AD425" s="228"/>
      <c r="AE425" s="228"/>
      <c r="AF425" s="228"/>
      <c r="AG425" s="228"/>
      <c r="AH425" s="228"/>
      <c r="AI425" s="228"/>
      <c r="AJ425" s="228"/>
      <c r="AK425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</row>
    <row r="426" spans="1:64" s="198" customFormat="1" x14ac:dyDescent="0.25">
      <c r="A426" s="290" t="str">
        <f t="shared" si="66"/>
        <v>Hudson View Park</v>
      </c>
      <c r="B426" s="195">
        <f t="shared" si="72"/>
        <v>328</v>
      </c>
      <c r="C426" s="196" t="str">
        <f t="shared" si="73"/>
        <v>Occ</v>
      </c>
      <c r="D426" s="196" t="e" cm="1">
        <f t="array" ref="D426">INDEX($C$5:$C$61,MATCH(1,(K426=$D$5:$D$61)*(A426=$B$5:$B$61),0))</f>
        <v>#N/A</v>
      </c>
      <c r="E426" s="196" t="e" cm="1">
        <f t="array" ref="E426">INDEX($E$5:$E$61,MATCH(1,(D426=$C$5:$C$61)*(A426=$B$5:$B$61),0))</f>
        <v>#N/A</v>
      </c>
      <c r="F426" s="196" t="e" cm="1">
        <f t="array" ref="F426">INDEX($F$5:$F$61,MATCH(1,(D426=$C$5:$C$61)*(A426=$B$5:$B$61),0))</f>
        <v>#N/A</v>
      </c>
      <c r="G426" s="196" t="e" cm="1">
        <f t="array" ref="G426">INDEX($G$5:$G$61,MATCH(1,(D426=$C$5:$C$61)*(A426=$B$5:$B$61),0))</f>
        <v>#N/A</v>
      </c>
      <c r="H426" s="196" t="e" cm="1">
        <f t="array" ref="H426">INDEX($H$5:$H$61,MATCH(1,(D426=$C$5:$C$61)*(A426=$B$5:$B$61),0))</f>
        <v>#N/A</v>
      </c>
      <c r="I426" s="196" t="e" cm="1">
        <f t="array" ref="I426">INDEX($I$5:$I$61,MATCH(1,(D426=$C$5:$C$61)*(A426=$B$5:$B$61),0))</f>
        <v>#N/A</v>
      </c>
      <c r="J426" s="273"/>
      <c r="K426" s="273"/>
      <c r="L426" s="272"/>
      <c r="M426" s="273"/>
      <c r="N426" s="197"/>
      <c r="O426" s="200">
        <f t="shared" si="67"/>
        <v>0</v>
      </c>
      <c r="P426" s="274"/>
      <c r="Q426" s="274"/>
      <c r="R426" s="276"/>
      <c r="S426" s="274"/>
      <c r="T426" s="197">
        <f t="shared" si="68"/>
        <v>0</v>
      </c>
      <c r="U426" s="197">
        <f t="shared" si="69"/>
        <v>0</v>
      </c>
      <c r="V426" s="197">
        <f t="shared" si="70"/>
        <v>0</v>
      </c>
      <c r="W426" s="197">
        <f t="shared" si="71"/>
        <v>0</v>
      </c>
      <c r="Z426" s="197"/>
      <c r="AA426" s="228"/>
      <c r="AB426" s="228"/>
      <c r="AD426" s="228"/>
      <c r="AE426" s="228"/>
      <c r="AF426" s="228"/>
      <c r="AG426" s="228"/>
      <c r="AH426" s="228"/>
      <c r="AI426" s="228"/>
      <c r="AJ426" s="228"/>
      <c r="AK426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</row>
    <row r="427" spans="1:64" s="198" customFormat="1" x14ac:dyDescent="0.25">
      <c r="A427" s="290" t="str">
        <f t="shared" si="66"/>
        <v>Hudson View Park</v>
      </c>
      <c r="B427" s="195">
        <f t="shared" si="72"/>
        <v>329</v>
      </c>
      <c r="C427" s="196" t="str">
        <f t="shared" si="73"/>
        <v>Occ</v>
      </c>
      <c r="D427" s="196" t="e" cm="1">
        <f t="array" ref="D427">INDEX($C$5:$C$61,MATCH(1,(K427=$D$5:$D$61)*(A427=$B$5:$B$61),0))</f>
        <v>#N/A</v>
      </c>
      <c r="E427" s="196" t="e" cm="1">
        <f t="array" ref="E427">INDEX($E$5:$E$61,MATCH(1,(D427=$C$5:$C$61)*(A427=$B$5:$B$61),0))</f>
        <v>#N/A</v>
      </c>
      <c r="F427" s="196" t="e" cm="1">
        <f t="array" ref="F427">INDEX($F$5:$F$61,MATCH(1,(D427=$C$5:$C$61)*(A427=$B$5:$B$61),0))</f>
        <v>#N/A</v>
      </c>
      <c r="G427" s="196" t="e" cm="1">
        <f t="array" ref="G427">INDEX($G$5:$G$61,MATCH(1,(D427=$C$5:$C$61)*(A427=$B$5:$B$61),0))</f>
        <v>#N/A</v>
      </c>
      <c r="H427" s="196" t="e" cm="1">
        <f t="array" ref="H427">INDEX($H$5:$H$61,MATCH(1,(D427=$C$5:$C$61)*(A427=$B$5:$B$61),0))</f>
        <v>#N/A</v>
      </c>
      <c r="I427" s="196" t="e" cm="1">
        <f t="array" ref="I427">INDEX($I$5:$I$61,MATCH(1,(D427=$C$5:$C$61)*(A427=$B$5:$B$61),0))</f>
        <v>#N/A</v>
      </c>
      <c r="J427" s="273"/>
      <c r="K427" s="273"/>
      <c r="L427" s="272"/>
      <c r="M427" s="273"/>
      <c r="N427" s="197"/>
      <c r="O427" s="200">
        <f t="shared" si="67"/>
        <v>0</v>
      </c>
      <c r="P427" s="274"/>
      <c r="Q427" s="274"/>
      <c r="R427" s="276"/>
      <c r="S427" s="274"/>
      <c r="T427" s="197">
        <f t="shared" si="68"/>
        <v>0</v>
      </c>
      <c r="U427" s="197">
        <f t="shared" si="69"/>
        <v>0</v>
      </c>
      <c r="V427" s="197">
        <f t="shared" si="70"/>
        <v>0</v>
      </c>
      <c r="W427" s="197">
        <f t="shared" si="71"/>
        <v>0</v>
      </c>
      <c r="Z427" s="197"/>
      <c r="AA427" s="228"/>
      <c r="AB427" s="228"/>
      <c r="AD427" s="228"/>
      <c r="AE427" s="228"/>
      <c r="AF427" s="228"/>
      <c r="AG427" s="228"/>
      <c r="AH427" s="228"/>
      <c r="AI427" s="228"/>
      <c r="AJ427" s="228"/>
      <c r="AK427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</row>
    <row r="428" spans="1:64" s="198" customFormat="1" x14ac:dyDescent="0.25">
      <c r="A428" s="290" t="str">
        <f t="shared" si="66"/>
        <v>Hudson View Park</v>
      </c>
      <c r="B428" s="195">
        <f t="shared" si="72"/>
        <v>330</v>
      </c>
      <c r="C428" s="196" t="str">
        <f t="shared" si="73"/>
        <v>Occ</v>
      </c>
      <c r="D428" s="196" t="e" cm="1">
        <f t="array" ref="D428">INDEX($C$5:$C$61,MATCH(1,(K428=$D$5:$D$61)*(A428=$B$5:$B$61),0))</f>
        <v>#N/A</v>
      </c>
      <c r="E428" s="196" t="e" cm="1">
        <f t="array" ref="E428">INDEX($E$5:$E$61,MATCH(1,(D428=$C$5:$C$61)*(A428=$B$5:$B$61),0))</f>
        <v>#N/A</v>
      </c>
      <c r="F428" s="196" t="e" cm="1">
        <f t="array" ref="F428">INDEX($F$5:$F$61,MATCH(1,(D428=$C$5:$C$61)*(A428=$B$5:$B$61),0))</f>
        <v>#N/A</v>
      </c>
      <c r="G428" s="196" t="e" cm="1">
        <f t="array" ref="G428">INDEX($G$5:$G$61,MATCH(1,(D428=$C$5:$C$61)*(A428=$B$5:$B$61),0))</f>
        <v>#N/A</v>
      </c>
      <c r="H428" s="196" t="e" cm="1">
        <f t="array" ref="H428">INDEX($H$5:$H$61,MATCH(1,(D428=$C$5:$C$61)*(A428=$B$5:$B$61),0))</f>
        <v>#N/A</v>
      </c>
      <c r="I428" s="196" t="e" cm="1">
        <f t="array" ref="I428">INDEX($I$5:$I$61,MATCH(1,(D428=$C$5:$C$61)*(A428=$B$5:$B$61),0))</f>
        <v>#N/A</v>
      </c>
      <c r="J428" s="273"/>
      <c r="K428" s="273"/>
      <c r="L428" s="272"/>
      <c r="M428" s="273"/>
      <c r="N428" s="197"/>
      <c r="O428" s="200">
        <f t="shared" si="67"/>
        <v>0</v>
      </c>
      <c r="P428" s="274"/>
      <c r="Q428" s="274"/>
      <c r="R428" s="276"/>
      <c r="S428" s="274"/>
      <c r="T428" s="197">
        <f t="shared" si="68"/>
        <v>0</v>
      </c>
      <c r="U428" s="197">
        <f t="shared" si="69"/>
        <v>0</v>
      </c>
      <c r="V428" s="197">
        <f t="shared" si="70"/>
        <v>0</v>
      </c>
      <c r="W428" s="197">
        <f t="shared" si="71"/>
        <v>0</v>
      </c>
      <c r="Z428" s="197"/>
      <c r="AA428" s="228"/>
      <c r="AB428" s="228"/>
      <c r="AD428" s="228"/>
      <c r="AE428" s="228"/>
      <c r="AF428" s="228"/>
      <c r="AG428" s="228"/>
      <c r="AH428" s="228"/>
      <c r="AI428" s="228"/>
      <c r="AJ428" s="228"/>
      <c r="AK4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</row>
    <row r="429" spans="1:64" s="198" customFormat="1" x14ac:dyDescent="0.25">
      <c r="A429" s="290" t="str">
        <f t="shared" si="66"/>
        <v>Hudson View Park</v>
      </c>
      <c r="B429" s="195">
        <f t="shared" si="72"/>
        <v>331</v>
      </c>
      <c r="C429" s="196" t="str">
        <f t="shared" si="73"/>
        <v>Occ</v>
      </c>
      <c r="D429" s="196" t="e" cm="1">
        <f t="array" ref="D429">INDEX($C$5:$C$61,MATCH(1,(K429=$D$5:$D$61)*(A429=$B$5:$B$61),0))</f>
        <v>#N/A</v>
      </c>
      <c r="E429" s="196" t="e" cm="1">
        <f t="array" ref="E429">INDEX($E$5:$E$61,MATCH(1,(D429=$C$5:$C$61)*(A429=$B$5:$B$61),0))</f>
        <v>#N/A</v>
      </c>
      <c r="F429" s="196" t="e" cm="1">
        <f t="array" ref="F429">INDEX($F$5:$F$61,MATCH(1,(D429=$C$5:$C$61)*(A429=$B$5:$B$61),0))</f>
        <v>#N/A</v>
      </c>
      <c r="G429" s="196" t="e" cm="1">
        <f t="array" ref="G429">INDEX($G$5:$G$61,MATCH(1,(D429=$C$5:$C$61)*(A429=$B$5:$B$61),0))</f>
        <v>#N/A</v>
      </c>
      <c r="H429" s="196" t="e" cm="1">
        <f t="array" ref="H429">INDEX($H$5:$H$61,MATCH(1,(D429=$C$5:$C$61)*(A429=$B$5:$B$61),0))</f>
        <v>#N/A</v>
      </c>
      <c r="I429" s="196" t="e" cm="1">
        <f t="array" ref="I429">INDEX($I$5:$I$61,MATCH(1,(D429=$C$5:$C$61)*(A429=$B$5:$B$61),0))</f>
        <v>#N/A</v>
      </c>
      <c r="J429" s="273"/>
      <c r="K429" s="273"/>
      <c r="L429" s="272"/>
      <c r="M429" s="273"/>
      <c r="N429" s="197"/>
      <c r="O429" s="200">
        <f t="shared" si="67"/>
        <v>0</v>
      </c>
      <c r="P429" s="274"/>
      <c r="Q429" s="274"/>
      <c r="R429" s="276"/>
      <c r="S429" s="274"/>
      <c r="T429" s="197">
        <f t="shared" si="68"/>
        <v>0</v>
      </c>
      <c r="U429" s="197">
        <f t="shared" si="69"/>
        <v>0</v>
      </c>
      <c r="V429" s="197">
        <f t="shared" si="70"/>
        <v>0</v>
      </c>
      <c r="W429" s="197">
        <f t="shared" si="71"/>
        <v>0</v>
      </c>
      <c r="Z429" s="197"/>
      <c r="AA429" s="228"/>
      <c r="AB429" s="228"/>
      <c r="AD429" s="228"/>
      <c r="AE429" s="228"/>
      <c r="AF429" s="228"/>
      <c r="AG429" s="228"/>
      <c r="AH429" s="228"/>
      <c r="AI429" s="228"/>
      <c r="AJ429" s="228"/>
      <c r="AK429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</row>
    <row r="430" spans="1:64" s="198" customFormat="1" x14ac:dyDescent="0.25">
      <c r="A430" s="290" t="str">
        <f t="shared" si="66"/>
        <v>Hudson View Park</v>
      </c>
      <c r="B430" s="195">
        <f t="shared" si="72"/>
        <v>332</v>
      </c>
      <c r="C430" s="196" t="str">
        <f t="shared" si="73"/>
        <v>Occ</v>
      </c>
      <c r="D430" s="196" t="e" cm="1">
        <f t="array" ref="D430">INDEX($C$5:$C$61,MATCH(1,(K430=$D$5:$D$61)*(A430=$B$5:$B$61),0))</f>
        <v>#N/A</v>
      </c>
      <c r="E430" s="196" t="e" cm="1">
        <f t="array" ref="E430">INDEX($E$5:$E$61,MATCH(1,(D430=$C$5:$C$61)*(A430=$B$5:$B$61),0))</f>
        <v>#N/A</v>
      </c>
      <c r="F430" s="196" t="e" cm="1">
        <f t="array" ref="F430">INDEX($F$5:$F$61,MATCH(1,(D430=$C$5:$C$61)*(A430=$B$5:$B$61),0))</f>
        <v>#N/A</v>
      </c>
      <c r="G430" s="196" t="e" cm="1">
        <f t="array" ref="G430">INDEX($G$5:$G$61,MATCH(1,(D430=$C$5:$C$61)*(A430=$B$5:$B$61),0))</f>
        <v>#N/A</v>
      </c>
      <c r="H430" s="196" t="e" cm="1">
        <f t="array" ref="H430">INDEX($H$5:$H$61,MATCH(1,(D430=$C$5:$C$61)*(A430=$B$5:$B$61),0))</f>
        <v>#N/A</v>
      </c>
      <c r="I430" s="196" t="e" cm="1">
        <f t="array" ref="I430">INDEX($I$5:$I$61,MATCH(1,(D430=$C$5:$C$61)*(A430=$B$5:$B$61),0))</f>
        <v>#N/A</v>
      </c>
      <c r="J430" s="273"/>
      <c r="K430" s="273"/>
      <c r="L430" s="272"/>
      <c r="M430" s="273"/>
      <c r="N430" s="197"/>
      <c r="O430" s="200">
        <f t="shared" si="67"/>
        <v>0</v>
      </c>
      <c r="P430" s="274"/>
      <c r="Q430" s="274"/>
      <c r="R430" s="276"/>
      <c r="S430" s="274"/>
      <c r="T430" s="197">
        <f t="shared" si="68"/>
        <v>0</v>
      </c>
      <c r="U430" s="197">
        <f t="shared" si="69"/>
        <v>0</v>
      </c>
      <c r="V430" s="197">
        <f t="shared" si="70"/>
        <v>0</v>
      </c>
      <c r="W430" s="197">
        <f t="shared" si="71"/>
        <v>0</v>
      </c>
      <c r="Z430" s="197"/>
      <c r="AA430" s="228"/>
      <c r="AB430" s="228"/>
      <c r="AD430" s="228"/>
      <c r="AE430" s="228"/>
      <c r="AF430" s="228"/>
      <c r="AG430" s="228"/>
      <c r="AH430" s="228"/>
      <c r="AI430" s="228"/>
      <c r="AJ430" s="228"/>
      <c r="AK430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</row>
    <row r="431" spans="1:64" s="198" customFormat="1" x14ac:dyDescent="0.25">
      <c r="A431" s="290" t="str">
        <f t="shared" si="66"/>
        <v>Hudson View Park</v>
      </c>
      <c r="B431" s="195">
        <f t="shared" si="72"/>
        <v>333</v>
      </c>
      <c r="C431" s="196" t="str">
        <f t="shared" si="73"/>
        <v>Occ</v>
      </c>
      <c r="D431" s="196" t="e" cm="1">
        <f t="array" ref="D431">INDEX($C$5:$C$61,MATCH(1,(K431=$D$5:$D$61)*(A431=$B$5:$B$61),0))</f>
        <v>#N/A</v>
      </c>
      <c r="E431" s="196" t="e" cm="1">
        <f t="array" ref="E431">INDEX($E$5:$E$61,MATCH(1,(D431=$C$5:$C$61)*(A431=$B$5:$B$61),0))</f>
        <v>#N/A</v>
      </c>
      <c r="F431" s="196" t="e" cm="1">
        <f t="array" ref="F431">INDEX($F$5:$F$61,MATCH(1,(D431=$C$5:$C$61)*(A431=$B$5:$B$61),0))</f>
        <v>#N/A</v>
      </c>
      <c r="G431" s="196" t="e" cm="1">
        <f t="array" ref="G431">INDEX($G$5:$G$61,MATCH(1,(D431=$C$5:$C$61)*(A431=$B$5:$B$61),0))</f>
        <v>#N/A</v>
      </c>
      <c r="H431" s="196" t="e" cm="1">
        <f t="array" ref="H431">INDEX($H$5:$H$61,MATCH(1,(D431=$C$5:$C$61)*(A431=$B$5:$B$61),0))</f>
        <v>#N/A</v>
      </c>
      <c r="I431" s="196" t="e" cm="1">
        <f t="array" ref="I431">INDEX($I$5:$I$61,MATCH(1,(D431=$C$5:$C$61)*(A431=$B$5:$B$61),0))</f>
        <v>#N/A</v>
      </c>
      <c r="J431" s="273"/>
      <c r="K431" s="273"/>
      <c r="L431" s="272"/>
      <c r="M431" s="273"/>
      <c r="N431" s="197"/>
      <c r="O431" s="200">
        <f t="shared" si="67"/>
        <v>0</v>
      </c>
      <c r="P431" s="274"/>
      <c r="Q431" s="274"/>
      <c r="R431" s="276"/>
      <c r="S431" s="274"/>
      <c r="T431" s="197">
        <f t="shared" si="68"/>
        <v>0</v>
      </c>
      <c r="U431" s="197">
        <f t="shared" si="69"/>
        <v>0</v>
      </c>
      <c r="V431" s="197">
        <f t="shared" si="70"/>
        <v>0</v>
      </c>
      <c r="W431" s="197">
        <f t="shared" si="71"/>
        <v>0</v>
      </c>
      <c r="Z431" s="197"/>
      <c r="AA431" s="228"/>
      <c r="AB431" s="228"/>
      <c r="AD431" s="228"/>
      <c r="AE431" s="228"/>
      <c r="AF431" s="228"/>
      <c r="AG431" s="228"/>
      <c r="AH431" s="228"/>
      <c r="AI431" s="228"/>
      <c r="AJ431" s="228"/>
      <c r="AK431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</row>
    <row r="432" spans="1:64" s="198" customFormat="1" x14ac:dyDescent="0.25">
      <c r="A432" s="290" t="str">
        <f t="shared" si="66"/>
        <v>Hudson View Park</v>
      </c>
      <c r="B432" s="195">
        <f t="shared" si="72"/>
        <v>334</v>
      </c>
      <c r="C432" s="196" t="str">
        <f t="shared" si="73"/>
        <v>Occ</v>
      </c>
      <c r="D432" s="196" t="e" cm="1">
        <f t="array" ref="D432">INDEX($C$5:$C$61,MATCH(1,(K432=$D$5:$D$61)*(A432=$B$5:$B$61),0))</f>
        <v>#N/A</v>
      </c>
      <c r="E432" s="196" t="e" cm="1">
        <f t="array" ref="E432">INDEX($E$5:$E$61,MATCH(1,(D432=$C$5:$C$61)*(A432=$B$5:$B$61),0))</f>
        <v>#N/A</v>
      </c>
      <c r="F432" s="196" t="e" cm="1">
        <f t="array" ref="F432">INDEX($F$5:$F$61,MATCH(1,(D432=$C$5:$C$61)*(A432=$B$5:$B$61),0))</f>
        <v>#N/A</v>
      </c>
      <c r="G432" s="196" t="e" cm="1">
        <f t="array" ref="G432">INDEX($G$5:$G$61,MATCH(1,(D432=$C$5:$C$61)*(A432=$B$5:$B$61),0))</f>
        <v>#N/A</v>
      </c>
      <c r="H432" s="196" t="e" cm="1">
        <f t="array" ref="H432">INDEX($H$5:$H$61,MATCH(1,(D432=$C$5:$C$61)*(A432=$B$5:$B$61),0))</f>
        <v>#N/A</v>
      </c>
      <c r="I432" s="196" t="e" cm="1">
        <f t="array" ref="I432">INDEX($I$5:$I$61,MATCH(1,(D432=$C$5:$C$61)*(A432=$B$5:$B$61),0))</f>
        <v>#N/A</v>
      </c>
      <c r="J432" s="273"/>
      <c r="K432" s="273"/>
      <c r="L432" s="272"/>
      <c r="M432" s="273"/>
      <c r="N432" s="197"/>
      <c r="O432" s="200">
        <f t="shared" si="67"/>
        <v>0</v>
      </c>
      <c r="P432" s="274"/>
      <c r="Q432" s="274"/>
      <c r="R432" s="276"/>
      <c r="S432" s="274"/>
      <c r="T432" s="197">
        <f t="shared" si="68"/>
        <v>0</v>
      </c>
      <c r="U432" s="197">
        <f t="shared" si="69"/>
        <v>0</v>
      </c>
      <c r="V432" s="197">
        <f t="shared" si="70"/>
        <v>0</v>
      </c>
      <c r="W432" s="197">
        <f t="shared" si="71"/>
        <v>0</v>
      </c>
      <c r="Z432" s="197"/>
      <c r="AA432" s="228"/>
      <c r="AB432" s="228"/>
      <c r="AD432" s="228"/>
      <c r="AE432" s="228"/>
      <c r="AF432" s="228"/>
      <c r="AG432" s="228"/>
      <c r="AH432" s="228"/>
      <c r="AI432" s="228"/>
      <c r="AJ432" s="228"/>
      <c r="AK432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</row>
    <row r="433" spans="1:64" s="198" customFormat="1" x14ac:dyDescent="0.25">
      <c r="A433" s="290" t="str">
        <f t="shared" si="66"/>
        <v>Hudson View Park</v>
      </c>
      <c r="B433" s="195">
        <f t="shared" si="72"/>
        <v>335</v>
      </c>
      <c r="C433" s="196" t="str">
        <f t="shared" si="73"/>
        <v>Occ</v>
      </c>
      <c r="D433" s="196" t="e" cm="1">
        <f t="array" ref="D433">INDEX($C$5:$C$61,MATCH(1,(K433=$D$5:$D$61)*(A433=$B$5:$B$61),0))</f>
        <v>#N/A</v>
      </c>
      <c r="E433" s="196" t="e" cm="1">
        <f t="array" ref="E433">INDEX($E$5:$E$61,MATCH(1,(D433=$C$5:$C$61)*(A433=$B$5:$B$61),0))</f>
        <v>#N/A</v>
      </c>
      <c r="F433" s="196" t="e" cm="1">
        <f t="array" ref="F433">INDEX($F$5:$F$61,MATCH(1,(D433=$C$5:$C$61)*(A433=$B$5:$B$61),0))</f>
        <v>#N/A</v>
      </c>
      <c r="G433" s="196" t="e" cm="1">
        <f t="array" ref="G433">INDEX($G$5:$G$61,MATCH(1,(D433=$C$5:$C$61)*(A433=$B$5:$B$61),0))</f>
        <v>#N/A</v>
      </c>
      <c r="H433" s="196" t="e" cm="1">
        <f t="array" ref="H433">INDEX($H$5:$H$61,MATCH(1,(D433=$C$5:$C$61)*(A433=$B$5:$B$61),0))</f>
        <v>#N/A</v>
      </c>
      <c r="I433" s="196" t="e" cm="1">
        <f t="array" ref="I433">INDEX($I$5:$I$61,MATCH(1,(D433=$C$5:$C$61)*(A433=$B$5:$B$61),0))</f>
        <v>#N/A</v>
      </c>
      <c r="J433" s="273"/>
      <c r="K433" s="273"/>
      <c r="L433" s="272"/>
      <c r="M433" s="273"/>
      <c r="N433" s="197"/>
      <c r="O433" s="200">
        <f t="shared" si="67"/>
        <v>0</v>
      </c>
      <c r="P433" s="274"/>
      <c r="Q433" s="274"/>
      <c r="R433" s="276"/>
      <c r="S433" s="274"/>
      <c r="T433" s="197">
        <f t="shared" si="68"/>
        <v>0</v>
      </c>
      <c r="U433" s="197">
        <f t="shared" si="69"/>
        <v>0</v>
      </c>
      <c r="V433" s="197">
        <f t="shared" si="70"/>
        <v>0</v>
      </c>
      <c r="W433" s="197">
        <f t="shared" si="71"/>
        <v>0</v>
      </c>
      <c r="Z433" s="197"/>
      <c r="AA433" s="228"/>
      <c r="AB433" s="228"/>
      <c r="AD433" s="228"/>
      <c r="AE433" s="228"/>
      <c r="AF433" s="228"/>
      <c r="AG433" s="228"/>
      <c r="AH433" s="228"/>
      <c r="AI433" s="228"/>
      <c r="AJ433" s="228"/>
      <c r="AK433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</row>
    <row r="434" spans="1:64" s="198" customFormat="1" x14ac:dyDescent="0.25">
      <c r="A434" s="290" t="str">
        <f t="shared" si="66"/>
        <v>Hudson View Park</v>
      </c>
      <c r="B434" s="195">
        <f t="shared" si="72"/>
        <v>336</v>
      </c>
      <c r="C434" s="196" t="str">
        <f t="shared" si="73"/>
        <v>Occ</v>
      </c>
      <c r="D434" s="196" t="e" cm="1">
        <f t="array" ref="D434">INDEX($C$5:$C$61,MATCH(1,(K434=$D$5:$D$61)*(A434=$B$5:$B$61),0))</f>
        <v>#N/A</v>
      </c>
      <c r="E434" s="196" t="e" cm="1">
        <f t="array" ref="E434">INDEX($E$5:$E$61,MATCH(1,(D434=$C$5:$C$61)*(A434=$B$5:$B$61),0))</f>
        <v>#N/A</v>
      </c>
      <c r="F434" s="196" t="e" cm="1">
        <f t="array" ref="F434">INDEX($F$5:$F$61,MATCH(1,(D434=$C$5:$C$61)*(A434=$B$5:$B$61),0))</f>
        <v>#N/A</v>
      </c>
      <c r="G434" s="196" t="e" cm="1">
        <f t="array" ref="G434">INDEX($G$5:$G$61,MATCH(1,(D434=$C$5:$C$61)*(A434=$B$5:$B$61),0))</f>
        <v>#N/A</v>
      </c>
      <c r="H434" s="196" t="e" cm="1">
        <f t="array" ref="H434">INDEX($H$5:$H$61,MATCH(1,(D434=$C$5:$C$61)*(A434=$B$5:$B$61),0))</f>
        <v>#N/A</v>
      </c>
      <c r="I434" s="196" t="e" cm="1">
        <f t="array" ref="I434">INDEX($I$5:$I$61,MATCH(1,(D434=$C$5:$C$61)*(A434=$B$5:$B$61),0))</f>
        <v>#N/A</v>
      </c>
      <c r="J434" s="273"/>
      <c r="K434" s="273"/>
      <c r="L434" s="272"/>
      <c r="M434" s="273"/>
      <c r="N434" s="197"/>
      <c r="O434" s="200">
        <f t="shared" si="67"/>
        <v>0</v>
      </c>
      <c r="P434" s="274"/>
      <c r="Q434" s="274"/>
      <c r="R434" s="276"/>
      <c r="S434" s="274"/>
      <c r="T434" s="197">
        <f t="shared" si="68"/>
        <v>0</v>
      </c>
      <c r="U434" s="197">
        <f t="shared" si="69"/>
        <v>0</v>
      </c>
      <c r="V434" s="197">
        <f t="shared" si="70"/>
        <v>0</v>
      </c>
      <c r="W434" s="197">
        <f t="shared" si="71"/>
        <v>0</v>
      </c>
      <c r="Z434" s="197"/>
      <c r="AA434" s="228"/>
      <c r="AB434" s="228"/>
      <c r="AD434" s="228"/>
      <c r="AE434" s="228"/>
      <c r="AF434" s="228"/>
      <c r="AG434" s="228"/>
      <c r="AH434" s="228"/>
      <c r="AI434" s="228"/>
      <c r="AJ434" s="228"/>
      <c r="AK434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</row>
    <row r="435" spans="1:64" s="198" customFormat="1" x14ac:dyDescent="0.25">
      <c r="A435" s="290" t="str">
        <f t="shared" si="66"/>
        <v>Hudson View Park</v>
      </c>
      <c r="B435" s="195">
        <f t="shared" si="72"/>
        <v>337</v>
      </c>
      <c r="C435" s="196" t="str">
        <f t="shared" si="73"/>
        <v>Occ</v>
      </c>
      <c r="D435" s="196" t="e" cm="1">
        <f t="array" ref="D435">INDEX($C$5:$C$61,MATCH(1,(K435=$D$5:$D$61)*(A435=$B$5:$B$61),0))</f>
        <v>#N/A</v>
      </c>
      <c r="E435" s="196" t="e" cm="1">
        <f t="array" ref="E435">INDEX($E$5:$E$61,MATCH(1,(D435=$C$5:$C$61)*(A435=$B$5:$B$61),0))</f>
        <v>#N/A</v>
      </c>
      <c r="F435" s="196" t="e" cm="1">
        <f t="array" ref="F435">INDEX($F$5:$F$61,MATCH(1,(D435=$C$5:$C$61)*(A435=$B$5:$B$61),0))</f>
        <v>#N/A</v>
      </c>
      <c r="G435" s="196" t="e" cm="1">
        <f t="array" ref="G435">INDEX($G$5:$G$61,MATCH(1,(D435=$C$5:$C$61)*(A435=$B$5:$B$61),0))</f>
        <v>#N/A</v>
      </c>
      <c r="H435" s="196" t="e" cm="1">
        <f t="array" ref="H435">INDEX($H$5:$H$61,MATCH(1,(D435=$C$5:$C$61)*(A435=$B$5:$B$61),0))</f>
        <v>#N/A</v>
      </c>
      <c r="I435" s="196" t="e" cm="1">
        <f t="array" ref="I435">INDEX($I$5:$I$61,MATCH(1,(D435=$C$5:$C$61)*(A435=$B$5:$B$61),0))</f>
        <v>#N/A</v>
      </c>
      <c r="J435" s="273"/>
      <c r="K435" s="273"/>
      <c r="L435" s="272"/>
      <c r="M435" s="273"/>
      <c r="N435" s="197"/>
      <c r="O435" s="200">
        <f t="shared" si="67"/>
        <v>0</v>
      </c>
      <c r="P435" s="274"/>
      <c r="Q435" s="274"/>
      <c r="R435" s="276"/>
      <c r="S435" s="274"/>
      <c r="T435" s="197">
        <f t="shared" si="68"/>
        <v>0</v>
      </c>
      <c r="U435" s="197">
        <f t="shared" si="69"/>
        <v>0</v>
      </c>
      <c r="V435" s="197">
        <f t="shared" si="70"/>
        <v>0</v>
      </c>
      <c r="W435" s="197">
        <f t="shared" si="71"/>
        <v>0</v>
      </c>
      <c r="Z435" s="197"/>
      <c r="AA435" s="228"/>
      <c r="AB435" s="228"/>
      <c r="AD435" s="228"/>
      <c r="AE435" s="228"/>
      <c r="AF435" s="228"/>
      <c r="AG435" s="228"/>
      <c r="AH435" s="228"/>
      <c r="AI435" s="228"/>
      <c r="AJ435" s="228"/>
      <c r="AK435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</row>
    <row r="436" spans="1:64" s="198" customFormat="1" x14ac:dyDescent="0.25">
      <c r="A436" s="290" t="str">
        <f t="shared" si="66"/>
        <v>Hudson View Park</v>
      </c>
      <c r="B436" s="195">
        <f t="shared" si="72"/>
        <v>338</v>
      </c>
      <c r="C436" s="196" t="str">
        <f t="shared" si="73"/>
        <v>Occ</v>
      </c>
      <c r="D436" s="196" t="e" cm="1">
        <f t="array" ref="D436">INDEX($C$5:$C$61,MATCH(1,(K436=$D$5:$D$61)*(A436=$B$5:$B$61),0))</f>
        <v>#N/A</v>
      </c>
      <c r="E436" s="196" t="e" cm="1">
        <f t="array" ref="E436">INDEX($E$5:$E$61,MATCH(1,(D436=$C$5:$C$61)*(A436=$B$5:$B$61),0))</f>
        <v>#N/A</v>
      </c>
      <c r="F436" s="196" t="e" cm="1">
        <f t="array" ref="F436">INDEX($F$5:$F$61,MATCH(1,(D436=$C$5:$C$61)*(A436=$B$5:$B$61),0))</f>
        <v>#N/A</v>
      </c>
      <c r="G436" s="196" t="e" cm="1">
        <f t="array" ref="G436">INDEX($G$5:$G$61,MATCH(1,(D436=$C$5:$C$61)*(A436=$B$5:$B$61),0))</f>
        <v>#N/A</v>
      </c>
      <c r="H436" s="196" t="e" cm="1">
        <f t="array" ref="H436">INDEX($H$5:$H$61,MATCH(1,(D436=$C$5:$C$61)*(A436=$B$5:$B$61),0))</f>
        <v>#N/A</v>
      </c>
      <c r="I436" s="196" t="e" cm="1">
        <f t="array" ref="I436">INDEX($I$5:$I$61,MATCH(1,(D436=$C$5:$C$61)*(A436=$B$5:$B$61),0))</f>
        <v>#N/A</v>
      </c>
      <c r="J436" s="273"/>
      <c r="K436" s="273"/>
      <c r="L436" s="272"/>
      <c r="M436" s="273"/>
      <c r="N436" s="197"/>
      <c r="O436" s="200">
        <f t="shared" si="67"/>
        <v>0</v>
      </c>
      <c r="P436" s="274"/>
      <c r="Q436" s="274"/>
      <c r="R436" s="276"/>
      <c r="S436" s="274"/>
      <c r="T436" s="197">
        <f t="shared" si="68"/>
        <v>0</v>
      </c>
      <c r="U436" s="197">
        <f t="shared" si="69"/>
        <v>0</v>
      </c>
      <c r="V436" s="197">
        <f t="shared" si="70"/>
        <v>0</v>
      </c>
      <c r="W436" s="197">
        <f t="shared" si="71"/>
        <v>0</v>
      </c>
      <c r="Z436" s="197"/>
      <c r="AA436" s="228"/>
      <c r="AB436" s="228"/>
      <c r="AD436" s="228"/>
      <c r="AE436" s="228"/>
      <c r="AF436" s="228"/>
      <c r="AG436" s="228"/>
      <c r="AH436" s="228"/>
      <c r="AI436" s="228"/>
      <c r="AJ436" s="228"/>
      <c r="AK436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</row>
    <row r="437" spans="1:64" s="198" customFormat="1" x14ac:dyDescent="0.25">
      <c r="A437" s="290" t="str">
        <f t="shared" si="66"/>
        <v>Hudson View Park</v>
      </c>
      <c r="B437" s="195">
        <f t="shared" si="72"/>
        <v>339</v>
      </c>
      <c r="C437" s="196" t="str">
        <f t="shared" si="73"/>
        <v>Occ</v>
      </c>
      <c r="D437" s="196" t="e" cm="1">
        <f t="array" ref="D437">INDEX($C$5:$C$61,MATCH(1,(K437=$D$5:$D$61)*(A437=$B$5:$B$61),0))</f>
        <v>#N/A</v>
      </c>
      <c r="E437" s="196" t="e" cm="1">
        <f t="array" ref="E437">INDEX($E$5:$E$61,MATCH(1,(D437=$C$5:$C$61)*(A437=$B$5:$B$61),0))</f>
        <v>#N/A</v>
      </c>
      <c r="F437" s="196" t="e" cm="1">
        <f t="array" ref="F437">INDEX($F$5:$F$61,MATCH(1,(D437=$C$5:$C$61)*(A437=$B$5:$B$61),0))</f>
        <v>#N/A</v>
      </c>
      <c r="G437" s="196" t="e" cm="1">
        <f t="array" ref="G437">INDEX($G$5:$G$61,MATCH(1,(D437=$C$5:$C$61)*(A437=$B$5:$B$61),0))</f>
        <v>#N/A</v>
      </c>
      <c r="H437" s="196" t="e" cm="1">
        <f t="array" ref="H437">INDEX($H$5:$H$61,MATCH(1,(D437=$C$5:$C$61)*(A437=$B$5:$B$61),0))</f>
        <v>#N/A</v>
      </c>
      <c r="I437" s="196" t="e" cm="1">
        <f t="array" ref="I437">INDEX($I$5:$I$61,MATCH(1,(D437=$C$5:$C$61)*(A437=$B$5:$B$61),0))</f>
        <v>#N/A</v>
      </c>
      <c r="J437" s="273"/>
      <c r="K437" s="273"/>
      <c r="L437" s="272"/>
      <c r="M437" s="273"/>
      <c r="N437" s="197"/>
      <c r="O437" s="200">
        <f t="shared" si="67"/>
        <v>0</v>
      </c>
      <c r="P437" s="274"/>
      <c r="Q437" s="274"/>
      <c r="R437" s="276"/>
      <c r="S437" s="274"/>
      <c r="T437" s="197">
        <f t="shared" si="68"/>
        <v>0</v>
      </c>
      <c r="U437" s="197">
        <f t="shared" si="69"/>
        <v>0</v>
      </c>
      <c r="V437" s="197">
        <f t="shared" si="70"/>
        <v>0</v>
      </c>
      <c r="W437" s="197">
        <f t="shared" si="71"/>
        <v>0</v>
      </c>
      <c r="Z437" s="197"/>
      <c r="AA437" s="228"/>
      <c r="AB437" s="228"/>
      <c r="AD437" s="228"/>
      <c r="AE437" s="228"/>
      <c r="AF437" s="228"/>
      <c r="AG437" s="228"/>
      <c r="AH437" s="228"/>
      <c r="AI437" s="228"/>
      <c r="AJ437" s="228"/>
      <c r="AK437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</row>
    <row r="438" spans="1:64" s="198" customFormat="1" x14ac:dyDescent="0.25">
      <c r="A438" s="290" t="str">
        <f t="shared" si="66"/>
        <v>Hudson View Park</v>
      </c>
      <c r="B438" s="195">
        <f t="shared" si="72"/>
        <v>340</v>
      </c>
      <c r="C438" s="196" t="str">
        <f t="shared" si="73"/>
        <v>Occ</v>
      </c>
      <c r="D438" s="196" t="e" cm="1">
        <f t="array" ref="D438">INDEX($C$5:$C$61,MATCH(1,(K438=$D$5:$D$61)*(A438=$B$5:$B$61),0))</f>
        <v>#N/A</v>
      </c>
      <c r="E438" s="196" t="e" cm="1">
        <f t="array" ref="E438">INDEX($E$5:$E$61,MATCH(1,(D438=$C$5:$C$61)*(A438=$B$5:$B$61),0))</f>
        <v>#N/A</v>
      </c>
      <c r="F438" s="196" t="e" cm="1">
        <f t="array" ref="F438">INDEX($F$5:$F$61,MATCH(1,(D438=$C$5:$C$61)*(A438=$B$5:$B$61),0))</f>
        <v>#N/A</v>
      </c>
      <c r="G438" s="196" t="e" cm="1">
        <f t="array" ref="G438">INDEX($G$5:$G$61,MATCH(1,(D438=$C$5:$C$61)*(A438=$B$5:$B$61),0))</f>
        <v>#N/A</v>
      </c>
      <c r="H438" s="196" t="e" cm="1">
        <f t="array" ref="H438">INDEX($H$5:$H$61,MATCH(1,(D438=$C$5:$C$61)*(A438=$B$5:$B$61),0))</f>
        <v>#N/A</v>
      </c>
      <c r="I438" s="196" t="e" cm="1">
        <f t="array" ref="I438">INDEX($I$5:$I$61,MATCH(1,(D438=$C$5:$C$61)*(A438=$B$5:$B$61),0))</f>
        <v>#N/A</v>
      </c>
      <c r="J438" s="273"/>
      <c r="K438" s="273"/>
      <c r="L438" s="272"/>
      <c r="M438" s="273"/>
      <c r="N438" s="197"/>
      <c r="O438" s="200">
        <f t="shared" si="67"/>
        <v>0</v>
      </c>
      <c r="P438" s="274"/>
      <c r="Q438" s="274"/>
      <c r="R438" s="276"/>
      <c r="S438" s="274"/>
      <c r="T438" s="197">
        <f t="shared" si="68"/>
        <v>0</v>
      </c>
      <c r="U438" s="197">
        <f t="shared" si="69"/>
        <v>0</v>
      </c>
      <c r="V438" s="197">
        <f t="shared" si="70"/>
        <v>0</v>
      </c>
      <c r="W438" s="197">
        <f t="shared" si="71"/>
        <v>0</v>
      </c>
      <c r="Z438" s="197"/>
      <c r="AA438" s="228"/>
      <c r="AB438" s="228"/>
      <c r="AD438" s="228"/>
      <c r="AE438" s="228"/>
      <c r="AF438" s="228"/>
      <c r="AG438" s="228"/>
      <c r="AH438" s="228"/>
      <c r="AI438" s="228"/>
      <c r="AJ438" s="228"/>
      <c r="AK43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</row>
    <row r="439" spans="1:64" s="198" customFormat="1" x14ac:dyDescent="0.25">
      <c r="A439" s="290" t="str">
        <f t="shared" si="66"/>
        <v>Hudson View Park</v>
      </c>
      <c r="B439" s="195">
        <f t="shared" si="72"/>
        <v>341</v>
      </c>
      <c r="C439" s="196" t="str">
        <f t="shared" si="73"/>
        <v>Occ</v>
      </c>
      <c r="D439" s="196" t="e" cm="1">
        <f t="array" ref="D439">INDEX($C$5:$C$61,MATCH(1,(K439=$D$5:$D$61)*(A439=$B$5:$B$61),0))</f>
        <v>#N/A</v>
      </c>
      <c r="E439" s="196" t="e" cm="1">
        <f t="array" ref="E439">INDEX($E$5:$E$61,MATCH(1,(D439=$C$5:$C$61)*(A439=$B$5:$B$61),0))</f>
        <v>#N/A</v>
      </c>
      <c r="F439" s="196" t="e" cm="1">
        <f t="array" ref="F439">INDEX($F$5:$F$61,MATCH(1,(D439=$C$5:$C$61)*(A439=$B$5:$B$61),0))</f>
        <v>#N/A</v>
      </c>
      <c r="G439" s="196" t="e" cm="1">
        <f t="array" ref="G439">INDEX($G$5:$G$61,MATCH(1,(D439=$C$5:$C$61)*(A439=$B$5:$B$61),0))</f>
        <v>#N/A</v>
      </c>
      <c r="H439" s="196" t="e" cm="1">
        <f t="array" ref="H439">INDEX($H$5:$H$61,MATCH(1,(D439=$C$5:$C$61)*(A439=$B$5:$B$61),0))</f>
        <v>#N/A</v>
      </c>
      <c r="I439" s="196" t="e" cm="1">
        <f t="array" ref="I439">INDEX($I$5:$I$61,MATCH(1,(D439=$C$5:$C$61)*(A439=$B$5:$B$61),0))</f>
        <v>#N/A</v>
      </c>
      <c r="J439" s="273"/>
      <c r="K439" s="273"/>
      <c r="L439" s="272"/>
      <c r="M439" s="273"/>
      <c r="N439" s="197"/>
      <c r="O439" s="200">
        <f t="shared" si="67"/>
        <v>0</v>
      </c>
      <c r="P439" s="274"/>
      <c r="Q439" s="274"/>
      <c r="R439" s="276"/>
      <c r="S439" s="274"/>
      <c r="T439" s="197">
        <f t="shared" si="68"/>
        <v>0</v>
      </c>
      <c r="U439" s="197">
        <f t="shared" si="69"/>
        <v>0</v>
      </c>
      <c r="V439" s="197">
        <f t="shared" si="70"/>
        <v>0</v>
      </c>
      <c r="W439" s="197">
        <f t="shared" si="71"/>
        <v>0</v>
      </c>
      <c r="Z439" s="197"/>
      <c r="AA439" s="228"/>
      <c r="AB439" s="228"/>
      <c r="AD439" s="228"/>
      <c r="AE439" s="228"/>
      <c r="AF439" s="228"/>
      <c r="AG439" s="228"/>
      <c r="AH439" s="228"/>
      <c r="AI439" s="228"/>
      <c r="AJ439" s="228"/>
      <c r="AK439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</row>
    <row r="440" spans="1:64" s="198" customFormat="1" x14ac:dyDescent="0.25">
      <c r="A440" s="290" t="str">
        <f t="shared" ref="A440:A503" si="74">$C$67</f>
        <v>Hudson View Park</v>
      </c>
      <c r="B440" s="195">
        <f t="shared" si="72"/>
        <v>342</v>
      </c>
      <c r="C440" s="196" t="str">
        <f t="shared" si="73"/>
        <v>Occ</v>
      </c>
      <c r="D440" s="196" t="e" cm="1">
        <f t="array" ref="D440">INDEX($C$5:$C$61,MATCH(1,(K440=$D$5:$D$61)*(A440=$B$5:$B$61),0))</f>
        <v>#N/A</v>
      </c>
      <c r="E440" s="196" t="e" cm="1">
        <f t="array" ref="E440">INDEX($E$5:$E$61,MATCH(1,(D440=$C$5:$C$61)*(A440=$B$5:$B$61),0))</f>
        <v>#N/A</v>
      </c>
      <c r="F440" s="196" t="e" cm="1">
        <f t="array" ref="F440">INDEX($F$5:$F$61,MATCH(1,(D440=$C$5:$C$61)*(A440=$B$5:$B$61),0))</f>
        <v>#N/A</v>
      </c>
      <c r="G440" s="196" t="e" cm="1">
        <f t="array" ref="G440">INDEX($G$5:$G$61,MATCH(1,(D440=$C$5:$C$61)*(A440=$B$5:$B$61),0))</f>
        <v>#N/A</v>
      </c>
      <c r="H440" s="196" t="e" cm="1">
        <f t="array" ref="H440">INDEX($H$5:$H$61,MATCH(1,(D440=$C$5:$C$61)*(A440=$B$5:$B$61),0))</f>
        <v>#N/A</v>
      </c>
      <c r="I440" s="196" t="e" cm="1">
        <f t="array" ref="I440">INDEX($I$5:$I$61,MATCH(1,(D440=$C$5:$C$61)*(A440=$B$5:$B$61),0))</f>
        <v>#N/A</v>
      </c>
      <c r="J440" s="273"/>
      <c r="K440" s="273"/>
      <c r="L440" s="272"/>
      <c r="M440" s="273"/>
      <c r="N440" s="197"/>
      <c r="O440" s="200">
        <f t="shared" si="67"/>
        <v>0</v>
      </c>
      <c r="P440" s="274"/>
      <c r="Q440" s="274"/>
      <c r="R440" s="276"/>
      <c r="S440" s="274"/>
      <c r="T440" s="197">
        <f t="shared" si="68"/>
        <v>0</v>
      </c>
      <c r="U440" s="197">
        <f t="shared" si="69"/>
        <v>0</v>
      </c>
      <c r="V440" s="197">
        <f t="shared" si="70"/>
        <v>0</v>
      </c>
      <c r="W440" s="197">
        <f t="shared" si="71"/>
        <v>0</v>
      </c>
      <c r="Z440" s="197"/>
      <c r="AA440" s="228"/>
      <c r="AB440" s="228"/>
      <c r="AD440" s="228"/>
      <c r="AE440" s="228"/>
      <c r="AF440" s="228"/>
      <c r="AG440" s="228"/>
      <c r="AH440" s="228"/>
      <c r="AI440" s="228"/>
      <c r="AJ440" s="228"/>
      <c r="AK440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</row>
    <row r="441" spans="1:64" s="198" customFormat="1" x14ac:dyDescent="0.25">
      <c r="A441" s="290" t="str">
        <f t="shared" si="74"/>
        <v>Hudson View Park</v>
      </c>
      <c r="B441" s="195">
        <f t="shared" si="72"/>
        <v>343</v>
      </c>
      <c r="C441" s="196" t="str">
        <f t="shared" si="73"/>
        <v>Occ</v>
      </c>
      <c r="D441" s="196" t="e" cm="1">
        <f t="array" ref="D441">INDEX($C$5:$C$61,MATCH(1,(K441=$D$5:$D$61)*(A441=$B$5:$B$61),0))</f>
        <v>#N/A</v>
      </c>
      <c r="E441" s="196" t="e" cm="1">
        <f t="array" ref="E441">INDEX($E$5:$E$61,MATCH(1,(D441=$C$5:$C$61)*(A441=$B$5:$B$61),0))</f>
        <v>#N/A</v>
      </c>
      <c r="F441" s="196" t="e" cm="1">
        <f t="array" ref="F441">INDEX($F$5:$F$61,MATCH(1,(D441=$C$5:$C$61)*(A441=$B$5:$B$61),0))</f>
        <v>#N/A</v>
      </c>
      <c r="G441" s="196" t="e" cm="1">
        <f t="array" ref="G441">INDEX($G$5:$G$61,MATCH(1,(D441=$C$5:$C$61)*(A441=$B$5:$B$61),0))</f>
        <v>#N/A</v>
      </c>
      <c r="H441" s="196" t="e" cm="1">
        <f t="array" ref="H441">INDEX($H$5:$H$61,MATCH(1,(D441=$C$5:$C$61)*(A441=$B$5:$B$61),0))</f>
        <v>#N/A</v>
      </c>
      <c r="I441" s="196" t="e" cm="1">
        <f t="array" ref="I441">INDEX($I$5:$I$61,MATCH(1,(D441=$C$5:$C$61)*(A441=$B$5:$B$61),0))</f>
        <v>#N/A</v>
      </c>
      <c r="J441" s="273"/>
      <c r="K441" s="273"/>
      <c r="L441" s="272"/>
      <c r="M441" s="273"/>
      <c r="N441" s="197"/>
      <c r="O441" s="200">
        <f t="shared" si="67"/>
        <v>0</v>
      </c>
      <c r="P441" s="274"/>
      <c r="Q441" s="274"/>
      <c r="R441" s="276"/>
      <c r="S441" s="274"/>
      <c r="T441" s="197">
        <f t="shared" si="68"/>
        <v>0</v>
      </c>
      <c r="U441" s="197">
        <f t="shared" si="69"/>
        <v>0</v>
      </c>
      <c r="V441" s="197">
        <f t="shared" si="70"/>
        <v>0</v>
      </c>
      <c r="W441" s="197">
        <f t="shared" si="71"/>
        <v>0</v>
      </c>
      <c r="Z441" s="197"/>
      <c r="AA441" s="228"/>
      <c r="AB441" s="228"/>
      <c r="AD441" s="228"/>
      <c r="AE441" s="228"/>
      <c r="AF441" s="228"/>
      <c r="AG441" s="228"/>
      <c r="AH441" s="228"/>
      <c r="AI441" s="228"/>
      <c r="AJ441" s="228"/>
      <c r="AK441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</row>
    <row r="442" spans="1:64" s="198" customFormat="1" x14ac:dyDescent="0.25">
      <c r="A442" s="290" t="str">
        <f t="shared" si="74"/>
        <v>Hudson View Park</v>
      </c>
      <c r="B442" s="195">
        <f t="shared" si="72"/>
        <v>344</v>
      </c>
      <c r="C442" s="196" t="str">
        <f t="shared" si="73"/>
        <v>Occ</v>
      </c>
      <c r="D442" s="196" t="e" cm="1">
        <f t="array" ref="D442">INDEX($C$5:$C$61,MATCH(1,(K442=$D$5:$D$61)*(A442=$B$5:$B$61),0))</f>
        <v>#N/A</v>
      </c>
      <c r="E442" s="196" t="e" cm="1">
        <f t="array" ref="E442">INDEX($E$5:$E$61,MATCH(1,(D442=$C$5:$C$61)*(A442=$B$5:$B$61),0))</f>
        <v>#N/A</v>
      </c>
      <c r="F442" s="196" t="e" cm="1">
        <f t="array" ref="F442">INDEX($F$5:$F$61,MATCH(1,(D442=$C$5:$C$61)*(A442=$B$5:$B$61),0))</f>
        <v>#N/A</v>
      </c>
      <c r="G442" s="196" t="e" cm="1">
        <f t="array" ref="G442">INDEX($G$5:$G$61,MATCH(1,(D442=$C$5:$C$61)*(A442=$B$5:$B$61),0))</f>
        <v>#N/A</v>
      </c>
      <c r="H442" s="196" t="e" cm="1">
        <f t="array" ref="H442">INDEX($H$5:$H$61,MATCH(1,(D442=$C$5:$C$61)*(A442=$B$5:$B$61),0))</f>
        <v>#N/A</v>
      </c>
      <c r="I442" s="196" t="e" cm="1">
        <f t="array" ref="I442">INDEX($I$5:$I$61,MATCH(1,(D442=$C$5:$C$61)*(A442=$B$5:$B$61),0))</f>
        <v>#N/A</v>
      </c>
      <c r="J442" s="273"/>
      <c r="K442" s="273"/>
      <c r="L442" s="272"/>
      <c r="M442" s="273"/>
      <c r="N442" s="197"/>
      <c r="O442" s="200">
        <f t="shared" si="67"/>
        <v>0</v>
      </c>
      <c r="P442" s="274"/>
      <c r="Q442" s="274"/>
      <c r="R442" s="276"/>
      <c r="S442" s="274"/>
      <c r="T442" s="197">
        <f t="shared" si="68"/>
        <v>0</v>
      </c>
      <c r="U442" s="197">
        <f t="shared" si="69"/>
        <v>0</v>
      </c>
      <c r="V442" s="197">
        <f t="shared" si="70"/>
        <v>0</v>
      </c>
      <c r="W442" s="197">
        <f t="shared" si="71"/>
        <v>0</v>
      </c>
      <c r="Z442" s="197"/>
      <c r="AA442" s="228"/>
      <c r="AB442" s="228"/>
      <c r="AD442" s="228"/>
      <c r="AE442" s="228"/>
      <c r="AF442" s="228"/>
      <c r="AG442" s="228"/>
      <c r="AH442" s="228"/>
      <c r="AI442" s="228"/>
      <c r="AJ442" s="228"/>
      <c r="AK442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</row>
    <row r="443" spans="1:64" s="198" customFormat="1" x14ac:dyDescent="0.25">
      <c r="A443" s="290" t="str">
        <f t="shared" si="74"/>
        <v>Hudson View Park</v>
      </c>
      <c r="B443" s="195">
        <f t="shared" si="72"/>
        <v>345</v>
      </c>
      <c r="C443" s="196" t="str">
        <f t="shared" si="73"/>
        <v>Occ</v>
      </c>
      <c r="D443" s="196" t="e" cm="1">
        <f t="array" ref="D443">INDEX($C$5:$C$61,MATCH(1,(K443=$D$5:$D$61)*(A443=$B$5:$B$61),0))</f>
        <v>#N/A</v>
      </c>
      <c r="E443" s="196" t="e" cm="1">
        <f t="array" ref="E443">INDEX($E$5:$E$61,MATCH(1,(D443=$C$5:$C$61)*(A443=$B$5:$B$61),0))</f>
        <v>#N/A</v>
      </c>
      <c r="F443" s="196" t="e" cm="1">
        <f t="array" ref="F443">INDEX($F$5:$F$61,MATCH(1,(D443=$C$5:$C$61)*(A443=$B$5:$B$61),0))</f>
        <v>#N/A</v>
      </c>
      <c r="G443" s="196" t="e" cm="1">
        <f t="array" ref="G443">INDEX($G$5:$G$61,MATCH(1,(D443=$C$5:$C$61)*(A443=$B$5:$B$61),0))</f>
        <v>#N/A</v>
      </c>
      <c r="H443" s="196" t="e" cm="1">
        <f t="array" ref="H443">INDEX($H$5:$H$61,MATCH(1,(D443=$C$5:$C$61)*(A443=$B$5:$B$61),0))</f>
        <v>#N/A</v>
      </c>
      <c r="I443" s="196" t="e" cm="1">
        <f t="array" ref="I443">INDEX($I$5:$I$61,MATCH(1,(D443=$C$5:$C$61)*(A443=$B$5:$B$61),0))</f>
        <v>#N/A</v>
      </c>
      <c r="J443" s="273"/>
      <c r="K443" s="273"/>
      <c r="L443" s="272"/>
      <c r="M443" s="273"/>
      <c r="N443" s="197"/>
      <c r="O443" s="200">
        <f t="shared" si="67"/>
        <v>0</v>
      </c>
      <c r="P443" s="274"/>
      <c r="Q443" s="274"/>
      <c r="R443" s="276"/>
      <c r="S443" s="274"/>
      <c r="T443" s="197">
        <f t="shared" si="68"/>
        <v>0</v>
      </c>
      <c r="U443" s="197">
        <f t="shared" si="69"/>
        <v>0</v>
      </c>
      <c r="V443" s="197">
        <f t="shared" si="70"/>
        <v>0</v>
      </c>
      <c r="W443" s="197">
        <f t="shared" si="71"/>
        <v>0</v>
      </c>
      <c r="Z443" s="197"/>
      <c r="AA443" s="228"/>
      <c r="AB443" s="228"/>
      <c r="AD443" s="228"/>
      <c r="AE443" s="228"/>
      <c r="AF443" s="228"/>
      <c r="AG443" s="228"/>
      <c r="AH443" s="228"/>
      <c r="AI443" s="228"/>
      <c r="AJ443" s="228"/>
      <c r="AK443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</row>
    <row r="444" spans="1:64" s="198" customFormat="1" x14ac:dyDescent="0.25">
      <c r="A444" s="290" t="str">
        <f t="shared" si="74"/>
        <v>Hudson View Park</v>
      </c>
      <c r="B444" s="195">
        <f t="shared" si="72"/>
        <v>346</v>
      </c>
      <c r="C444" s="196" t="str">
        <f t="shared" si="73"/>
        <v>Occ</v>
      </c>
      <c r="D444" s="196" t="e" cm="1">
        <f t="array" ref="D444">INDEX($C$5:$C$61,MATCH(1,(K444=$D$5:$D$61)*(A444=$B$5:$B$61),0))</f>
        <v>#N/A</v>
      </c>
      <c r="E444" s="196" t="e" cm="1">
        <f t="array" ref="E444">INDEX($E$5:$E$61,MATCH(1,(D444=$C$5:$C$61)*(A444=$B$5:$B$61),0))</f>
        <v>#N/A</v>
      </c>
      <c r="F444" s="196" t="e" cm="1">
        <f t="array" ref="F444">INDEX($F$5:$F$61,MATCH(1,(D444=$C$5:$C$61)*(A444=$B$5:$B$61),0))</f>
        <v>#N/A</v>
      </c>
      <c r="G444" s="196" t="e" cm="1">
        <f t="array" ref="G444">INDEX($G$5:$G$61,MATCH(1,(D444=$C$5:$C$61)*(A444=$B$5:$B$61),0))</f>
        <v>#N/A</v>
      </c>
      <c r="H444" s="196" t="e" cm="1">
        <f t="array" ref="H444">INDEX($H$5:$H$61,MATCH(1,(D444=$C$5:$C$61)*(A444=$B$5:$B$61),0))</f>
        <v>#N/A</v>
      </c>
      <c r="I444" s="196" t="e" cm="1">
        <f t="array" ref="I444">INDEX($I$5:$I$61,MATCH(1,(D444=$C$5:$C$61)*(A444=$B$5:$B$61),0))</f>
        <v>#N/A</v>
      </c>
      <c r="J444" s="273"/>
      <c r="K444" s="273"/>
      <c r="L444" s="272"/>
      <c r="M444" s="273"/>
      <c r="N444" s="197"/>
      <c r="O444" s="200">
        <f t="shared" si="67"/>
        <v>0</v>
      </c>
      <c r="P444" s="274"/>
      <c r="Q444" s="274"/>
      <c r="R444" s="276"/>
      <c r="S444" s="274"/>
      <c r="T444" s="197">
        <f t="shared" si="68"/>
        <v>0</v>
      </c>
      <c r="U444" s="197">
        <f t="shared" si="69"/>
        <v>0</v>
      </c>
      <c r="V444" s="197">
        <f t="shared" si="70"/>
        <v>0</v>
      </c>
      <c r="W444" s="197">
        <f t="shared" si="71"/>
        <v>0</v>
      </c>
      <c r="Z444" s="197"/>
      <c r="AA444" s="228"/>
      <c r="AB444" s="228"/>
      <c r="AD444" s="228"/>
      <c r="AE444" s="228"/>
      <c r="AF444" s="228"/>
      <c r="AG444" s="228"/>
      <c r="AH444" s="228"/>
      <c r="AI444" s="228"/>
      <c r="AJ444" s="228"/>
      <c r="AK444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</row>
    <row r="445" spans="1:64" s="198" customFormat="1" x14ac:dyDescent="0.25">
      <c r="A445" s="290" t="str">
        <f t="shared" si="74"/>
        <v>Hudson View Park</v>
      </c>
      <c r="B445" s="195">
        <f t="shared" si="72"/>
        <v>347</v>
      </c>
      <c r="C445" s="196" t="str">
        <f t="shared" si="73"/>
        <v>Occ</v>
      </c>
      <c r="D445" s="196" t="e" cm="1">
        <f t="array" ref="D445">INDEX($C$5:$C$61,MATCH(1,(K445=$D$5:$D$61)*(A445=$B$5:$B$61),0))</f>
        <v>#N/A</v>
      </c>
      <c r="E445" s="196" t="e" cm="1">
        <f t="array" ref="E445">INDEX($E$5:$E$61,MATCH(1,(D445=$C$5:$C$61)*(A445=$B$5:$B$61),0))</f>
        <v>#N/A</v>
      </c>
      <c r="F445" s="196" t="e" cm="1">
        <f t="array" ref="F445">INDEX($F$5:$F$61,MATCH(1,(D445=$C$5:$C$61)*(A445=$B$5:$B$61),0))</f>
        <v>#N/A</v>
      </c>
      <c r="G445" s="196" t="e" cm="1">
        <f t="array" ref="G445">INDEX($G$5:$G$61,MATCH(1,(D445=$C$5:$C$61)*(A445=$B$5:$B$61),0))</f>
        <v>#N/A</v>
      </c>
      <c r="H445" s="196" t="e" cm="1">
        <f t="array" ref="H445">INDEX($H$5:$H$61,MATCH(1,(D445=$C$5:$C$61)*(A445=$B$5:$B$61),0))</f>
        <v>#N/A</v>
      </c>
      <c r="I445" s="196" t="e" cm="1">
        <f t="array" ref="I445">INDEX($I$5:$I$61,MATCH(1,(D445=$C$5:$C$61)*(A445=$B$5:$B$61),0))</f>
        <v>#N/A</v>
      </c>
      <c r="J445" s="273"/>
      <c r="K445" s="273"/>
      <c r="L445" s="272"/>
      <c r="M445" s="273"/>
      <c r="N445" s="197"/>
      <c r="O445" s="200">
        <f t="shared" si="67"/>
        <v>0</v>
      </c>
      <c r="P445" s="274"/>
      <c r="Q445" s="274"/>
      <c r="R445" s="276"/>
      <c r="S445" s="274"/>
      <c r="T445" s="197">
        <f t="shared" si="68"/>
        <v>0</v>
      </c>
      <c r="U445" s="197">
        <f t="shared" si="69"/>
        <v>0</v>
      </c>
      <c r="V445" s="197">
        <f t="shared" si="70"/>
        <v>0</v>
      </c>
      <c r="W445" s="197">
        <f t="shared" si="71"/>
        <v>0</v>
      </c>
      <c r="Z445" s="197"/>
      <c r="AA445" s="228"/>
      <c r="AB445" s="228"/>
      <c r="AD445" s="228"/>
      <c r="AE445" s="228"/>
      <c r="AF445" s="228"/>
      <c r="AG445" s="228"/>
      <c r="AH445" s="228"/>
      <c r="AI445" s="228"/>
      <c r="AJ445" s="228"/>
      <c r="AK445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</row>
    <row r="446" spans="1:64" s="198" customFormat="1" x14ac:dyDescent="0.25">
      <c r="A446" s="290" t="str">
        <f t="shared" si="74"/>
        <v>Hudson View Park</v>
      </c>
      <c r="B446" s="195">
        <f t="shared" si="72"/>
        <v>348</v>
      </c>
      <c r="C446" s="196" t="str">
        <f t="shared" si="73"/>
        <v>Occ</v>
      </c>
      <c r="D446" s="196" t="e" cm="1">
        <f t="array" ref="D446">INDEX($C$5:$C$61,MATCH(1,(K446=$D$5:$D$61)*(A446=$B$5:$B$61),0))</f>
        <v>#N/A</v>
      </c>
      <c r="E446" s="196" t="e" cm="1">
        <f t="array" ref="E446">INDEX($E$5:$E$61,MATCH(1,(D446=$C$5:$C$61)*(A446=$B$5:$B$61),0))</f>
        <v>#N/A</v>
      </c>
      <c r="F446" s="196" t="e" cm="1">
        <f t="array" ref="F446">INDEX($F$5:$F$61,MATCH(1,(D446=$C$5:$C$61)*(A446=$B$5:$B$61),0))</f>
        <v>#N/A</v>
      </c>
      <c r="G446" s="196" t="e" cm="1">
        <f t="array" ref="G446">INDEX($G$5:$G$61,MATCH(1,(D446=$C$5:$C$61)*(A446=$B$5:$B$61),0))</f>
        <v>#N/A</v>
      </c>
      <c r="H446" s="196" t="e" cm="1">
        <f t="array" ref="H446">INDEX($H$5:$H$61,MATCH(1,(D446=$C$5:$C$61)*(A446=$B$5:$B$61),0))</f>
        <v>#N/A</v>
      </c>
      <c r="I446" s="196" t="e" cm="1">
        <f t="array" ref="I446">INDEX($I$5:$I$61,MATCH(1,(D446=$C$5:$C$61)*(A446=$B$5:$B$61),0))</f>
        <v>#N/A</v>
      </c>
      <c r="J446" s="273"/>
      <c r="K446" s="273"/>
      <c r="L446" s="272"/>
      <c r="M446" s="273"/>
      <c r="N446" s="197"/>
      <c r="O446" s="200">
        <f t="shared" si="67"/>
        <v>0</v>
      </c>
      <c r="P446" s="274"/>
      <c r="Q446" s="274"/>
      <c r="R446" s="276"/>
      <c r="S446" s="274"/>
      <c r="T446" s="197">
        <f t="shared" si="68"/>
        <v>0</v>
      </c>
      <c r="U446" s="197">
        <f t="shared" si="69"/>
        <v>0</v>
      </c>
      <c r="V446" s="197">
        <f t="shared" si="70"/>
        <v>0</v>
      </c>
      <c r="W446" s="197">
        <f t="shared" si="71"/>
        <v>0</v>
      </c>
      <c r="Z446" s="197"/>
      <c r="AA446" s="228"/>
      <c r="AB446" s="228"/>
      <c r="AD446" s="228"/>
      <c r="AE446" s="228"/>
      <c r="AF446" s="228"/>
      <c r="AG446" s="228"/>
      <c r="AH446" s="228"/>
      <c r="AI446" s="228"/>
      <c r="AJ446" s="228"/>
      <c r="AK446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</row>
    <row r="447" spans="1:64" s="198" customFormat="1" x14ac:dyDescent="0.25">
      <c r="A447" s="290" t="str">
        <f t="shared" si="74"/>
        <v>Hudson View Park</v>
      </c>
      <c r="B447" s="195">
        <f t="shared" si="72"/>
        <v>349</v>
      </c>
      <c r="C447" s="196" t="str">
        <f t="shared" si="73"/>
        <v>Occ</v>
      </c>
      <c r="D447" s="196" t="e" cm="1">
        <f t="array" ref="D447">INDEX($C$5:$C$61,MATCH(1,(K447=$D$5:$D$61)*(A447=$B$5:$B$61),0))</f>
        <v>#N/A</v>
      </c>
      <c r="E447" s="196" t="e" cm="1">
        <f t="array" ref="E447">INDEX($E$5:$E$61,MATCH(1,(D447=$C$5:$C$61)*(A447=$B$5:$B$61),0))</f>
        <v>#N/A</v>
      </c>
      <c r="F447" s="196" t="e" cm="1">
        <f t="array" ref="F447">INDEX($F$5:$F$61,MATCH(1,(D447=$C$5:$C$61)*(A447=$B$5:$B$61),0))</f>
        <v>#N/A</v>
      </c>
      <c r="G447" s="196" t="e" cm="1">
        <f t="array" ref="G447">INDEX($G$5:$G$61,MATCH(1,(D447=$C$5:$C$61)*(A447=$B$5:$B$61),0))</f>
        <v>#N/A</v>
      </c>
      <c r="H447" s="196" t="e" cm="1">
        <f t="array" ref="H447">INDEX($H$5:$H$61,MATCH(1,(D447=$C$5:$C$61)*(A447=$B$5:$B$61),0))</f>
        <v>#N/A</v>
      </c>
      <c r="I447" s="196" t="e" cm="1">
        <f t="array" ref="I447">INDEX($I$5:$I$61,MATCH(1,(D447=$C$5:$C$61)*(A447=$B$5:$B$61),0))</f>
        <v>#N/A</v>
      </c>
      <c r="J447" s="273"/>
      <c r="K447" s="273"/>
      <c r="L447" s="272"/>
      <c r="M447" s="273"/>
      <c r="N447" s="197"/>
      <c r="O447" s="200">
        <f t="shared" si="67"/>
        <v>0</v>
      </c>
      <c r="P447" s="274"/>
      <c r="Q447" s="274"/>
      <c r="R447" s="276"/>
      <c r="S447" s="274"/>
      <c r="T447" s="197">
        <f t="shared" si="68"/>
        <v>0</v>
      </c>
      <c r="U447" s="197">
        <f t="shared" si="69"/>
        <v>0</v>
      </c>
      <c r="V447" s="197">
        <f t="shared" si="70"/>
        <v>0</v>
      </c>
      <c r="W447" s="197">
        <f t="shared" si="71"/>
        <v>0</v>
      </c>
      <c r="Z447" s="197"/>
      <c r="AA447" s="228"/>
      <c r="AB447" s="228"/>
      <c r="AD447" s="228"/>
      <c r="AE447" s="228"/>
      <c r="AF447" s="228"/>
      <c r="AG447" s="228"/>
      <c r="AH447" s="228"/>
      <c r="AI447" s="228"/>
      <c r="AJ447" s="228"/>
      <c r="AK447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</row>
    <row r="448" spans="1:64" s="198" customFormat="1" x14ac:dyDescent="0.25">
      <c r="A448" s="290" t="str">
        <f t="shared" si="74"/>
        <v>Hudson View Park</v>
      </c>
      <c r="B448" s="195">
        <f t="shared" si="72"/>
        <v>350</v>
      </c>
      <c r="C448" s="196" t="str">
        <f t="shared" si="73"/>
        <v>Occ</v>
      </c>
      <c r="D448" s="196" t="e" cm="1">
        <f t="array" ref="D448">INDEX($C$5:$C$61,MATCH(1,(K448=$D$5:$D$61)*(A448=$B$5:$B$61),0))</f>
        <v>#N/A</v>
      </c>
      <c r="E448" s="196" t="e" cm="1">
        <f t="array" ref="E448">INDEX($E$5:$E$61,MATCH(1,(D448=$C$5:$C$61)*(A448=$B$5:$B$61),0))</f>
        <v>#N/A</v>
      </c>
      <c r="F448" s="196" t="e" cm="1">
        <f t="array" ref="F448">INDEX($F$5:$F$61,MATCH(1,(D448=$C$5:$C$61)*(A448=$B$5:$B$61),0))</f>
        <v>#N/A</v>
      </c>
      <c r="G448" s="196" t="e" cm="1">
        <f t="array" ref="G448">INDEX($G$5:$G$61,MATCH(1,(D448=$C$5:$C$61)*(A448=$B$5:$B$61),0))</f>
        <v>#N/A</v>
      </c>
      <c r="H448" s="196" t="e" cm="1">
        <f t="array" ref="H448">INDEX($H$5:$H$61,MATCH(1,(D448=$C$5:$C$61)*(A448=$B$5:$B$61),0))</f>
        <v>#N/A</v>
      </c>
      <c r="I448" s="196" t="e" cm="1">
        <f t="array" ref="I448">INDEX($I$5:$I$61,MATCH(1,(D448=$C$5:$C$61)*(A448=$B$5:$B$61),0))</f>
        <v>#N/A</v>
      </c>
      <c r="J448" s="273"/>
      <c r="K448" s="273"/>
      <c r="L448" s="272"/>
      <c r="M448" s="273"/>
      <c r="N448" s="197"/>
      <c r="O448" s="200">
        <f t="shared" si="67"/>
        <v>0</v>
      </c>
      <c r="P448" s="274"/>
      <c r="Q448" s="274"/>
      <c r="R448" s="276"/>
      <c r="S448" s="274"/>
      <c r="T448" s="197">
        <f t="shared" si="68"/>
        <v>0</v>
      </c>
      <c r="U448" s="197">
        <f t="shared" si="69"/>
        <v>0</v>
      </c>
      <c r="V448" s="197">
        <f t="shared" si="70"/>
        <v>0</v>
      </c>
      <c r="W448" s="197">
        <f t="shared" si="71"/>
        <v>0</v>
      </c>
      <c r="Z448" s="197"/>
      <c r="AA448" s="228"/>
      <c r="AB448" s="228"/>
      <c r="AD448" s="228"/>
      <c r="AE448" s="228"/>
      <c r="AF448" s="228"/>
      <c r="AG448" s="228"/>
      <c r="AH448" s="228"/>
      <c r="AI448" s="228"/>
      <c r="AJ448" s="228"/>
      <c r="AK44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</row>
    <row r="449" spans="1:64" s="198" customFormat="1" x14ac:dyDescent="0.25">
      <c r="A449" s="290" t="str">
        <f t="shared" si="74"/>
        <v>Hudson View Park</v>
      </c>
      <c r="B449" s="195">
        <f t="shared" si="72"/>
        <v>351</v>
      </c>
      <c r="C449" s="196" t="str">
        <f t="shared" si="73"/>
        <v>Occ</v>
      </c>
      <c r="D449" s="196" t="e" cm="1">
        <f t="array" ref="D449">INDEX($C$5:$C$61,MATCH(1,(K449=$D$5:$D$61)*(A449=$B$5:$B$61),0))</f>
        <v>#N/A</v>
      </c>
      <c r="E449" s="196" t="e" cm="1">
        <f t="array" ref="E449">INDEX($E$5:$E$61,MATCH(1,(D449=$C$5:$C$61)*(A449=$B$5:$B$61),0))</f>
        <v>#N/A</v>
      </c>
      <c r="F449" s="196" t="e" cm="1">
        <f t="array" ref="F449">INDEX($F$5:$F$61,MATCH(1,(D449=$C$5:$C$61)*(A449=$B$5:$B$61),0))</f>
        <v>#N/A</v>
      </c>
      <c r="G449" s="196" t="e" cm="1">
        <f t="array" ref="G449">INDEX($G$5:$G$61,MATCH(1,(D449=$C$5:$C$61)*(A449=$B$5:$B$61),0))</f>
        <v>#N/A</v>
      </c>
      <c r="H449" s="196" t="e" cm="1">
        <f t="array" ref="H449">INDEX($H$5:$H$61,MATCH(1,(D449=$C$5:$C$61)*(A449=$B$5:$B$61),0))</f>
        <v>#N/A</v>
      </c>
      <c r="I449" s="196" t="e" cm="1">
        <f t="array" ref="I449">INDEX($I$5:$I$61,MATCH(1,(D449=$C$5:$C$61)*(A449=$B$5:$B$61),0))</f>
        <v>#N/A</v>
      </c>
      <c r="J449" s="273"/>
      <c r="K449" s="273"/>
      <c r="L449" s="272"/>
      <c r="M449" s="273"/>
      <c r="N449" s="197"/>
      <c r="O449" s="200">
        <f t="shared" si="67"/>
        <v>0</v>
      </c>
      <c r="P449" s="274"/>
      <c r="Q449" s="274"/>
      <c r="R449" s="276"/>
      <c r="S449" s="274"/>
      <c r="T449" s="197">
        <f t="shared" si="68"/>
        <v>0</v>
      </c>
      <c r="U449" s="197">
        <f t="shared" si="69"/>
        <v>0</v>
      </c>
      <c r="V449" s="197">
        <f t="shared" si="70"/>
        <v>0</v>
      </c>
      <c r="W449" s="197">
        <f t="shared" si="71"/>
        <v>0</v>
      </c>
      <c r="Z449" s="197"/>
      <c r="AA449" s="228"/>
      <c r="AB449" s="228"/>
      <c r="AD449" s="228"/>
      <c r="AE449" s="228"/>
      <c r="AF449" s="228"/>
      <c r="AG449" s="228"/>
      <c r="AH449" s="228"/>
      <c r="AI449" s="228"/>
      <c r="AJ449" s="228"/>
      <c r="AK449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</row>
    <row r="450" spans="1:64" s="198" customFormat="1" x14ac:dyDescent="0.25">
      <c r="A450" s="290" t="str">
        <f t="shared" si="74"/>
        <v>Hudson View Park</v>
      </c>
      <c r="B450" s="195">
        <f t="shared" si="72"/>
        <v>352</v>
      </c>
      <c r="C450" s="196" t="str">
        <f t="shared" si="73"/>
        <v>Occ</v>
      </c>
      <c r="D450" s="196" t="e" cm="1">
        <f t="array" ref="D450">INDEX($C$5:$C$61,MATCH(1,(K450=$D$5:$D$61)*(A450=$B$5:$B$61),0))</f>
        <v>#N/A</v>
      </c>
      <c r="E450" s="196" t="e" cm="1">
        <f t="array" ref="E450">INDEX($E$5:$E$61,MATCH(1,(D450=$C$5:$C$61)*(A450=$B$5:$B$61),0))</f>
        <v>#N/A</v>
      </c>
      <c r="F450" s="196" t="e" cm="1">
        <f t="array" ref="F450">INDEX($F$5:$F$61,MATCH(1,(D450=$C$5:$C$61)*(A450=$B$5:$B$61),0))</f>
        <v>#N/A</v>
      </c>
      <c r="G450" s="196" t="e" cm="1">
        <f t="array" ref="G450">INDEX($G$5:$G$61,MATCH(1,(D450=$C$5:$C$61)*(A450=$B$5:$B$61),0))</f>
        <v>#N/A</v>
      </c>
      <c r="H450" s="196" t="e" cm="1">
        <f t="array" ref="H450">INDEX($H$5:$H$61,MATCH(1,(D450=$C$5:$C$61)*(A450=$B$5:$B$61),0))</f>
        <v>#N/A</v>
      </c>
      <c r="I450" s="196" t="e" cm="1">
        <f t="array" ref="I450">INDEX($I$5:$I$61,MATCH(1,(D450=$C$5:$C$61)*(A450=$B$5:$B$61),0))</f>
        <v>#N/A</v>
      </c>
      <c r="J450" s="273"/>
      <c r="K450" s="273"/>
      <c r="L450" s="272"/>
      <c r="M450" s="273"/>
      <c r="N450" s="197"/>
      <c r="O450" s="200">
        <f t="shared" si="67"/>
        <v>0</v>
      </c>
      <c r="P450" s="274"/>
      <c r="Q450" s="274"/>
      <c r="R450" s="276"/>
      <c r="S450" s="274"/>
      <c r="T450" s="197">
        <f t="shared" si="68"/>
        <v>0</v>
      </c>
      <c r="U450" s="197">
        <f t="shared" si="69"/>
        <v>0</v>
      </c>
      <c r="V450" s="197">
        <f t="shared" si="70"/>
        <v>0</v>
      </c>
      <c r="W450" s="197">
        <f t="shared" si="71"/>
        <v>0</v>
      </c>
      <c r="Z450" s="197"/>
      <c r="AA450" s="228"/>
      <c r="AB450" s="228"/>
      <c r="AD450" s="228"/>
      <c r="AE450" s="228"/>
      <c r="AF450" s="228"/>
      <c r="AG450" s="228"/>
      <c r="AH450" s="228"/>
      <c r="AI450" s="228"/>
      <c r="AJ450" s="228"/>
      <c r="AK450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</row>
    <row r="451" spans="1:64" s="198" customFormat="1" x14ac:dyDescent="0.25">
      <c r="A451" s="290" t="str">
        <f t="shared" si="74"/>
        <v>Hudson View Park</v>
      </c>
      <c r="B451" s="195">
        <f t="shared" si="72"/>
        <v>353</v>
      </c>
      <c r="C451" s="196" t="str">
        <f t="shared" si="73"/>
        <v>Occ</v>
      </c>
      <c r="D451" s="196" t="e" cm="1">
        <f t="array" ref="D451">INDEX($C$5:$C$61,MATCH(1,(K451=$D$5:$D$61)*(A451=$B$5:$B$61),0))</f>
        <v>#N/A</v>
      </c>
      <c r="E451" s="196" t="e" cm="1">
        <f t="array" ref="E451">INDEX($E$5:$E$61,MATCH(1,(D451=$C$5:$C$61)*(A451=$B$5:$B$61),0))</f>
        <v>#N/A</v>
      </c>
      <c r="F451" s="196" t="e" cm="1">
        <f t="array" ref="F451">INDEX($F$5:$F$61,MATCH(1,(D451=$C$5:$C$61)*(A451=$B$5:$B$61),0))</f>
        <v>#N/A</v>
      </c>
      <c r="G451" s="196" t="e" cm="1">
        <f t="array" ref="G451">INDEX($G$5:$G$61,MATCH(1,(D451=$C$5:$C$61)*(A451=$B$5:$B$61),0))</f>
        <v>#N/A</v>
      </c>
      <c r="H451" s="196" t="e" cm="1">
        <f t="array" ref="H451">INDEX($H$5:$H$61,MATCH(1,(D451=$C$5:$C$61)*(A451=$B$5:$B$61),0))</f>
        <v>#N/A</v>
      </c>
      <c r="I451" s="196" t="e" cm="1">
        <f t="array" ref="I451">INDEX($I$5:$I$61,MATCH(1,(D451=$C$5:$C$61)*(A451=$B$5:$B$61),0))</f>
        <v>#N/A</v>
      </c>
      <c r="J451" s="273"/>
      <c r="K451" s="273"/>
      <c r="L451" s="272"/>
      <c r="M451" s="273"/>
      <c r="N451" s="197"/>
      <c r="O451" s="200">
        <f t="shared" si="67"/>
        <v>0</v>
      </c>
      <c r="P451" s="274"/>
      <c r="Q451" s="274"/>
      <c r="R451" s="276"/>
      <c r="S451" s="274"/>
      <c r="T451" s="197">
        <f t="shared" si="68"/>
        <v>0</v>
      </c>
      <c r="U451" s="197">
        <f t="shared" si="69"/>
        <v>0</v>
      </c>
      <c r="V451" s="197">
        <f t="shared" si="70"/>
        <v>0</v>
      </c>
      <c r="W451" s="197">
        <f t="shared" si="71"/>
        <v>0</v>
      </c>
      <c r="Z451" s="197"/>
      <c r="AA451" s="228"/>
      <c r="AB451" s="228"/>
      <c r="AD451" s="228"/>
      <c r="AE451" s="228"/>
      <c r="AF451" s="228"/>
      <c r="AG451" s="228"/>
      <c r="AH451" s="228"/>
      <c r="AI451" s="228"/>
      <c r="AJ451" s="228"/>
      <c r="AK451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</row>
    <row r="452" spans="1:64" s="198" customFormat="1" x14ac:dyDescent="0.25">
      <c r="A452" s="290" t="str">
        <f t="shared" si="74"/>
        <v>Hudson View Park</v>
      </c>
      <c r="B452" s="195">
        <f t="shared" si="72"/>
        <v>354</v>
      </c>
      <c r="C452" s="196" t="str">
        <f t="shared" si="73"/>
        <v>Occ</v>
      </c>
      <c r="D452" s="196" t="e" cm="1">
        <f t="array" ref="D452">INDEX($C$5:$C$61,MATCH(1,(K452=$D$5:$D$61)*(A452=$B$5:$B$61),0))</f>
        <v>#N/A</v>
      </c>
      <c r="E452" s="196" t="e" cm="1">
        <f t="array" ref="E452">INDEX($E$5:$E$61,MATCH(1,(D452=$C$5:$C$61)*(A452=$B$5:$B$61),0))</f>
        <v>#N/A</v>
      </c>
      <c r="F452" s="196" t="e" cm="1">
        <f t="array" ref="F452">INDEX($F$5:$F$61,MATCH(1,(D452=$C$5:$C$61)*(A452=$B$5:$B$61),0))</f>
        <v>#N/A</v>
      </c>
      <c r="G452" s="196" t="e" cm="1">
        <f t="array" ref="G452">INDEX($G$5:$G$61,MATCH(1,(D452=$C$5:$C$61)*(A452=$B$5:$B$61),0))</f>
        <v>#N/A</v>
      </c>
      <c r="H452" s="196" t="e" cm="1">
        <f t="array" ref="H452">INDEX($H$5:$H$61,MATCH(1,(D452=$C$5:$C$61)*(A452=$B$5:$B$61),0))</f>
        <v>#N/A</v>
      </c>
      <c r="I452" s="196" t="e" cm="1">
        <f t="array" ref="I452">INDEX($I$5:$I$61,MATCH(1,(D452=$C$5:$C$61)*(A452=$B$5:$B$61),0))</f>
        <v>#N/A</v>
      </c>
      <c r="J452" s="273"/>
      <c r="K452" s="273"/>
      <c r="L452" s="272"/>
      <c r="M452" s="273"/>
      <c r="N452" s="197"/>
      <c r="O452" s="200">
        <f t="shared" si="67"/>
        <v>0</v>
      </c>
      <c r="P452" s="274"/>
      <c r="Q452" s="274"/>
      <c r="R452" s="276"/>
      <c r="S452" s="274"/>
      <c r="T452" s="197">
        <f t="shared" si="68"/>
        <v>0</v>
      </c>
      <c r="U452" s="197">
        <f t="shared" si="69"/>
        <v>0</v>
      </c>
      <c r="V452" s="197">
        <f t="shared" si="70"/>
        <v>0</v>
      </c>
      <c r="W452" s="197">
        <f t="shared" si="71"/>
        <v>0</v>
      </c>
      <c r="Z452" s="197"/>
      <c r="AA452" s="228"/>
      <c r="AB452" s="228"/>
      <c r="AD452" s="228"/>
      <c r="AE452" s="228"/>
      <c r="AF452" s="228"/>
      <c r="AG452" s="228"/>
      <c r="AH452" s="228"/>
      <c r="AI452" s="228"/>
      <c r="AJ452" s="228"/>
      <c r="AK452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</row>
    <row r="453" spans="1:64" s="198" customFormat="1" x14ac:dyDescent="0.25">
      <c r="A453" s="290" t="str">
        <f t="shared" si="74"/>
        <v>Hudson View Park</v>
      </c>
      <c r="B453" s="195">
        <f t="shared" si="72"/>
        <v>355</v>
      </c>
      <c r="C453" s="196" t="str">
        <f t="shared" si="73"/>
        <v>Occ</v>
      </c>
      <c r="D453" s="196" t="e" cm="1">
        <f t="array" ref="D453">INDEX($C$5:$C$61,MATCH(1,(K453=$D$5:$D$61)*(A453=$B$5:$B$61),0))</f>
        <v>#N/A</v>
      </c>
      <c r="E453" s="196" t="e" cm="1">
        <f t="array" ref="E453">INDEX($E$5:$E$61,MATCH(1,(D453=$C$5:$C$61)*(A453=$B$5:$B$61),0))</f>
        <v>#N/A</v>
      </c>
      <c r="F453" s="196" t="e" cm="1">
        <f t="array" ref="F453">INDEX($F$5:$F$61,MATCH(1,(D453=$C$5:$C$61)*(A453=$B$5:$B$61),0))</f>
        <v>#N/A</v>
      </c>
      <c r="G453" s="196" t="e" cm="1">
        <f t="array" ref="G453">INDEX($G$5:$G$61,MATCH(1,(D453=$C$5:$C$61)*(A453=$B$5:$B$61),0))</f>
        <v>#N/A</v>
      </c>
      <c r="H453" s="196" t="e" cm="1">
        <f t="array" ref="H453">INDEX($H$5:$H$61,MATCH(1,(D453=$C$5:$C$61)*(A453=$B$5:$B$61),0))</f>
        <v>#N/A</v>
      </c>
      <c r="I453" s="196" t="e" cm="1">
        <f t="array" ref="I453">INDEX($I$5:$I$61,MATCH(1,(D453=$C$5:$C$61)*(A453=$B$5:$B$61),0))</f>
        <v>#N/A</v>
      </c>
      <c r="J453" s="273"/>
      <c r="K453" s="273"/>
      <c r="L453" s="272"/>
      <c r="M453" s="273"/>
      <c r="N453" s="197"/>
      <c r="O453" s="200">
        <f t="shared" si="67"/>
        <v>0</v>
      </c>
      <c r="P453" s="274"/>
      <c r="Q453" s="274"/>
      <c r="R453" s="276"/>
      <c r="S453" s="274"/>
      <c r="T453" s="197">
        <f t="shared" si="68"/>
        <v>0</v>
      </c>
      <c r="U453" s="197">
        <f t="shared" si="69"/>
        <v>0</v>
      </c>
      <c r="V453" s="197">
        <f t="shared" si="70"/>
        <v>0</v>
      </c>
      <c r="W453" s="197">
        <f t="shared" si="71"/>
        <v>0</v>
      </c>
      <c r="Z453" s="197"/>
      <c r="AA453" s="228"/>
      <c r="AB453" s="228"/>
      <c r="AD453" s="228"/>
      <c r="AE453" s="228"/>
      <c r="AF453" s="228"/>
      <c r="AG453" s="228"/>
      <c r="AH453" s="228"/>
      <c r="AI453" s="228"/>
      <c r="AJ453" s="228"/>
      <c r="AK453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</row>
    <row r="454" spans="1:64" s="198" customFormat="1" x14ac:dyDescent="0.25">
      <c r="A454" s="290" t="str">
        <f t="shared" si="74"/>
        <v>Hudson View Park</v>
      </c>
      <c r="B454" s="195">
        <f t="shared" si="72"/>
        <v>356</v>
      </c>
      <c r="C454" s="196" t="str">
        <f t="shared" si="73"/>
        <v>Occ</v>
      </c>
      <c r="D454" s="196" t="e" cm="1">
        <f t="array" ref="D454">INDEX($C$5:$C$61,MATCH(1,(K454=$D$5:$D$61)*(A454=$B$5:$B$61),0))</f>
        <v>#N/A</v>
      </c>
      <c r="E454" s="196" t="e" cm="1">
        <f t="array" ref="E454">INDEX($E$5:$E$61,MATCH(1,(D454=$C$5:$C$61)*(A454=$B$5:$B$61),0))</f>
        <v>#N/A</v>
      </c>
      <c r="F454" s="196" t="e" cm="1">
        <f t="array" ref="F454">INDEX($F$5:$F$61,MATCH(1,(D454=$C$5:$C$61)*(A454=$B$5:$B$61),0))</f>
        <v>#N/A</v>
      </c>
      <c r="G454" s="196" t="e" cm="1">
        <f t="array" ref="G454">INDEX($G$5:$G$61,MATCH(1,(D454=$C$5:$C$61)*(A454=$B$5:$B$61),0))</f>
        <v>#N/A</v>
      </c>
      <c r="H454" s="196" t="e" cm="1">
        <f t="array" ref="H454">INDEX($H$5:$H$61,MATCH(1,(D454=$C$5:$C$61)*(A454=$B$5:$B$61),0))</f>
        <v>#N/A</v>
      </c>
      <c r="I454" s="196" t="e" cm="1">
        <f t="array" ref="I454">INDEX($I$5:$I$61,MATCH(1,(D454=$C$5:$C$61)*(A454=$B$5:$B$61),0))</f>
        <v>#N/A</v>
      </c>
      <c r="J454" s="273"/>
      <c r="K454" s="273"/>
      <c r="L454" s="272"/>
      <c r="M454" s="273"/>
      <c r="N454" s="197"/>
      <c r="O454" s="200">
        <f t="shared" si="67"/>
        <v>0</v>
      </c>
      <c r="P454" s="274"/>
      <c r="Q454" s="274"/>
      <c r="R454" s="276"/>
      <c r="S454" s="274"/>
      <c r="T454" s="197">
        <f t="shared" si="68"/>
        <v>0</v>
      </c>
      <c r="U454" s="197">
        <f t="shared" si="69"/>
        <v>0</v>
      </c>
      <c r="V454" s="197">
        <f t="shared" si="70"/>
        <v>0</v>
      </c>
      <c r="W454" s="197">
        <f t="shared" si="71"/>
        <v>0</v>
      </c>
      <c r="Z454" s="197"/>
      <c r="AA454" s="228"/>
      <c r="AB454" s="228"/>
      <c r="AD454" s="228"/>
      <c r="AE454" s="228"/>
      <c r="AF454" s="228"/>
      <c r="AG454" s="228"/>
      <c r="AH454" s="228"/>
      <c r="AI454" s="228"/>
      <c r="AJ454" s="228"/>
      <c r="AK454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</row>
    <row r="455" spans="1:64" s="198" customFormat="1" x14ac:dyDescent="0.25">
      <c r="A455" s="290" t="str">
        <f t="shared" si="74"/>
        <v>Hudson View Park</v>
      </c>
      <c r="B455" s="195">
        <f t="shared" si="72"/>
        <v>357</v>
      </c>
      <c r="C455" s="196" t="str">
        <f t="shared" si="73"/>
        <v>Occ</v>
      </c>
      <c r="D455" s="196" t="e" cm="1">
        <f t="array" ref="D455">INDEX($C$5:$C$61,MATCH(1,(K455=$D$5:$D$61)*(A455=$B$5:$B$61),0))</f>
        <v>#N/A</v>
      </c>
      <c r="E455" s="196" t="e" cm="1">
        <f t="array" ref="E455">INDEX($E$5:$E$61,MATCH(1,(D455=$C$5:$C$61)*(A455=$B$5:$B$61),0))</f>
        <v>#N/A</v>
      </c>
      <c r="F455" s="196" t="e" cm="1">
        <f t="array" ref="F455">INDEX($F$5:$F$61,MATCH(1,(D455=$C$5:$C$61)*(A455=$B$5:$B$61),0))</f>
        <v>#N/A</v>
      </c>
      <c r="G455" s="196" t="e" cm="1">
        <f t="array" ref="G455">INDEX($G$5:$G$61,MATCH(1,(D455=$C$5:$C$61)*(A455=$B$5:$B$61),0))</f>
        <v>#N/A</v>
      </c>
      <c r="H455" s="196" t="e" cm="1">
        <f t="array" ref="H455">INDEX($H$5:$H$61,MATCH(1,(D455=$C$5:$C$61)*(A455=$B$5:$B$61),0))</f>
        <v>#N/A</v>
      </c>
      <c r="I455" s="196" t="e" cm="1">
        <f t="array" ref="I455">INDEX($I$5:$I$61,MATCH(1,(D455=$C$5:$C$61)*(A455=$B$5:$B$61),0))</f>
        <v>#N/A</v>
      </c>
      <c r="J455" s="273"/>
      <c r="K455" s="273"/>
      <c r="L455" s="272"/>
      <c r="M455" s="273"/>
      <c r="N455" s="197"/>
      <c r="O455" s="200">
        <f t="shared" si="67"/>
        <v>0</v>
      </c>
      <c r="P455" s="274"/>
      <c r="Q455" s="274"/>
      <c r="R455" s="276"/>
      <c r="S455" s="274"/>
      <c r="T455" s="197">
        <f t="shared" si="68"/>
        <v>0</v>
      </c>
      <c r="U455" s="197">
        <f t="shared" si="69"/>
        <v>0</v>
      </c>
      <c r="V455" s="197">
        <f t="shared" si="70"/>
        <v>0</v>
      </c>
      <c r="W455" s="197">
        <f t="shared" si="71"/>
        <v>0</v>
      </c>
      <c r="Z455" s="197"/>
      <c r="AA455" s="228"/>
      <c r="AB455" s="228"/>
      <c r="AD455" s="228"/>
      <c r="AE455" s="228"/>
      <c r="AF455" s="228"/>
      <c r="AG455" s="228"/>
      <c r="AH455" s="228"/>
      <c r="AI455" s="228"/>
      <c r="AJ455" s="228"/>
      <c r="AK455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</row>
    <row r="456" spans="1:64" s="198" customFormat="1" x14ac:dyDescent="0.25">
      <c r="A456" s="290" t="str">
        <f t="shared" si="74"/>
        <v>Hudson View Park</v>
      </c>
      <c r="B456" s="195">
        <f t="shared" si="72"/>
        <v>358</v>
      </c>
      <c r="C456" s="196" t="str">
        <f t="shared" si="73"/>
        <v>Occ</v>
      </c>
      <c r="D456" s="196" t="e" cm="1">
        <f t="array" ref="D456">INDEX($C$5:$C$61,MATCH(1,(K456=$D$5:$D$61)*(A456=$B$5:$B$61),0))</f>
        <v>#N/A</v>
      </c>
      <c r="E456" s="196" t="e" cm="1">
        <f t="array" ref="E456">INDEX($E$5:$E$61,MATCH(1,(D456=$C$5:$C$61)*(A456=$B$5:$B$61),0))</f>
        <v>#N/A</v>
      </c>
      <c r="F456" s="196" t="e" cm="1">
        <f t="array" ref="F456">INDEX($F$5:$F$61,MATCH(1,(D456=$C$5:$C$61)*(A456=$B$5:$B$61),0))</f>
        <v>#N/A</v>
      </c>
      <c r="G456" s="196" t="e" cm="1">
        <f t="array" ref="G456">INDEX($G$5:$G$61,MATCH(1,(D456=$C$5:$C$61)*(A456=$B$5:$B$61),0))</f>
        <v>#N/A</v>
      </c>
      <c r="H456" s="196" t="e" cm="1">
        <f t="array" ref="H456">INDEX($H$5:$H$61,MATCH(1,(D456=$C$5:$C$61)*(A456=$B$5:$B$61),0))</f>
        <v>#N/A</v>
      </c>
      <c r="I456" s="196" t="e" cm="1">
        <f t="array" ref="I456">INDEX($I$5:$I$61,MATCH(1,(D456=$C$5:$C$61)*(A456=$B$5:$B$61),0))</f>
        <v>#N/A</v>
      </c>
      <c r="J456" s="273"/>
      <c r="K456" s="273"/>
      <c r="L456" s="272"/>
      <c r="M456" s="273"/>
      <c r="N456" s="197"/>
      <c r="O456" s="200">
        <f t="shared" si="67"/>
        <v>0</v>
      </c>
      <c r="P456" s="274"/>
      <c r="Q456" s="274"/>
      <c r="R456" s="276"/>
      <c r="S456" s="274"/>
      <c r="T456" s="197">
        <f t="shared" si="68"/>
        <v>0</v>
      </c>
      <c r="U456" s="197">
        <f t="shared" si="69"/>
        <v>0</v>
      </c>
      <c r="V456" s="197">
        <f t="shared" si="70"/>
        <v>0</v>
      </c>
      <c r="W456" s="197">
        <f t="shared" si="71"/>
        <v>0</v>
      </c>
      <c r="Z456" s="197"/>
      <c r="AA456" s="228"/>
      <c r="AB456" s="228"/>
      <c r="AD456" s="228"/>
      <c r="AE456" s="228"/>
      <c r="AF456" s="228"/>
      <c r="AG456" s="228"/>
      <c r="AH456" s="228"/>
      <c r="AI456" s="228"/>
      <c r="AJ456" s="228"/>
      <c r="AK456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</row>
    <row r="457" spans="1:64" s="198" customFormat="1" x14ac:dyDescent="0.25">
      <c r="A457" s="290" t="str">
        <f t="shared" si="74"/>
        <v>Hudson View Park</v>
      </c>
      <c r="B457" s="195">
        <f t="shared" si="72"/>
        <v>359</v>
      </c>
      <c r="C457" s="196" t="str">
        <f t="shared" si="73"/>
        <v>Occ</v>
      </c>
      <c r="D457" s="196" t="e" cm="1">
        <f t="array" ref="D457">INDEX($C$5:$C$61,MATCH(1,(K457=$D$5:$D$61)*(A457=$B$5:$B$61),0))</f>
        <v>#N/A</v>
      </c>
      <c r="E457" s="196" t="e" cm="1">
        <f t="array" ref="E457">INDEX($E$5:$E$61,MATCH(1,(D457=$C$5:$C$61)*(A457=$B$5:$B$61),0))</f>
        <v>#N/A</v>
      </c>
      <c r="F457" s="196" t="e" cm="1">
        <f t="array" ref="F457">INDEX($F$5:$F$61,MATCH(1,(D457=$C$5:$C$61)*(A457=$B$5:$B$61),0))</f>
        <v>#N/A</v>
      </c>
      <c r="G457" s="196" t="e" cm="1">
        <f t="array" ref="G457">INDEX($G$5:$G$61,MATCH(1,(D457=$C$5:$C$61)*(A457=$B$5:$B$61),0))</f>
        <v>#N/A</v>
      </c>
      <c r="H457" s="196" t="e" cm="1">
        <f t="array" ref="H457">INDEX($H$5:$H$61,MATCH(1,(D457=$C$5:$C$61)*(A457=$B$5:$B$61),0))</f>
        <v>#N/A</v>
      </c>
      <c r="I457" s="196" t="e" cm="1">
        <f t="array" ref="I457">INDEX($I$5:$I$61,MATCH(1,(D457=$C$5:$C$61)*(A457=$B$5:$B$61),0))</f>
        <v>#N/A</v>
      </c>
      <c r="J457" s="273"/>
      <c r="K457" s="273"/>
      <c r="L457" s="272"/>
      <c r="M457" s="273"/>
      <c r="N457" s="197"/>
      <c r="O457" s="200">
        <f t="shared" si="67"/>
        <v>0</v>
      </c>
      <c r="P457" s="274"/>
      <c r="Q457" s="274"/>
      <c r="R457" s="276"/>
      <c r="S457" s="274"/>
      <c r="T457" s="197">
        <f t="shared" si="68"/>
        <v>0</v>
      </c>
      <c r="U457" s="197">
        <f t="shared" si="69"/>
        <v>0</v>
      </c>
      <c r="V457" s="197">
        <f t="shared" si="70"/>
        <v>0</v>
      </c>
      <c r="W457" s="197">
        <f t="shared" si="71"/>
        <v>0</v>
      </c>
      <c r="Z457" s="197"/>
      <c r="AA457" s="228"/>
      <c r="AB457" s="228"/>
      <c r="AD457" s="228"/>
      <c r="AE457" s="228"/>
      <c r="AF457" s="228"/>
      <c r="AG457" s="228"/>
      <c r="AH457" s="228"/>
      <c r="AI457" s="228"/>
      <c r="AJ457" s="228"/>
      <c r="AK457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</row>
    <row r="458" spans="1:64" s="198" customFormat="1" x14ac:dyDescent="0.25">
      <c r="A458" s="290" t="str">
        <f t="shared" si="74"/>
        <v>Hudson View Park</v>
      </c>
      <c r="B458" s="195">
        <f t="shared" si="72"/>
        <v>360</v>
      </c>
      <c r="C458" s="196" t="str">
        <f t="shared" si="73"/>
        <v>Occ</v>
      </c>
      <c r="D458" s="196" t="e" cm="1">
        <f t="array" ref="D458">INDEX($C$5:$C$61,MATCH(1,(K458=$D$5:$D$61)*(A458=$B$5:$B$61),0))</f>
        <v>#N/A</v>
      </c>
      <c r="E458" s="196" t="e" cm="1">
        <f t="array" ref="E458">INDEX($E$5:$E$61,MATCH(1,(D458=$C$5:$C$61)*(A458=$B$5:$B$61),0))</f>
        <v>#N/A</v>
      </c>
      <c r="F458" s="196" t="e" cm="1">
        <f t="array" ref="F458">INDEX($F$5:$F$61,MATCH(1,(D458=$C$5:$C$61)*(A458=$B$5:$B$61),0))</f>
        <v>#N/A</v>
      </c>
      <c r="G458" s="196" t="e" cm="1">
        <f t="array" ref="G458">INDEX($G$5:$G$61,MATCH(1,(D458=$C$5:$C$61)*(A458=$B$5:$B$61),0))</f>
        <v>#N/A</v>
      </c>
      <c r="H458" s="196" t="e" cm="1">
        <f t="array" ref="H458">INDEX($H$5:$H$61,MATCH(1,(D458=$C$5:$C$61)*(A458=$B$5:$B$61),0))</f>
        <v>#N/A</v>
      </c>
      <c r="I458" s="196" t="e" cm="1">
        <f t="array" ref="I458">INDEX($I$5:$I$61,MATCH(1,(D458=$C$5:$C$61)*(A458=$B$5:$B$61),0))</f>
        <v>#N/A</v>
      </c>
      <c r="J458" s="273"/>
      <c r="K458" s="273"/>
      <c r="L458" s="272"/>
      <c r="M458" s="273"/>
      <c r="N458" s="197"/>
      <c r="O458" s="200">
        <f t="shared" si="67"/>
        <v>0</v>
      </c>
      <c r="P458" s="274"/>
      <c r="Q458" s="274"/>
      <c r="R458" s="276"/>
      <c r="S458" s="274"/>
      <c r="T458" s="197">
        <f t="shared" si="68"/>
        <v>0</v>
      </c>
      <c r="U458" s="197">
        <f t="shared" si="69"/>
        <v>0</v>
      </c>
      <c r="V458" s="197">
        <f t="shared" si="70"/>
        <v>0</v>
      </c>
      <c r="W458" s="197">
        <f t="shared" si="71"/>
        <v>0</v>
      </c>
      <c r="Z458" s="197"/>
      <c r="AA458" s="228"/>
      <c r="AB458" s="228"/>
      <c r="AD458" s="228"/>
      <c r="AE458" s="228"/>
      <c r="AF458" s="228"/>
      <c r="AG458" s="228"/>
      <c r="AH458" s="228"/>
      <c r="AI458" s="228"/>
      <c r="AJ458" s="228"/>
      <c r="AK45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</row>
    <row r="459" spans="1:64" s="198" customFormat="1" x14ac:dyDescent="0.25">
      <c r="A459" s="290" t="str">
        <f t="shared" si="74"/>
        <v>Hudson View Park</v>
      </c>
      <c r="B459" s="195">
        <f t="shared" si="72"/>
        <v>361</v>
      </c>
      <c r="C459" s="196" t="str">
        <f t="shared" si="73"/>
        <v>Occ</v>
      </c>
      <c r="D459" s="196" t="e" cm="1">
        <f t="array" ref="D459">INDEX($C$5:$C$61,MATCH(1,(K459=$D$5:$D$61)*(A459=$B$5:$B$61),0))</f>
        <v>#N/A</v>
      </c>
      <c r="E459" s="196" t="e" cm="1">
        <f t="array" ref="E459">INDEX($E$5:$E$61,MATCH(1,(D459=$C$5:$C$61)*(A459=$B$5:$B$61),0))</f>
        <v>#N/A</v>
      </c>
      <c r="F459" s="196" t="e" cm="1">
        <f t="array" ref="F459">INDEX($F$5:$F$61,MATCH(1,(D459=$C$5:$C$61)*(A459=$B$5:$B$61),0))</f>
        <v>#N/A</v>
      </c>
      <c r="G459" s="196" t="e" cm="1">
        <f t="array" ref="G459">INDEX($G$5:$G$61,MATCH(1,(D459=$C$5:$C$61)*(A459=$B$5:$B$61),0))</f>
        <v>#N/A</v>
      </c>
      <c r="H459" s="196" t="e" cm="1">
        <f t="array" ref="H459">INDEX($H$5:$H$61,MATCH(1,(D459=$C$5:$C$61)*(A459=$B$5:$B$61),0))</f>
        <v>#N/A</v>
      </c>
      <c r="I459" s="196" t="e" cm="1">
        <f t="array" ref="I459">INDEX($I$5:$I$61,MATCH(1,(D459=$C$5:$C$61)*(A459=$B$5:$B$61),0))</f>
        <v>#N/A</v>
      </c>
      <c r="J459" s="273"/>
      <c r="K459" s="273"/>
      <c r="L459" s="272"/>
      <c r="M459" s="273"/>
      <c r="N459" s="197"/>
      <c r="O459" s="200">
        <f t="shared" si="67"/>
        <v>0</v>
      </c>
      <c r="P459" s="274"/>
      <c r="Q459" s="274"/>
      <c r="R459" s="276"/>
      <c r="S459" s="274"/>
      <c r="T459" s="197">
        <f t="shared" si="68"/>
        <v>0</v>
      </c>
      <c r="U459" s="197">
        <f t="shared" si="69"/>
        <v>0</v>
      </c>
      <c r="V459" s="197">
        <f t="shared" si="70"/>
        <v>0</v>
      </c>
      <c r="W459" s="197">
        <f t="shared" si="71"/>
        <v>0</v>
      </c>
      <c r="Z459" s="197"/>
      <c r="AA459" s="228"/>
      <c r="AB459" s="228"/>
      <c r="AD459" s="228"/>
      <c r="AE459" s="228"/>
      <c r="AF459" s="228"/>
      <c r="AG459" s="228"/>
      <c r="AH459" s="228"/>
      <c r="AI459" s="228"/>
      <c r="AJ459" s="228"/>
      <c r="AK459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</row>
    <row r="460" spans="1:64" s="198" customFormat="1" x14ac:dyDescent="0.25">
      <c r="A460" s="290" t="str">
        <f t="shared" si="74"/>
        <v>Hudson View Park</v>
      </c>
      <c r="B460" s="195">
        <f t="shared" si="72"/>
        <v>362</v>
      </c>
      <c r="C460" s="196" t="str">
        <f t="shared" si="73"/>
        <v>Occ</v>
      </c>
      <c r="D460" s="196" t="e" cm="1">
        <f t="array" ref="D460">INDEX($C$5:$C$61,MATCH(1,(K460=$D$5:$D$61)*(A460=$B$5:$B$61),0))</f>
        <v>#N/A</v>
      </c>
      <c r="E460" s="196" t="e" cm="1">
        <f t="array" ref="E460">INDEX($E$5:$E$61,MATCH(1,(D460=$C$5:$C$61)*(A460=$B$5:$B$61),0))</f>
        <v>#N/A</v>
      </c>
      <c r="F460" s="196" t="e" cm="1">
        <f t="array" ref="F460">INDEX($F$5:$F$61,MATCH(1,(D460=$C$5:$C$61)*(A460=$B$5:$B$61),0))</f>
        <v>#N/A</v>
      </c>
      <c r="G460" s="196" t="e" cm="1">
        <f t="array" ref="G460">INDEX($G$5:$G$61,MATCH(1,(D460=$C$5:$C$61)*(A460=$B$5:$B$61),0))</f>
        <v>#N/A</v>
      </c>
      <c r="H460" s="196" t="e" cm="1">
        <f t="array" ref="H460">INDEX($H$5:$H$61,MATCH(1,(D460=$C$5:$C$61)*(A460=$B$5:$B$61),0))</f>
        <v>#N/A</v>
      </c>
      <c r="I460" s="196" t="e" cm="1">
        <f t="array" ref="I460">INDEX($I$5:$I$61,MATCH(1,(D460=$C$5:$C$61)*(A460=$B$5:$B$61),0))</f>
        <v>#N/A</v>
      </c>
      <c r="J460" s="273"/>
      <c r="K460" s="273"/>
      <c r="L460" s="272"/>
      <c r="M460" s="273"/>
      <c r="N460" s="197"/>
      <c r="O460" s="200">
        <f t="shared" si="67"/>
        <v>0</v>
      </c>
      <c r="P460" s="274"/>
      <c r="Q460" s="274"/>
      <c r="R460" s="276"/>
      <c r="S460" s="274"/>
      <c r="T460" s="197">
        <f t="shared" si="68"/>
        <v>0</v>
      </c>
      <c r="U460" s="197">
        <f t="shared" si="69"/>
        <v>0</v>
      </c>
      <c r="V460" s="197">
        <f t="shared" si="70"/>
        <v>0</v>
      </c>
      <c r="W460" s="197">
        <f t="shared" si="71"/>
        <v>0</v>
      </c>
      <c r="Z460" s="197"/>
      <c r="AA460" s="228"/>
      <c r="AB460" s="228"/>
      <c r="AD460" s="228"/>
      <c r="AE460" s="228"/>
      <c r="AF460" s="228"/>
      <c r="AG460" s="228"/>
      <c r="AH460" s="228"/>
      <c r="AI460" s="228"/>
      <c r="AJ460" s="228"/>
      <c r="AK460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</row>
    <row r="461" spans="1:64" s="198" customFormat="1" x14ac:dyDescent="0.25">
      <c r="A461" s="290" t="str">
        <f t="shared" si="74"/>
        <v>Hudson View Park</v>
      </c>
      <c r="B461" s="195">
        <f t="shared" si="72"/>
        <v>363</v>
      </c>
      <c r="C461" s="196" t="str">
        <f t="shared" si="73"/>
        <v>Occ</v>
      </c>
      <c r="D461" s="196" t="e" cm="1">
        <f t="array" ref="D461">INDEX($C$5:$C$61,MATCH(1,(K461=$D$5:$D$61)*(A461=$B$5:$B$61),0))</f>
        <v>#N/A</v>
      </c>
      <c r="E461" s="196" t="e" cm="1">
        <f t="array" ref="E461">INDEX($E$5:$E$61,MATCH(1,(D461=$C$5:$C$61)*(A461=$B$5:$B$61),0))</f>
        <v>#N/A</v>
      </c>
      <c r="F461" s="196" t="e" cm="1">
        <f t="array" ref="F461">INDEX($F$5:$F$61,MATCH(1,(D461=$C$5:$C$61)*(A461=$B$5:$B$61),0))</f>
        <v>#N/A</v>
      </c>
      <c r="G461" s="196" t="e" cm="1">
        <f t="array" ref="G461">INDEX($G$5:$G$61,MATCH(1,(D461=$C$5:$C$61)*(A461=$B$5:$B$61),0))</f>
        <v>#N/A</v>
      </c>
      <c r="H461" s="196" t="e" cm="1">
        <f t="array" ref="H461">INDEX($H$5:$H$61,MATCH(1,(D461=$C$5:$C$61)*(A461=$B$5:$B$61),0))</f>
        <v>#N/A</v>
      </c>
      <c r="I461" s="196" t="e" cm="1">
        <f t="array" ref="I461">INDEX($I$5:$I$61,MATCH(1,(D461=$C$5:$C$61)*(A461=$B$5:$B$61),0))</f>
        <v>#N/A</v>
      </c>
      <c r="J461" s="273"/>
      <c r="K461" s="273"/>
      <c r="L461" s="272"/>
      <c r="M461" s="273"/>
      <c r="N461" s="197"/>
      <c r="O461" s="200">
        <f t="shared" si="67"/>
        <v>0</v>
      </c>
      <c r="P461" s="274"/>
      <c r="Q461" s="274"/>
      <c r="R461" s="276"/>
      <c r="S461" s="274"/>
      <c r="T461" s="197">
        <f t="shared" si="68"/>
        <v>0</v>
      </c>
      <c r="U461" s="197">
        <f t="shared" si="69"/>
        <v>0</v>
      </c>
      <c r="V461" s="197">
        <f t="shared" si="70"/>
        <v>0</v>
      </c>
      <c r="W461" s="197">
        <f t="shared" si="71"/>
        <v>0</v>
      </c>
      <c r="Z461" s="197"/>
      <c r="AA461" s="228"/>
      <c r="AB461" s="228"/>
      <c r="AD461" s="228"/>
      <c r="AE461" s="228"/>
      <c r="AF461" s="228"/>
      <c r="AG461" s="228"/>
      <c r="AH461" s="228"/>
      <c r="AI461" s="228"/>
      <c r="AJ461" s="228"/>
      <c r="AK461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</row>
    <row r="462" spans="1:64" s="198" customFormat="1" x14ac:dyDescent="0.25">
      <c r="A462" s="290" t="str">
        <f t="shared" si="74"/>
        <v>Hudson View Park</v>
      </c>
      <c r="B462" s="195">
        <f t="shared" si="72"/>
        <v>364</v>
      </c>
      <c r="C462" s="196" t="str">
        <f t="shared" si="73"/>
        <v>Occ</v>
      </c>
      <c r="D462" s="196" t="e" cm="1">
        <f t="array" ref="D462">INDEX($C$5:$C$61,MATCH(1,(K462=$D$5:$D$61)*(A462=$B$5:$B$61),0))</f>
        <v>#N/A</v>
      </c>
      <c r="E462" s="196" t="e" cm="1">
        <f t="array" ref="E462">INDEX($E$5:$E$61,MATCH(1,(D462=$C$5:$C$61)*(A462=$B$5:$B$61),0))</f>
        <v>#N/A</v>
      </c>
      <c r="F462" s="196" t="e" cm="1">
        <f t="array" ref="F462">INDEX($F$5:$F$61,MATCH(1,(D462=$C$5:$C$61)*(A462=$B$5:$B$61),0))</f>
        <v>#N/A</v>
      </c>
      <c r="G462" s="196" t="e" cm="1">
        <f t="array" ref="G462">INDEX($G$5:$G$61,MATCH(1,(D462=$C$5:$C$61)*(A462=$B$5:$B$61),0))</f>
        <v>#N/A</v>
      </c>
      <c r="H462" s="196" t="e" cm="1">
        <f t="array" ref="H462">INDEX($H$5:$H$61,MATCH(1,(D462=$C$5:$C$61)*(A462=$B$5:$B$61),0))</f>
        <v>#N/A</v>
      </c>
      <c r="I462" s="196" t="e" cm="1">
        <f t="array" ref="I462">INDEX($I$5:$I$61,MATCH(1,(D462=$C$5:$C$61)*(A462=$B$5:$B$61),0))</f>
        <v>#N/A</v>
      </c>
      <c r="J462" s="273"/>
      <c r="K462" s="273"/>
      <c r="L462" s="272"/>
      <c r="M462" s="273"/>
      <c r="N462" s="197"/>
      <c r="O462" s="200">
        <f t="shared" si="67"/>
        <v>0</v>
      </c>
      <c r="P462" s="274"/>
      <c r="Q462" s="274"/>
      <c r="R462" s="276"/>
      <c r="S462" s="274"/>
      <c r="T462" s="197">
        <f t="shared" si="68"/>
        <v>0</v>
      </c>
      <c r="U462" s="197">
        <f t="shared" si="69"/>
        <v>0</v>
      </c>
      <c r="V462" s="197">
        <f t="shared" si="70"/>
        <v>0</v>
      </c>
      <c r="W462" s="197">
        <f t="shared" si="71"/>
        <v>0</v>
      </c>
      <c r="Z462" s="197"/>
      <c r="AA462" s="228"/>
      <c r="AB462" s="228"/>
      <c r="AD462" s="228"/>
      <c r="AE462" s="228"/>
      <c r="AF462" s="228"/>
      <c r="AG462" s="228"/>
      <c r="AH462" s="228"/>
      <c r="AI462" s="228"/>
      <c r="AJ462" s="228"/>
      <c r="AK462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</row>
    <row r="463" spans="1:64" s="198" customFormat="1" x14ac:dyDescent="0.25">
      <c r="A463" s="290" t="str">
        <f t="shared" si="74"/>
        <v>Hudson View Park</v>
      </c>
      <c r="B463" s="195">
        <f t="shared" si="72"/>
        <v>365</v>
      </c>
      <c r="C463" s="196" t="str">
        <f t="shared" si="73"/>
        <v>Occ</v>
      </c>
      <c r="D463" s="196" t="e" cm="1">
        <f t="array" ref="D463">INDEX($C$5:$C$61,MATCH(1,(K463=$D$5:$D$61)*(A463=$B$5:$B$61),0))</f>
        <v>#N/A</v>
      </c>
      <c r="E463" s="196" t="e" cm="1">
        <f t="array" ref="E463">INDEX($E$5:$E$61,MATCH(1,(D463=$C$5:$C$61)*(A463=$B$5:$B$61),0))</f>
        <v>#N/A</v>
      </c>
      <c r="F463" s="196" t="e" cm="1">
        <f t="array" ref="F463">INDEX($F$5:$F$61,MATCH(1,(D463=$C$5:$C$61)*(A463=$B$5:$B$61),0))</f>
        <v>#N/A</v>
      </c>
      <c r="G463" s="196" t="e" cm="1">
        <f t="array" ref="G463">INDEX($G$5:$G$61,MATCH(1,(D463=$C$5:$C$61)*(A463=$B$5:$B$61),0))</f>
        <v>#N/A</v>
      </c>
      <c r="H463" s="196" t="e" cm="1">
        <f t="array" ref="H463">INDEX($H$5:$H$61,MATCH(1,(D463=$C$5:$C$61)*(A463=$B$5:$B$61),0))</f>
        <v>#N/A</v>
      </c>
      <c r="I463" s="196" t="e" cm="1">
        <f t="array" ref="I463">INDEX($I$5:$I$61,MATCH(1,(D463=$C$5:$C$61)*(A463=$B$5:$B$61),0))</f>
        <v>#N/A</v>
      </c>
      <c r="J463" s="273"/>
      <c r="K463" s="273"/>
      <c r="L463" s="272"/>
      <c r="M463" s="273"/>
      <c r="N463" s="197"/>
      <c r="O463" s="200">
        <f t="shared" si="67"/>
        <v>0</v>
      </c>
      <c r="P463" s="274"/>
      <c r="Q463" s="274"/>
      <c r="R463" s="276"/>
      <c r="S463" s="274"/>
      <c r="T463" s="197">
        <f t="shared" si="68"/>
        <v>0</v>
      </c>
      <c r="U463" s="197">
        <f t="shared" si="69"/>
        <v>0</v>
      </c>
      <c r="V463" s="197">
        <f t="shared" si="70"/>
        <v>0</v>
      </c>
      <c r="W463" s="197">
        <f t="shared" si="71"/>
        <v>0</v>
      </c>
      <c r="Z463" s="197"/>
      <c r="AA463" s="228"/>
      <c r="AB463" s="228"/>
      <c r="AD463" s="228"/>
      <c r="AE463" s="228"/>
      <c r="AF463" s="228"/>
      <c r="AG463" s="228"/>
      <c r="AH463" s="228"/>
      <c r="AI463" s="228"/>
      <c r="AJ463" s="228"/>
      <c r="AK463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</row>
    <row r="464" spans="1:64" s="198" customFormat="1" x14ac:dyDescent="0.25">
      <c r="A464" s="290" t="str">
        <f t="shared" si="74"/>
        <v>Hudson View Park</v>
      </c>
      <c r="B464" s="195">
        <f t="shared" si="72"/>
        <v>366</v>
      </c>
      <c r="C464" s="196" t="str">
        <f t="shared" si="73"/>
        <v>Occ</v>
      </c>
      <c r="D464" s="196" t="e" cm="1">
        <f t="array" ref="D464">INDEX($C$5:$C$61,MATCH(1,(K464=$D$5:$D$61)*(A464=$B$5:$B$61),0))</f>
        <v>#N/A</v>
      </c>
      <c r="E464" s="196" t="e" cm="1">
        <f t="array" ref="E464">INDEX($E$5:$E$61,MATCH(1,(D464=$C$5:$C$61)*(A464=$B$5:$B$61),0))</f>
        <v>#N/A</v>
      </c>
      <c r="F464" s="196" t="e" cm="1">
        <f t="array" ref="F464">INDEX($F$5:$F$61,MATCH(1,(D464=$C$5:$C$61)*(A464=$B$5:$B$61),0))</f>
        <v>#N/A</v>
      </c>
      <c r="G464" s="196" t="e" cm="1">
        <f t="array" ref="G464">INDEX($G$5:$G$61,MATCH(1,(D464=$C$5:$C$61)*(A464=$B$5:$B$61),0))</f>
        <v>#N/A</v>
      </c>
      <c r="H464" s="196" t="e" cm="1">
        <f t="array" ref="H464">INDEX($H$5:$H$61,MATCH(1,(D464=$C$5:$C$61)*(A464=$B$5:$B$61),0))</f>
        <v>#N/A</v>
      </c>
      <c r="I464" s="196" t="e" cm="1">
        <f t="array" ref="I464">INDEX($I$5:$I$61,MATCH(1,(D464=$C$5:$C$61)*(A464=$B$5:$B$61),0))</f>
        <v>#N/A</v>
      </c>
      <c r="J464" s="273"/>
      <c r="K464" s="273"/>
      <c r="L464" s="272"/>
      <c r="M464" s="273"/>
      <c r="N464" s="197"/>
      <c r="O464" s="200">
        <f t="shared" si="67"/>
        <v>0</v>
      </c>
      <c r="P464" s="274"/>
      <c r="Q464" s="274"/>
      <c r="R464" s="276"/>
      <c r="S464" s="274"/>
      <c r="T464" s="197">
        <f t="shared" si="68"/>
        <v>0</v>
      </c>
      <c r="U464" s="197">
        <f t="shared" si="69"/>
        <v>0</v>
      </c>
      <c r="V464" s="197">
        <f t="shared" si="70"/>
        <v>0</v>
      </c>
      <c r="W464" s="197">
        <f t="shared" si="71"/>
        <v>0</v>
      </c>
      <c r="Z464" s="197"/>
      <c r="AA464" s="228"/>
      <c r="AB464" s="228"/>
      <c r="AD464" s="228"/>
      <c r="AE464" s="228"/>
      <c r="AF464" s="228"/>
      <c r="AG464" s="228"/>
      <c r="AH464" s="228"/>
      <c r="AI464" s="228"/>
      <c r="AJ464" s="228"/>
      <c r="AK464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</row>
    <row r="465" spans="1:64" s="198" customFormat="1" x14ac:dyDescent="0.25">
      <c r="A465" s="290" t="str">
        <f t="shared" si="74"/>
        <v>Hudson View Park</v>
      </c>
      <c r="B465" s="195">
        <f t="shared" si="72"/>
        <v>367</v>
      </c>
      <c r="C465" s="196" t="str">
        <f t="shared" si="73"/>
        <v>Occ</v>
      </c>
      <c r="D465" s="196" t="e" cm="1">
        <f t="array" ref="D465">INDEX($C$5:$C$61,MATCH(1,(K465=$D$5:$D$61)*(A465=$B$5:$B$61),0))</f>
        <v>#N/A</v>
      </c>
      <c r="E465" s="196" t="e" cm="1">
        <f t="array" ref="E465">INDEX($E$5:$E$61,MATCH(1,(D465=$C$5:$C$61)*(A465=$B$5:$B$61),0))</f>
        <v>#N/A</v>
      </c>
      <c r="F465" s="196" t="e" cm="1">
        <f t="array" ref="F465">INDEX($F$5:$F$61,MATCH(1,(D465=$C$5:$C$61)*(A465=$B$5:$B$61),0))</f>
        <v>#N/A</v>
      </c>
      <c r="G465" s="196" t="e" cm="1">
        <f t="array" ref="G465">INDEX($G$5:$G$61,MATCH(1,(D465=$C$5:$C$61)*(A465=$B$5:$B$61),0))</f>
        <v>#N/A</v>
      </c>
      <c r="H465" s="196" t="e" cm="1">
        <f t="array" ref="H465">INDEX($H$5:$H$61,MATCH(1,(D465=$C$5:$C$61)*(A465=$B$5:$B$61),0))</f>
        <v>#N/A</v>
      </c>
      <c r="I465" s="196" t="e" cm="1">
        <f t="array" ref="I465">INDEX($I$5:$I$61,MATCH(1,(D465=$C$5:$C$61)*(A465=$B$5:$B$61),0))</f>
        <v>#N/A</v>
      </c>
      <c r="J465" s="273"/>
      <c r="K465" s="273"/>
      <c r="L465" s="272"/>
      <c r="M465" s="273"/>
      <c r="N465" s="197"/>
      <c r="O465" s="200">
        <f t="shared" si="67"/>
        <v>0</v>
      </c>
      <c r="P465" s="274"/>
      <c r="Q465" s="274"/>
      <c r="R465" s="276"/>
      <c r="S465" s="274"/>
      <c r="T465" s="197">
        <f t="shared" si="68"/>
        <v>0</v>
      </c>
      <c r="U465" s="197">
        <f t="shared" si="69"/>
        <v>0</v>
      </c>
      <c r="V465" s="197">
        <f t="shared" si="70"/>
        <v>0</v>
      </c>
      <c r="W465" s="197">
        <f t="shared" si="71"/>
        <v>0</v>
      </c>
      <c r="Z465" s="197"/>
      <c r="AA465" s="228"/>
      <c r="AB465" s="228"/>
      <c r="AD465" s="228"/>
      <c r="AE465" s="228"/>
      <c r="AF465" s="228"/>
      <c r="AG465" s="228"/>
      <c r="AH465" s="228"/>
      <c r="AI465" s="228"/>
      <c r="AJ465" s="228"/>
      <c r="AK465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</row>
    <row r="466" spans="1:64" s="198" customFormat="1" x14ac:dyDescent="0.25">
      <c r="A466" s="290" t="str">
        <f t="shared" si="74"/>
        <v>Hudson View Park</v>
      </c>
      <c r="B466" s="195">
        <f t="shared" si="72"/>
        <v>368</v>
      </c>
      <c r="C466" s="196" t="str">
        <f t="shared" si="73"/>
        <v>Occ</v>
      </c>
      <c r="D466" s="196" t="e" cm="1">
        <f t="array" ref="D466">INDEX($C$5:$C$61,MATCH(1,(K466=$D$5:$D$61)*(A466=$B$5:$B$61),0))</f>
        <v>#N/A</v>
      </c>
      <c r="E466" s="196" t="e" cm="1">
        <f t="array" ref="E466">INDEX($E$5:$E$61,MATCH(1,(D466=$C$5:$C$61)*(A466=$B$5:$B$61),0))</f>
        <v>#N/A</v>
      </c>
      <c r="F466" s="196" t="e" cm="1">
        <f t="array" ref="F466">INDEX($F$5:$F$61,MATCH(1,(D466=$C$5:$C$61)*(A466=$B$5:$B$61),0))</f>
        <v>#N/A</v>
      </c>
      <c r="G466" s="196" t="e" cm="1">
        <f t="array" ref="G466">INDEX($G$5:$G$61,MATCH(1,(D466=$C$5:$C$61)*(A466=$B$5:$B$61),0))</f>
        <v>#N/A</v>
      </c>
      <c r="H466" s="196" t="e" cm="1">
        <f t="array" ref="H466">INDEX($H$5:$H$61,MATCH(1,(D466=$C$5:$C$61)*(A466=$B$5:$B$61),0))</f>
        <v>#N/A</v>
      </c>
      <c r="I466" s="196" t="e" cm="1">
        <f t="array" ref="I466">INDEX($I$5:$I$61,MATCH(1,(D466=$C$5:$C$61)*(A466=$B$5:$B$61),0))</f>
        <v>#N/A</v>
      </c>
      <c r="J466" s="273"/>
      <c r="K466" s="273"/>
      <c r="L466" s="272"/>
      <c r="M466" s="273"/>
      <c r="N466" s="197"/>
      <c r="O466" s="200">
        <f t="shared" si="67"/>
        <v>0</v>
      </c>
      <c r="P466" s="274"/>
      <c r="Q466" s="274"/>
      <c r="R466" s="276"/>
      <c r="S466" s="274"/>
      <c r="T466" s="197">
        <f t="shared" si="68"/>
        <v>0</v>
      </c>
      <c r="U466" s="197">
        <f t="shared" si="69"/>
        <v>0</v>
      </c>
      <c r="V466" s="197">
        <f t="shared" si="70"/>
        <v>0</v>
      </c>
      <c r="W466" s="197">
        <f t="shared" si="71"/>
        <v>0</v>
      </c>
      <c r="Z466" s="197"/>
      <c r="AA466" s="228"/>
      <c r="AB466" s="228"/>
      <c r="AD466" s="228"/>
      <c r="AE466" s="228"/>
      <c r="AF466" s="228"/>
      <c r="AG466" s="228"/>
      <c r="AH466" s="228"/>
      <c r="AI466" s="228"/>
      <c r="AJ466" s="228"/>
      <c r="AK466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</row>
    <row r="467" spans="1:64" s="198" customFormat="1" x14ac:dyDescent="0.25">
      <c r="A467" s="290" t="str">
        <f t="shared" si="74"/>
        <v>Hudson View Park</v>
      </c>
      <c r="B467" s="195">
        <f t="shared" si="72"/>
        <v>369</v>
      </c>
      <c r="C467" s="196" t="str">
        <f t="shared" si="73"/>
        <v>Occ</v>
      </c>
      <c r="D467" s="196" t="e" cm="1">
        <f t="array" ref="D467">INDEX($C$5:$C$61,MATCH(1,(K467=$D$5:$D$61)*(A467=$B$5:$B$61),0))</f>
        <v>#N/A</v>
      </c>
      <c r="E467" s="196" t="e" cm="1">
        <f t="array" ref="E467">INDEX($E$5:$E$61,MATCH(1,(D467=$C$5:$C$61)*(A467=$B$5:$B$61),0))</f>
        <v>#N/A</v>
      </c>
      <c r="F467" s="196" t="e" cm="1">
        <f t="array" ref="F467">INDEX($F$5:$F$61,MATCH(1,(D467=$C$5:$C$61)*(A467=$B$5:$B$61),0))</f>
        <v>#N/A</v>
      </c>
      <c r="G467" s="196" t="e" cm="1">
        <f t="array" ref="G467">INDEX($G$5:$G$61,MATCH(1,(D467=$C$5:$C$61)*(A467=$B$5:$B$61),0))</f>
        <v>#N/A</v>
      </c>
      <c r="H467" s="196" t="e" cm="1">
        <f t="array" ref="H467">INDEX($H$5:$H$61,MATCH(1,(D467=$C$5:$C$61)*(A467=$B$5:$B$61),0))</f>
        <v>#N/A</v>
      </c>
      <c r="I467" s="196" t="e" cm="1">
        <f t="array" ref="I467">INDEX($I$5:$I$61,MATCH(1,(D467=$C$5:$C$61)*(A467=$B$5:$B$61),0))</f>
        <v>#N/A</v>
      </c>
      <c r="J467" s="273"/>
      <c r="K467" s="273"/>
      <c r="L467" s="272"/>
      <c r="M467" s="273"/>
      <c r="N467" s="197"/>
      <c r="O467" s="200">
        <f t="shared" si="67"/>
        <v>0</v>
      </c>
      <c r="P467" s="274"/>
      <c r="Q467" s="274"/>
      <c r="R467" s="276"/>
      <c r="S467" s="274"/>
      <c r="T467" s="197">
        <f t="shared" si="68"/>
        <v>0</v>
      </c>
      <c r="U467" s="197">
        <f t="shared" si="69"/>
        <v>0</v>
      </c>
      <c r="V467" s="197">
        <f t="shared" si="70"/>
        <v>0</v>
      </c>
      <c r="W467" s="197">
        <f t="shared" si="71"/>
        <v>0</v>
      </c>
      <c r="Z467" s="197"/>
      <c r="AA467" s="228"/>
      <c r="AB467" s="228"/>
      <c r="AD467" s="228"/>
      <c r="AE467" s="228"/>
      <c r="AF467" s="228"/>
      <c r="AG467" s="228"/>
      <c r="AH467" s="228"/>
      <c r="AI467" s="228"/>
      <c r="AJ467" s="228"/>
      <c r="AK467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</row>
    <row r="468" spans="1:64" s="198" customFormat="1" x14ac:dyDescent="0.25">
      <c r="A468" s="290" t="str">
        <f t="shared" si="74"/>
        <v>Hudson View Park</v>
      </c>
      <c r="B468" s="195">
        <f t="shared" si="72"/>
        <v>370</v>
      </c>
      <c r="C468" s="196" t="str">
        <f t="shared" si="73"/>
        <v>Occ</v>
      </c>
      <c r="D468" s="196" t="e" cm="1">
        <f t="array" ref="D468">INDEX($C$5:$C$61,MATCH(1,(K468=$D$5:$D$61)*(A468=$B$5:$B$61),0))</f>
        <v>#N/A</v>
      </c>
      <c r="E468" s="196" t="e" cm="1">
        <f t="array" ref="E468">INDEX($E$5:$E$61,MATCH(1,(D468=$C$5:$C$61)*(A468=$B$5:$B$61),0))</f>
        <v>#N/A</v>
      </c>
      <c r="F468" s="196" t="e" cm="1">
        <f t="array" ref="F468">INDEX($F$5:$F$61,MATCH(1,(D468=$C$5:$C$61)*(A468=$B$5:$B$61),0))</f>
        <v>#N/A</v>
      </c>
      <c r="G468" s="196" t="e" cm="1">
        <f t="array" ref="G468">INDEX($G$5:$G$61,MATCH(1,(D468=$C$5:$C$61)*(A468=$B$5:$B$61),0))</f>
        <v>#N/A</v>
      </c>
      <c r="H468" s="196" t="e" cm="1">
        <f t="array" ref="H468">INDEX($H$5:$H$61,MATCH(1,(D468=$C$5:$C$61)*(A468=$B$5:$B$61),0))</f>
        <v>#N/A</v>
      </c>
      <c r="I468" s="196" t="e" cm="1">
        <f t="array" ref="I468">INDEX($I$5:$I$61,MATCH(1,(D468=$C$5:$C$61)*(A468=$B$5:$B$61),0))</f>
        <v>#N/A</v>
      </c>
      <c r="J468" s="273"/>
      <c r="K468" s="273"/>
      <c r="L468" s="272"/>
      <c r="M468" s="273"/>
      <c r="N468" s="197"/>
      <c r="O468" s="200">
        <f t="shared" si="67"/>
        <v>0</v>
      </c>
      <c r="P468" s="274"/>
      <c r="Q468" s="274"/>
      <c r="R468" s="276"/>
      <c r="S468" s="274"/>
      <c r="T468" s="197">
        <f t="shared" si="68"/>
        <v>0</v>
      </c>
      <c r="U468" s="197">
        <f t="shared" si="69"/>
        <v>0</v>
      </c>
      <c r="V468" s="197">
        <f t="shared" si="70"/>
        <v>0</v>
      </c>
      <c r="W468" s="197">
        <f t="shared" si="71"/>
        <v>0</v>
      </c>
      <c r="Z468" s="197"/>
      <c r="AA468" s="228"/>
      <c r="AB468" s="228"/>
      <c r="AD468" s="228"/>
      <c r="AE468" s="228"/>
      <c r="AF468" s="228"/>
      <c r="AG468" s="228"/>
      <c r="AH468" s="228"/>
      <c r="AI468" s="228"/>
      <c r="AJ468" s="228"/>
      <c r="AK46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</row>
    <row r="469" spans="1:64" s="198" customFormat="1" x14ac:dyDescent="0.25">
      <c r="A469" s="290" t="str">
        <f t="shared" si="74"/>
        <v>Hudson View Park</v>
      </c>
      <c r="B469" s="195">
        <f t="shared" si="72"/>
        <v>371</v>
      </c>
      <c r="C469" s="196" t="str">
        <f t="shared" si="73"/>
        <v>Occ</v>
      </c>
      <c r="D469" s="196" t="e" cm="1">
        <f t="array" ref="D469">INDEX($C$5:$C$61,MATCH(1,(K469=$D$5:$D$61)*(A469=$B$5:$B$61),0))</f>
        <v>#N/A</v>
      </c>
      <c r="E469" s="196" t="e" cm="1">
        <f t="array" ref="E469">INDEX($E$5:$E$61,MATCH(1,(D469=$C$5:$C$61)*(A469=$B$5:$B$61),0))</f>
        <v>#N/A</v>
      </c>
      <c r="F469" s="196" t="e" cm="1">
        <f t="array" ref="F469">INDEX($F$5:$F$61,MATCH(1,(D469=$C$5:$C$61)*(A469=$B$5:$B$61),0))</f>
        <v>#N/A</v>
      </c>
      <c r="G469" s="196" t="e" cm="1">
        <f t="array" ref="G469">INDEX($G$5:$G$61,MATCH(1,(D469=$C$5:$C$61)*(A469=$B$5:$B$61),0))</f>
        <v>#N/A</v>
      </c>
      <c r="H469" s="196" t="e" cm="1">
        <f t="array" ref="H469">INDEX($H$5:$H$61,MATCH(1,(D469=$C$5:$C$61)*(A469=$B$5:$B$61),0))</f>
        <v>#N/A</v>
      </c>
      <c r="I469" s="196" t="e" cm="1">
        <f t="array" ref="I469">INDEX($I$5:$I$61,MATCH(1,(D469=$C$5:$C$61)*(A469=$B$5:$B$61),0))</f>
        <v>#N/A</v>
      </c>
      <c r="J469" s="273"/>
      <c r="K469" s="273"/>
      <c r="L469" s="272"/>
      <c r="M469" s="273"/>
      <c r="N469" s="197"/>
      <c r="O469" s="200">
        <f t="shared" si="67"/>
        <v>0</v>
      </c>
      <c r="P469" s="274"/>
      <c r="Q469" s="274"/>
      <c r="R469" s="276"/>
      <c r="S469" s="274"/>
      <c r="T469" s="197">
        <f t="shared" si="68"/>
        <v>0</v>
      </c>
      <c r="U469" s="197">
        <f t="shared" si="69"/>
        <v>0</v>
      </c>
      <c r="V469" s="197">
        <f t="shared" si="70"/>
        <v>0</v>
      </c>
      <c r="W469" s="197">
        <f t="shared" si="71"/>
        <v>0</v>
      </c>
      <c r="Z469" s="197"/>
      <c r="AA469" s="228"/>
      <c r="AB469" s="228"/>
      <c r="AD469" s="228"/>
      <c r="AE469" s="228"/>
      <c r="AF469" s="228"/>
      <c r="AG469" s="228"/>
      <c r="AH469" s="228"/>
      <c r="AI469" s="228"/>
      <c r="AJ469" s="228"/>
      <c r="AK469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</row>
    <row r="470" spans="1:64" s="198" customFormat="1" x14ac:dyDescent="0.25">
      <c r="A470" s="290" t="str">
        <f t="shared" si="74"/>
        <v>Hudson View Park</v>
      </c>
      <c r="B470" s="195">
        <f t="shared" si="72"/>
        <v>372</v>
      </c>
      <c r="C470" s="196" t="str">
        <f t="shared" si="73"/>
        <v>Occ</v>
      </c>
      <c r="D470" s="196" t="e" cm="1">
        <f t="array" ref="D470">INDEX($C$5:$C$61,MATCH(1,(K470=$D$5:$D$61)*(A470=$B$5:$B$61),0))</f>
        <v>#N/A</v>
      </c>
      <c r="E470" s="196" t="e" cm="1">
        <f t="array" ref="E470">INDEX($E$5:$E$61,MATCH(1,(D470=$C$5:$C$61)*(A470=$B$5:$B$61),0))</f>
        <v>#N/A</v>
      </c>
      <c r="F470" s="196" t="e" cm="1">
        <f t="array" ref="F470">INDEX($F$5:$F$61,MATCH(1,(D470=$C$5:$C$61)*(A470=$B$5:$B$61),0))</f>
        <v>#N/A</v>
      </c>
      <c r="G470" s="196" t="e" cm="1">
        <f t="array" ref="G470">INDEX($G$5:$G$61,MATCH(1,(D470=$C$5:$C$61)*(A470=$B$5:$B$61),0))</f>
        <v>#N/A</v>
      </c>
      <c r="H470" s="196" t="e" cm="1">
        <f t="array" ref="H470">INDEX($H$5:$H$61,MATCH(1,(D470=$C$5:$C$61)*(A470=$B$5:$B$61),0))</f>
        <v>#N/A</v>
      </c>
      <c r="I470" s="196" t="e" cm="1">
        <f t="array" ref="I470">INDEX($I$5:$I$61,MATCH(1,(D470=$C$5:$C$61)*(A470=$B$5:$B$61),0))</f>
        <v>#N/A</v>
      </c>
      <c r="J470" s="273"/>
      <c r="K470" s="273"/>
      <c r="L470" s="272"/>
      <c r="M470" s="273"/>
      <c r="N470" s="197"/>
      <c r="O470" s="200">
        <f t="shared" si="67"/>
        <v>0</v>
      </c>
      <c r="P470" s="274"/>
      <c r="Q470" s="274"/>
      <c r="R470" s="276"/>
      <c r="S470" s="274"/>
      <c r="T470" s="197">
        <f t="shared" si="68"/>
        <v>0</v>
      </c>
      <c r="U470" s="197">
        <f t="shared" si="69"/>
        <v>0</v>
      </c>
      <c r="V470" s="197">
        <f t="shared" si="70"/>
        <v>0</v>
      </c>
      <c r="W470" s="197">
        <f t="shared" si="71"/>
        <v>0</v>
      </c>
      <c r="Z470" s="197"/>
      <c r="AA470" s="228"/>
      <c r="AB470" s="228"/>
      <c r="AD470" s="228"/>
      <c r="AE470" s="228"/>
      <c r="AF470" s="228"/>
      <c r="AG470" s="228"/>
      <c r="AH470" s="228"/>
      <c r="AI470" s="228"/>
      <c r="AJ470" s="228"/>
      <c r="AK470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</row>
    <row r="471" spans="1:64" s="198" customFormat="1" x14ac:dyDescent="0.25">
      <c r="A471" s="290" t="str">
        <f t="shared" si="74"/>
        <v>Hudson View Park</v>
      </c>
      <c r="B471" s="195">
        <f t="shared" si="72"/>
        <v>373</v>
      </c>
      <c r="C471" s="196" t="str">
        <f t="shared" si="73"/>
        <v>Occ</v>
      </c>
      <c r="D471" s="196" t="e" cm="1">
        <f t="array" ref="D471">INDEX($C$5:$C$61,MATCH(1,(K471=$D$5:$D$61)*(A471=$B$5:$B$61),0))</f>
        <v>#N/A</v>
      </c>
      <c r="E471" s="196" t="e" cm="1">
        <f t="array" ref="E471">INDEX($E$5:$E$61,MATCH(1,(D471=$C$5:$C$61)*(A471=$B$5:$B$61),0))</f>
        <v>#N/A</v>
      </c>
      <c r="F471" s="196" t="e" cm="1">
        <f t="array" ref="F471">INDEX($F$5:$F$61,MATCH(1,(D471=$C$5:$C$61)*(A471=$B$5:$B$61),0))</f>
        <v>#N/A</v>
      </c>
      <c r="G471" s="196" t="e" cm="1">
        <f t="array" ref="G471">INDEX($G$5:$G$61,MATCH(1,(D471=$C$5:$C$61)*(A471=$B$5:$B$61),0))</f>
        <v>#N/A</v>
      </c>
      <c r="H471" s="196" t="e" cm="1">
        <f t="array" ref="H471">INDEX($H$5:$H$61,MATCH(1,(D471=$C$5:$C$61)*(A471=$B$5:$B$61),0))</f>
        <v>#N/A</v>
      </c>
      <c r="I471" s="196" t="e" cm="1">
        <f t="array" ref="I471">INDEX($I$5:$I$61,MATCH(1,(D471=$C$5:$C$61)*(A471=$B$5:$B$61),0))</f>
        <v>#N/A</v>
      </c>
      <c r="J471" s="273"/>
      <c r="K471" s="273"/>
      <c r="L471" s="272"/>
      <c r="M471" s="273"/>
      <c r="N471" s="197"/>
      <c r="O471" s="200">
        <f t="shared" si="67"/>
        <v>0</v>
      </c>
      <c r="P471" s="274"/>
      <c r="Q471" s="274"/>
      <c r="R471" s="276"/>
      <c r="S471" s="274"/>
      <c r="T471" s="197">
        <f t="shared" si="68"/>
        <v>0</v>
      </c>
      <c r="U471" s="197">
        <f t="shared" si="69"/>
        <v>0</v>
      </c>
      <c r="V471" s="197">
        <f t="shared" si="70"/>
        <v>0</v>
      </c>
      <c r="W471" s="197">
        <f t="shared" si="71"/>
        <v>0</v>
      </c>
      <c r="Z471" s="197"/>
      <c r="AA471" s="228"/>
      <c r="AB471" s="228"/>
      <c r="AD471" s="228"/>
      <c r="AE471" s="228"/>
      <c r="AF471" s="228"/>
      <c r="AG471" s="228"/>
      <c r="AH471" s="228"/>
      <c r="AI471" s="228"/>
      <c r="AJ471" s="228"/>
      <c r="AK471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</row>
    <row r="472" spans="1:64" s="198" customFormat="1" x14ac:dyDescent="0.25">
      <c r="A472" s="290" t="str">
        <f t="shared" si="74"/>
        <v>Hudson View Park</v>
      </c>
      <c r="B472" s="195">
        <f t="shared" si="72"/>
        <v>374</v>
      </c>
      <c r="C472" s="196" t="str">
        <f t="shared" si="73"/>
        <v>Occ</v>
      </c>
      <c r="D472" s="196" t="e" cm="1">
        <f t="array" ref="D472">INDEX($C$5:$C$61,MATCH(1,(K472=$D$5:$D$61)*(A472=$B$5:$B$61),0))</f>
        <v>#N/A</v>
      </c>
      <c r="E472" s="196" t="e" cm="1">
        <f t="array" ref="E472">INDEX($E$5:$E$61,MATCH(1,(D472=$C$5:$C$61)*(A472=$B$5:$B$61),0))</f>
        <v>#N/A</v>
      </c>
      <c r="F472" s="196" t="e" cm="1">
        <f t="array" ref="F472">INDEX($F$5:$F$61,MATCH(1,(D472=$C$5:$C$61)*(A472=$B$5:$B$61),0))</f>
        <v>#N/A</v>
      </c>
      <c r="G472" s="196" t="e" cm="1">
        <f t="array" ref="G472">INDEX($G$5:$G$61,MATCH(1,(D472=$C$5:$C$61)*(A472=$B$5:$B$61),0))</f>
        <v>#N/A</v>
      </c>
      <c r="H472" s="196" t="e" cm="1">
        <f t="array" ref="H472">INDEX($H$5:$H$61,MATCH(1,(D472=$C$5:$C$61)*(A472=$B$5:$B$61),0))</f>
        <v>#N/A</v>
      </c>
      <c r="I472" s="196" t="e" cm="1">
        <f t="array" ref="I472">INDEX($I$5:$I$61,MATCH(1,(D472=$C$5:$C$61)*(A472=$B$5:$B$61),0))</f>
        <v>#N/A</v>
      </c>
      <c r="J472" s="273"/>
      <c r="K472" s="273"/>
      <c r="L472" s="272"/>
      <c r="M472" s="273"/>
      <c r="N472" s="197"/>
      <c r="O472" s="200">
        <f t="shared" si="67"/>
        <v>0</v>
      </c>
      <c r="P472" s="274"/>
      <c r="Q472" s="274"/>
      <c r="R472" s="276"/>
      <c r="S472" s="274"/>
      <c r="T472" s="197">
        <f t="shared" si="68"/>
        <v>0</v>
      </c>
      <c r="U472" s="197">
        <f t="shared" si="69"/>
        <v>0</v>
      </c>
      <c r="V472" s="197">
        <f t="shared" si="70"/>
        <v>0</v>
      </c>
      <c r="W472" s="197">
        <f t="shared" si="71"/>
        <v>0</v>
      </c>
      <c r="Z472" s="197"/>
      <c r="AA472" s="228"/>
      <c r="AB472" s="228"/>
      <c r="AD472" s="228"/>
      <c r="AE472" s="228"/>
      <c r="AF472" s="228"/>
      <c r="AG472" s="228"/>
      <c r="AH472" s="228"/>
      <c r="AI472" s="228"/>
      <c r="AJ472" s="228"/>
      <c r="AK472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</row>
    <row r="473" spans="1:64" s="198" customFormat="1" x14ac:dyDescent="0.25">
      <c r="A473" s="290" t="str">
        <f t="shared" si="74"/>
        <v>Hudson View Park</v>
      </c>
      <c r="B473" s="195">
        <f t="shared" si="72"/>
        <v>375</v>
      </c>
      <c r="C473" s="196" t="str">
        <f t="shared" si="73"/>
        <v>Occ</v>
      </c>
      <c r="D473" s="196" t="e" cm="1">
        <f t="array" ref="D473">INDEX($C$5:$C$61,MATCH(1,(K473=$D$5:$D$61)*(A473=$B$5:$B$61),0))</f>
        <v>#N/A</v>
      </c>
      <c r="E473" s="196" t="e" cm="1">
        <f t="array" ref="E473">INDEX($E$5:$E$61,MATCH(1,(D473=$C$5:$C$61)*(A473=$B$5:$B$61),0))</f>
        <v>#N/A</v>
      </c>
      <c r="F473" s="196" t="e" cm="1">
        <f t="array" ref="F473">INDEX($F$5:$F$61,MATCH(1,(D473=$C$5:$C$61)*(A473=$B$5:$B$61),0))</f>
        <v>#N/A</v>
      </c>
      <c r="G473" s="196" t="e" cm="1">
        <f t="array" ref="G473">INDEX($G$5:$G$61,MATCH(1,(D473=$C$5:$C$61)*(A473=$B$5:$B$61),0))</f>
        <v>#N/A</v>
      </c>
      <c r="H473" s="196" t="e" cm="1">
        <f t="array" ref="H473">INDEX($H$5:$H$61,MATCH(1,(D473=$C$5:$C$61)*(A473=$B$5:$B$61),0))</f>
        <v>#N/A</v>
      </c>
      <c r="I473" s="196" t="e" cm="1">
        <f t="array" ref="I473">INDEX($I$5:$I$61,MATCH(1,(D473=$C$5:$C$61)*(A473=$B$5:$B$61),0))</f>
        <v>#N/A</v>
      </c>
      <c r="J473" s="273"/>
      <c r="K473" s="273"/>
      <c r="L473" s="272"/>
      <c r="M473" s="273"/>
      <c r="N473" s="197"/>
      <c r="O473" s="200">
        <f t="shared" si="67"/>
        <v>0</v>
      </c>
      <c r="P473" s="274"/>
      <c r="Q473" s="274"/>
      <c r="R473" s="276"/>
      <c r="S473" s="274"/>
      <c r="T473" s="197">
        <f t="shared" si="68"/>
        <v>0</v>
      </c>
      <c r="U473" s="197">
        <f t="shared" si="69"/>
        <v>0</v>
      </c>
      <c r="V473" s="197">
        <f t="shared" si="70"/>
        <v>0</v>
      </c>
      <c r="W473" s="197">
        <f t="shared" si="71"/>
        <v>0</v>
      </c>
      <c r="Z473" s="197"/>
      <c r="AA473" s="228"/>
      <c r="AB473" s="228"/>
      <c r="AD473" s="228"/>
      <c r="AE473" s="228"/>
      <c r="AF473" s="228"/>
      <c r="AG473" s="228"/>
      <c r="AH473" s="228"/>
      <c r="AI473" s="228"/>
      <c r="AJ473" s="228"/>
      <c r="AK473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</row>
    <row r="474" spans="1:64" s="198" customFormat="1" x14ac:dyDescent="0.25">
      <c r="A474" s="290" t="str">
        <f t="shared" si="74"/>
        <v>Hudson View Park</v>
      </c>
      <c r="B474" s="195">
        <f t="shared" si="72"/>
        <v>376</v>
      </c>
      <c r="C474" s="196" t="str">
        <f t="shared" si="73"/>
        <v>Occ</v>
      </c>
      <c r="D474" s="196" t="e" cm="1">
        <f t="array" ref="D474">INDEX($C$5:$C$61,MATCH(1,(K474=$D$5:$D$61)*(A474=$B$5:$B$61),0))</f>
        <v>#N/A</v>
      </c>
      <c r="E474" s="196" t="e" cm="1">
        <f t="array" ref="E474">INDEX($E$5:$E$61,MATCH(1,(D474=$C$5:$C$61)*(A474=$B$5:$B$61),0))</f>
        <v>#N/A</v>
      </c>
      <c r="F474" s="196" t="e" cm="1">
        <f t="array" ref="F474">INDEX($F$5:$F$61,MATCH(1,(D474=$C$5:$C$61)*(A474=$B$5:$B$61),0))</f>
        <v>#N/A</v>
      </c>
      <c r="G474" s="196" t="e" cm="1">
        <f t="array" ref="G474">INDEX($G$5:$G$61,MATCH(1,(D474=$C$5:$C$61)*(A474=$B$5:$B$61),0))</f>
        <v>#N/A</v>
      </c>
      <c r="H474" s="196" t="e" cm="1">
        <f t="array" ref="H474">INDEX($H$5:$H$61,MATCH(1,(D474=$C$5:$C$61)*(A474=$B$5:$B$61),0))</f>
        <v>#N/A</v>
      </c>
      <c r="I474" s="196" t="e" cm="1">
        <f t="array" ref="I474">INDEX($I$5:$I$61,MATCH(1,(D474=$C$5:$C$61)*(A474=$B$5:$B$61),0))</f>
        <v>#N/A</v>
      </c>
      <c r="J474" s="273"/>
      <c r="K474" s="273"/>
      <c r="L474" s="272"/>
      <c r="M474" s="273"/>
      <c r="N474" s="197"/>
      <c r="O474" s="200">
        <f t="shared" si="67"/>
        <v>0</v>
      </c>
      <c r="P474" s="274"/>
      <c r="Q474" s="274"/>
      <c r="R474" s="276"/>
      <c r="S474" s="274"/>
      <c r="T474" s="197">
        <f t="shared" si="68"/>
        <v>0</v>
      </c>
      <c r="U474" s="197">
        <f t="shared" si="69"/>
        <v>0</v>
      </c>
      <c r="V474" s="197">
        <f t="shared" si="70"/>
        <v>0</v>
      </c>
      <c r="W474" s="197">
        <f t="shared" si="71"/>
        <v>0</v>
      </c>
      <c r="Z474" s="197"/>
      <c r="AA474" s="228"/>
      <c r="AB474" s="228"/>
      <c r="AD474" s="228"/>
      <c r="AE474" s="228"/>
      <c r="AF474" s="228"/>
      <c r="AG474" s="228"/>
      <c r="AH474" s="228"/>
      <c r="AI474" s="228"/>
      <c r="AJ474" s="228"/>
      <c r="AK474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</row>
    <row r="475" spans="1:64" s="198" customFormat="1" x14ac:dyDescent="0.25">
      <c r="A475" s="290" t="str">
        <f t="shared" si="74"/>
        <v>Hudson View Park</v>
      </c>
      <c r="B475" s="195">
        <f t="shared" si="72"/>
        <v>377</v>
      </c>
      <c r="C475" s="196" t="str">
        <f t="shared" si="73"/>
        <v>Occ</v>
      </c>
      <c r="D475" s="196" t="e" cm="1">
        <f t="array" ref="D475">INDEX($C$5:$C$61,MATCH(1,(K475=$D$5:$D$61)*(A475=$B$5:$B$61),0))</f>
        <v>#N/A</v>
      </c>
      <c r="E475" s="196" t="e" cm="1">
        <f t="array" ref="E475">INDEX($E$5:$E$61,MATCH(1,(D475=$C$5:$C$61)*(A475=$B$5:$B$61),0))</f>
        <v>#N/A</v>
      </c>
      <c r="F475" s="196" t="e" cm="1">
        <f t="array" ref="F475">INDEX($F$5:$F$61,MATCH(1,(D475=$C$5:$C$61)*(A475=$B$5:$B$61),0))</f>
        <v>#N/A</v>
      </c>
      <c r="G475" s="196" t="e" cm="1">
        <f t="array" ref="G475">INDEX($G$5:$G$61,MATCH(1,(D475=$C$5:$C$61)*(A475=$B$5:$B$61),0))</f>
        <v>#N/A</v>
      </c>
      <c r="H475" s="196" t="e" cm="1">
        <f t="array" ref="H475">INDEX($H$5:$H$61,MATCH(1,(D475=$C$5:$C$61)*(A475=$B$5:$B$61),0))</f>
        <v>#N/A</v>
      </c>
      <c r="I475" s="196" t="e" cm="1">
        <f t="array" ref="I475">INDEX($I$5:$I$61,MATCH(1,(D475=$C$5:$C$61)*(A475=$B$5:$B$61),0))</f>
        <v>#N/A</v>
      </c>
      <c r="J475" s="273"/>
      <c r="K475" s="273"/>
      <c r="L475" s="272"/>
      <c r="M475" s="273"/>
      <c r="N475" s="197"/>
      <c r="O475" s="200">
        <f t="shared" si="67"/>
        <v>0</v>
      </c>
      <c r="P475" s="274"/>
      <c r="Q475" s="274"/>
      <c r="R475" s="276"/>
      <c r="S475" s="274"/>
      <c r="T475" s="197">
        <f t="shared" si="68"/>
        <v>0</v>
      </c>
      <c r="U475" s="197">
        <f t="shared" si="69"/>
        <v>0</v>
      </c>
      <c r="V475" s="197">
        <f t="shared" si="70"/>
        <v>0</v>
      </c>
      <c r="W475" s="197">
        <f t="shared" si="71"/>
        <v>0</v>
      </c>
      <c r="Z475" s="197"/>
      <c r="AA475" s="228"/>
      <c r="AB475" s="228"/>
      <c r="AD475" s="228"/>
      <c r="AE475" s="228"/>
      <c r="AF475" s="228"/>
      <c r="AG475" s="228"/>
      <c r="AH475" s="228"/>
      <c r="AI475" s="228"/>
      <c r="AJ475" s="228"/>
      <c r="AK475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</row>
    <row r="476" spans="1:64" s="198" customFormat="1" x14ac:dyDescent="0.25">
      <c r="A476" s="290" t="str">
        <f t="shared" si="74"/>
        <v>Hudson View Park</v>
      </c>
      <c r="B476" s="195">
        <f t="shared" si="72"/>
        <v>378</v>
      </c>
      <c r="C476" s="196" t="str">
        <f t="shared" si="73"/>
        <v>Occ</v>
      </c>
      <c r="D476" s="196" t="e" cm="1">
        <f t="array" ref="D476">INDEX($C$5:$C$61,MATCH(1,(K476=$D$5:$D$61)*(A476=$B$5:$B$61),0))</f>
        <v>#N/A</v>
      </c>
      <c r="E476" s="196" t="e" cm="1">
        <f t="array" ref="E476">INDEX($E$5:$E$61,MATCH(1,(D476=$C$5:$C$61)*(A476=$B$5:$B$61),0))</f>
        <v>#N/A</v>
      </c>
      <c r="F476" s="196" t="e" cm="1">
        <f t="array" ref="F476">INDEX($F$5:$F$61,MATCH(1,(D476=$C$5:$C$61)*(A476=$B$5:$B$61),0))</f>
        <v>#N/A</v>
      </c>
      <c r="G476" s="196" t="e" cm="1">
        <f t="array" ref="G476">INDEX($G$5:$G$61,MATCH(1,(D476=$C$5:$C$61)*(A476=$B$5:$B$61),0))</f>
        <v>#N/A</v>
      </c>
      <c r="H476" s="196" t="e" cm="1">
        <f t="array" ref="H476">INDEX($H$5:$H$61,MATCH(1,(D476=$C$5:$C$61)*(A476=$B$5:$B$61),0))</f>
        <v>#N/A</v>
      </c>
      <c r="I476" s="196" t="e" cm="1">
        <f t="array" ref="I476">INDEX($I$5:$I$61,MATCH(1,(D476=$C$5:$C$61)*(A476=$B$5:$B$61),0))</f>
        <v>#N/A</v>
      </c>
      <c r="J476" s="273"/>
      <c r="K476" s="273"/>
      <c r="L476" s="272"/>
      <c r="M476" s="273"/>
      <c r="N476" s="197"/>
      <c r="O476" s="200">
        <f t="shared" si="67"/>
        <v>0</v>
      </c>
      <c r="P476" s="274"/>
      <c r="Q476" s="274"/>
      <c r="R476" s="276"/>
      <c r="S476" s="274"/>
      <c r="T476" s="197">
        <f t="shared" si="68"/>
        <v>0</v>
      </c>
      <c r="U476" s="197">
        <f t="shared" si="69"/>
        <v>0</v>
      </c>
      <c r="V476" s="197">
        <f t="shared" si="70"/>
        <v>0</v>
      </c>
      <c r="W476" s="197">
        <f t="shared" si="71"/>
        <v>0</v>
      </c>
      <c r="Z476" s="197"/>
      <c r="AA476" s="228"/>
      <c r="AB476" s="228"/>
      <c r="AD476" s="228"/>
      <c r="AE476" s="228"/>
      <c r="AF476" s="228"/>
      <c r="AG476" s="228"/>
      <c r="AH476" s="228"/>
      <c r="AI476" s="228"/>
      <c r="AJ476" s="228"/>
      <c r="AK476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</row>
    <row r="477" spans="1:64" s="198" customFormat="1" x14ac:dyDescent="0.25">
      <c r="A477" s="290" t="str">
        <f t="shared" si="74"/>
        <v>Hudson View Park</v>
      </c>
      <c r="B477" s="195">
        <f t="shared" si="72"/>
        <v>379</v>
      </c>
      <c r="C477" s="196" t="str">
        <f t="shared" si="73"/>
        <v>Occ</v>
      </c>
      <c r="D477" s="196" t="e" cm="1">
        <f t="array" ref="D477">INDEX($C$5:$C$61,MATCH(1,(K477=$D$5:$D$61)*(A477=$B$5:$B$61),0))</f>
        <v>#N/A</v>
      </c>
      <c r="E477" s="196" t="e" cm="1">
        <f t="array" ref="E477">INDEX($E$5:$E$61,MATCH(1,(D477=$C$5:$C$61)*(A477=$B$5:$B$61),0))</f>
        <v>#N/A</v>
      </c>
      <c r="F477" s="196" t="e" cm="1">
        <f t="array" ref="F477">INDEX($F$5:$F$61,MATCH(1,(D477=$C$5:$C$61)*(A477=$B$5:$B$61),0))</f>
        <v>#N/A</v>
      </c>
      <c r="G477" s="196" t="e" cm="1">
        <f t="array" ref="G477">INDEX($G$5:$G$61,MATCH(1,(D477=$C$5:$C$61)*(A477=$B$5:$B$61),0))</f>
        <v>#N/A</v>
      </c>
      <c r="H477" s="196" t="e" cm="1">
        <f t="array" ref="H477">INDEX($H$5:$H$61,MATCH(1,(D477=$C$5:$C$61)*(A477=$B$5:$B$61),0))</f>
        <v>#N/A</v>
      </c>
      <c r="I477" s="196" t="e" cm="1">
        <f t="array" ref="I477">INDEX($I$5:$I$61,MATCH(1,(D477=$C$5:$C$61)*(A477=$B$5:$B$61),0))</f>
        <v>#N/A</v>
      </c>
      <c r="J477" s="273"/>
      <c r="K477" s="273"/>
      <c r="L477" s="272"/>
      <c r="M477" s="273"/>
      <c r="N477" s="197"/>
      <c r="O477" s="200">
        <f t="shared" si="67"/>
        <v>0</v>
      </c>
      <c r="P477" s="274"/>
      <c r="Q477" s="274"/>
      <c r="R477" s="276"/>
      <c r="S477" s="274"/>
      <c r="T477" s="197">
        <f t="shared" si="68"/>
        <v>0</v>
      </c>
      <c r="U477" s="197">
        <f t="shared" si="69"/>
        <v>0</v>
      </c>
      <c r="V477" s="197">
        <f t="shared" si="70"/>
        <v>0</v>
      </c>
      <c r="W477" s="197">
        <f t="shared" si="71"/>
        <v>0</v>
      </c>
      <c r="Z477" s="197"/>
      <c r="AA477" s="228"/>
      <c r="AB477" s="228"/>
      <c r="AD477" s="228"/>
      <c r="AE477" s="228"/>
      <c r="AF477" s="228"/>
      <c r="AG477" s="228"/>
      <c r="AH477" s="228"/>
      <c r="AI477" s="228"/>
      <c r="AJ477" s="228"/>
      <c r="AK477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</row>
    <row r="478" spans="1:64" s="198" customFormat="1" x14ac:dyDescent="0.25">
      <c r="A478" s="290" t="str">
        <f t="shared" si="74"/>
        <v>Hudson View Park</v>
      </c>
      <c r="B478" s="195">
        <f t="shared" si="72"/>
        <v>380</v>
      </c>
      <c r="C478" s="196" t="str">
        <f t="shared" si="73"/>
        <v>Occ</v>
      </c>
      <c r="D478" s="196" t="e" cm="1">
        <f t="array" ref="D478">INDEX($C$5:$C$61,MATCH(1,(K478=$D$5:$D$61)*(A478=$B$5:$B$61),0))</f>
        <v>#N/A</v>
      </c>
      <c r="E478" s="196" t="e" cm="1">
        <f t="array" ref="E478">INDEX($E$5:$E$61,MATCH(1,(D478=$C$5:$C$61)*(A478=$B$5:$B$61),0))</f>
        <v>#N/A</v>
      </c>
      <c r="F478" s="196" t="e" cm="1">
        <f t="array" ref="F478">INDEX($F$5:$F$61,MATCH(1,(D478=$C$5:$C$61)*(A478=$B$5:$B$61),0))</f>
        <v>#N/A</v>
      </c>
      <c r="G478" s="196" t="e" cm="1">
        <f t="array" ref="G478">INDEX($G$5:$G$61,MATCH(1,(D478=$C$5:$C$61)*(A478=$B$5:$B$61),0))</f>
        <v>#N/A</v>
      </c>
      <c r="H478" s="196" t="e" cm="1">
        <f t="array" ref="H478">INDEX($H$5:$H$61,MATCH(1,(D478=$C$5:$C$61)*(A478=$B$5:$B$61),0))</f>
        <v>#N/A</v>
      </c>
      <c r="I478" s="196" t="e" cm="1">
        <f t="array" ref="I478">INDEX($I$5:$I$61,MATCH(1,(D478=$C$5:$C$61)*(A478=$B$5:$B$61),0))</f>
        <v>#N/A</v>
      </c>
      <c r="J478" s="273"/>
      <c r="K478" s="273"/>
      <c r="L478" s="272"/>
      <c r="M478" s="273"/>
      <c r="N478" s="197"/>
      <c r="O478" s="200">
        <f t="shared" si="67"/>
        <v>0</v>
      </c>
      <c r="P478" s="274"/>
      <c r="Q478" s="274"/>
      <c r="R478" s="276"/>
      <c r="S478" s="274"/>
      <c r="T478" s="197">
        <f t="shared" si="68"/>
        <v>0</v>
      </c>
      <c r="U478" s="197">
        <f t="shared" si="69"/>
        <v>0</v>
      </c>
      <c r="V478" s="197">
        <f t="shared" si="70"/>
        <v>0</v>
      </c>
      <c r="W478" s="197">
        <f t="shared" si="71"/>
        <v>0</v>
      </c>
      <c r="Z478" s="197"/>
      <c r="AA478" s="228"/>
      <c r="AB478" s="228"/>
      <c r="AD478" s="228"/>
      <c r="AE478" s="228"/>
      <c r="AF478" s="228"/>
      <c r="AG478" s="228"/>
      <c r="AH478" s="228"/>
      <c r="AI478" s="228"/>
      <c r="AJ478" s="228"/>
      <c r="AK47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</row>
    <row r="479" spans="1:64" s="198" customFormat="1" x14ac:dyDescent="0.25">
      <c r="A479" s="290" t="str">
        <f t="shared" si="74"/>
        <v>Hudson View Park</v>
      </c>
      <c r="B479" s="195">
        <f t="shared" si="72"/>
        <v>381</v>
      </c>
      <c r="C479" s="196" t="str">
        <f t="shared" si="73"/>
        <v>Occ</v>
      </c>
      <c r="D479" s="196" t="e" cm="1">
        <f t="array" ref="D479">INDEX($C$5:$C$61,MATCH(1,(K479=$D$5:$D$61)*(A479=$B$5:$B$61),0))</f>
        <v>#N/A</v>
      </c>
      <c r="E479" s="196" t="e" cm="1">
        <f t="array" ref="E479">INDEX($E$5:$E$61,MATCH(1,(D479=$C$5:$C$61)*(A479=$B$5:$B$61),0))</f>
        <v>#N/A</v>
      </c>
      <c r="F479" s="196" t="e" cm="1">
        <f t="array" ref="F479">INDEX($F$5:$F$61,MATCH(1,(D479=$C$5:$C$61)*(A479=$B$5:$B$61),0))</f>
        <v>#N/A</v>
      </c>
      <c r="G479" s="196" t="e" cm="1">
        <f t="array" ref="G479">INDEX($G$5:$G$61,MATCH(1,(D479=$C$5:$C$61)*(A479=$B$5:$B$61),0))</f>
        <v>#N/A</v>
      </c>
      <c r="H479" s="196" t="e" cm="1">
        <f t="array" ref="H479">INDEX($H$5:$H$61,MATCH(1,(D479=$C$5:$C$61)*(A479=$B$5:$B$61),0))</f>
        <v>#N/A</v>
      </c>
      <c r="I479" s="196" t="e" cm="1">
        <f t="array" ref="I479">INDEX($I$5:$I$61,MATCH(1,(D479=$C$5:$C$61)*(A479=$B$5:$B$61),0))</f>
        <v>#N/A</v>
      </c>
      <c r="J479" s="273"/>
      <c r="K479" s="273"/>
      <c r="L479" s="272"/>
      <c r="M479" s="273"/>
      <c r="N479" s="197"/>
      <c r="O479" s="200">
        <f t="shared" si="67"/>
        <v>0</v>
      </c>
      <c r="P479" s="274"/>
      <c r="Q479" s="274"/>
      <c r="R479" s="276"/>
      <c r="S479" s="274"/>
      <c r="T479" s="197">
        <f t="shared" si="68"/>
        <v>0</v>
      </c>
      <c r="U479" s="197">
        <f t="shared" si="69"/>
        <v>0</v>
      </c>
      <c r="V479" s="197">
        <f t="shared" si="70"/>
        <v>0</v>
      </c>
      <c r="W479" s="197">
        <f t="shared" si="71"/>
        <v>0</v>
      </c>
      <c r="Z479" s="197"/>
      <c r="AA479" s="228"/>
      <c r="AB479" s="228"/>
      <c r="AD479" s="228"/>
      <c r="AE479" s="228"/>
      <c r="AF479" s="228"/>
      <c r="AG479" s="228"/>
      <c r="AH479" s="228"/>
      <c r="AI479" s="228"/>
      <c r="AJ479" s="228"/>
      <c r="AK479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</row>
    <row r="480" spans="1:64" s="198" customFormat="1" x14ac:dyDescent="0.25">
      <c r="A480" s="290" t="str">
        <f t="shared" si="74"/>
        <v>Hudson View Park</v>
      </c>
      <c r="B480" s="195">
        <f t="shared" si="72"/>
        <v>382</v>
      </c>
      <c r="C480" s="196" t="str">
        <f t="shared" si="73"/>
        <v>Occ</v>
      </c>
      <c r="D480" s="196" t="e" cm="1">
        <f t="array" ref="D480">INDEX($C$5:$C$61,MATCH(1,(K480=$D$5:$D$61)*(A480=$B$5:$B$61),0))</f>
        <v>#N/A</v>
      </c>
      <c r="E480" s="196" t="e" cm="1">
        <f t="array" ref="E480">INDEX($E$5:$E$61,MATCH(1,(D480=$C$5:$C$61)*(A480=$B$5:$B$61),0))</f>
        <v>#N/A</v>
      </c>
      <c r="F480" s="196" t="e" cm="1">
        <f t="array" ref="F480">INDEX($F$5:$F$61,MATCH(1,(D480=$C$5:$C$61)*(A480=$B$5:$B$61),0))</f>
        <v>#N/A</v>
      </c>
      <c r="G480" s="196" t="e" cm="1">
        <f t="array" ref="G480">INDEX($G$5:$G$61,MATCH(1,(D480=$C$5:$C$61)*(A480=$B$5:$B$61),0))</f>
        <v>#N/A</v>
      </c>
      <c r="H480" s="196" t="e" cm="1">
        <f t="array" ref="H480">INDEX($H$5:$H$61,MATCH(1,(D480=$C$5:$C$61)*(A480=$B$5:$B$61),0))</f>
        <v>#N/A</v>
      </c>
      <c r="I480" s="196" t="e" cm="1">
        <f t="array" ref="I480">INDEX($I$5:$I$61,MATCH(1,(D480=$C$5:$C$61)*(A480=$B$5:$B$61),0))</f>
        <v>#N/A</v>
      </c>
      <c r="J480" s="273"/>
      <c r="K480" s="273"/>
      <c r="L480" s="272"/>
      <c r="M480" s="273"/>
      <c r="N480" s="197"/>
      <c r="O480" s="200">
        <f t="shared" si="67"/>
        <v>0</v>
      </c>
      <c r="P480" s="274"/>
      <c r="Q480" s="274"/>
      <c r="R480" s="276"/>
      <c r="S480" s="274"/>
      <c r="T480" s="197">
        <f t="shared" si="68"/>
        <v>0</v>
      </c>
      <c r="U480" s="197">
        <f t="shared" si="69"/>
        <v>0</v>
      </c>
      <c r="V480" s="197">
        <f t="shared" si="70"/>
        <v>0</v>
      </c>
      <c r="W480" s="197">
        <f t="shared" si="71"/>
        <v>0</v>
      </c>
      <c r="Z480" s="197"/>
      <c r="AA480" s="228"/>
      <c r="AB480" s="228"/>
      <c r="AD480" s="228"/>
      <c r="AE480" s="228"/>
      <c r="AF480" s="228"/>
      <c r="AG480" s="228"/>
      <c r="AH480" s="228"/>
      <c r="AI480" s="228"/>
      <c r="AJ480" s="228"/>
      <c r="AK480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</row>
    <row r="481" spans="1:64" s="198" customFormat="1" x14ac:dyDescent="0.25">
      <c r="A481" s="290" t="str">
        <f t="shared" si="74"/>
        <v>Hudson View Park</v>
      </c>
      <c r="B481" s="195">
        <f t="shared" si="72"/>
        <v>383</v>
      </c>
      <c r="C481" s="196" t="str">
        <f t="shared" si="73"/>
        <v>Occ</v>
      </c>
      <c r="D481" s="196" t="e" cm="1">
        <f t="array" ref="D481">INDEX($C$5:$C$61,MATCH(1,(K481=$D$5:$D$61)*(A481=$B$5:$B$61),0))</f>
        <v>#N/A</v>
      </c>
      <c r="E481" s="196" t="e" cm="1">
        <f t="array" ref="E481">INDEX($E$5:$E$61,MATCH(1,(D481=$C$5:$C$61)*(A481=$B$5:$B$61),0))</f>
        <v>#N/A</v>
      </c>
      <c r="F481" s="196" t="e" cm="1">
        <f t="array" ref="F481">INDEX($F$5:$F$61,MATCH(1,(D481=$C$5:$C$61)*(A481=$B$5:$B$61),0))</f>
        <v>#N/A</v>
      </c>
      <c r="G481" s="196" t="e" cm="1">
        <f t="array" ref="G481">INDEX($G$5:$G$61,MATCH(1,(D481=$C$5:$C$61)*(A481=$B$5:$B$61),0))</f>
        <v>#N/A</v>
      </c>
      <c r="H481" s="196" t="e" cm="1">
        <f t="array" ref="H481">INDEX($H$5:$H$61,MATCH(1,(D481=$C$5:$C$61)*(A481=$B$5:$B$61),0))</f>
        <v>#N/A</v>
      </c>
      <c r="I481" s="196" t="e" cm="1">
        <f t="array" ref="I481">INDEX($I$5:$I$61,MATCH(1,(D481=$C$5:$C$61)*(A481=$B$5:$B$61),0))</f>
        <v>#N/A</v>
      </c>
      <c r="J481" s="273"/>
      <c r="K481" s="273"/>
      <c r="L481" s="272"/>
      <c r="M481" s="273"/>
      <c r="N481" s="197"/>
      <c r="O481" s="200">
        <f t="shared" si="67"/>
        <v>0</v>
      </c>
      <c r="P481" s="274"/>
      <c r="Q481" s="274"/>
      <c r="R481" s="276"/>
      <c r="S481" s="274"/>
      <c r="T481" s="197">
        <f t="shared" si="68"/>
        <v>0</v>
      </c>
      <c r="U481" s="197">
        <f t="shared" si="69"/>
        <v>0</v>
      </c>
      <c r="V481" s="197">
        <f t="shared" si="70"/>
        <v>0</v>
      </c>
      <c r="W481" s="197">
        <f t="shared" si="71"/>
        <v>0</v>
      </c>
      <c r="Z481" s="197"/>
      <c r="AA481" s="228"/>
      <c r="AB481" s="228"/>
      <c r="AD481" s="228"/>
      <c r="AE481" s="228"/>
      <c r="AF481" s="228"/>
      <c r="AG481" s="228"/>
      <c r="AH481" s="228"/>
      <c r="AI481" s="228"/>
      <c r="AJ481" s="228"/>
      <c r="AK481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</row>
    <row r="482" spans="1:64" s="198" customFormat="1" x14ac:dyDescent="0.25">
      <c r="A482" s="290" t="str">
        <f t="shared" si="74"/>
        <v>Hudson View Park</v>
      </c>
      <c r="B482" s="195">
        <f t="shared" si="72"/>
        <v>384</v>
      </c>
      <c r="C482" s="196" t="str">
        <f t="shared" si="73"/>
        <v>Occ</v>
      </c>
      <c r="D482" s="196" t="e" cm="1">
        <f t="array" ref="D482">INDEX($C$5:$C$61,MATCH(1,(K482=$D$5:$D$61)*(A482=$B$5:$B$61),0))</f>
        <v>#N/A</v>
      </c>
      <c r="E482" s="196" t="e" cm="1">
        <f t="array" ref="E482">INDEX($E$5:$E$61,MATCH(1,(D482=$C$5:$C$61)*(A482=$B$5:$B$61),0))</f>
        <v>#N/A</v>
      </c>
      <c r="F482" s="196" t="e" cm="1">
        <f t="array" ref="F482">INDEX($F$5:$F$61,MATCH(1,(D482=$C$5:$C$61)*(A482=$B$5:$B$61),0))</f>
        <v>#N/A</v>
      </c>
      <c r="G482" s="196" t="e" cm="1">
        <f t="array" ref="G482">INDEX($G$5:$G$61,MATCH(1,(D482=$C$5:$C$61)*(A482=$B$5:$B$61),0))</f>
        <v>#N/A</v>
      </c>
      <c r="H482" s="196" t="e" cm="1">
        <f t="array" ref="H482">INDEX($H$5:$H$61,MATCH(1,(D482=$C$5:$C$61)*(A482=$B$5:$B$61),0))</f>
        <v>#N/A</v>
      </c>
      <c r="I482" s="196" t="e" cm="1">
        <f t="array" ref="I482">INDEX($I$5:$I$61,MATCH(1,(D482=$C$5:$C$61)*(A482=$B$5:$B$61),0))</f>
        <v>#N/A</v>
      </c>
      <c r="J482" s="273"/>
      <c r="K482" s="273"/>
      <c r="L482" s="272"/>
      <c r="M482" s="273"/>
      <c r="N482" s="197"/>
      <c r="O482" s="200">
        <f t="shared" si="67"/>
        <v>0</v>
      </c>
      <c r="P482" s="274"/>
      <c r="Q482" s="274"/>
      <c r="R482" s="276"/>
      <c r="S482" s="274"/>
      <c r="T482" s="197">
        <f t="shared" si="68"/>
        <v>0</v>
      </c>
      <c r="U482" s="197">
        <f t="shared" si="69"/>
        <v>0</v>
      </c>
      <c r="V482" s="197">
        <f t="shared" si="70"/>
        <v>0</v>
      </c>
      <c r="W482" s="197">
        <f t="shared" si="71"/>
        <v>0</v>
      </c>
      <c r="Z482" s="197"/>
      <c r="AA482" s="228"/>
      <c r="AB482" s="228"/>
      <c r="AD482" s="228"/>
      <c r="AE482" s="228"/>
      <c r="AF482" s="228"/>
      <c r="AG482" s="228"/>
      <c r="AH482" s="228"/>
      <c r="AI482" s="228"/>
      <c r="AJ482" s="228"/>
      <c r="AK482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</row>
    <row r="483" spans="1:64" s="198" customFormat="1" x14ac:dyDescent="0.25">
      <c r="A483" s="290" t="str">
        <f t="shared" si="74"/>
        <v>Hudson View Park</v>
      </c>
      <c r="B483" s="195">
        <f t="shared" si="72"/>
        <v>385</v>
      </c>
      <c r="C483" s="196" t="str">
        <f t="shared" si="73"/>
        <v>Occ</v>
      </c>
      <c r="D483" s="196" t="e" cm="1">
        <f t="array" ref="D483">INDEX($C$5:$C$61,MATCH(1,(K483=$D$5:$D$61)*(A483=$B$5:$B$61),0))</f>
        <v>#N/A</v>
      </c>
      <c r="E483" s="196" t="e" cm="1">
        <f t="array" ref="E483">INDEX($E$5:$E$61,MATCH(1,(D483=$C$5:$C$61)*(A483=$B$5:$B$61),0))</f>
        <v>#N/A</v>
      </c>
      <c r="F483" s="196" t="e" cm="1">
        <f t="array" ref="F483">INDEX($F$5:$F$61,MATCH(1,(D483=$C$5:$C$61)*(A483=$B$5:$B$61),0))</f>
        <v>#N/A</v>
      </c>
      <c r="G483" s="196" t="e" cm="1">
        <f t="array" ref="G483">INDEX($G$5:$G$61,MATCH(1,(D483=$C$5:$C$61)*(A483=$B$5:$B$61),0))</f>
        <v>#N/A</v>
      </c>
      <c r="H483" s="196" t="e" cm="1">
        <f t="array" ref="H483">INDEX($H$5:$H$61,MATCH(1,(D483=$C$5:$C$61)*(A483=$B$5:$B$61),0))</f>
        <v>#N/A</v>
      </c>
      <c r="I483" s="196" t="e" cm="1">
        <f t="array" ref="I483">INDEX($I$5:$I$61,MATCH(1,(D483=$C$5:$C$61)*(A483=$B$5:$B$61),0))</f>
        <v>#N/A</v>
      </c>
      <c r="J483" s="273"/>
      <c r="K483" s="273"/>
      <c r="L483" s="272"/>
      <c r="M483" s="273"/>
      <c r="N483" s="197"/>
      <c r="O483" s="200">
        <f t="shared" si="67"/>
        <v>0</v>
      </c>
      <c r="P483" s="274"/>
      <c r="Q483" s="274"/>
      <c r="R483" s="276"/>
      <c r="S483" s="274"/>
      <c r="T483" s="197">
        <f t="shared" si="68"/>
        <v>0</v>
      </c>
      <c r="U483" s="197">
        <f t="shared" si="69"/>
        <v>0</v>
      </c>
      <c r="V483" s="197">
        <f t="shared" si="70"/>
        <v>0</v>
      </c>
      <c r="W483" s="197">
        <f t="shared" si="71"/>
        <v>0</v>
      </c>
      <c r="Z483" s="197"/>
      <c r="AA483" s="228"/>
      <c r="AB483" s="228"/>
      <c r="AD483" s="228"/>
      <c r="AE483" s="228"/>
      <c r="AF483" s="228"/>
      <c r="AG483" s="228"/>
      <c r="AH483" s="228"/>
      <c r="AI483" s="228"/>
      <c r="AJ483" s="228"/>
      <c r="AK483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</row>
    <row r="484" spans="1:64" s="198" customFormat="1" x14ac:dyDescent="0.25">
      <c r="A484" s="290" t="str">
        <f t="shared" si="74"/>
        <v>Hudson View Park</v>
      </c>
      <c r="B484" s="195">
        <f t="shared" si="72"/>
        <v>386</v>
      </c>
      <c r="C484" s="196" t="str">
        <f t="shared" si="73"/>
        <v>Occ</v>
      </c>
      <c r="D484" s="196" t="e" cm="1">
        <f t="array" ref="D484">INDEX($C$5:$C$61,MATCH(1,(K484=$D$5:$D$61)*(A484=$B$5:$B$61),0))</f>
        <v>#N/A</v>
      </c>
      <c r="E484" s="196" t="e" cm="1">
        <f t="array" ref="E484">INDEX($E$5:$E$61,MATCH(1,(D484=$C$5:$C$61)*(A484=$B$5:$B$61),0))</f>
        <v>#N/A</v>
      </c>
      <c r="F484" s="196" t="e" cm="1">
        <f t="array" ref="F484">INDEX($F$5:$F$61,MATCH(1,(D484=$C$5:$C$61)*(A484=$B$5:$B$61),0))</f>
        <v>#N/A</v>
      </c>
      <c r="G484" s="196" t="e" cm="1">
        <f t="array" ref="G484">INDEX($G$5:$G$61,MATCH(1,(D484=$C$5:$C$61)*(A484=$B$5:$B$61),0))</f>
        <v>#N/A</v>
      </c>
      <c r="H484" s="196" t="e" cm="1">
        <f t="array" ref="H484">INDEX($H$5:$H$61,MATCH(1,(D484=$C$5:$C$61)*(A484=$B$5:$B$61),0))</f>
        <v>#N/A</v>
      </c>
      <c r="I484" s="196" t="e" cm="1">
        <f t="array" ref="I484">INDEX($I$5:$I$61,MATCH(1,(D484=$C$5:$C$61)*(A484=$B$5:$B$61),0))</f>
        <v>#N/A</v>
      </c>
      <c r="J484" s="273"/>
      <c r="K484" s="273"/>
      <c r="L484" s="272"/>
      <c r="M484" s="273"/>
      <c r="N484" s="197"/>
      <c r="O484" s="200">
        <f t="shared" ref="O484:O547" si="75">SUM(AA484:AB484)</f>
        <v>0</v>
      </c>
      <c r="P484" s="274"/>
      <c r="Q484" s="274"/>
      <c r="R484" s="276"/>
      <c r="S484" s="274"/>
      <c r="T484" s="197">
        <f t="shared" ref="T484:T547" si="76">SUM(AD484:AJ484)</f>
        <v>0</v>
      </c>
      <c r="U484" s="197">
        <f t="shared" ref="U484:U547" si="77">SUM(AL484:AO484)</f>
        <v>0</v>
      </c>
      <c r="V484" s="197">
        <f t="shared" ref="V484:V547" si="78">SUM(AQ484:AR484)</f>
        <v>0</v>
      </c>
      <c r="W484" s="197">
        <f t="shared" ref="W484:W547" si="79">SUM(AT484:AV484)</f>
        <v>0</v>
      </c>
      <c r="Z484" s="197"/>
      <c r="AA484" s="228"/>
      <c r="AB484" s="228"/>
      <c r="AD484" s="228"/>
      <c r="AE484" s="228"/>
      <c r="AF484" s="228"/>
      <c r="AG484" s="228"/>
      <c r="AH484" s="228"/>
      <c r="AI484" s="228"/>
      <c r="AJ484" s="228"/>
      <c r="AK484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</row>
    <row r="485" spans="1:64" s="198" customFormat="1" x14ac:dyDescent="0.25">
      <c r="A485" s="290" t="str">
        <f t="shared" si="74"/>
        <v>Hudson View Park</v>
      </c>
      <c r="B485" s="195">
        <f t="shared" ref="B485:B548" si="80">B484+1</f>
        <v>387</v>
      </c>
      <c r="C485" s="196" t="str">
        <f t="shared" ref="C485:C548" si="81">IF(M485="Vacant","Vac",IF(M485="Model","Model",IF(M485="Admin","Admin",IF(M485="Down","Down","Occ"))))</f>
        <v>Occ</v>
      </c>
      <c r="D485" s="196" t="e" cm="1">
        <f t="array" ref="D485">INDEX($C$5:$C$61,MATCH(1,(K485=$D$5:$D$61)*(A485=$B$5:$B$61),0))</f>
        <v>#N/A</v>
      </c>
      <c r="E485" s="196" t="e" cm="1">
        <f t="array" ref="E485">INDEX($E$5:$E$61,MATCH(1,(D485=$C$5:$C$61)*(A485=$B$5:$B$61),0))</f>
        <v>#N/A</v>
      </c>
      <c r="F485" s="196" t="e" cm="1">
        <f t="array" ref="F485">INDEX($F$5:$F$61,MATCH(1,(D485=$C$5:$C$61)*(A485=$B$5:$B$61),0))</f>
        <v>#N/A</v>
      </c>
      <c r="G485" s="196" t="e" cm="1">
        <f t="array" ref="G485">INDEX($G$5:$G$61,MATCH(1,(D485=$C$5:$C$61)*(A485=$B$5:$B$61),0))</f>
        <v>#N/A</v>
      </c>
      <c r="H485" s="196" t="e" cm="1">
        <f t="array" ref="H485">INDEX($H$5:$H$61,MATCH(1,(D485=$C$5:$C$61)*(A485=$B$5:$B$61),0))</f>
        <v>#N/A</v>
      </c>
      <c r="I485" s="196" t="e" cm="1">
        <f t="array" ref="I485">INDEX($I$5:$I$61,MATCH(1,(D485=$C$5:$C$61)*(A485=$B$5:$B$61),0))</f>
        <v>#N/A</v>
      </c>
      <c r="J485" s="273"/>
      <c r="K485" s="273"/>
      <c r="L485" s="272"/>
      <c r="M485" s="273"/>
      <c r="N485" s="197"/>
      <c r="O485" s="200">
        <f t="shared" si="75"/>
        <v>0</v>
      </c>
      <c r="P485" s="274"/>
      <c r="Q485" s="274"/>
      <c r="R485" s="276"/>
      <c r="S485" s="274"/>
      <c r="T485" s="197">
        <f t="shared" si="76"/>
        <v>0</v>
      </c>
      <c r="U485" s="197">
        <f t="shared" si="77"/>
        <v>0</v>
      </c>
      <c r="V485" s="197">
        <f t="shared" si="78"/>
        <v>0</v>
      </c>
      <c r="W485" s="197">
        <f t="shared" si="79"/>
        <v>0</v>
      </c>
      <c r="Z485" s="197"/>
      <c r="AA485" s="228"/>
      <c r="AB485" s="228"/>
      <c r="AD485" s="228"/>
      <c r="AE485" s="228"/>
      <c r="AF485" s="228"/>
      <c r="AG485" s="228"/>
      <c r="AH485" s="228"/>
      <c r="AI485" s="228"/>
      <c r="AJ485" s="228"/>
      <c r="AK485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</row>
    <row r="486" spans="1:64" s="198" customFormat="1" x14ac:dyDescent="0.25">
      <c r="A486" s="290" t="str">
        <f t="shared" si="74"/>
        <v>Hudson View Park</v>
      </c>
      <c r="B486" s="195">
        <f t="shared" si="80"/>
        <v>388</v>
      </c>
      <c r="C486" s="196" t="str">
        <f t="shared" si="81"/>
        <v>Occ</v>
      </c>
      <c r="D486" s="196" t="e" cm="1">
        <f t="array" ref="D486">INDEX($C$5:$C$61,MATCH(1,(K486=$D$5:$D$61)*(A486=$B$5:$B$61),0))</f>
        <v>#N/A</v>
      </c>
      <c r="E486" s="196" t="e" cm="1">
        <f t="array" ref="E486">INDEX($E$5:$E$61,MATCH(1,(D486=$C$5:$C$61)*(A486=$B$5:$B$61),0))</f>
        <v>#N/A</v>
      </c>
      <c r="F486" s="196" t="e" cm="1">
        <f t="array" ref="F486">INDEX($F$5:$F$61,MATCH(1,(D486=$C$5:$C$61)*(A486=$B$5:$B$61),0))</f>
        <v>#N/A</v>
      </c>
      <c r="G486" s="196" t="e" cm="1">
        <f t="array" ref="G486">INDEX($G$5:$G$61,MATCH(1,(D486=$C$5:$C$61)*(A486=$B$5:$B$61),0))</f>
        <v>#N/A</v>
      </c>
      <c r="H486" s="196" t="e" cm="1">
        <f t="array" ref="H486">INDEX($H$5:$H$61,MATCH(1,(D486=$C$5:$C$61)*(A486=$B$5:$B$61),0))</f>
        <v>#N/A</v>
      </c>
      <c r="I486" s="196" t="e" cm="1">
        <f t="array" ref="I486">INDEX($I$5:$I$61,MATCH(1,(D486=$C$5:$C$61)*(A486=$B$5:$B$61),0))</f>
        <v>#N/A</v>
      </c>
      <c r="J486" s="273"/>
      <c r="K486" s="273"/>
      <c r="L486" s="272"/>
      <c r="M486" s="273"/>
      <c r="N486" s="197"/>
      <c r="O486" s="200">
        <f t="shared" si="75"/>
        <v>0</v>
      </c>
      <c r="P486" s="274"/>
      <c r="Q486" s="274"/>
      <c r="R486" s="276"/>
      <c r="S486" s="274"/>
      <c r="T486" s="197">
        <f t="shared" si="76"/>
        <v>0</v>
      </c>
      <c r="U486" s="197">
        <f t="shared" si="77"/>
        <v>0</v>
      </c>
      <c r="V486" s="197">
        <f t="shared" si="78"/>
        <v>0</v>
      </c>
      <c r="W486" s="197">
        <f t="shared" si="79"/>
        <v>0</v>
      </c>
      <c r="Z486" s="197"/>
      <c r="AA486" s="228"/>
      <c r="AB486" s="228"/>
      <c r="AD486" s="228"/>
      <c r="AE486" s="228"/>
      <c r="AF486" s="228"/>
      <c r="AG486" s="228"/>
      <c r="AH486" s="228"/>
      <c r="AI486" s="228"/>
      <c r="AJ486" s="228"/>
      <c r="AK486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</row>
    <row r="487" spans="1:64" s="198" customFormat="1" x14ac:dyDescent="0.25">
      <c r="A487" s="290" t="str">
        <f t="shared" si="74"/>
        <v>Hudson View Park</v>
      </c>
      <c r="B487" s="195">
        <f t="shared" si="80"/>
        <v>389</v>
      </c>
      <c r="C487" s="196" t="str">
        <f t="shared" si="81"/>
        <v>Occ</v>
      </c>
      <c r="D487" s="196" t="e" cm="1">
        <f t="array" ref="D487">INDEX($C$5:$C$61,MATCH(1,(K487=$D$5:$D$61)*(A487=$B$5:$B$61),0))</f>
        <v>#N/A</v>
      </c>
      <c r="E487" s="196" t="e" cm="1">
        <f t="array" ref="E487">INDEX($E$5:$E$61,MATCH(1,(D487=$C$5:$C$61)*(A487=$B$5:$B$61),0))</f>
        <v>#N/A</v>
      </c>
      <c r="F487" s="196" t="e" cm="1">
        <f t="array" ref="F487">INDEX($F$5:$F$61,MATCH(1,(D487=$C$5:$C$61)*(A487=$B$5:$B$61),0))</f>
        <v>#N/A</v>
      </c>
      <c r="G487" s="196" t="e" cm="1">
        <f t="array" ref="G487">INDEX($G$5:$G$61,MATCH(1,(D487=$C$5:$C$61)*(A487=$B$5:$B$61),0))</f>
        <v>#N/A</v>
      </c>
      <c r="H487" s="196" t="e" cm="1">
        <f t="array" ref="H487">INDEX($H$5:$H$61,MATCH(1,(D487=$C$5:$C$61)*(A487=$B$5:$B$61),0))</f>
        <v>#N/A</v>
      </c>
      <c r="I487" s="196" t="e" cm="1">
        <f t="array" ref="I487">INDEX($I$5:$I$61,MATCH(1,(D487=$C$5:$C$61)*(A487=$B$5:$B$61),0))</f>
        <v>#N/A</v>
      </c>
      <c r="J487" s="273"/>
      <c r="K487" s="273"/>
      <c r="L487" s="272"/>
      <c r="M487" s="273"/>
      <c r="N487" s="197"/>
      <c r="O487" s="200">
        <f t="shared" si="75"/>
        <v>0</v>
      </c>
      <c r="P487" s="274"/>
      <c r="Q487" s="274"/>
      <c r="R487" s="276"/>
      <c r="S487" s="274"/>
      <c r="T487" s="197">
        <f t="shared" si="76"/>
        <v>0</v>
      </c>
      <c r="U487" s="197">
        <f t="shared" si="77"/>
        <v>0</v>
      </c>
      <c r="V487" s="197">
        <f t="shared" si="78"/>
        <v>0</v>
      </c>
      <c r="W487" s="197">
        <f t="shared" si="79"/>
        <v>0</v>
      </c>
      <c r="Z487" s="197"/>
      <c r="AA487" s="228"/>
      <c r="AB487" s="228"/>
      <c r="AD487" s="228"/>
      <c r="AE487" s="228"/>
      <c r="AF487" s="228"/>
      <c r="AG487" s="228"/>
      <c r="AH487" s="228"/>
      <c r="AI487" s="228"/>
      <c r="AJ487" s="228"/>
      <c r="AK487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</row>
    <row r="488" spans="1:64" s="198" customFormat="1" x14ac:dyDescent="0.25">
      <c r="A488" s="290" t="str">
        <f t="shared" si="74"/>
        <v>Hudson View Park</v>
      </c>
      <c r="B488" s="195">
        <f t="shared" si="80"/>
        <v>390</v>
      </c>
      <c r="C488" s="196" t="str">
        <f t="shared" si="81"/>
        <v>Occ</v>
      </c>
      <c r="D488" s="196" t="e" cm="1">
        <f t="array" ref="D488">INDEX($C$5:$C$61,MATCH(1,(K488=$D$5:$D$61)*(A488=$B$5:$B$61),0))</f>
        <v>#N/A</v>
      </c>
      <c r="E488" s="196" t="e" cm="1">
        <f t="array" ref="E488">INDEX($E$5:$E$61,MATCH(1,(D488=$C$5:$C$61)*(A488=$B$5:$B$61),0))</f>
        <v>#N/A</v>
      </c>
      <c r="F488" s="196" t="e" cm="1">
        <f t="array" ref="F488">INDEX($F$5:$F$61,MATCH(1,(D488=$C$5:$C$61)*(A488=$B$5:$B$61),0))</f>
        <v>#N/A</v>
      </c>
      <c r="G488" s="196" t="e" cm="1">
        <f t="array" ref="G488">INDEX($G$5:$G$61,MATCH(1,(D488=$C$5:$C$61)*(A488=$B$5:$B$61),0))</f>
        <v>#N/A</v>
      </c>
      <c r="H488" s="196" t="e" cm="1">
        <f t="array" ref="H488">INDEX($H$5:$H$61,MATCH(1,(D488=$C$5:$C$61)*(A488=$B$5:$B$61),0))</f>
        <v>#N/A</v>
      </c>
      <c r="I488" s="196" t="e" cm="1">
        <f t="array" ref="I488">INDEX($I$5:$I$61,MATCH(1,(D488=$C$5:$C$61)*(A488=$B$5:$B$61),0))</f>
        <v>#N/A</v>
      </c>
      <c r="J488" s="273"/>
      <c r="K488" s="273"/>
      <c r="L488" s="272"/>
      <c r="M488" s="273"/>
      <c r="N488" s="197"/>
      <c r="O488" s="200">
        <f t="shared" si="75"/>
        <v>0</v>
      </c>
      <c r="P488" s="274"/>
      <c r="Q488" s="274"/>
      <c r="R488" s="276"/>
      <c r="S488" s="274"/>
      <c r="T488" s="197">
        <f t="shared" si="76"/>
        <v>0</v>
      </c>
      <c r="U488" s="197">
        <f t="shared" si="77"/>
        <v>0</v>
      </c>
      <c r="V488" s="197">
        <f t="shared" si="78"/>
        <v>0</v>
      </c>
      <c r="W488" s="197">
        <f t="shared" si="79"/>
        <v>0</v>
      </c>
      <c r="Z488" s="197"/>
      <c r="AA488" s="228"/>
      <c r="AB488" s="228"/>
      <c r="AD488" s="228"/>
      <c r="AE488" s="228"/>
      <c r="AF488" s="228"/>
      <c r="AG488" s="228"/>
      <c r="AH488" s="228"/>
      <c r="AI488" s="228"/>
      <c r="AJ488" s="228"/>
      <c r="AK48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</row>
    <row r="489" spans="1:64" s="198" customFormat="1" x14ac:dyDescent="0.25">
      <c r="A489" s="290" t="str">
        <f t="shared" si="74"/>
        <v>Hudson View Park</v>
      </c>
      <c r="B489" s="195">
        <f t="shared" si="80"/>
        <v>391</v>
      </c>
      <c r="C489" s="196" t="str">
        <f t="shared" si="81"/>
        <v>Occ</v>
      </c>
      <c r="D489" s="196" t="e" cm="1">
        <f t="array" ref="D489">INDEX($C$5:$C$61,MATCH(1,(K489=$D$5:$D$61)*(A489=$B$5:$B$61),0))</f>
        <v>#N/A</v>
      </c>
      <c r="E489" s="196" t="e" cm="1">
        <f t="array" ref="E489">INDEX($E$5:$E$61,MATCH(1,(D489=$C$5:$C$61)*(A489=$B$5:$B$61),0))</f>
        <v>#N/A</v>
      </c>
      <c r="F489" s="196" t="e" cm="1">
        <f t="array" ref="F489">INDEX($F$5:$F$61,MATCH(1,(D489=$C$5:$C$61)*(A489=$B$5:$B$61),0))</f>
        <v>#N/A</v>
      </c>
      <c r="G489" s="196" t="e" cm="1">
        <f t="array" ref="G489">INDEX($G$5:$G$61,MATCH(1,(D489=$C$5:$C$61)*(A489=$B$5:$B$61),0))</f>
        <v>#N/A</v>
      </c>
      <c r="H489" s="196" t="e" cm="1">
        <f t="array" ref="H489">INDEX($H$5:$H$61,MATCH(1,(D489=$C$5:$C$61)*(A489=$B$5:$B$61),0))</f>
        <v>#N/A</v>
      </c>
      <c r="I489" s="196" t="e" cm="1">
        <f t="array" ref="I489">INDEX($I$5:$I$61,MATCH(1,(D489=$C$5:$C$61)*(A489=$B$5:$B$61),0))</f>
        <v>#N/A</v>
      </c>
      <c r="J489" s="273"/>
      <c r="K489" s="273"/>
      <c r="L489" s="272"/>
      <c r="M489" s="273"/>
      <c r="N489" s="197"/>
      <c r="O489" s="200">
        <f t="shared" si="75"/>
        <v>0</v>
      </c>
      <c r="P489" s="274"/>
      <c r="Q489" s="274"/>
      <c r="R489" s="276"/>
      <c r="S489" s="274"/>
      <c r="T489" s="197">
        <f t="shared" si="76"/>
        <v>0</v>
      </c>
      <c r="U489" s="197">
        <f t="shared" si="77"/>
        <v>0</v>
      </c>
      <c r="V489" s="197">
        <f t="shared" si="78"/>
        <v>0</v>
      </c>
      <c r="W489" s="197">
        <f t="shared" si="79"/>
        <v>0</v>
      </c>
      <c r="Z489" s="197"/>
      <c r="AA489" s="228"/>
      <c r="AB489" s="228"/>
      <c r="AD489" s="228"/>
      <c r="AE489" s="228"/>
      <c r="AF489" s="228"/>
      <c r="AG489" s="228"/>
      <c r="AH489" s="228"/>
      <c r="AI489" s="228"/>
      <c r="AJ489" s="228"/>
      <c r="AK489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</row>
    <row r="490" spans="1:64" s="198" customFormat="1" x14ac:dyDescent="0.25">
      <c r="A490" s="290" t="str">
        <f t="shared" si="74"/>
        <v>Hudson View Park</v>
      </c>
      <c r="B490" s="195">
        <f t="shared" si="80"/>
        <v>392</v>
      </c>
      <c r="C490" s="196" t="str">
        <f t="shared" si="81"/>
        <v>Occ</v>
      </c>
      <c r="D490" s="196" t="e" cm="1">
        <f t="array" ref="D490">INDEX($C$5:$C$61,MATCH(1,(K490=$D$5:$D$61)*(A490=$B$5:$B$61),0))</f>
        <v>#N/A</v>
      </c>
      <c r="E490" s="196" t="e" cm="1">
        <f t="array" ref="E490">INDEX($E$5:$E$61,MATCH(1,(D490=$C$5:$C$61)*(A490=$B$5:$B$61),0))</f>
        <v>#N/A</v>
      </c>
      <c r="F490" s="196" t="e" cm="1">
        <f t="array" ref="F490">INDEX($F$5:$F$61,MATCH(1,(D490=$C$5:$C$61)*(A490=$B$5:$B$61),0))</f>
        <v>#N/A</v>
      </c>
      <c r="G490" s="196" t="e" cm="1">
        <f t="array" ref="G490">INDEX($G$5:$G$61,MATCH(1,(D490=$C$5:$C$61)*(A490=$B$5:$B$61),0))</f>
        <v>#N/A</v>
      </c>
      <c r="H490" s="196" t="e" cm="1">
        <f t="array" ref="H490">INDEX($H$5:$H$61,MATCH(1,(D490=$C$5:$C$61)*(A490=$B$5:$B$61),0))</f>
        <v>#N/A</v>
      </c>
      <c r="I490" s="196" t="e" cm="1">
        <f t="array" ref="I490">INDEX($I$5:$I$61,MATCH(1,(D490=$C$5:$C$61)*(A490=$B$5:$B$61),0))</f>
        <v>#N/A</v>
      </c>
      <c r="J490" s="273"/>
      <c r="K490" s="273"/>
      <c r="L490" s="272"/>
      <c r="M490" s="273"/>
      <c r="N490" s="197"/>
      <c r="O490" s="200">
        <f t="shared" si="75"/>
        <v>0</v>
      </c>
      <c r="P490" s="274"/>
      <c r="Q490" s="274"/>
      <c r="R490" s="276"/>
      <c r="S490" s="274"/>
      <c r="T490" s="197">
        <f t="shared" si="76"/>
        <v>0</v>
      </c>
      <c r="U490" s="197">
        <f t="shared" si="77"/>
        <v>0</v>
      </c>
      <c r="V490" s="197">
        <f t="shared" si="78"/>
        <v>0</v>
      </c>
      <c r="W490" s="197">
        <f t="shared" si="79"/>
        <v>0</v>
      </c>
      <c r="Z490" s="197"/>
      <c r="AA490" s="228"/>
      <c r="AB490" s="228"/>
      <c r="AD490" s="228"/>
      <c r="AE490" s="228"/>
      <c r="AF490" s="228"/>
      <c r="AG490" s="228"/>
      <c r="AH490" s="228"/>
      <c r="AI490" s="228"/>
      <c r="AJ490" s="228"/>
      <c r="AK490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</row>
    <row r="491" spans="1:64" s="198" customFormat="1" x14ac:dyDescent="0.25">
      <c r="A491" s="290" t="str">
        <f t="shared" si="74"/>
        <v>Hudson View Park</v>
      </c>
      <c r="B491" s="195">
        <f t="shared" si="80"/>
        <v>393</v>
      </c>
      <c r="C491" s="196" t="str">
        <f t="shared" si="81"/>
        <v>Occ</v>
      </c>
      <c r="D491" s="196" t="e" cm="1">
        <f t="array" ref="D491">INDEX($C$5:$C$61,MATCH(1,(K491=$D$5:$D$61)*(A491=$B$5:$B$61),0))</f>
        <v>#N/A</v>
      </c>
      <c r="E491" s="196" t="e" cm="1">
        <f t="array" ref="E491">INDEX($E$5:$E$61,MATCH(1,(D491=$C$5:$C$61)*(A491=$B$5:$B$61),0))</f>
        <v>#N/A</v>
      </c>
      <c r="F491" s="196" t="e" cm="1">
        <f t="array" ref="F491">INDEX($F$5:$F$61,MATCH(1,(D491=$C$5:$C$61)*(A491=$B$5:$B$61),0))</f>
        <v>#N/A</v>
      </c>
      <c r="G491" s="196" t="e" cm="1">
        <f t="array" ref="G491">INDEX($G$5:$G$61,MATCH(1,(D491=$C$5:$C$61)*(A491=$B$5:$B$61),0))</f>
        <v>#N/A</v>
      </c>
      <c r="H491" s="196" t="e" cm="1">
        <f t="array" ref="H491">INDEX($H$5:$H$61,MATCH(1,(D491=$C$5:$C$61)*(A491=$B$5:$B$61),0))</f>
        <v>#N/A</v>
      </c>
      <c r="I491" s="196" t="e" cm="1">
        <f t="array" ref="I491">INDEX($I$5:$I$61,MATCH(1,(D491=$C$5:$C$61)*(A491=$B$5:$B$61),0))</f>
        <v>#N/A</v>
      </c>
      <c r="J491" s="273"/>
      <c r="K491" s="273"/>
      <c r="L491" s="272"/>
      <c r="M491" s="273"/>
      <c r="N491" s="197"/>
      <c r="O491" s="200">
        <f t="shared" si="75"/>
        <v>0</v>
      </c>
      <c r="P491" s="274"/>
      <c r="Q491" s="274"/>
      <c r="R491" s="276"/>
      <c r="S491" s="274"/>
      <c r="T491" s="197">
        <f t="shared" si="76"/>
        <v>0</v>
      </c>
      <c r="U491" s="197">
        <f t="shared" si="77"/>
        <v>0</v>
      </c>
      <c r="V491" s="197">
        <f t="shared" si="78"/>
        <v>0</v>
      </c>
      <c r="W491" s="197">
        <f t="shared" si="79"/>
        <v>0</v>
      </c>
      <c r="Z491" s="197"/>
      <c r="AA491" s="228"/>
      <c r="AB491" s="228"/>
      <c r="AD491" s="228"/>
      <c r="AE491" s="228"/>
      <c r="AF491" s="228"/>
      <c r="AG491" s="228"/>
      <c r="AH491" s="228"/>
      <c r="AI491" s="228"/>
      <c r="AJ491" s="228"/>
      <c r="AK491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</row>
    <row r="492" spans="1:64" s="198" customFormat="1" x14ac:dyDescent="0.25">
      <c r="A492" s="290" t="str">
        <f t="shared" si="74"/>
        <v>Hudson View Park</v>
      </c>
      <c r="B492" s="195">
        <f t="shared" si="80"/>
        <v>394</v>
      </c>
      <c r="C492" s="196" t="str">
        <f t="shared" si="81"/>
        <v>Occ</v>
      </c>
      <c r="D492" s="196" t="e" cm="1">
        <f t="array" ref="D492">INDEX($C$5:$C$61,MATCH(1,(K492=$D$5:$D$61)*(A492=$B$5:$B$61),0))</f>
        <v>#N/A</v>
      </c>
      <c r="E492" s="196" t="e" cm="1">
        <f t="array" ref="E492">INDEX($E$5:$E$61,MATCH(1,(D492=$C$5:$C$61)*(A492=$B$5:$B$61),0))</f>
        <v>#N/A</v>
      </c>
      <c r="F492" s="196" t="e" cm="1">
        <f t="array" ref="F492">INDEX($F$5:$F$61,MATCH(1,(D492=$C$5:$C$61)*(A492=$B$5:$B$61),0))</f>
        <v>#N/A</v>
      </c>
      <c r="G492" s="196" t="e" cm="1">
        <f t="array" ref="G492">INDEX($G$5:$G$61,MATCH(1,(D492=$C$5:$C$61)*(A492=$B$5:$B$61),0))</f>
        <v>#N/A</v>
      </c>
      <c r="H492" s="196" t="e" cm="1">
        <f t="array" ref="H492">INDEX($H$5:$H$61,MATCH(1,(D492=$C$5:$C$61)*(A492=$B$5:$B$61),0))</f>
        <v>#N/A</v>
      </c>
      <c r="I492" s="196" t="e" cm="1">
        <f t="array" ref="I492">INDEX($I$5:$I$61,MATCH(1,(D492=$C$5:$C$61)*(A492=$B$5:$B$61),0))</f>
        <v>#N/A</v>
      </c>
      <c r="J492" s="273"/>
      <c r="K492" s="273"/>
      <c r="L492" s="272"/>
      <c r="M492" s="273"/>
      <c r="N492" s="197"/>
      <c r="O492" s="200">
        <f t="shared" si="75"/>
        <v>0</v>
      </c>
      <c r="P492" s="274"/>
      <c r="Q492" s="274"/>
      <c r="R492" s="276"/>
      <c r="S492" s="274"/>
      <c r="T492" s="197">
        <f t="shared" si="76"/>
        <v>0</v>
      </c>
      <c r="U492" s="197">
        <f t="shared" si="77"/>
        <v>0</v>
      </c>
      <c r="V492" s="197">
        <f t="shared" si="78"/>
        <v>0</v>
      </c>
      <c r="W492" s="197">
        <f t="shared" si="79"/>
        <v>0</v>
      </c>
      <c r="Z492" s="197"/>
      <c r="AA492" s="228"/>
      <c r="AB492" s="228"/>
      <c r="AD492" s="228"/>
      <c r="AE492" s="228"/>
      <c r="AF492" s="228"/>
      <c r="AG492" s="228"/>
      <c r="AH492" s="228"/>
      <c r="AI492" s="228"/>
      <c r="AJ492" s="228"/>
      <c r="AK492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</row>
    <row r="493" spans="1:64" s="198" customFormat="1" x14ac:dyDescent="0.25">
      <c r="A493" s="290" t="str">
        <f t="shared" si="74"/>
        <v>Hudson View Park</v>
      </c>
      <c r="B493" s="195">
        <f t="shared" si="80"/>
        <v>395</v>
      </c>
      <c r="C493" s="196" t="str">
        <f t="shared" si="81"/>
        <v>Occ</v>
      </c>
      <c r="D493" s="196" t="e" cm="1">
        <f t="array" ref="D493">INDEX($C$5:$C$61,MATCH(1,(K493=$D$5:$D$61)*(A493=$B$5:$B$61),0))</f>
        <v>#N/A</v>
      </c>
      <c r="E493" s="196" t="e" cm="1">
        <f t="array" ref="E493">INDEX($E$5:$E$61,MATCH(1,(D493=$C$5:$C$61)*(A493=$B$5:$B$61),0))</f>
        <v>#N/A</v>
      </c>
      <c r="F493" s="196" t="e" cm="1">
        <f t="array" ref="F493">INDEX($F$5:$F$61,MATCH(1,(D493=$C$5:$C$61)*(A493=$B$5:$B$61),0))</f>
        <v>#N/A</v>
      </c>
      <c r="G493" s="196" t="e" cm="1">
        <f t="array" ref="G493">INDEX($G$5:$G$61,MATCH(1,(D493=$C$5:$C$61)*(A493=$B$5:$B$61),0))</f>
        <v>#N/A</v>
      </c>
      <c r="H493" s="196" t="e" cm="1">
        <f t="array" ref="H493">INDEX($H$5:$H$61,MATCH(1,(D493=$C$5:$C$61)*(A493=$B$5:$B$61),0))</f>
        <v>#N/A</v>
      </c>
      <c r="I493" s="196" t="e" cm="1">
        <f t="array" ref="I493">INDEX($I$5:$I$61,MATCH(1,(D493=$C$5:$C$61)*(A493=$B$5:$B$61),0))</f>
        <v>#N/A</v>
      </c>
      <c r="J493" s="273"/>
      <c r="K493" s="273"/>
      <c r="L493" s="272"/>
      <c r="M493" s="273"/>
      <c r="N493" s="197"/>
      <c r="O493" s="200">
        <f t="shared" si="75"/>
        <v>0</v>
      </c>
      <c r="P493" s="274"/>
      <c r="Q493" s="274"/>
      <c r="R493" s="276"/>
      <c r="S493" s="274"/>
      <c r="T493" s="197">
        <f t="shared" si="76"/>
        <v>0</v>
      </c>
      <c r="U493" s="197">
        <f t="shared" si="77"/>
        <v>0</v>
      </c>
      <c r="V493" s="197">
        <f t="shared" si="78"/>
        <v>0</v>
      </c>
      <c r="W493" s="197">
        <f t="shared" si="79"/>
        <v>0</v>
      </c>
      <c r="Z493" s="197"/>
      <c r="AA493" s="228"/>
      <c r="AB493" s="228"/>
      <c r="AD493" s="228"/>
      <c r="AE493" s="228"/>
      <c r="AF493" s="228"/>
      <c r="AG493" s="228"/>
      <c r="AH493" s="228"/>
      <c r="AI493" s="228"/>
      <c r="AJ493" s="228"/>
      <c r="AK493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</row>
    <row r="494" spans="1:64" s="198" customFormat="1" x14ac:dyDescent="0.25">
      <c r="A494" s="290" t="str">
        <f t="shared" si="74"/>
        <v>Hudson View Park</v>
      </c>
      <c r="B494" s="195">
        <f t="shared" si="80"/>
        <v>396</v>
      </c>
      <c r="C494" s="196" t="str">
        <f t="shared" si="81"/>
        <v>Occ</v>
      </c>
      <c r="D494" s="196" t="e" cm="1">
        <f t="array" ref="D494">INDEX($C$5:$C$61,MATCH(1,(K494=$D$5:$D$61)*(A494=$B$5:$B$61),0))</f>
        <v>#N/A</v>
      </c>
      <c r="E494" s="196" t="e" cm="1">
        <f t="array" ref="E494">INDEX($E$5:$E$61,MATCH(1,(D494=$C$5:$C$61)*(A494=$B$5:$B$61),0))</f>
        <v>#N/A</v>
      </c>
      <c r="F494" s="196" t="e" cm="1">
        <f t="array" ref="F494">INDEX($F$5:$F$61,MATCH(1,(D494=$C$5:$C$61)*(A494=$B$5:$B$61),0))</f>
        <v>#N/A</v>
      </c>
      <c r="G494" s="196" t="e" cm="1">
        <f t="array" ref="G494">INDEX($G$5:$G$61,MATCH(1,(D494=$C$5:$C$61)*(A494=$B$5:$B$61),0))</f>
        <v>#N/A</v>
      </c>
      <c r="H494" s="196" t="e" cm="1">
        <f t="array" ref="H494">INDEX($H$5:$H$61,MATCH(1,(D494=$C$5:$C$61)*(A494=$B$5:$B$61),0))</f>
        <v>#N/A</v>
      </c>
      <c r="I494" s="196" t="e" cm="1">
        <f t="array" ref="I494">INDEX($I$5:$I$61,MATCH(1,(D494=$C$5:$C$61)*(A494=$B$5:$B$61),0))</f>
        <v>#N/A</v>
      </c>
      <c r="J494" s="273"/>
      <c r="K494" s="273"/>
      <c r="L494" s="272"/>
      <c r="M494" s="273"/>
      <c r="N494" s="197"/>
      <c r="O494" s="200">
        <f t="shared" si="75"/>
        <v>0</v>
      </c>
      <c r="P494" s="274"/>
      <c r="Q494" s="274"/>
      <c r="R494" s="276"/>
      <c r="S494" s="274"/>
      <c r="T494" s="197">
        <f t="shared" si="76"/>
        <v>0</v>
      </c>
      <c r="U494" s="197">
        <f t="shared" si="77"/>
        <v>0</v>
      </c>
      <c r="V494" s="197">
        <f t="shared" si="78"/>
        <v>0</v>
      </c>
      <c r="W494" s="197">
        <f t="shared" si="79"/>
        <v>0</v>
      </c>
      <c r="Z494" s="197"/>
      <c r="AA494" s="228"/>
      <c r="AB494" s="228"/>
      <c r="AD494" s="228"/>
      <c r="AE494" s="228"/>
      <c r="AF494" s="228"/>
      <c r="AG494" s="228"/>
      <c r="AH494" s="228"/>
      <c r="AI494" s="228"/>
      <c r="AJ494" s="228"/>
      <c r="AK494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</row>
    <row r="495" spans="1:64" s="198" customFormat="1" x14ac:dyDescent="0.25">
      <c r="A495" s="290" t="str">
        <f t="shared" si="74"/>
        <v>Hudson View Park</v>
      </c>
      <c r="B495" s="195">
        <f t="shared" si="80"/>
        <v>397</v>
      </c>
      <c r="C495" s="196" t="str">
        <f t="shared" si="81"/>
        <v>Occ</v>
      </c>
      <c r="D495" s="196" t="e" cm="1">
        <f t="array" ref="D495">INDEX($C$5:$C$61,MATCH(1,(K495=$D$5:$D$61)*(A495=$B$5:$B$61),0))</f>
        <v>#N/A</v>
      </c>
      <c r="E495" s="196" t="e" cm="1">
        <f t="array" ref="E495">INDEX($E$5:$E$61,MATCH(1,(D495=$C$5:$C$61)*(A495=$B$5:$B$61),0))</f>
        <v>#N/A</v>
      </c>
      <c r="F495" s="196" t="e" cm="1">
        <f t="array" ref="F495">INDEX($F$5:$F$61,MATCH(1,(D495=$C$5:$C$61)*(A495=$B$5:$B$61),0))</f>
        <v>#N/A</v>
      </c>
      <c r="G495" s="196" t="e" cm="1">
        <f t="array" ref="G495">INDEX($G$5:$G$61,MATCH(1,(D495=$C$5:$C$61)*(A495=$B$5:$B$61),0))</f>
        <v>#N/A</v>
      </c>
      <c r="H495" s="196" t="e" cm="1">
        <f t="array" ref="H495">INDEX($H$5:$H$61,MATCH(1,(D495=$C$5:$C$61)*(A495=$B$5:$B$61),0))</f>
        <v>#N/A</v>
      </c>
      <c r="I495" s="196" t="e" cm="1">
        <f t="array" ref="I495">INDEX($I$5:$I$61,MATCH(1,(D495=$C$5:$C$61)*(A495=$B$5:$B$61),0))</f>
        <v>#N/A</v>
      </c>
      <c r="J495" s="273"/>
      <c r="K495" s="273"/>
      <c r="L495" s="272"/>
      <c r="M495" s="273"/>
      <c r="N495" s="197"/>
      <c r="O495" s="200">
        <f t="shared" si="75"/>
        <v>0</v>
      </c>
      <c r="P495" s="274"/>
      <c r="Q495" s="274"/>
      <c r="R495" s="276"/>
      <c r="S495" s="274"/>
      <c r="T495" s="197">
        <f t="shared" si="76"/>
        <v>0</v>
      </c>
      <c r="U495" s="197">
        <f t="shared" si="77"/>
        <v>0</v>
      </c>
      <c r="V495" s="197">
        <f t="shared" si="78"/>
        <v>0</v>
      </c>
      <c r="W495" s="197">
        <f t="shared" si="79"/>
        <v>0</v>
      </c>
      <c r="Z495" s="197"/>
      <c r="AA495" s="228"/>
      <c r="AB495" s="228"/>
      <c r="AD495" s="228"/>
      <c r="AE495" s="228"/>
      <c r="AF495" s="228"/>
      <c r="AG495" s="228"/>
      <c r="AH495" s="228"/>
      <c r="AI495" s="228"/>
      <c r="AJ495" s="228"/>
      <c r="AK495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</row>
    <row r="496" spans="1:64" s="198" customFormat="1" x14ac:dyDescent="0.25">
      <c r="A496" s="290" t="str">
        <f t="shared" si="74"/>
        <v>Hudson View Park</v>
      </c>
      <c r="B496" s="195">
        <f t="shared" si="80"/>
        <v>398</v>
      </c>
      <c r="C496" s="196" t="str">
        <f t="shared" si="81"/>
        <v>Occ</v>
      </c>
      <c r="D496" s="196" t="e" cm="1">
        <f t="array" ref="D496">INDEX($C$5:$C$61,MATCH(1,(K496=$D$5:$D$61)*(A496=$B$5:$B$61),0))</f>
        <v>#N/A</v>
      </c>
      <c r="E496" s="196" t="e" cm="1">
        <f t="array" ref="E496">INDEX($E$5:$E$61,MATCH(1,(D496=$C$5:$C$61)*(A496=$B$5:$B$61),0))</f>
        <v>#N/A</v>
      </c>
      <c r="F496" s="196" t="e" cm="1">
        <f t="array" ref="F496">INDEX($F$5:$F$61,MATCH(1,(D496=$C$5:$C$61)*(A496=$B$5:$B$61),0))</f>
        <v>#N/A</v>
      </c>
      <c r="G496" s="196" t="e" cm="1">
        <f t="array" ref="G496">INDEX($G$5:$G$61,MATCH(1,(D496=$C$5:$C$61)*(A496=$B$5:$B$61),0))</f>
        <v>#N/A</v>
      </c>
      <c r="H496" s="196" t="e" cm="1">
        <f t="array" ref="H496">INDEX($H$5:$H$61,MATCH(1,(D496=$C$5:$C$61)*(A496=$B$5:$B$61),0))</f>
        <v>#N/A</v>
      </c>
      <c r="I496" s="196" t="e" cm="1">
        <f t="array" ref="I496">INDEX($I$5:$I$61,MATCH(1,(D496=$C$5:$C$61)*(A496=$B$5:$B$61),0))</f>
        <v>#N/A</v>
      </c>
      <c r="J496" s="273"/>
      <c r="K496" s="273"/>
      <c r="L496" s="272"/>
      <c r="M496" s="273"/>
      <c r="N496" s="197"/>
      <c r="O496" s="200">
        <f t="shared" si="75"/>
        <v>0</v>
      </c>
      <c r="P496" s="274"/>
      <c r="Q496" s="274"/>
      <c r="R496" s="276"/>
      <c r="S496" s="274"/>
      <c r="T496" s="197">
        <f t="shared" si="76"/>
        <v>0</v>
      </c>
      <c r="U496" s="197">
        <f t="shared" si="77"/>
        <v>0</v>
      </c>
      <c r="V496" s="197">
        <f t="shared" si="78"/>
        <v>0</v>
      </c>
      <c r="W496" s="197">
        <f t="shared" si="79"/>
        <v>0</v>
      </c>
      <c r="Z496" s="197"/>
      <c r="AA496" s="228"/>
      <c r="AB496" s="228"/>
      <c r="AD496" s="228"/>
      <c r="AE496" s="228"/>
      <c r="AF496" s="228"/>
      <c r="AG496" s="228"/>
      <c r="AH496" s="228"/>
      <c r="AI496" s="228"/>
      <c r="AJ496" s="228"/>
      <c r="AK496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</row>
    <row r="497" spans="1:64" s="198" customFormat="1" x14ac:dyDescent="0.25">
      <c r="A497" s="290" t="str">
        <f t="shared" si="74"/>
        <v>Hudson View Park</v>
      </c>
      <c r="B497" s="195">
        <f t="shared" si="80"/>
        <v>399</v>
      </c>
      <c r="C497" s="196" t="str">
        <f t="shared" si="81"/>
        <v>Occ</v>
      </c>
      <c r="D497" s="196" t="e" cm="1">
        <f t="array" ref="D497">INDEX($C$5:$C$61,MATCH(1,(K497=$D$5:$D$61)*(A497=$B$5:$B$61),0))</f>
        <v>#N/A</v>
      </c>
      <c r="E497" s="196" t="e" cm="1">
        <f t="array" ref="E497">INDEX($E$5:$E$61,MATCH(1,(D497=$C$5:$C$61)*(A497=$B$5:$B$61),0))</f>
        <v>#N/A</v>
      </c>
      <c r="F497" s="196" t="e" cm="1">
        <f t="array" ref="F497">INDEX($F$5:$F$61,MATCH(1,(D497=$C$5:$C$61)*(A497=$B$5:$B$61),0))</f>
        <v>#N/A</v>
      </c>
      <c r="G497" s="196" t="e" cm="1">
        <f t="array" ref="G497">INDEX($G$5:$G$61,MATCH(1,(D497=$C$5:$C$61)*(A497=$B$5:$B$61),0))</f>
        <v>#N/A</v>
      </c>
      <c r="H497" s="196" t="e" cm="1">
        <f t="array" ref="H497">INDEX($H$5:$H$61,MATCH(1,(D497=$C$5:$C$61)*(A497=$B$5:$B$61),0))</f>
        <v>#N/A</v>
      </c>
      <c r="I497" s="196" t="e" cm="1">
        <f t="array" ref="I497">INDEX($I$5:$I$61,MATCH(1,(D497=$C$5:$C$61)*(A497=$B$5:$B$61),0))</f>
        <v>#N/A</v>
      </c>
      <c r="J497" s="273"/>
      <c r="K497" s="273"/>
      <c r="L497" s="272"/>
      <c r="M497" s="273"/>
      <c r="N497" s="197"/>
      <c r="O497" s="200">
        <f t="shared" si="75"/>
        <v>0</v>
      </c>
      <c r="P497" s="274"/>
      <c r="Q497" s="274"/>
      <c r="R497" s="276"/>
      <c r="S497" s="274"/>
      <c r="T497" s="197">
        <f t="shared" si="76"/>
        <v>0</v>
      </c>
      <c r="U497" s="197">
        <f t="shared" si="77"/>
        <v>0</v>
      </c>
      <c r="V497" s="197">
        <f t="shared" si="78"/>
        <v>0</v>
      </c>
      <c r="W497" s="197">
        <f t="shared" si="79"/>
        <v>0</v>
      </c>
      <c r="Z497" s="197"/>
      <c r="AA497" s="228"/>
      <c r="AB497" s="228"/>
      <c r="AD497" s="228"/>
      <c r="AE497" s="228"/>
      <c r="AF497" s="228"/>
      <c r="AG497" s="228"/>
      <c r="AH497" s="228"/>
      <c r="AI497" s="228"/>
      <c r="AJ497" s="228"/>
      <c r="AK497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</row>
    <row r="498" spans="1:64" s="198" customFormat="1" x14ac:dyDescent="0.25">
      <c r="A498" s="290" t="str">
        <f t="shared" si="74"/>
        <v>Hudson View Park</v>
      </c>
      <c r="B498" s="195">
        <f t="shared" si="80"/>
        <v>400</v>
      </c>
      <c r="C498" s="196" t="str">
        <f t="shared" si="81"/>
        <v>Occ</v>
      </c>
      <c r="D498" s="196" t="e" cm="1">
        <f t="array" ref="D498">INDEX($C$5:$C$61,MATCH(1,(K498=$D$5:$D$61)*(A498=$B$5:$B$61),0))</f>
        <v>#N/A</v>
      </c>
      <c r="E498" s="196" t="e" cm="1">
        <f t="array" ref="E498">INDEX($E$5:$E$61,MATCH(1,(D498=$C$5:$C$61)*(A498=$B$5:$B$61),0))</f>
        <v>#N/A</v>
      </c>
      <c r="F498" s="196" t="e" cm="1">
        <f t="array" ref="F498">INDEX($F$5:$F$61,MATCH(1,(D498=$C$5:$C$61)*(A498=$B$5:$B$61),0))</f>
        <v>#N/A</v>
      </c>
      <c r="G498" s="196" t="e" cm="1">
        <f t="array" ref="G498">INDEX($G$5:$G$61,MATCH(1,(D498=$C$5:$C$61)*(A498=$B$5:$B$61),0))</f>
        <v>#N/A</v>
      </c>
      <c r="H498" s="196" t="e" cm="1">
        <f t="array" ref="H498">INDEX($H$5:$H$61,MATCH(1,(D498=$C$5:$C$61)*(A498=$B$5:$B$61),0))</f>
        <v>#N/A</v>
      </c>
      <c r="I498" s="196" t="e" cm="1">
        <f t="array" ref="I498">INDEX($I$5:$I$61,MATCH(1,(D498=$C$5:$C$61)*(A498=$B$5:$B$61),0))</f>
        <v>#N/A</v>
      </c>
      <c r="J498" s="273"/>
      <c r="K498" s="273"/>
      <c r="L498" s="272"/>
      <c r="M498" s="273"/>
      <c r="N498" s="197"/>
      <c r="O498" s="200">
        <f t="shared" si="75"/>
        <v>0</v>
      </c>
      <c r="P498" s="274"/>
      <c r="Q498" s="274"/>
      <c r="R498" s="276"/>
      <c r="S498" s="274"/>
      <c r="T498" s="197">
        <f t="shared" si="76"/>
        <v>0</v>
      </c>
      <c r="U498" s="197">
        <f t="shared" si="77"/>
        <v>0</v>
      </c>
      <c r="V498" s="197">
        <f t="shared" si="78"/>
        <v>0</v>
      </c>
      <c r="W498" s="197">
        <f t="shared" si="79"/>
        <v>0</v>
      </c>
      <c r="Z498" s="197"/>
      <c r="AA498" s="228"/>
      <c r="AB498" s="228"/>
      <c r="AD498" s="228"/>
      <c r="AE498" s="228"/>
      <c r="AF498" s="228"/>
      <c r="AG498" s="228"/>
      <c r="AH498" s="228"/>
      <c r="AI498" s="228"/>
      <c r="AJ498" s="228"/>
      <c r="AK49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</row>
    <row r="499" spans="1:64" s="198" customFormat="1" x14ac:dyDescent="0.25">
      <c r="A499" s="290" t="str">
        <f t="shared" si="74"/>
        <v>Hudson View Park</v>
      </c>
      <c r="B499" s="195">
        <f t="shared" si="80"/>
        <v>401</v>
      </c>
      <c r="C499" s="196" t="str">
        <f t="shared" si="81"/>
        <v>Occ</v>
      </c>
      <c r="D499" s="196" t="e" cm="1">
        <f t="array" ref="D499">INDEX($C$5:$C$61,MATCH(1,(K499=$D$5:$D$61)*(A499=$B$5:$B$61),0))</f>
        <v>#N/A</v>
      </c>
      <c r="E499" s="196" t="e" cm="1">
        <f t="array" ref="E499">INDEX($E$5:$E$61,MATCH(1,(D499=$C$5:$C$61)*(A499=$B$5:$B$61),0))</f>
        <v>#N/A</v>
      </c>
      <c r="F499" s="196" t="e" cm="1">
        <f t="array" ref="F499">INDEX($F$5:$F$61,MATCH(1,(D499=$C$5:$C$61)*(A499=$B$5:$B$61),0))</f>
        <v>#N/A</v>
      </c>
      <c r="G499" s="196" t="e" cm="1">
        <f t="array" ref="G499">INDEX($G$5:$G$61,MATCH(1,(D499=$C$5:$C$61)*(A499=$B$5:$B$61),0))</f>
        <v>#N/A</v>
      </c>
      <c r="H499" s="196" t="e" cm="1">
        <f t="array" ref="H499">INDEX($H$5:$H$61,MATCH(1,(D499=$C$5:$C$61)*(A499=$B$5:$B$61),0))</f>
        <v>#N/A</v>
      </c>
      <c r="I499" s="196" t="e" cm="1">
        <f t="array" ref="I499">INDEX($I$5:$I$61,MATCH(1,(D499=$C$5:$C$61)*(A499=$B$5:$B$61),0))</f>
        <v>#N/A</v>
      </c>
      <c r="J499" s="273"/>
      <c r="K499" s="273"/>
      <c r="L499" s="272"/>
      <c r="M499" s="273"/>
      <c r="N499" s="197"/>
      <c r="O499" s="200">
        <f t="shared" si="75"/>
        <v>0</v>
      </c>
      <c r="P499" s="274"/>
      <c r="Q499" s="274"/>
      <c r="R499" s="276"/>
      <c r="S499" s="274"/>
      <c r="T499" s="197">
        <f t="shared" si="76"/>
        <v>0</v>
      </c>
      <c r="U499" s="197">
        <f t="shared" si="77"/>
        <v>0</v>
      </c>
      <c r="V499" s="197">
        <f t="shared" si="78"/>
        <v>0</v>
      </c>
      <c r="W499" s="197">
        <f t="shared" si="79"/>
        <v>0</v>
      </c>
      <c r="Z499" s="197"/>
      <c r="AA499" s="228"/>
      <c r="AB499" s="228"/>
      <c r="AD499" s="228"/>
      <c r="AE499" s="228"/>
      <c r="AF499" s="228"/>
      <c r="AG499" s="228"/>
      <c r="AH499" s="228"/>
      <c r="AI499" s="228"/>
      <c r="AJ499" s="228"/>
      <c r="AK499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</row>
    <row r="500" spans="1:64" s="198" customFormat="1" x14ac:dyDescent="0.25">
      <c r="A500" s="290" t="str">
        <f t="shared" si="74"/>
        <v>Hudson View Park</v>
      </c>
      <c r="B500" s="195">
        <f t="shared" si="80"/>
        <v>402</v>
      </c>
      <c r="C500" s="196" t="str">
        <f t="shared" si="81"/>
        <v>Occ</v>
      </c>
      <c r="D500" s="196" t="e" cm="1">
        <f t="array" ref="D500">INDEX($C$5:$C$61,MATCH(1,(K500=$D$5:$D$61)*(A500=$B$5:$B$61),0))</f>
        <v>#N/A</v>
      </c>
      <c r="E500" s="196" t="e" cm="1">
        <f t="array" ref="E500">INDEX($E$5:$E$61,MATCH(1,(D500=$C$5:$C$61)*(A500=$B$5:$B$61),0))</f>
        <v>#N/A</v>
      </c>
      <c r="F500" s="196" t="e" cm="1">
        <f t="array" ref="F500">INDEX($F$5:$F$61,MATCH(1,(D500=$C$5:$C$61)*(A500=$B$5:$B$61),0))</f>
        <v>#N/A</v>
      </c>
      <c r="G500" s="196" t="e" cm="1">
        <f t="array" ref="G500">INDEX($G$5:$G$61,MATCH(1,(D500=$C$5:$C$61)*(A500=$B$5:$B$61),0))</f>
        <v>#N/A</v>
      </c>
      <c r="H500" s="196" t="e" cm="1">
        <f t="array" ref="H500">INDEX($H$5:$H$61,MATCH(1,(D500=$C$5:$C$61)*(A500=$B$5:$B$61),0))</f>
        <v>#N/A</v>
      </c>
      <c r="I500" s="196" t="e" cm="1">
        <f t="array" ref="I500">INDEX($I$5:$I$61,MATCH(1,(D500=$C$5:$C$61)*(A500=$B$5:$B$61),0))</f>
        <v>#N/A</v>
      </c>
      <c r="J500" s="273"/>
      <c r="K500" s="273"/>
      <c r="L500" s="272"/>
      <c r="M500" s="273"/>
      <c r="N500" s="197"/>
      <c r="O500" s="200">
        <f t="shared" si="75"/>
        <v>0</v>
      </c>
      <c r="P500" s="274"/>
      <c r="Q500" s="274"/>
      <c r="R500" s="276"/>
      <c r="S500" s="274"/>
      <c r="T500" s="197">
        <f t="shared" si="76"/>
        <v>0</v>
      </c>
      <c r="U500" s="197">
        <f t="shared" si="77"/>
        <v>0</v>
      </c>
      <c r="V500" s="197">
        <f t="shared" si="78"/>
        <v>0</v>
      </c>
      <c r="W500" s="197">
        <f t="shared" si="79"/>
        <v>0</v>
      </c>
      <c r="Z500" s="197"/>
      <c r="AA500" s="228"/>
      <c r="AB500" s="228"/>
      <c r="AD500" s="228"/>
      <c r="AE500" s="228"/>
      <c r="AF500" s="228"/>
      <c r="AG500" s="228"/>
      <c r="AH500" s="228"/>
      <c r="AI500" s="228"/>
      <c r="AJ500" s="228"/>
      <c r="AK500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</row>
    <row r="501" spans="1:64" s="198" customFormat="1" x14ac:dyDescent="0.25">
      <c r="A501" s="290" t="str">
        <f t="shared" si="74"/>
        <v>Hudson View Park</v>
      </c>
      <c r="B501" s="195">
        <f t="shared" si="80"/>
        <v>403</v>
      </c>
      <c r="C501" s="196" t="str">
        <f t="shared" si="81"/>
        <v>Occ</v>
      </c>
      <c r="D501" s="196" t="e" cm="1">
        <f t="array" ref="D501">INDEX($C$5:$C$61,MATCH(1,(K501=$D$5:$D$61)*(A501=$B$5:$B$61),0))</f>
        <v>#N/A</v>
      </c>
      <c r="E501" s="196" t="e" cm="1">
        <f t="array" ref="E501">INDEX($E$5:$E$61,MATCH(1,(D501=$C$5:$C$61)*(A501=$B$5:$B$61),0))</f>
        <v>#N/A</v>
      </c>
      <c r="F501" s="196" t="e" cm="1">
        <f t="array" ref="F501">INDEX($F$5:$F$61,MATCH(1,(D501=$C$5:$C$61)*(A501=$B$5:$B$61),0))</f>
        <v>#N/A</v>
      </c>
      <c r="G501" s="196" t="e" cm="1">
        <f t="array" ref="G501">INDEX($G$5:$G$61,MATCH(1,(D501=$C$5:$C$61)*(A501=$B$5:$B$61),0))</f>
        <v>#N/A</v>
      </c>
      <c r="H501" s="196" t="e" cm="1">
        <f t="array" ref="H501">INDEX($H$5:$H$61,MATCH(1,(D501=$C$5:$C$61)*(A501=$B$5:$B$61),0))</f>
        <v>#N/A</v>
      </c>
      <c r="I501" s="196" t="e" cm="1">
        <f t="array" ref="I501">INDEX($I$5:$I$61,MATCH(1,(D501=$C$5:$C$61)*(A501=$B$5:$B$61),0))</f>
        <v>#N/A</v>
      </c>
      <c r="J501" s="273"/>
      <c r="K501" s="273"/>
      <c r="L501" s="272"/>
      <c r="M501" s="273"/>
      <c r="N501" s="197"/>
      <c r="O501" s="200">
        <f t="shared" si="75"/>
        <v>0</v>
      </c>
      <c r="P501" s="274"/>
      <c r="Q501" s="274"/>
      <c r="R501" s="276"/>
      <c r="S501" s="274"/>
      <c r="T501" s="197">
        <f t="shared" si="76"/>
        <v>0</v>
      </c>
      <c r="U501" s="197">
        <f t="shared" si="77"/>
        <v>0</v>
      </c>
      <c r="V501" s="197">
        <f t="shared" si="78"/>
        <v>0</v>
      </c>
      <c r="W501" s="197">
        <f t="shared" si="79"/>
        <v>0</v>
      </c>
      <c r="Z501" s="197"/>
      <c r="AA501" s="228"/>
      <c r="AB501" s="228"/>
      <c r="AD501" s="228"/>
      <c r="AE501" s="228"/>
      <c r="AF501" s="228"/>
      <c r="AG501" s="228"/>
      <c r="AH501" s="228"/>
      <c r="AI501" s="228"/>
      <c r="AJ501" s="228"/>
      <c r="AK501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</row>
    <row r="502" spans="1:64" s="198" customFormat="1" x14ac:dyDescent="0.25">
      <c r="A502" s="290" t="str">
        <f t="shared" si="74"/>
        <v>Hudson View Park</v>
      </c>
      <c r="B502" s="195">
        <f t="shared" si="80"/>
        <v>404</v>
      </c>
      <c r="C502" s="196" t="str">
        <f t="shared" si="81"/>
        <v>Occ</v>
      </c>
      <c r="D502" s="196" t="e" cm="1">
        <f t="array" ref="D502">INDEX($C$5:$C$61,MATCH(1,(K502=$D$5:$D$61)*(A502=$B$5:$B$61),0))</f>
        <v>#N/A</v>
      </c>
      <c r="E502" s="196" t="e" cm="1">
        <f t="array" ref="E502">INDEX($E$5:$E$61,MATCH(1,(D502=$C$5:$C$61)*(A502=$B$5:$B$61),0))</f>
        <v>#N/A</v>
      </c>
      <c r="F502" s="196" t="e" cm="1">
        <f t="array" ref="F502">INDEX($F$5:$F$61,MATCH(1,(D502=$C$5:$C$61)*(A502=$B$5:$B$61),0))</f>
        <v>#N/A</v>
      </c>
      <c r="G502" s="196" t="e" cm="1">
        <f t="array" ref="G502">INDEX($G$5:$G$61,MATCH(1,(D502=$C$5:$C$61)*(A502=$B$5:$B$61),0))</f>
        <v>#N/A</v>
      </c>
      <c r="H502" s="196" t="e" cm="1">
        <f t="array" ref="H502">INDEX($H$5:$H$61,MATCH(1,(D502=$C$5:$C$61)*(A502=$B$5:$B$61),0))</f>
        <v>#N/A</v>
      </c>
      <c r="I502" s="196" t="e" cm="1">
        <f t="array" ref="I502">INDEX($I$5:$I$61,MATCH(1,(D502=$C$5:$C$61)*(A502=$B$5:$B$61),0))</f>
        <v>#N/A</v>
      </c>
      <c r="J502" s="273"/>
      <c r="K502" s="273"/>
      <c r="L502" s="272"/>
      <c r="M502" s="273"/>
      <c r="N502" s="197"/>
      <c r="O502" s="200">
        <f t="shared" si="75"/>
        <v>0</v>
      </c>
      <c r="P502" s="274"/>
      <c r="Q502" s="274"/>
      <c r="R502" s="276"/>
      <c r="S502" s="274"/>
      <c r="T502" s="197">
        <f t="shared" si="76"/>
        <v>0</v>
      </c>
      <c r="U502" s="197">
        <f t="shared" si="77"/>
        <v>0</v>
      </c>
      <c r="V502" s="197">
        <f t="shared" si="78"/>
        <v>0</v>
      </c>
      <c r="W502" s="197">
        <f t="shared" si="79"/>
        <v>0</v>
      </c>
      <c r="Z502" s="197"/>
      <c r="AA502" s="228"/>
      <c r="AB502" s="228"/>
      <c r="AD502" s="228"/>
      <c r="AE502" s="228"/>
      <c r="AF502" s="228"/>
      <c r="AG502" s="228"/>
      <c r="AH502" s="228"/>
      <c r="AI502" s="228"/>
      <c r="AJ502" s="228"/>
      <c r="AK502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</row>
    <row r="503" spans="1:64" s="198" customFormat="1" x14ac:dyDescent="0.25">
      <c r="A503" s="290" t="str">
        <f t="shared" si="74"/>
        <v>Hudson View Park</v>
      </c>
      <c r="B503" s="195">
        <f t="shared" si="80"/>
        <v>405</v>
      </c>
      <c r="C503" s="196" t="str">
        <f t="shared" si="81"/>
        <v>Occ</v>
      </c>
      <c r="D503" s="196" t="e" cm="1">
        <f t="array" ref="D503">INDEX($C$5:$C$61,MATCH(1,(K503=$D$5:$D$61)*(A503=$B$5:$B$61),0))</f>
        <v>#N/A</v>
      </c>
      <c r="E503" s="196" t="e" cm="1">
        <f t="array" ref="E503">INDEX($E$5:$E$61,MATCH(1,(D503=$C$5:$C$61)*(A503=$B$5:$B$61),0))</f>
        <v>#N/A</v>
      </c>
      <c r="F503" s="196" t="e" cm="1">
        <f t="array" ref="F503">INDEX($F$5:$F$61,MATCH(1,(D503=$C$5:$C$61)*(A503=$B$5:$B$61),0))</f>
        <v>#N/A</v>
      </c>
      <c r="G503" s="196" t="e" cm="1">
        <f t="array" ref="G503">INDEX($G$5:$G$61,MATCH(1,(D503=$C$5:$C$61)*(A503=$B$5:$B$61),0))</f>
        <v>#N/A</v>
      </c>
      <c r="H503" s="196" t="e" cm="1">
        <f t="array" ref="H503">INDEX($H$5:$H$61,MATCH(1,(D503=$C$5:$C$61)*(A503=$B$5:$B$61),0))</f>
        <v>#N/A</v>
      </c>
      <c r="I503" s="196" t="e" cm="1">
        <f t="array" ref="I503">INDEX($I$5:$I$61,MATCH(1,(D503=$C$5:$C$61)*(A503=$B$5:$B$61),0))</f>
        <v>#N/A</v>
      </c>
      <c r="J503" s="273"/>
      <c r="K503" s="273"/>
      <c r="L503" s="272"/>
      <c r="M503" s="273"/>
      <c r="N503" s="197"/>
      <c r="O503" s="200">
        <f t="shared" si="75"/>
        <v>0</v>
      </c>
      <c r="P503" s="274"/>
      <c r="Q503" s="274"/>
      <c r="R503" s="276"/>
      <c r="S503" s="274"/>
      <c r="T503" s="197">
        <f t="shared" si="76"/>
        <v>0</v>
      </c>
      <c r="U503" s="197">
        <f t="shared" si="77"/>
        <v>0</v>
      </c>
      <c r="V503" s="197">
        <f t="shared" si="78"/>
        <v>0</v>
      </c>
      <c r="W503" s="197">
        <f t="shared" si="79"/>
        <v>0</v>
      </c>
      <c r="Z503" s="197"/>
      <c r="AA503" s="228"/>
      <c r="AB503" s="228"/>
      <c r="AD503" s="228"/>
      <c r="AE503" s="228"/>
      <c r="AF503" s="228"/>
      <c r="AG503" s="228"/>
      <c r="AH503" s="228"/>
      <c r="AI503" s="228"/>
      <c r="AJ503" s="228"/>
      <c r="AK503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</row>
    <row r="504" spans="1:64" s="198" customFormat="1" x14ac:dyDescent="0.25">
      <c r="A504" s="290" t="str">
        <f t="shared" ref="A504:A567" si="82">$C$67</f>
        <v>Hudson View Park</v>
      </c>
      <c r="B504" s="195">
        <f t="shared" si="80"/>
        <v>406</v>
      </c>
      <c r="C504" s="196" t="str">
        <f t="shared" si="81"/>
        <v>Occ</v>
      </c>
      <c r="D504" s="196" t="e" cm="1">
        <f t="array" ref="D504">INDEX($C$5:$C$61,MATCH(1,(K504=$D$5:$D$61)*(A504=$B$5:$B$61),0))</f>
        <v>#N/A</v>
      </c>
      <c r="E504" s="196" t="e" cm="1">
        <f t="array" ref="E504">INDEX($E$5:$E$61,MATCH(1,(D504=$C$5:$C$61)*(A504=$B$5:$B$61),0))</f>
        <v>#N/A</v>
      </c>
      <c r="F504" s="196" t="e" cm="1">
        <f t="array" ref="F504">INDEX($F$5:$F$61,MATCH(1,(D504=$C$5:$C$61)*(A504=$B$5:$B$61),0))</f>
        <v>#N/A</v>
      </c>
      <c r="G504" s="196" t="e" cm="1">
        <f t="array" ref="G504">INDEX($G$5:$G$61,MATCH(1,(D504=$C$5:$C$61)*(A504=$B$5:$B$61),0))</f>
        <v>#N/A</v>
      </c>
      <c r="H504" s="196" t="e" cm="1">
        <f t="array" ref="H504">INDEX($H$5:$H$61,MATCH(1,(D504=$C$5:$C$61)*(A504=$B$5:$B$61),0))</f>
        <v>#N/A</v>
      </c>
      <c r="I504" s="196" t="e" cm="1">
        <f t="array" ref="I504">INDEX($I$5:$I$61,MATCH(1,(D504=$C$5:$C$61)*(A504=$B$5:$B$61),0))</f>
        <v>#N/A</v>
      </c>
      <c r="J504" s="273"/>
      <c r="K504" s="273"/>
      <c r="L504" s="272"/>
      <c r="M504" s="273"/>
      <c r="N504" s="197"/>
      <c r="O504" s="200">
        <f t="shared" si="75"/>
        <v>0</v>
      </c>
      <c r="P504" s="274"/>
      <c r="Q504" s="274"/>
      <c r="R504" s="276"/>
      <c r="S504" s="274"/>
      <c r="T504" s="197">
        <f t="shared" si="76"/>
        <v>0</v>
      </c>
      <c r="U504" s="197">
        <f t="shared" si="77"/>
        <v>0</v>
      </c>
      <c r="V504" s="197">
        <f t="shared" si="78"/>
        <v>0</v>
      </c>
      <c r="W504" s="197">
        <f t="shared" si="79"/>
        <v>0</v>
      </c>
      <c r="Z504" s="197"/>
      <c r="AA504" s="228"/>
      <c r="AB504" s="228"/>
      <c r="AD504" s="228"/>
      <c r="AE504" s="228"/>
      <c r="AF504" s="228"/>
      <c r="AG504" s="228"/>
      <c r="AH504" s="228"/>
      <c r="AI504" s="228"/>
      <c r="AJ504" s="228"/>
      <c r="AK504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</row>
    <row r="505" spans="1:64" s="198" customFormat="1" x14ac:dyDescent="0.25">
      <c r="A505" s="290" t="str">
        <f t="shared" si="82"/>
        <v>Hudson View Park</v>
      </c>
      <c r="B505" s="195">
        <f t="shared" si="80"/>
        <v>407</v>
      </c>
      <c r="C505" s="196" t="str">
        <f t="shared" si="81"/>
        <v>Occ</v>
      </c>
      <c r="D505" s="196" t="e" cm="1">
        <f t="array" ref="D505">INDEX($C$5:$C$61,MATCH(1,(K505=$D$5:$D$61)*(A505=$B$5:$B$61),0))</f>
        <v>#N/A</v>
      </c>
      <c r="E505" s="196" t="e" cm="1">
        <f t="array" ref="E505">INDEX($E$5:$E$61,MATCH(1,(D505=$C$5:$C$61)*(A505=$B$5:$B$61),0))</f>
        <v>#N/A</v>
      </c>
      <c r="F505" s="196" t="e" cm="1">
        <f t="array" ref="F505">INDEX($F$5:$F$61,MATCH(1,(D505=$C$5:$C$61)*(A505=$B$5:$B$61),0))</f>
        <v>#N/A</v>
      </c>
      <c r="G505" s="196" t="e" cm="1">
        <f t="array" ref="G505">INDEX($G$5:$G$61,MATCH(1,(D505=$C$5:$C$61)*(A505=$B$5:$B$61),0))</f>
        <v>#N/A</v>
      </c>
      <c r="H505" s="196" t="e" cm="1">
        <f t="array" ref="H505">INDEX($H$5:$H$61,MATCH(1,(D505=$C$5:$C$61)*(A505=$B$5:$B$61),0))</f>
        <v>#N/A</v>
      </c>
      <c r="I505" s="196" t="e" cm="1">
        <f t="array" ref="I505">INDEX($I$5:$I$61,MATCH(1,(D505=$C$5:$C$61)*(A505=$B$5:$B$61),0))</f>
        <v>#N/A</v>
      </c>
      <c r="J505" s="273"/>
      <c r="K505" s="273"/>
      <c r="L505" s="272"/>
      <c r="M505" s="273"/>
      <c r="N505" s="197"/>
      <c r="O505" s="200">
        <f t="shared" si="75"/>
        <v>0</v>
      </c>
      <c r="P505" s="274"/>
      <c r="Q505" s="274"/>
      <c r="R505" s="276"/>
      <c r="S505" s="274"/>
      <c r="T505" s="197">
        <f t="shared" si="76"/>
        <v>0</v>
      </c>
      <c r="U505" s="197">
        <f t="shared" si="77"/>
        <v>0</v>
      </c>
      <c r="V505" s="197">
        <f t="shared" si="78"/>
        <v>0</v>
      </c>
      <c r="W505" s="197">
        <f t="shared" si="79"/>
        <v>0</v>
      </c>
      <c r="Z505" s="197"/>
      <c r="AA505" s="228"/>
      <c r="AB505" s="228"/>
      <c r="AD505" s="228"/>
      <c r="AE505" s="228"/>
      <c r="AF505" s="228"/>
      <c r="AG505" s="228"/>
      <c r="AH505" s="228"/>
      <c r="AI505" s="228"/>
      <c r="AJ505" s="228"/>
      <c r="AK505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</row>
    <row r="506" spans="1:64" s="198" customFormat="1" x14ac:dyDescent="0.25">
      <c r="A506" s="290" t="str">
        <f t="shared" si="82"/>
        <v>Hudson View Park</v>
      </c>
      <c r="B506" s="195">
        <f t="shared" si="80"/>
        <v>408</v>
      </c>
      <c r="C506" s="196" t="str">
        <f t="shared" si="81"/>
        <v>Occ</v>
      </c>
      <c r="D506" s="196" t="e" cm="1">
        <f t="array" ref="D506">INDEX($C$5:$C$61,MATCH(1,(K506=$D$5:$D$61)*(A506=$B$5:$B$61),0))</f>
        <v>#N/A</v>
      </c>
      <c r="E506" s="196" t="e" cm="1">
        <f t="array" ref="E506">INDEX($E$5:$E$61,MATCH(1,(D506=$C$5:$C$61)*(A506=$B$5:$B$61),0))</f>
        <v>#N/A</v>
      </c>
      <c r="F506" s="196" t="e" cm="1">
        <f t="array" ref="F506">INDEX($F$5:$F$61,MATCH(1,(D506=$C$5:$C$61)*(A506=$B$5:$B$61),0))</f>
        <v>#N/A</v>
      </c>
      <c r="G506" s="196" t="e" cm="1">
        <f t="array" ref="G506">INDEX($G$5:$G$61,MATCH(1,(D506=$C$5:$C$61)*(A506=$B$5:$B$61),0))</f>
        <v>#N/A</v>
      </c>
      <c r="H506" s="196" t="e" cm="1">
        <f t="array" ref="H506">INDEX($H$5:$H$61,MATCH(1,(D506=$C$5:$C$61)*(A506=$B$5:$B$61),0))</f>
        <v>#N/A</v>
      </c>
      <c r="I506" s="196" t="e" cm="1">
        <f t="array" ref="I506">INDEX($I$5:$I$61,MATCH(1,(D506=$C$5:$C$61)*(A506=$B$5:$B$61),0))</f>
        <v>#N/A</v>
      </c>
      <c r="J506" s="273"/>
      <c r="K506" s="273"/>
      <c r="L506" s="272"/>
      <c r="M506" s="273"/>
      <c r="N506" s="197"/>
      <c r="O506" s="200">
        <f t="shared" si="75"/>
        <v>0</v>
      </c>
      <c r="P506" s="274"/>
      <c r="Q506" s="274"/>
      <c r="R506" s="276"/>
      <c r="S506" s="274"/>
      <c r="T506" s="197">
        <f t="shared" si="76"/>
        <v>0</v>
      </c>
      <c r="U506" s="197">
        <f t="shared" si="77"/>
        <v>0</v>
      </c>
      <c r="V506" s="197">
        <f t="shared" si="78"/>
        <v>0</v>
      </c>
      <c r="W506" s="197">
        <f t="shared" si="79"/>
        <v>0</v>
      </c>
      <c r="Z506" s="197"/>
      <c r="AA506" s="228"/>
      <c r="AB506" s="228"/>
      <c r="AD506" s="228"/>
      <c r="AE506" s="228"/>
      <c r="AF506" s="228"/>
      <c r="AG506" s="228"/>
      <c r="AH506" s="228"/>
      <c r="AI506" s="228"/>
      <c r="AJ506" s="228"/>
      <c r="AK506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</row>
    <row r="507" spans="1:64" s="198" customFormat="1" x14ac:dyDescent="0.25">
      <c r="A507" s="290" t="str">
        <f t="shared" si="82"/>
        <v>Hudson View Park</v>
      </c>
      <c r="B507" s="195">
        <f t="shared" si="80"/>
        <v>409</v>
      </c>
      <c r="C507" s="196" t="str">
        <f t="shared" si="81"/>
        <v>Occ</v>
      </c>
      <c r="D507" s="196" t="e" cm="1">
        <f t="array" ref="D507">INDEX($C$5:$C$61,MATCH(1,(K507=$D$5:$D$61)*(A507=$B$5:$B$61),0))</f>
        <v>#N/A</v>
      </c>
      <c r="E507" s="196" t="e" cm="1">
        <f t="array" ref="E507">INDEX($E$5:$E$61,MATCH(1,(D507=$C$5:$C$61)*(A507=$B$5:$B$61),0))</f>
        <v>#N/A</v>
      </c>
      <c r="F507" s="196" t="e" cm="1">
        <f t="array" ref="F507">INDEX($F$5:$F$61,MATCH(1,(D507=$C$5:$C$61)*(A507=$B$5:$B$61),0))</f>
        <v>#N/A</v>
      </c>
      <c r="G507" s="196" t="e" cm="1">
        <f t="array" ref="G507">INDEX($G$5:$G$61,MATCH(1,(D507=$C$5:$C$61)*(A507=$B$5:$B$61),0))</f>
        <v>#N/A</v>
      </c>
      <c r="H507" s="196" t="e" cm="1">
        <f t="array" ref="H507">INDEX($H$5:$H$61,MATCH(1,(D507=$C$5:$C$61)*(A507=$B$5:$B$61),0))</f>
        <v>#N/A</v>
      </c>
      <c r="I507" s="196" t="e" cm="1">
        <f t="array" ref="I507">INDEX($I$5:$I$61,MATCH(1,(D507=$C$5:$C$61)*(A507=$B$5:$B$61),0))</f>
        <v>#N/A</v>
      </c>
      <c r="J507" s="273"/>
      <c r="K507" s="273"/>
      <c r="L507" s="272"/>
      <c r="M507" s="273"/>
      <c r="N507" s="197"/>
      <c r="O507" s="200">
        <f t="shared" si="75"/>
        <v>0</v>
      </c>
      <c r="P507" s="274"/>
      <c r="Q507" s="274"/>
      <c r="R507" s="276"/>
      <c r="S507" s="274"/>
      <c r="T507" s="197">
        <f t="shared" si="76"/>
        <v>0</v>
      </c>
      <c r="U507" s="197">
        <f t="shared" si="77"/>
        <v>0</v>
      </c>
      <c r="V507" s="197">
        <f t="shared" si="78"/>
        <v>0</v>
      </c>
      <c r="W507" s="197">
        <f t="shared" si="79"/>
        <v>0</v>
      </c>
      <c r="Z507" s="197"/>
      <c r="AA507" s="228"/>
      <c r="AB507" s="228"/>
      <c r="AD507" s="228"/>
      <c r="AE507" s="228"/>
      <c r="AF507" s="228"/>
      <c r="AG507" s="228"/>
      <c r="AH507" s="228"/>
      <c r="AI507" s="228"/>
      <c r="AJ507" s="228"/>
      <c r="AK507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</row>
    <row r="508" spans="1:64" s="198" customFormat="1" x14ac:dyDescent="0.25">
      <c r="A508" s="290" t="str">
        <f t="shared" si="82"/>
        <v>Hudson View Park</v>
      </c>
      <c r="B508" s="195">
        <f t="shared" si="80"/>
        <v>410</v>
      </c>
      <c r="C508" s="196" t="str">
        <f t="shared" si="81"/>
        <v>Occ</v>
      </c>
      <c r="D508" s="196" t="e" cm="1">
        <f t="array" ref="D508">INDEX($C$5:$C$61,MATCH(1,(K508=$D$5:$D$61)*(A508=$B$5:$B$61),0))</f>
        <v>#N/A</v>
      </c>
      <c r="E508" s="196" t="e" cm="1">
        <f t="array" ref="E508">INDEX($E$5:$E$61,MATCH(1,(D508=$C$5:$C$61)*(A508=$B$5:$B$61),0))</f>
        <v>#N/A</v>
      </c>
      <c r="F508" s="196" t="e" cm="1">
        <f t="array" ref="F508">INDEX($F$5:$F$61,MATCH(1,(D508=$C$5:$C$61)*(A508=$B$5:$B$61),0))</f>
        <v>#N/A</v>
      </c>
      <c r="G508" s="196" t="e" cm="1">
        <f t="array" ref="G508">INDEX($G$5:$G$61,MATCH(1,(D508=$C$5:$C$61)*(A508=$B$5:$B$61),0))</f>
        <v>#N/A</v>
      </c>
      <c r="H508" s="196" t="e" cm="1">
        <f t="array" ref="H508">INDEX($H$5:$H$61,MATCH(1,(D508=$C$5:$C$61)*(A508=$B$5:$B$61),0))</f>
        <v>#N/A</v>
      </c>
      <c r="I508" s="196" t="e" cm="1">
        <f t="array" ref="I508">INDEX($I$5:$I$61,MATCH(1,(D508=$C$5:$C$61)*(A508=$B$5:$B$61),0))</f>
        <v>#N/A</v>
      </c>
      <c r="J508" s="273"/>
      <c r="K508" s="273"/>
      <c r="L508" s="272"/>
      <c r="M508" s="273"/>
      <c r="N508" s="197"/>
      <c r="O508" s="200">
        <f t="shared" si="75"/>
        <v>0</v>
      </c>
      <c r="P508" s="274"/>
      <c r="Q508" s="274"/>
      <c r="R508" s="276"/>
      <c r="S508" s="274"/>
      <c r="T508" s="197">
        <f t="shared" si="76"/>
        <v>0</v>
      </c>
      <c r="U508" s="197">
        <f t="shared" si="77"/>
        <v>0</v>
      </c>
      <c r="V508" s="197">
        <f t="shared" si="78"/>
        <v>0</v>
      </c>
      <c r="W508" s="197">
        <f t="shared" si="79"/>
        <v>0</v>
      </c>
      <c r="Z508" s="197"/>
      <c r="AA508" s="228"/>
      <c r="AB508" s="228"/>
      <c r="AD508" s="228"/>
      <c r="AE508" s="228"/>
      <c r="AF508" s="228"/>
      <c r="AG508" s="228"/>
      <c r="AH508" s="228"/>
      <c r="AI508" s="228"/>
      <c r="AJ508" s="228"/>
      <c r="AK50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</row>
    <row r="509" spans="1:64" s="198" customFormat="1" x14ac:dyDescent="0.25">
      <c r="A509" s="290" t="str">
        <f t="shared" si="82"/>
        <v>Hudson View Park</v>
      </c>
      <c r="B509" s="195">
        <f t="shared" si="80"/>
        <v>411</v>
      </c>
      <c r="C509" s="196" t="str">
        <f t="shared" si="81"/>
        <v>Occ</v>
      </c>
      <c r="D509" s="196" t="e" cm="1">
        <f t="array" ref="D509">INDEX($C$5:$C$61,MATCH(1,(K509=$D$5:$D$61)*(A509=$B$5:$B$61),0))</f>
        <v>#N/A</v>
      </c>
      <c r="E509" s="196" t="e" cm="1">
        <f t="array" ref="E509">INDEX($E$5:$E$61,MATCH(1,(D509=$C$5:$C$61)*(A509=$B$5:$B$61),0))</f>
        <v>#N/A</v>
      </c>
      <c r="F509" s="196" t="e" cm="1">
        <f t="array" ref="F509">INDEX($F$5:$F$61,MATCH(1,(D509=$C$5:$C$61)*(A509=$B$5:$B$61),0))</f>
        <v>#N/A</v>
      </c>
      <c r="G509" s="196" t="e" cm="1">
        <f t="array" ref="G509">INDEX($G$5:$G$61,MATCH(1,(D509=$C$5:$C$61)*(A509=$B$5:$B$61),0))</f>
        <v>#N/A</v>
      </c>
      <c r="H509" s="196" t="e" cm="1">
        <f t="array" ref="H509">INDEX($H$5:$H$61,MATCH(1,(D509=$C$5:$C$61)*(A509=$B$5:$B$61),0))</f>
        <v>#N/A</v>
      </c>
      <c r="I509" s="196" t="e" cm="1">
        <f t="array" ref="I509">INDEX($I$5:$I$61,MATCH(1,(D509=$C$5:$C$61)*(A509=$B$5:$B$61),0))</f>
        <v>#N/A</v>
      </c>
      <c r="J509" s="273"/>
      <c r="K509" s="273"/>
      <c r="L509" s="272"/>
      <c r="M509" s="273"/>
      <c r="N509" s="197"/>
      <c r="O509" s="200">
        <f t="shared" si="75"/>
        <v>0</v>
      </c>
      <c r="P509" s="274"/>
      <c r="Q509" s="274"/>
      <c r="R509" s="276"/>
      <c r="S509" s="274"/>
      <c r="T509" s="197">
        <f t="shared" si="76"/>
        <v>0</v>
      </c>
      <c r="U509" s="197">
        <f t="shared" si="77"/>
        <v>0</v>
      </c>
      <c r="V509" s="197">
        <f t="shared" si="78"/>
        <v>0</v>
      </c>
      <c r="W509" s="197">
        <f t="shared" si="79"/>
        <v>0</v>
      </c>
      <c r="Z509" s="197"/>
      <c r="AA509" s="228"/>
      <c r="AB509" s="228"/>
      <c r="AD509" s="228"/>
      <c r="AE509" s="228"/>
      <c r="AF509" s="228"/>
      <c r="AG509" s="228"/>
      <c r="AH509" s="228"/>
      <c r="AI509" s="228"/>
      <c r="AJ509" s="228"/>
      <c r="AK509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</row>
    <row r="510" spans="1:64" s="198" customFormat="1" x14ac:dyDescent="0.25">
      <c r="A510" s="290" t="str">
        <f t="shared" si="82"/>
        <v>Hudson View Park</v>
      </c>
      <c r="B510" s="195">
        <f t="shared" si="80"/>
        <v>412</v>
      </c>
      <c r="C510" s="196" t="str">
        <f t="shared" si="81"/>
        <v>Occ</v>
      </c>
      <c r="D510" s="196" t="e" cm="1">
        <f t="array" ref="D510">INDEX($C$5:$C$61,MATCH(1,(K510=$D$5:$D$61)*(A510=$B$5:$B$61),0))</f>
        <v>#N/A</v>
      </c>
      <c r="E510" s="196" t="e" cm="1">
        <f t="array" ref="E510">INDEX($E$5:$E$61,MATCH(1,(D510=$C$5:$C$61)*(A510=$B$5:$B$61),0))</f>
        <v>#N/A</v>
      </c>
      <c r="F510" s="196" t="e" cm="1">
        <f t="array" ref="F510">INDEX($F$5:$F$61,MATCH(1,(D510=$C$5:$C$61)*(A510=$B$5:$B$61),0))</f>
        <v>#N/A</v>
      </c>
      <c r="G510" s="196" t="e" cm="1">
        <f t="array" ref="G510">INDEX($G$5:$G$61,MATCH(1,(D510=$C$5:$C$61)*(A510=$B$5:$B$61),0))</f>
        <v>#N/A</v>
      </c>
      <c r="H510" s="196" t="e" cm="1">
        <f t="array" ref="H510">INDEX($H$5:$H$61,MATCH(1,(D510=$C$5:$C$61)*(A510=$B$5:$B$61),0))</f>
        <v>#N/A</v>
      </c>
      <c r="I510" s="196" t="e" cm="1">
        <f t="array" ref="I510">INDEX($I$5:$I$61,MATCH(1,(D510=$C$5:$C$61)*(A510=$B$5:$B$61),0))</f>
        <v>#N/A</v>
      </c>
      <c r="J510" s="273"/>
      <c r="K510" s="273"/>
      <c r="L510" s="272"/>
      <c r="M510" s="273"/>
      <c r="N510" s="197"/>
      <c r="O510" s="200">
        <f t="shared" si="75"/>
        <v>0</v>
      </c>
      <c r="P510" s="274"/>
      <c r="Q510" s="274"/>
      <c r="R510" s="276"/>
      <c r="S510" s="274"/>
      <c r="T510" s="197">
        <f t="shared" si="76"/>
        <v>0</v>
      </c>
      <c r="U510" s="197">
        <f t="shared" si="77"/>
        <v>0</v>
      </c>
      <c r="V510" s="197">
        <f t="shared" si="78"/>
        <v>0</v>
      </c>
      <c r="W510" s="197">
        <f t="shared" si="79"/>
        <v>0</v>
      </c>
      <c r="Z510" s="197"/>
      <c r="AA510" s="228"/>
      <c r="AB510" s="228"/>
      <c r="AD510" s="228"/>
      <c r="AE510" s="228"/>
      <c r="AF510" s="228"/>
      <c r="AG510" s="228"/>
      <c r="AH510" s="228"/>
      <c r="AI510" s="228"/>
      <c r="AJ510" s="228"/>
      <c r="AK510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</row>
    <row r="511" spans="1:64" s="198" customFormat="1" x14ac:dyDescent="0.25">
      <c r="A511" s="290" t="str">
        <f t="shared" si="82"/>
        <v>Hudson View Park</v>
      </c>
      <c r="B511" s="195">
        <f t="shared" si="80"/>
        <v>413</v>
      </c>
      <c r="C511" s="196" t="str">
        <f t="shared" si="81"/>
        <v>Occ</v>
      </c>
      <c r="D511" s="196" t="e" cm="1">
        <f t="array" ref="D511">INDEX($C$5:$C$61,MATCH(1,(K511=$D$5:$D$61)*(A511=$B$5:$B$61),0))</f>
        <v>#N/A</v>
      </c>
      <c r="E511" s="196" t="e" cm="1">
        <f t="array" ref="E511">INDEX($E$5:$E$61,MATCH(1,(D511=$C$5:$C$61)*(A511=$B$5:$B$61),0))</f>
        <v>#N/A</v>
      </c>
      <c r="F511" s="196" t="e" cm="1">
        <f t="array" ref="F511">INDEX($F$5:$F$61,MATCH(1,(D511=$C$5:$C$61)*(A511=$B$5:$B$61),0))</f>
        <v>#N/A</v>
      </c>
      <c r="G511" s="196" t="e" cm="1">
        <f t="array" ref="G511">INDEX($G$5:$G$61,MATCH(1,(D511=$C$5:$C$61)*(A511=$B$5:$B$61),0))</f>
        <v>#N/A</v>
      </c>
      <c r="H511" s="196" t="e" cm="1">
        <f t="array" ref="H511">INDEX($H$5:$H$61,MATCH(1,(D511=$C$5:$C$61)*(A511=$B$5:$B$61),0))</f>
        <v>#N/A</v>
      </c>
      <c r="I511" s="196" t="e" cm="1">
        <f t="array" ref="I511">INDEX($I$5:$I$61,MATCH(1,(D511=$C$5:$C$61)*(A511=$B$5:$B$61),0))</f>
        <v>#N/A</v>
      </c>
      <c r="J511" s="273"/>
      <c r="K511" s="273"/>
      <c r="L511" s="272"/>
      <c r="M511" s="273"/>
      <c r="N511" s="197"/>
      <c r="O511" s="200">
        <f t="shared" si="75"/>
        <v>0</v>
      </c>
      <c r="P511" s="274"/>
      <c r="Q511" s="274"/>
      <c r="R511" s="276"/>
      <c r="S511" s="274"/>
      <c r="T511" s="197">
        <f t="shared" si="76"/>
        <v>0</v>
      </c>
      <c r="U511" s="197">
        <f t="shared" si="77"/>
        <v>0</v>
      </c>
      <c r="V511" s="197">
        <f t="shared" si="78"/>
        <v>0</v>
      </c>
      <c r="W511" s="197">
        <f t="shared" si="79"/>
        <v>0</v>
      </c>
      <c r="Z511" s="197"/>
      <c r="AA511" s="228"/>
      <c r="AB511" s="228"/>
      <c r="AD511" s="228"/>
      <c r="AE511" s="228"/>
      <c r="AF511" s="228"/>
      <c r="AG511" s="228"/>
      <c r="AH511" s="228"/>
      <c r="AI511" s="228"/>
      <c r="AJ511" s="228"/>
      <c r="AK511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</row>
    <row r="512" spans="1:64" s="198" customFormat="1" x14ac:dyDescent="0.25">
      <c r="A512" s="290" t="str">
        <f t="shared" si="82"/>
        <v>Hudson View Park</v>
      </c>
      <c r="B512" s="195">
        <f t="shared" si="80"/>
        <v>414</v>
      </c>
      <c r="C512" s="196" t="str">
        <f t="shared" si="81"/>
        <v>Occ</v>
      </c>
      <c r="D512" s="196" t="e" cm="1">
        <f t="array" ref="D512">INDEX($C$5:$C$61,MATCH(1,(K512=$D$5:$D$61)*(A512=$B$5:$B$61),0))</f>
        <v>#N/A</v>
      </c>
      <c r="E512" s="196" t="e" cm="1">
        <f t="array" ref="E512">INDEX($E$5:$E$61,MATCH(1,(D512=$C$5:$C$61)*(A512=$B$5:$B$61),0))</f>
        <v>#N/A</v>
      </c>
      <c r="F512" s="196" t="e" cm="1">
        <f t="array" ref="F512">INDEX($F$5:$F$61,MATCH(1,(D512=$C$5:$C$61)*(A512=$B$5:$B$61),0))</f>
        <v>#N/A</v>
      </c>
      <c r="G512" s="196" t="e" cm="1">
        <f t="array" ref="G512">INDEX($G$5:$G$61,MATCH(1,(D512=$C$5:$C$61)*(A512=$B$5:$B$61),0))</f>
        <v>#N/A</v>
      </c>
      <c r="H512" s="196" t="e" cm="1">
        <f t="array" ref="H512">INDEX($H$5:$H$61,MATCH(1,(D512=$C$5:$C$61)*(A512=$B$5:$B$61),0))</f>
        <v>#N/A</v>
      </c>
      <c r="I512" s="196" t="e" cm="1">
        <f t="array" ref="I512">INDEX($I$5:$I$61,MATCH(1,(D512=$C$5:$C$61)*(A512=$B$5:$B$61),0))</f>
        <v>#N/A</v>
      </c>
      <c r="J512" s="273"/>
      <c r="K512" s="273"/>
      <c r="L512" s="272"/>
      <c r="M512" s="273"/>
      <c r="N512" s="197"/>
      <c r="O512" s="200">
        <f t="shared" si="75"/>
        <v>0</v>
      </c>
      <c r="P512" s="274"/>
      <c r="Q512" s="274"/>
      <c r="R512" s="276"/>
      <c r="S512" s="274"/>
      <c r="T512" s="197">
        <f t="shared" si="76"/>
        <v>0</v>
      </c>
      <c r="U512" s="197">
        <f t="shared" si="77"/>
        <v>0</v>
      </c>
      <c r="V512" s="197">
        <f t="shared" si="78"/>
        <v>0</v>
      </c>
      <c r="W512" s="197">
        <f t="shared" si="79"/>
        <v>0</v>
      </c>
      <c r="Z512" s="197"/>
      <c r="AA512" s="228"/>
      <c r="AB512" s="228"/>
      <c r="AD512" s="228"/>
      <c r="AE512" s="228"/>
      <c r="AF512" s="228"/>
      <c r="AG512" s="228"/>
      <c r="AH512" s="228"/>
      <c r="AI512" s="228"/>
      <c r="AJ512" s="228"/>
      <c r="AK512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</row>
    <row r="513" spans="1:64" s="198" customFormat="1" x14ac:dyDescent="0.25">
      <c r="A513" s="290" t="str">
        <f t="shared" si="82"/>
        <v>Hudson View Park</v>
      </c>
      <c r="B513" s="195">
        <f t="shared" si="80"/>
        <v>415</v>
      </c>
      <c r="C513" s="196" t="str">
        <f t="shared" si="81"/>
        <v>Occ</v>
      </c>
      <c r="D513" s="196" t="e" cm="1">
        <f t="array" ref="D513">INDEX($C$5:$C$61,MATCH(1,(K513=$D$5:$D$61)*(A513=$B$5:$B$61),0))</f>
        <v>#N/A</v>
      </c>
      <c r="E513" s="196" t="e" cm="1">
        <f t="array" ref="E513">INDEX($E$5:$E$61,MATCH(1,(D513=$C$5:$C$61)*(A513=$B$5:$B$61),0))</f>
        <v>#N/A</v>
      </c>
      <c r="F513" s="196" t="e" cm="1">
        <f t="array" ref="F513">INDEX($F$5:$F$61,MATCH(1,(D513=$C$5:$C$61)*(A513=$B$5:$B$61),0))</f>
        <v>#N/A</v>
      </c>
      <c r="G513" s="196" t="e" cm="1">
        <f t="array" ref="G513">INDEX($G$5:$G$61,MATCH(1,(D513=$C$5:$C$61)*(A513=$B$5:$B$61),0))</f>
        <v>#N/A</v>
      </c>
      <c r="H513" s="196" t="e" cm="1">
        <f t="array" ref="H513">INDEX($H$5:$H$61,MATCH(1,(D513=$C$5:$C$61)*(A513=$B$5:$B$61),0))</f>
        <v>#N/A</v>
      </c>
      <c r="I513" s="196" t="e" cm="1">
        <f t="array" ref="I513">INDEX($I$5:$I$61,MATCH(1,(D513=$C$5:$C$61)*(A513=$B$5:$B$61),0))</f>
        <v>#N/A</v>
      </c>
      <c r="J513" s="273"/>
      <c r="K513" s="273"/>
      <c r="L513" s="272"/>
      <c r="M513" s="273"/>
      <c r="N513" s="197"/>
      <c r="O513" s="200">
        <f t="shared" si="75"/>
        <v>0</v>
      </c>
      <c r="P513" s="274"/>
      <c r="Q513" s="274"/>
      <c r="R513" s="276"/>
      <c r="S513" s="274"/>
      <c r="T513" s="197">
        <f t="shared" si="76"/>
        <v>0</v>
      </c>
      <c r="U513" s="197">
        <f t="shared" si="77"/>
        <v>0</v>
      </c>
      <c r="V513" s="197">
        <f t="shared" si="78"/>
        <v>0</v>
      </c>
      <c r="W513" s="197">
        <f t="shared" si="79"/>
        <v>0</v>
      </c>
      <c r="Z513" s="197"/>
      <c r="AA513" s="228"/>
      <c r="AB513" s="228"/>
      <c r="AD513" s="228"/>
      <c r="AE513" s="228"/>
      <c r="AF513" s="228"/>
      <c r="AG513" s="228"/>
      <c r="AH513" s="228"/>
      <c r="AI513" s="228"/>
      <c r="AJ513" s="228"/>
      <c r="AK513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</row>
    <row r="514" spans="1:64" s="198" customFormat="1" x14ac:dyDescent="0.25">
      <c r="A514" s="290" t="str">
        <f t="shared" si="82"/>
        <v>Hudson View Park</v>
      </c>
      <c r="B514" s="195">
        <f t="shared" si="80"/>
        <v>416</v>
      </c>
      <c r="C514" s="196" t="str">
        <f t="shared" si="81"/>
        <v>Occ</v>
      </c>
      <c r="D514" s="196" t="e" cm="1">
        <f t="array" ref="D514">INDEX($C$5:$C$61,MATCH(1,(K514=$D$5:$D$61)*(A514=$B$5:$B$61),0))</f>
        <v>#N/A</v>
      </c>
      <c r="E514" s="196" t="e" cm="1">
        <f t="array" ref="E514">INDEX($E$5:$E$61,MATCH(1,(D514=$C$5:$C$61)*(A514=$B$5:$B$61),0))</f>
        <v>#N/A</v>
      </c>
      <c r="F514" s="196" t="e" cm="1">
        <f t="array" ref="F514">INDEX($F$5:$F$61,MATCH(1,(D514=$C$5:$C$61)*(A514=$B$5:$B$61),0))</f>
        <v>#N/A</v>
      </c>
      <c r="G514" s="196" t="e" cm="1">
        <f t="array" ref="G514">INDEX($G$5:$G$61,MATCH(1,(D514=$C$5:$C$61)*(A514=$B$5:$B$61),0))</f>
        <v>#N/A</v>
      </c>
      <c r="H514" s="196" t="e" cm="1">
        <f t="array" ref="H514">INDEX($H$5:$H$61,MATCH(1,(D514=$C$5:$C$61)*(A514=$B$5:$B$61),0))</f>
        <v>#N/A</v>
      </c>
      <c r="I514" s="196" t="e" cm="1">
        <f t="array" ref="I514">INDEX($I$5:$I$61,MATCH(1,(D514=$C$5:$C$61)*(A514=$B$5:$B$61),0))</f>
        <v>#N/A</v>
      </c>
      <c r="J514" s="273"/>
      <c r="K514" s="273"/>
      <c r="L514" s="272"/>
      <c r="M514" s="273"/>
      <c r="N514" s="197"/>
      <c r="O514" s="200">
        <f t="shared" si="75"/>
        <v>0</v>
      </c>
      <c r="P514" s="274"/>
      <c r="Q514" s="274"/>
      <c r="R514" s="276"/>
      <c r="S514" s="274"/>
      <c r="T514" s="197">
        <f t="shared" si="76"/>
        <v>0</v>
      </c>
      <c r="U514" s="197">
        <f t="shared" si="77"/>
        <v>0</v>
      </c>
      <c r="V514" s="197">
        <f t="shared" si="78"/>
        <v>0</v>
      </c>
      <c r="W514" s="197">
        <f t="shared" si="79"/>
        <v>0</v>
      </c>
      <c r="Z514" s="197"/>
      <c r="AA514" s="228"/>
      <c r="AB514" s="228"/>
      <c r="AD514" s="228"/>
      <c r="AE514" s="228"/>
      <c r="AF514" s="228"/>
      <c r="AG514" s="228"/>
      <c r="AH514" s="228"/>
      <c r="AI514" s="228"/>
      <c r="AJ514" s="228"/>
      <c r="AK514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</row>
    <row r="515" spans="1:64" s="198" customFormat="1" x14ac:dyDescent="0.25">
      <c r="A515" s="290" t="str">
        <f t="shared" si="82"/>
        <v>Hudson View Park</v>
      </c>
      <c r="B515" s="195">
        <f t="shared" si="80"/>
        <v>417</v>
      </c>
      <c r="C515" s="196" t="str">
        <f t="shared" si="81"/>
        <v>Occ</v>
      </c>
      <c r="D515" s="196" t="e" cm="1">
        <f t="array" ref="D515">INDEX($C$5:$C$61,MATCH(1,(K515=$D$5:$D$61)*(A515=$B$5:$B$61),0))</f>
        <v>#N/A</v>
      </c>
      <c r="E515" s="196" t="e" cm="1">
        <f t="array" ref="E515">INDEX($E$5:$E$61,MATCH(1,(D515=$C$5:$C$61)*(A515=$B$5:$B$61),0))</f>
        <v>#N/A</v>
      </c>
      <c r="F515" s="196" t="e" cm="1">
        <f t="array" ref="F515">INDEX($F$5:$F$61,MATCH(1,(D515=$C$5:$C$61)*(A515=$B$5:$B$61),0))</f>
        <v>#N/A</v>
      </c>
      <c r="G515" s="196" t="e" cm="1">
        <f t="array" ref="G515">INDEX($G$5:$G$61,MATCH(1,(D515=$C$5:$C$61)*(A515=$B$5:$B$61),0))</f>
        <v>#N/A</v>
      </c>
      <c r="H515" s="196" t="e" cm="1">
        <f t="array" ref="H515">INDEX($H$5:$H$61,MATCH(1,(D515=$C$5:$C$61)*(A515=$B$5:$B$61),0))</f>
        <v>#N/A</v>
      </c>
      <c r="I515" s="196" t="e" cm="1">
        <f t="array" ref="I515">INDEX($I$5:$I$61,MATCH(1,(D515=$C$5:$C$61)*(A515=$B$5:$B$61),0))</f>
        <v>#N/A</v>
      </c>
      <c r="J515" s="273"/>
      <c r="K515" s="273"/>
      <c r="L515" s="272"/>
      <c r="M515" s="273"/>
      <c r="N515" s="197"/>
      <c r="O515" s="200">
        <f t="shared" si="75"/>
        <v>0</v>
      </c>
      <c r="P515" s="274"/>
      <c r="Q515" s="274"/>
      <c r="R515" s="276"/>
      <c r="S515" s="274"/>
      <c r="T515" s="197">
        <f t="shared" si="76"/>
        <v>0</v>
      </c>
      <c r="U515" s="197">
        <f t="shared" si="77"/>
        <v>0</v>
      </c>
      <c r="V515" s="197">
        <f t="shared" si="78"/>
        <v>0</v>
      </c>
      <c r="W515" s="197">
        <f t="shared" si="79"/>
        <v>0</v>
      </c>
      <c r="Z515" s="197"/>
      <c r="AA515" s="228"/>
      <c r="AB515" s="228"/>
      <c r="AD515" s="228"/>
      <c r="AE515" s="228"/>
      <c r="AF515" s="228"/>
      <c r="AG515" s="228"/>
      <c r="AH515" s="228"/>
      <c r="AI515" s="228"/>
      <c r="AJ515" s="228"/>
      <c r="AK515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</row>
    <row r="516" spans="1:64" s="198" customFormat="1" x14ac:dyDescent="0.25">
      <c r="A516" s="290" t="str">
        <f t="shared" si="82"/>
        <v>Hudson View Park</v>
      </c>
      <c r="B516" s="195">
        <f t="shared" si="80"/>
        <v>418</v>
      </c>
      <c r="C516" s="196" t="str">
        <f t="shared" si="81"/>
        <v>Occ</v>
      </c>
      <c r="D516" s="196" t="e" cm="1">
        <f t="array" ref="D516">INDEX($C$5:$C$61,MATCH(1,(K516=$D$5:$D$61)*(A516=$B$5:$B$61),0))</f>
        <v>#N/A</v>
      </c>
      <c r="E516" s="196" t="e" cm="1">
        <f t="array" ref="E516">INDEX($E$5:$E$61,MATCH(1,(D516=$C$5:$C$61)*(A516=$B$5:$B$61),0))</f>
        <v>#N/A</v>
      </c>
      <c r="F516" s="196" t="e" cm="1">
        <f t="array" ref="F516">INDEX($F$5:$F$61,MATCH(1,(D516=$C$5:$C$61)*(A516=$B$5:$B$61),0))</f>
        <v>#N/A</v>
      </c>
      <c r="G516" s="196" t="e" cm="1">
        <f t="array" ref="G516">INDEX($G$5:$G$61,MATCH(1,(D516=$C$5:$C$61)*(A516=$B$5:$B$61),0))</f>
        <v>#N/A</v>
      </c>
      <c r="H516" s="196" t="e" cm="1">
        <f t="array" ref="H516">INDEX($H$5:$H$61,MATCH(1,(D516=$C$5:$C$61)*(A516=$B$5:$B$61),0))</f>
        <v>#N/A</v>
      </c>
      <c r="I516" s="196" t="e" cm="1">
        <f t="array" ref="I516">INDEX($I$5:$I$61,MATCH(1,(D516=$C$5:$C$61)*(A516=$B$5:$B$61),0))</f>
        <v>#N/A</v>
      </c>
      <c r="J516" s="273"/>
      <c r="K516" s="273"/>
      <c r="L516" s="272"/>
      <c r="M516" s="273"/>
      <c r="N516" s="197"/>
      <c r="O516" s="200">
        <f t="shared" si="75"/>
        <v>0</v>
      </c>
      <c r="P516" s="274"/>
      <c r="Q516" s="274"/>
      <c r="R516" s="276"/>
      <c r="S516" s="274"/>
      <c r="T516" s="197">
        <f t="shared" si="76"/>
        <v>0</v>
      </c>
      <c r="U516" s="197">
        <f t="shared" si="77"/>
        <v>0</v>
      </c>
      <c r="V516" s="197">
        <f t="shared" si="78"/>
        <v>0</v>
      </c>
      <c r="W516" s="197">
        <f t="shared" si="79"/>
        <v>0</v>
      </c>
      <c r="Z516" s="197"/>
      <c r="AA516" s="228"/>
      <c r="AB516" s="228"/>
      <c r="AD516" s="228"/>
      <c r="AE516" s="228"/>
      <c r="AF516" s="228"/>
      <c r="AG516" s="228"/>
      <c r="AH516" s="228"/>
      <c r="AI516" s="228"/>
      <c r="AJ516" s="228"/>
      <c r="AK516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</row>
    <row r="517" spans="1:64" s="198" customFormat="1" x14ac:dyDescent="0.25">
      <c r="A517" s="290" t="str">
        <f t="shared" si="82"/>
        <v>Hudson View Park</v>
      </c>
      <c r="B517" s="195">
        <f t="shared" si="80"/>
        <v>419</v>
      </c>
      <c r="C517" s="196" t="str">
        <f t="shared" si="81"/>
        <v>Occ</v>
      </c>
      <c r="D517" s="196" t="e" cm="1">
        <f t="array" ref="D517">INDEX($C$5:$C$61,MATCH(1,(K517=$D$5:$D$61)*(A517=$B$5:$B$61),0))</f>
        <v>#N/A</v>
      </c>
      <c r="E517" s="196" t="e" cm="1">
        <f t="array" ref="E517">INDEX($E$5:$E$61,MATCH(1,(D517=$C$5:$C$61)*(A517=$B$5:$B$61),0))</f>
        <v>#N/A</v>
      </c>
      <c r="F517" s="196" t="e" cm="1">
        <f t="array" ref="F517">INDEX($F$5:$F$61,MATCH(1,(D517=$C$5:$C$61)*(A517=$B$5:$B$61),0))</f>
        <v>#N/A</v>
      </c>
      <c r="G517" s="196" t="e" cm="1">
        <f t="array" ref="G517">INDEX($G$5:$G$61,MATCH(1,(D517=$C$5:$C$61)*(A517=$B$5:$B$61),0))</f>
        <v>#N/A</v>
      </c>
      <c r="H517" s="196" t="e" cm="1">
        <f t="array" ref="H517">INDEX($H$5:$H$61,MATCH(1,(D517=$C$5:$C$61)*(A517=$B$5:$B$61),0))</f>
        <v>#N/A</v>
      </c>
      <c r="I517" s="196" t="e" cm="1">
        <f t="array" ref="I517">INDEX($I$5:$I$61,MATCH(1,(D517=$C$5:$C$61)*(A517=$B$5:$B$61),0))</f>
        <v>#N/A</v>
      </c>
      <c r="J517" s="273"/>
      <c r="K517" s="273"/>
      <c r="L517" s="272"/>
      <c r="M517" s="273"/>
      <c r="N517" s="197"/>
      <c r="O517" s="200">
        <f t="shared" si="75"/>
        <v>0</v>
      </c>
      <c r="P517" s="274"/>
      <c r="Q517" s="274"/>
      <c r="R517" s="276"/>
      <c r="S517" s="274"/>
      <c r="T517" s="197">
        <f t="shared" si="76"/>
        <v>0</v>
      </c>
      <c r="U517" s="197">
        <f t="shared" si="77"/>
        <v>0</v>
      </c>
      <c r="V517" s="197">
        <f t="shared" si="78"/>
        <v>0</v>
      </c>
      <c r="W517" s="197">
        <f t="shared" si="79"/>
        <v>0</v>
      </c>
      <c r="Z517" s="197"/>
      <c r="AA517" s="228"/>
      <c r="AB517" s="228"/>
      <c r="AD517" s="228"/>
      <c r="AE517" s="228"/>
      <c r="AF517" s="228"/>
      <c r="AG517" s="228"/>
      <c r="AH517" s="228"/>
      <c r="AI517" s="228"/>
      <c r="AJ517" s="228"/>
      <c r="AK517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</row>
    <row r="518" spans="1:64" s="198" customFormat="1" x14ac:dyDescent="0.25">
      <c r="A518" s="290" t="str">
        <f t="shared" si="82"/>
        <v>Hudson View Park</v>
      </c>
      <c r="B518" s="195">
        <f t="shared" si="80"/>
        <v>420</v>
      </c>
      <c r="C518" s="196" t="str">
        <f t="shared" si="81"/>
        <v>Occ</v>
      </c>
      <c r="D518" s="196" t="e" cm="1">
        <f t="array" ref="D518">INDEX($C$5:$C$61,MATCH(1,(K518=$D$5:$D$61)*(A518=$B$5:$B$61),0))</f>
        <v>#N/A</v>
      </c>
      <c r="E518" s="196" t="e" cm="1">
        <f t="array" ref="E518">INDEX($E$5:$E$61,MATCH(1,(D518=$C$5:$C$61)*(A518=$B$5:$B$61),0))</f>
        <v>#N/A</v>
      </c>
      <c r="F518" s="196" t="e" cm="1">
        <f t="array" ref="F518">INDEX($F$5:$F$61,MATCH(1,(D518=$C$5:$C$61)*(A518=$B$5:$B$61),0))</f>
        <v>#N/A</v>
      </c>
      <c r="G518" s="196" t="e" cm="1">
        <f t="array" ref="G518">INDEX($G$5:$G$61,MATCH(1,(D518=$C$5:$C$61)*(A518=$B$5:$B$61),0))</f>
        <v>#N/A</v>
      </c>
      <c r="H518" s="196" t="e" cm="1">
        <f t="array" ref="H518">INDEX($H$5:$H$61,MATCH(1,(D518=$C$5:$C$61)*(A518=$B$5:$B$61),0))</f>
        <v>#N/A</v>
      </c>
      <c r="I518" s="196" t="e" cm="1">
        <f t="array" ref="I518">INDEX($I$5:$I$61,MATCH(1,(D518=$C$5:$C$61)*(A518=$B$5:$B$61),0))</f>
        <v>#N/A</v>
      </c>
      <c r="J518" s="273"/>
      <c r="K518" s="273"/>
      <c r="L518" s="272"/>
      <c r="M518" s="273"/>
      <c r="N518" s="197"/>
      <c r="O518" s="200">
        <f t="shared" si="75"/>
        <v>0</v>
      </c>
      <c r="P518" s="274"/>
      <c r="Q518" s="274"/>
      <c r="R518" s="276"/>
      <c r="S518" s="274"/>
      <c r="T518" s="197">
        <f t="shared" si="76"/>
        <v>0</v>
      </c>
      <c r="U518" s="197">
        <f t="shared" si="77"/>
        <v>0</v>
      </c>
      <c r="V518" s="197">
        <f t="shared" si="78"/>
        <v>0</v>
      </c>
      <c r="W518" s="197">
        <f t="shared" si="79"/>
        <v>0</v>
      </c>
      <c r="Z518" s="197"/>
      <c r="AA518" s="228"/>
      <c r="AB518" s="228"/>
      <c r="AD518" s="228"/>
      <c r="AE518" s="228"/>
      <c r="AF518" s="228"/>
      <c r="AG518" s="228"/>
      <c r="AH518" s="228"/>
      <c r="AI518" s="228"/>
      <c r="AJ518" s="228"/>
      <c r="AK51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</row>
    <row r="519" spans="1:64" s="198" customFormat="1" x14ac:dyDescent="0.25">
      <c r="A519" s="290" t="str">
        <f t="shared" si="82"/>
        <v>Hudson View Park</v>
      </c>
      <c r="B519" s="195">
        <f t="shared" si="80"/>
        <v>421</v>
      </c>
      <c r="C519" s="196" t="str">
        <f t="shared" si="81"/>
        <v>Occ</v>
      </c>
      <c r="D519" s="196" t="e" cm="1">
        <f t="array" ref="D519">INDEX($C$5:$C$61,MATCH(1,(K519=$D$5:$D$61)*(A519=$B$5:$B$61),0))</f>
        <v>#N/A</v>
      </c>
      <c r="E519" s="196" t="e" cm="1">
        <f t="array" ref="E519">INDEX($E$5:$E$61,MATCH(1,(D519=$C$5:$C$61)*(A519=$B$5:$B$61),0))</f>
        <v>#N/A</v>
      </c>
      <c r="F519" s="196" t="e" cm="1">
        <f t="array" ref="F519">INDEX($F$5:$F$61,MATCH(1,(D519=$C$5:$C$61)*(A519=$B$5:$B$61),0))</f>
        <v>#N/A</v>
      </c>
      <c r="G519" s="196" t="e" cm="1">
        <f t="array" ref="G519">INDEX($G$5:$G$61,MATCH(1,(D519=$C$5:$C$61)*(A519=$B$5:$B$61),0))</f>
        <v>#N/A</v>
      </c>
      <c r="H519" s="196" t="e" cm="1">
        <f t="array" ref="H519">INDEX($H$5:$H$61,MATCH(1,(D519=$C$5:$C$61)*(A519=$B$5:$B$61),0))</f>
        <v>#N/A</v>
      </c>
      <c r="I519" s="196" t="e" cm="1">
        <f t="array" ref="I519">INDEX($I$5:$I$61,MATCH(1,(D519=$C$5:$C$61)*(A519=$B$5:$B$61),0))</f>
        <v>#N/A</v>
      </c>
      <c r="J519" s="273"/>
      <c r="K519" s="273"/>
      <c r="L519" s="272"/>
      <c r="M519" s="273"/>
      <c r="N519" s="197"/>
      <c r="O519" s="200">
        <f t="shared" si="75"/>
        <v>0</v>
      </c>
      <c r="P519" s="274"/>
      <c r="Q519" s="274"/>
      <c r="R519" s="276"/>
      <c r="S519" s="274"/>
      <c r="T519" s="197">
        <f t="shared" si="76"/>
        <v>0</v>
      </c>
      <c r="U519" s="197">
        <f t="shared" si="77"/>
        <v>0</v>
      </c>
      <c r="V519" s="197">
        <f t="shared" si="78"/>
        <v>0</v>
      </c>
      <c r="W519" s="197">
        <f t="shared" si="79"/>
        <v>0</v>
      </c>
      <c r="Z519" s="197"/>
      <c r="AA519" s="228"/>
      <c r="AB519" s="228"/>
      <c r="AD519" s="228"/>
      <c r="AE519" s="228"/>
      <c r="AF519" s="228"/>
      <c r="AG519" s="228"/>
      <c r="AH519" s="228"/>
      <c r="AI519" s="228"/>
      <c r="AJ519" s="228"/>
      <c r="AK519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</row>
    <row r="520" spans="1:64" s="198" customFormat="1" x14ac:dyDescent="0.25">
      <c r="A520" s="290" t="str">
        <f t="shared" si="82"/>
        <v>Hudson View Park</v>
      </c>
      <c r="B520" s="195">
        <f t="shared" si="80"/>
        <v>422</v>
      </c>
      <c r="C520" s="196" t="str">
        <f t="shared" si="81"/>
        <v>Occ</v>
      </c>
      <c r="D520" s="196" t="e" cm="1">
        <f t="array" ref="D520">INDEX($C$5:$C$61,MATCH(1,(K520=$D$5:$D$61)*(A520=$B$5:$B$61),0))</f>
        <v>#N/A</v>
      </c>
      <c r="E520" s="196" t="e" cm="1">
        <f t="array" ref="E520">INDEX($E$5:$E$61,MATCH(1,(D520=$C$5:$C$61)*(A520=$B$5:$B$61),0))</f>
        <v>#N/A</v>
      </c>
      <c r="F520" s="196" t="e" cm="1">
        <f t="array" ref="F520">INDEX($F$5:$F$61,MATCH(1,(D520=$C$5:$C$61)*(A520=$B$5:$B$61),0))</f>
        <v>#N/A</v>
      </c>
      <c r="G520" s="196" t="e" cm="1">
        <f t="array" ref="G520">INDEX($G$5:$G$61,MATCH(1,(D520=$C$5:$C$61)*(A520=$B$5:$B$61),0))</f>
        <v>#N/A</v>
      </c>
      <c r="H520" s="196" t="e" cm="1">
        <f t="array" ref="H520">INDEX($H$5:$H$61,MATCH(1,(D520=$C$5:$C$61)*(A520=$B$5:$B$61),0))</f>
        <v>#N/A</v>
      </c>
      <c r="I520" s="196" t="e" cm="1">
        <f t="array" ref="I520">INDEX($I$5:$I$61,MATCH(1,(D520=$C$5:$C$61)*(A520=$B$5:$B$61),0))</f>
        <v>#N/A</v>
      </c>
      <c r="J520" s="273"/>
      <c r="K520" s="273"/>
      <c r="L520" s="272"/>
      <c r="M520" s="273"/>
      <c r="N520" s="197"/>
      <c r="O520" s="200">
        <f t="shared" si="75"/>
        <v>0</v>
      </c>
      <c r="P520" s="274"/>
      <c r="Q520" s="274"/>
      <c r="R520" s="276"/>
      <c r="S520" s="274"/>
      <c r="T520" s="197">
        <f t="shared" si="76"/>
        <v>0</v>
      </c>
      <c r="U520" s="197">
        <f t="shared" si="77"/>
        <v>0</v>
      </c>
      <c r="V520" s="197">
        <f t="shared" si="78"/>
        <v>0</v>
      </c>
      <c r="W520" s="197">
        <f t="shared" si="79"/>
        <v>0</v>
      </c>
      <c r="Z520" s="197"/>
      <c r="AA520" s="228"/>
      <c r="AB520" s="228"/>
      <c r="AD520" s="228"/>
      <c r="AE520" s="228"/>
      <c r="AF520" s="228"/>
      <c r="AG520" s="228"/>
      <c r="AH520" s="228"/>
      <c r="AI520" s="228"/>
      <c r="AJ520" s="228"/>
      <c r="AK520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</row>
    <row r="521" spans="1:64" s="198" customFormat="1" x14ac:dyDescent="0.25">
      <c r="A521" s="290" t="str">
        <f t="shared" si="82"/>
        <v>Hudson View Park</v>
      </c>
      <c r="B521" s="195">
        <f t="shared" si="80"/>
        <v>423</v>
      </c>
      <c r="C521" s="196" t="str">
        <f t="shared" si="81"/>
        <v>Occ</v>
      </c>
      <c r="D521" s="196" t="e" cm="1">
        <f t="array" ref="D521">INDEX($C$5:$C$61,MATCH(1,(K521=$D$5:$D$61)*(A521=$B$5:$B$61),0))</f>
        <v>#N/A</v>
      </c>
      <c r="E521" s="196" t="e" cm="1">
        <f t="array" ref="E521">INDEX($E$5:$E$61,MATCH(1,(D521=$C$5:$C$61)*(A521=$B$5:$B$61),0))</f>
        <v>#N/A</v>
      </c>
      <c r="F521" s="196" t="e" cm="1">
        <f t="array" ref="F521">INDEX($F$5:$F$61,MATCH(1,(D521=$C$5:$C$61)*(A521=$B$5:$B$61),0))</f>
        <v>#N/A</v>
      </c>
      <c r="G521" s="196" t="e" cm="1">
        <f t="array" ref="G521">INDEX($G$5:$G$61,MATCH(1,(D521=$C$5:$C$61)*(A521=$B$5:$B$61),0))</f>
        <v>#N/A</v>
      </c>
      <c r="H521" s="196" t="e" cm="1">
        <f t="array" ref="H521">INDEX($H$5:$H$61,MATCH(1,(D521=$C$5:$C$61)*(A521=$B$5:$B$61),0))</f>
        <v>#N/A</v>
      </c>
      <c r="I521" s="196" t="e" cm="1">
        <f t="array" ref="I521">INDEX($I$5:$I$61,MATCH(1,(D521=$C$5:$C$61)*(A521=$B$5:$B$61),0))</f>
        <v>#N/A</v>
      </c>
      <c r="J521" s="273"/>
      <c r="K521" s="273"/>
      <c r="L521" s="272"/>
      <c r="M521" s="273"/>
      <c r="N521" s="197"/>
      <c r="O521" s="200">
        <f t="shared" si="75"/>
        <v>0</v>
      </c>
      <c r="P521" s="274"/>
      <c r="Q521" s="274"/>
      <c r="R521" s="276"/>
      <c r="S521" s="274"/>
      <c r="T521" s="197">
        <f t="shared" si="76"/>
        <v>0</v>
      </c>
      <c r="U521" s="197">
        <f t="shared" si="77"/>
        <v>0</v>
      </c>
      <c r="V521" s="197">
        <f t="shared" si="78"/>
        <v>0</v>
      </c>
      <c r="W521" s="197">
        <f t="shared" si="79"/>
        <v>0</v>
      </c>
      <c r="Z521" s="197"/>
      <c r="AA521" s="228"/>
      <c r="AB521" s="228"/>
      <c r="AD521" s="228"/>
      <c r="AE521" s="228"/>
      <c r="AF521" s="228"/>
      <c r="AG521" s="228"/>
      <c r="AH521" s="228"/>
      <c r="AI521" s="228"/>
      <c r="AJ521" s="228"/>
      <c r="AK521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</row>
    <row r="522" spans="1:64" s="198" customFormat="1" x14ac:dyDescent="0.25">
      <c r="A522" s="290" t="str">
        <f t="shared" si="82"/>
        <v>Hudson View Park</v>
      </c>
      <c r="B522" s="195">
        <f t="shared" si="80"/>
        <v>424</v>
      </c>
      <c r="C522" s="196" t="str">
        <f t="shared" si="81"/>
        <v>Occ</v>
      </c>
      <c r="D522" s="196" t="e" cm="1">
        <f t="array" ref="D522">INDEX($C$5:$C$61,MATCH(1,(K522=$D$5:$D$61)*(A522=$B$5:$B$61),0))</f>
        <v>#N/A</v>
      </c>
      <c r="E522" s="196" t="e" cm="1">
        <f t="array" ref="E522">INDEX($E$5:$E$61,MATCH(1,(D522=$C$5:$C$61)*(A522=$B$5:$B$61),0))</f>
        <v>#N/A</v>
      </c>
      <c r="F522" s="196" t="e" cm="1">
        <f t="array" ref="F522">INDEX($F$5:$F$61,MATCH(1,(D522=$C$5:$C$61)*(A522=$B$5:$B$61),0))</f>
        <v>#N/A</v>
      </c>
      <c r="G522" s="196" t="e" cm="1">
        <f t="array" ref="G522">INDEX($G$5:$G$61,MATCH(1,(D522=$C$5:$C$61)*(A522=$B$5:$B$61),0))</f>
        <v>#N/A</v>
      </c>
      <c r="H522" s="196" t="e" cm="1">
        <f t="array" ref="H522">INDEX($H$5:$H$61,MATCH(1,(D522=$C$5:$C$61)*(A522=$B$5:$B$61),0))</f>
        <v>#N/A</v>
      </c>
      <c r="I522" s="196" t="e" cm="1">
        <f t="array" ref="I522">INDEX($I$5:$I$61,MATCH(1,(D522=$C$5:$C$61)*(A522=$B$5:$B$61),0))</f>
        <v>#N/A</v>
      </c>
      <c r="J522" s="273"/>
      <c r="K522" s="273"/>
      <c r="L522" s="272"/>
      <c r="M522" s="273"/>
      <c r="N522" s="197"/>
      <c r="O522" s="200">
        <f t="shared" si="75"/>
        <v>0</v>
      </c>
      <c r="P522" s="274"/>
      <c r="Q522" s="274"/>
      <c r="R522" s="276"/>
      <c r="S522" s="274"/>
      <c r="T522" s="197">
        <f t="shared" si="76"/>
        <v>0</v>
      </c>
      <c r="U522" s="197">
        <f t="shared" si="77"/>
        <v>0</v>
      </c>
      <c r="V522" s="197">
        <f t="shared" si="78"/>
        <v>0</v>
      </c>
      <c r="W522" s="197">
        <f t="shared" si="79"/>
        <v>0</v>
      </c>
      <c r="Z522" s="197"/>
      <c r="AA522" s="228"/>
      <c r="AB522" s="228"/>
      <c r="AD522" s="228"/>
      <c r="AE522" s="228"/>
      <c r="AF522" s="228"/>
      <c r="AG522" s="228"/>
      <c r="AH522" s="228"/>
      <c r="AI522" s="228"/>
      <c r="AJ522" s="228"/>
      <c r="AK522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</row>
    <row r="523" spans="1:64" s="198" customFormat="1" x14ac:dyDescent="0.25">
      <c r="A523" s="290" t="str">
        <f t="shared" si="82"/>
        <v>Hudson View Park</v>
      </c>
      <c r="B523" s="195">
        <f t="shared" si="80"/>
        <v>425</v>
      </c>
      <c r="C523" s="196" t="str">
        <f t="shared" si="81"/>
        <v>Occ</v>
      </c>
      <c r="D523" s="196" t="e" cm="1">
        <f t="array" ref="D523">INDEX($C$5:$C$61,MATCH(1,(K523=$D$5:$D$61)*(A523=$B$5:$B$61),0))</f>
        <v>#N/A</v>
      </c>
      <c r="E523" s="196" t="e" cm="1">
        <f t="array" ref="E523">INDEX($E$5:$E$61,MATCH(1,(D523=$C$5:$C$61)*(A523=$B$5:$B$61),0))</f>
        <v>#N/A</v>
      </c>
      <c r="F523" s="196" t="e" cm="1">
        <f t="array" ref="F523">INDEX($F$5:$F$61,MATCH(1,(D523=$C$5:$C$61)*(A523=$B$5:$B$61),0))</f>
        <v>#N/A</v>
      </c>
      <c r="G523" s="196" t="e" cm="1">
        <f t="array" ref="G523">INDEX($G$5:$G$61,MATCH(1,(D523=$C$5:$C$61)*(A523=$B$5:$B$61),0))</f>
        <v>#N/A</v>
      </c>
      <c r="H523" s="196" t="e" cm="1">
        <f t="array" ref="H523">INDEX($H$5:$H$61,MATCH(1,(D523=$C$5:$C$61)*(A523=$B$5:$B$61),0))</f>
        <v>#N/A</v>
      </c>
      <c r="I523" s="196" t="e" cm="1">
        <f t="array" ref="I523">INDEX($I$5:$I$61,MATCH(1,(D523=$C$5:$C$61)*(A523=$B$5:$B$61),0))</f>
        <v>#N/A</v>
      </c>
      <c r="J523" s="273"/>
      <c r="K523" s="273"/>
      <c r="L523" s="272"/>
      <c r="M523" s="273"/>
      <c r="N523" s="197"/>
      <c r="O523" s="200">
        <f t="shared" si="75"/>
        <v>0</v>
      </c>
      <c r="P523" s="274"/>
      <c r="Q523" s="274"/>
      <c r="R523" s="276"/>
      <c r="S523" s="274"/>
      <c r="T523" s="197">
        <f t="shared" si="76"/>
        <v>0</v>
      </c>
      <c r="U523" s="197">
        <f t="shared" si="77"/>
        <v>0</v>
      </c>
      <c r="V523" s="197">
        <f t="shared" si="78"/>
        <v>0</v>
      </c>
      <c r="W523" s="197">
        <f t="shared" si="79"/>
        <v>0</v>
      </c>
      <c r="Z523" s="197"/>
      <c r="AA523" s="228"/>
      <c r="AB523" s="228"/>
      <c r="AD523" s="228"/>
      <c r="AE523" s="228"/>
      <c r="AF523" s="228"/>
      <c r="AG523" s="228"/>
      <c r="AH523" s="228"/>
      <c r="AI523" s="228"/>
      <c r="AJ523" s="228"/>
      <c r="AK523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</row>
    <row r="524" spans="1:64" s="198" customFormat="1" x14ac:dyDescent="0.25">
      <c r="A524" s="290" t="str">
        <f t="shared" si="82"/>
        <v>Hudson View Park</v>
      </c>
      <c r="B524" s="195">
        <f t="shared" si="80"/>
        <v>426</v>
      </c>
      <c r="C524" s="196" t="str">
        <f t="shared" si="81"/>
        <v>Occ</v>
      </c>
      <c r="D524" s="196" t="e" cm="1">
        <f t="array" ref="D524">INDEX($C$5:$C$61,MATCH(1,(K524=$D$5:$D$61)*(A524=$B$5:$B$61),0))</f>
        <v>#N/A</v>
      </c>
      <c r="E524" s="196" t="e" cm="1">
        <f t="array" ref="E524">INDEX($E$5:$E$61,MATCH(1,(D524=$C$5:$C$61)*(A524=$B$5:$B$61),0))</f>
        <v>#N/A</v>
      </c>
      <c r="F524" s="196" t="e" cm="1">
        <f t="array" ref="F524">INDEX($F$5:$F$61,MATCH(1,(D524=$C$5:$C$61)*(A524=$B$5:$B$61),0))</f>
        <v>#N/A</v>
      </c>
      <c r="G524" s="196" t="e" cm="1">
        <f t="array" ref="G524">INDEX($G$5:$G$61,MATCH(1,(D524=$C$5:$C$61)*(A524=$B$5:$B$61),0))</f>
        <v>#N/A</v>
      </c>
      <c r="H524" s="196" t="e" cm="1">
        <f t="array" ref="H524">INDEX($H$5:$H$61,MATCH(1,(D524=$C$5:$C$61)*(A524=$B$5:$B$61),0))</f>
        <v>#N/A</v>
      </c>
      <c r="I524" s="196" t="e" cm="1">
        <f t="array" ref="I524">INDEX($I$5:$I$61,MATCH(1,(D524=$C$5:$C$61)*(A524=$B$5:$B$61),0))</f>
        <v>#N/A</v>
      </c>
      <c r="J524" s="273"/>
      <c r="K524" s="273"/>
      <c r="L524" s="272"/>
      <c r="M524" s="273"/>
      <c r="N524" s="197"/>
      <c r="O524" s="200">
        <f t="shared" si="75"/>
        <v>0</v>
      </c>
      <c r="P524" s="274"/>
      <c r="Q524" s="274"/>
      <c r="R524" s="276"/>
      <c r="S524" s="274"/>
      <c r="T524" s="197">
        <f t="shared" si="76"/>
        <v>0</v>
      </c>
      <c r="U524" s="197">
        <f t="shared" si="77"/>
        <v>0</v>
      </c>
      <c r="V524" s="197">
        <f t="shared" si="78"/>
        <v>0</v>
      </c>
      <c r="W524" s="197">
        <f t="shared" si="79"/>
        <v>0</v>
      </c>
      <c r="Z524" s="197"/>
      <c r="AA524" s="228"/>
      <c r="AB524" s="228"/>
      <c r="AD524" s="228"/>
      <c r="AE524" s="228"/>
      <c r="AF524" s="228"/>
      <c r="AG524" s="228"/>
      <c r="AH524" s="228"/>
      <c r="AI524" s="228"/>
      <c r="AJ524" s="228"/>
      <c r="AK524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</row>
    <row r="525" spans="1:64" s="198" customFormat="1" x14ac:dyDescent="0.25">
      <c r="A525" s="290" t="str">
        <f t="shared" si="82"/>
        <v>Hudson View Park</v>
      </c>
      <c r="B525" s="195">
        <f t="shared" si="80"/>
        <v>427</v>
      </c>
      <c r="C525" s="196" t="str">
        <f t="shared" si="81"/>
        <v>Occ</v>
      </c>
      <c r="D525" s="196" t="e" cm="1">
        <f t="array" ref="D525">INDEX($C$5:$C$61,MATCH(1,(K525=$D$5:$D$61)*(A525=$B$5:$B$61),0))</f>
        <v>#N/A</v>
      </c>
      <c r="E525" s="196" t="e" cm="1">
        <f t="array" ref="E525">INDEX($E$5:$E$61,MATCH(1,(D525=$C$5:$C$61)*(A525=$B$5:$B$61),0))</f>
        <v>#N/A</v>
      </c>
      <c r="F525" s="196" t="e" cm="1">
        <f t="array" ref="F525">INDEX($F$5:$F$61,MATCH(1,(D525=$C$5:$C$61)*(A525=$B$5:$B$61),0))</f>
        <v>#N/A</v>
      </c>
      <c r="G525" s="196" t="e" cm="1">
        <f t="array" ref="G525">INDEX($G$5:$G$61,MATCH(1,(D525=$C$5:$C$61)*(A525=$B$5:$B$61),0))</f>
        <v>#N/A</v>
      </c>
      <c r="H525" s="196" t="e" cm="1">
        <f t="array" ref="H525">INDEX($H$5:$H$61,MATCH(1,(D525=$C$5:$C$61)*(A525=$B$5:$B$61),0))</f>
        <v>#N/A</v>
      </c>
      <c r="I525" s="196" t="e" cm="1">
        <f t="array" ref="I525">INDEX($I$5:$I$61,MATCH(1,(D525=$C$5:$C$61)*(A525=$B$5:$B$61),0))</f>
        <v>#N/A</v>
      </c>
      <c r="J525" s="273"/>
      <c r="K525" s="273"/>
      <c r="L525" s="272"/>
      <c r="M525" s="273"/>
      <c r="N525" s="197"/>
      <c r="O525" s="200">
        <f t="shared" si="75"/>
        <v>0</v>
      </c>
      <c r="P525" s="274"/>
      <c r="Q525" s="274"/>
      <c r="R525" s="276"/>
      <c r="S525" s="274"/>
      <c r="T525" s="197">
        <f t="shared" si="76"/>
        <v>0</v>
      </c>
      <c r="U525" s="197">
        <f t="shared" si="77"/>
        <v>0</v>
      </c>
      <c r="V525" s="197">
        <f t="shared" si="78"/>
        <v>0</v>
      </c>
      <c r="W525" s="197">
        <f t="shared" si="79"/>
        <v>0</v>
      </c>
      <c r="Z525" s="197"/>
      <c r="AA525" s="228"/>
      <c r="AB525" s="228"/>
      <c r="AD525" s="228"/>
      <c r="AE525" s="228"/>
      <c r="AF525" s="228"/>
      <c r="AG525" s="228"/>
      <c r="AH525" s="228"/>
      <c r="AI525" s="228"/>
      <c r="AJ525" s="228"/>
      <c r="AK525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</row>
    <row r="526" spans="1:64" s="198" customFormat="1" x14ac:dyDescent="0.25">
      <c r="A526" s="290" t="str">
        <f t="shared" si="82"/>
        <v>Hudson View Park</v>
      </c>
      <c r="B526" s="195">
        <f t="shared" si="80"/>
        <v>428</v>
      </c>
      <c r="C526" s="196" t="str">
        <f t="shared" si="81"/>
        <v>Occ</v>
      </c>
      <c r="D526" s="196" t="e" cm="1">
        <f t="array" ref="D526">INDEX($C$5:$C$61,MATCH(1,(K526=$D$5:$D$61)*(A526=$B$5:$B$61),0))</f>
        <v>#N/A</v>
      </c>
      <c r="E526" s="196" t="e" cm="1">
        <f t="array" ref="E526">INDEX($E$5:$E$61,MATCH(1,(D526=$C$5:$C$61)*(A526=$B$5:$B$61),0))</f>
        <v>#N/A</v>
      </c>
      <c r="F526" s="196" t="e" cm="1">
        <f t="array" ref="F526">INDEX($F$5:$F$61,MATCH(1,(D526=$C$5:$C$61)*(A526=$B$5:$B$61),0))</f>
        <v>#N/A</v>
      </c>
      <c r="G526" s="196" t="e" cm="1">
        <f t="array" ref="G526">INDEX($G$5:$G$61,MATCH(1,(D526=$C$5:$C$61)*(A526=$B$5:$B$61),0))</f>
        <v>#N/A</v>
      </c>
      <c r="H526" s="196" t="e" cm="1">
        <f t="array" ref="H526">INDEX($H$5:$H$61,MATCH(1,(D526=$C$5:$C$61)*(A526=$B$5:$B$61),0))</f>
        <v>#N/A</v>
      </c>
      <c r="I526" s="196" t="e" cm="1">
        <f t="array" ref="I526">INDEX($I$5:$I$61,MATCH(1,(D526=$C$5:$C$61)*(A526=$B$5:$B$61),0))</f>
        <v>#N/A</v>
      </c>
      <c r="J526" s="273"/>
      <c r="K526" s="273"/>
      <c r="L526" s="272"/>
      <c r="M526" s="273"/>
      <c r="N526" s="197"/>
      <c r="O526" s="200">
        <f t="shared" si="75"/>
        <v>0</v>
      </c>
      <c r="P526" s="274"/>
      <c r="Q526" s="274"/>
      <c r="R526" s="276"/>
      <c r="S526" s="274"/>
      <c r="T526" s="197">
        <f t="shared" si="76"/>
        <v>0</v>
      </c>
      <c r="U526" s="197">
        <f t="shared" si="77"/>
        <v>0</v>
      </c>
      <c r="V526" s="197">
        <f t="shared" si="78"/>
        <v>0</v>
      </c>
      <c r="W526" s="197">
        <f t="shared" si="79"/>
        <v>0</v>
      </c>
      <c r="Z526" s="197"/>
      <c r="AA526" s="228"/>
      <c r="AB526" s="228"/>
      <c r="AD526" s="228"/>
      <c r="AE526" s="228"/>
      <c r="AF526" s="228"/>
      <c r="AG526" s="228"/>
      <c r="AH526" s="228"/>
      <c r="AI526" s="228"/>
      <c r="AJ526" s="228"/>
      <c r="AK526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</row>
    <row r="527" spans="1:64" s="198" customFormat="1" x14ac:dyDescent="0.25">
      <c r="A527" s="290" t="str">
        <f t="shared" si="82"/>
        <v>Hudson View Park</v>
      </c>
      <c r="B527" s="195">
        <f t="shared" si="80"/>
        <v>429</v>
      </c>
      <c r="C527" s="196" t="str">
        <f t="shared" si="81"/>
        <v>Occ</v>
      </c>
      <c r="D527" s="196" t="e" cm="1">
        <f t="array" ref="D527">INDEX($C$5:$C$61,MATCH(1,(K527=$D$5:$D$61)*(A527=$B$5:$B$61),0))</f>
        <v>#N/A</v>
      </c>
      <c r="E527" s="196" t="e" cm="1">
        <f t="array" ref="E527">INDEX($E$5:$E$61,MATCH(1,(D527=$C$5:$C$61)*(A527=$B$5:$B$61),0))</f>
        <v>#N/A</v>
      </c>
      <c r="F527" s="196" t="e" cm="1">
        <f t="array" ref="F527">INDEX($F$5:$F$61,MATCH(1,(D527=$C$5:$C$61)*(A527=$B$5:$B$61),0))</f>
        <v>#N/A</v>
      </c>
      <c r="G527" s="196" t="e" cm="1">
        <f t="array" ref="G527">INDEX($G$5:$G$61,MATCH(1,(D527=$C$5:$C$61)*(A527=$B$5:$B$61),0))</f>
        <v>#N/A</v>
      </c>
      <c r="H527" s="196" t="e" cm="1">
        <f t="array" ref="H527">INDEX($H$5:$H$61,MATCH(1,(D527=$C$5:$C$61)*(A527=$B$5:$B$61),0))</f>
        <v>#N/A</v>
      </c>
      <c r="I527" s="196" t="e" cm="1">
        <f t="array" ref="I527">INDEX($I$5:$I$61,MATCH(1,(D527=$C$5:$C$61)*(A527=$B$5:$B$61),0))</f>
        <v>#N/A</v>
      </c>
      <c r="J527" s="273"/>
      <c r="K527" s="273"/>
      <c r="L527" s="272"/>
      <c r="M527" s="273"/>
      <c r="N527" s="197"/>
      <c r="O527" s="200">
        <f t="shared" si="75"/>
        <v>0</v>
      </c>
      <c r="P527" s="274"/>
      <c r="Q527" s="274"/>
      <c r="R527" s="276"/>
      <c r="S527" s="274"/>
      <c r="T527" s="197">
        <f t="shared" si="76"/>
        <v>0</v>
      </c>
      <c r="U527" s="197">
        <f t="shared" si="77"/>
        <v>0</v>
      </c>
      <c r="V527" s="197">
        <f t="shared" si="78"/>
        <v>0</v>
      </c>
      <c r="W527" s="197">
        <f t="shared" si="79"/>
        <v>0</v>
      </c>
      <c r="Z527" s="197"/>
      <c r="AA527" s="228"/>
      <c r="AB527" s="228"/>
      <c r="AD527" s="228"/>
      <c r="AE527" s="228"/>
      <c r="AF527" s="228"/>
      <c r="AG527" s="228"/>
      <c r="AH527" s="228"/>
      <c r="AI527" s="228"/>
      <c r="AJ527" s="228"/>
      <c r="AK527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</row>
    <row r="528" spans="1:64" s="198" customFormat="1" x14ac:dyDescent="0.25">
      <c r="A528" s="290" t="str">
        <f t="shared" si="82"/>
        <v>Hudson View Park</v>
      </c>
      <c r="B528" s="195">
        <f t="shared" si="80"/>
        <v>430</v>
      </c>
      <c r="C528" s="196" t="str">
        <f t="shared" si="81"/>
        <v>Occ</v>
      </c>
      <c r="D528" s="196" t="e" cm="1">
        <f t="array" ref="D528">INDEX($C$5:$C$61,MATCH(1,(K528=$D$5:$D$61)*(A528=$B$5:$B$61),0))</f>
        <v>#N/A</v>
      </c>
      <c r="E528" s="196" t="e" cm="1">
        <f t="array" ref="E528">INDEX($E$5:$E$61,MATCH(1,(D528=$C$5:$C$61)*(A528=$B$5:$B$61),0))</f>
        <v>#N/A</v>
      </c>
      <c r="F528" s="196" t="e" cm="1">
        <f t="array" ref="F528">INDEX($F$5:$F$61,MATCH(1,(D528=$C$5:$C$61)*(A528=$B$5:$B$61),0))</f>
        <v>#N/A</v>
      </c>
      <c r="G528" s="196" t="e" cm="1">
        <f t="array" ref="G528">INDEX($G$5:$G$61,MATCH(1,(D528=$C$5:$C$61)*(A528=$B$5:$B$61),0))</f>
        <v>#N/A</v>
      </c>
      <c r="H528" s="196" t="e" cm="1">
        <f t="array" ref="H528">INDEX($H$5:$H$61,MATCH(1,(D528=$C$5:$C$61)*(A528=$B$5:$B$61),0))</f>
        <v>#N/A</v>
      </c>
      <c r="I528" s="196" t="e" cm="1">
        <f t="array" ref="I528">INDEX($I$5:$I$61,MATCH(1,(D528=$C$5:$C$61)*(A528=$B$5:$B$61),0))</f>
        <v>#N/A</v>
      </c>
      <c r="J528" s="273"/>
      <c r="K528" s="273"/>
      <c r="L528" s="272"/>
      <c r="M528" s="273"/>
      <c r="N528" s="197"/>
      <c r="O528" s="200">
        <f t="shared" si="75"/>
        <v>0</v>
      </c>
      <c r="P528" s="274"/>
      <c r="Q528" s="274"/>
      <c r="R528" s="276"/>
      <c r="S528" s="274"/>
      <c r="T528" s="197">
        <f t="shared" si="76"/>
        <v>0</v>
      </c>
      <c r="U528" s="197">
        <f t="shared" si="77"/>
        <v>0</v>
      </c>
      <c r="V528" s="197">
        <f t="shared" si="78"/>
        <v>0</v>
      </c>
      <c r="W528" s="197">
        <f t="shared" si="79"/>
        <v>0</v>
      </c>
      <c r="Z528" s="197"/>
      <c r="AA528" s="228"/>
      <c r="AB528" s="228"/>
      <c r="AD528" s="228"/>
      <c r="AE528" s="228"/>
      <c r="AF528" s="228"/>
      <c r="AG528" s="228"/>
      <c r="AH528" s="228"/>
      <c r="AI528" s="228"/>
      <c r="AJ528" s="228"/>
      <c r="AK5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</row>
    <row r="529" spans="1:64" s="198" customFormat="1" x14ac:dyDescent="0.25">
      <c r="A529" s="290" t="str">
        <f t="shared" si="82"/>
        <v>Hudson View Park</v>
      </c>
      <c r="B529" s="195">
        <f t="shared" si="80"/>
        <v>431</v>
      </c>
      <c r="C529" s="196" t="str">
        <f t="shared" si="81"/>
        <v>Occ</v>
      </c>
      <c r="D529" s="196" t="e" cm="1">
        <f t="array" ref="D529">INDEX($C$5:$C$61,MATCH(1,(K529=$D$5:$D$61)*(A529=$B$5:$B$61),0))</f>
        <v>#N/A</v>
      </c>
      <c r="E529" s="196" t="e" cm="1">
        <f t="array" ref="E529">INDEX($E$5:$E$61,MATCH(1,(D529=$C$5:$C$61)*(A529=$B$5:$B$61),0))</f>
        <v>#N/A</v>
      </c>
      <c r="F529" s="196" t="e" cm="1">
        <f t="array" ref="F529">INDEX($F$5:$F$61,MATCH(1,(D529=$C$5:$C$61)*(A529=$B$5:$B$61),0))</f>
        <v>#N/A</v>
      </c>
      <c r="G529" s="196" t="e" cm="1">
        <f t="array" ref="G529">INDEX($G$5:$G$61,MATCH(1,(D529=$C$5:$C$61)*(A529=$B$5:$B$61),0))</f>
        <v>#N/A</v>
      </c>
      <c r="H529" s="196" t="e" cm="1">
        <f t="array" ref="H529">INDEX($H$5:$H$61,MATCH(1,(D529=$C$5:$C$61)*(A529=$B$5:$B$61),0))</f>
        <v>#N/A</v>
      </c>
      <c r="I529" s="196" t="e" cm="1">
        <f t="array" ref="I529">INDEX($I$5:$I$61,MATCH(1,(D529=$C$5:$C$61)*(A529=$B$5:$B$61),0))</f>
        <v>#N/A</v>
      </c>
      <c r="J529" s="273"/>
      <c r="K529" s="273"/>
      <c r="L529" s="272"/>
      <c r="M529" s="273"/>
      <c r="N529" s="197"/>
      <c r="O529" s="200">
        <f t="shared" si="75"/>
        <v>0</v>
      </c>
      <c r="P529" s="274"/>
      <c r="Q529" s="274"/>
      <c r="R529" s="276"/>
      <c r="S529" s="274"/>
      <c r="T529" s="197">
        <f t="shared" si="76"/>
        <v>0</v>
      </c>
      <c r="U529" s="197">
        <f t="shared" si="77"/>
        <v>0</v>
      </c>
      <c r="V529" s="197">
        <f t="shared" si="78"/>
        <v>0</v>
      </c>
      <c r="W529" s="197">
        <f t="shared" si="79"/>
        <v>0</v>
      </c>
      <c r="Z529" s="197"/>
      <c r="AA529" s="228"/>
      <c r="AB529" s="228"/>
      <c r="AD529" s="228"/>
      <c r="AE529" s="228"/>
      <c r="AF529" s="228"/>
      <c r="AG529" s="228"/>
      <c r="AH529" s="228"/>
      <c r="AI529" s="228"/>
      <c r="AJ529" s="228"/>
      <c r="AK529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</row>
    <row r="530" spans="1:64" s="198" customFormat="1" x14ac:dyDescent="0.25">
      <c r="A530" s="290" t="str">
        <f t="shared" si="82"/>
        <v>Hudson View Park</v>
      </c>
      <c r="B530" s="195">
        <f t="shared" si="80"/>
        <v>432</v>
      </c>
      <c r="C530" s="196" t="str">
        <f t="shared" si="81"/>
        <v>Occ</v>
      </c>
      <c r="D530" s="196" t="e" cm="1">
        <f t="array" ref="D530">INDEX($C$5:$C$61,MATCH(1,(K530=$D$5:$D$61)*(A530=$B$5:$B$61),0))</f>
        <v>#N/A</v>
      </c>
      <c r="E530" s="196" t="e" cm="1">
        <f t="array" ref="E530">INDEX($E$5:$E$61,MATCH(1,(D530=$C$5:$C$61)*(A530=$B$5:$B$61),0))</f>
        <v>#N/A</v>
      </c>
      <c r="F530" s="196" t="e" cm="1">
        <f t="array" ref="F530">INDEX($F$5:$F$61,MATCH(1,(D530=$C$5:$C$61)*(A530=$B$5:$B$61),0))</f>
        <v>#N/A</v>
      </c>
      <c r="G530" s="196" t="e" cm="1">
        <f t="array" ref="G530">INDEX($G$5:$G$61,MATCH(1,(D530=$C$5:$C$61)*(A530=$B$5:$B$61),0))</f>
        <v>#N/A</v>
      </c>
      <c r="H530" s="196" t="e" cm="1">
        <f t="array" ref="H530">INDEX($H$5:$H$61,MATCH(1,(D530=$C$5:$C$61)*(A530=$B$5:$B$61),0))</f>
        <v>#N/A</v>
      </c>
      <c r="I530" s="196" t="e" cm="1">
        <f t="array" ref="I530">INDEX($I$5:$I$61,MATCH(1,(D530=$C$5:$C$61)*(A530=$B$5:$B$61),0))</f>
        <v>#N/A</v>
      </c>
      <c r="J530" s="273"/>
      <c r="K530" s="273"/>
      <c r="L530" s="272"/>
      <c r="M530" s="273"/>
      <c r="N530" s="197"/>
      <c r="O530" s="200">
        <f t="shared" si="75"/>
        <v>0</v>
      </c>
      <c r="P530" s="274"/>
      <c r="Q530" s="274"/>
      <c r="R530" s="276"/>
      <c r="S530" s="274"/>
      <c r="T530" s="197">
        <f t="shared" si="76"/>
        <v>0</v>
      </c>
      <c r="U530" s="197">
        <f t="shared" si="77"/>
        <v>0</v>
      </c>
      <c r="V530" s="197">
        <f t="shared" si="78"/>
        <v>0</v>
      </c>
      <c r="W530" s="197">
        <f t="shared" si="79"/>
        <v>0</v>
      </c>
      <c r="Z530" s="197"/>
      <c r="AA530" s="228"/>
      <c r="AB530" s="228"/>
      <c r="AD530" s="228"/>
      <c r="AE530" s="228"/>
      <c r="AF530" s="228"/>
      <c r="AG530" s="228"/>
      <c r="AH530" s="228"/>
      <c r="AI530" s="228"/>
      <c r="AJ530" s="228"/>
      <c r="AK530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</row>
    <row r="531" spans="1:64" s="198" customFormat="1" x14ac:dyDescent="0.25">
      <c r="A531" s="290" t="str">
        <f t="shared" si="82"/>
        <v>Hudson View Park</v>
      </c>
      <c r="B531" s="195">
        <f t="shared" si="80"/>
        <v>433</v>
      </c>
      <c r="C531" s="196" t="str">
        <f t="shared" si="81"/>
        <v>Occ</v>
      </c>
      <c r="D531" s="196" t="e" cm="1">
        <f t="array" ref="D531">INDEX($C$5:$C$61,MATCH(1,(K531=$D$5:$D$61)*(A531=$B$5:$B$61),0))</f>
        <v>#N/A</v>
      </c>
      <c r="E531" s="196" t="e" cm="1">
        <f t="array" ref="E531">INDEX($E$5:$E$61,MATCH(1,(D531=$C$5:$C$61)*(A531=$B$5:$B$61),0))</f>
        <v>#N/A</v>
      </c>
      <c r="F531" s="196" t="e" cm="1">
        <f t="array" ref="F531">INDEX($F$5:$F$61,MATCH(1,(D531=$C$5:$C$61)*(A531=$B$5:$B$61),0))</f>
        <v>#N/A</v>
      </c>
      <c r="G531" s="196" t="e" cm="1">
        <f t="array" ref="G531">INDEX($G$5:$G$61,MATCH(1,(D531=$C$5:$C$61)*(A531=$B$5:$B$61),0))</f>
        <v>#N/A</v>
      </c>
      <c r="H531" s="196" t="e" cm="1">
        <f t="array" ref="H531">INDEX($H$5:$H$61,MATCH(1,(D531=$C$5:$C$61)*(A531=$B$5:$B$61),0))</f>
        <v>#N/A</v>
      </c>
      <c r="I531" s="196" t="e" cm="1">
        <f t="array" ref="I531">INDEX($I$5:$I$61,MATCH(1,(D531=$C$5:$C$61)*(A531=$B$5:$B$61),0))</f>
        <v>#N/A</v>
      </c>
      <c r="J531" s="273"/>
      <c r="K531" s="273"/>
      <c r="L531" s="272"/>
      <c r="M531" s="273"/>
      <c r="N531" s="197"/>
      <c r="O531" s="200">
        <f t="shared" si="75"/>
        <v>0</v>
      </c>
      <c r="P531" s="274"/>
      <c r="Q531" s="274"/>
      <c r="R531" s="276"/>
      <c r="S531" s="274"/>
      <c r="T531" s="197">
        <f t="shared" si="76"/>
        <v>0</v>
      </c>
      <c r="U531" s="197">
        <f t="shared" si="77"/>
        <v>0</v>
      </c>
      <c r="V531" s="197">
        <f t="shared" si="78"/>
        <v>0</v>
      </c>
      <c r="W531" s="197">
        <f t="shared" si="79"/>
        <v>0</v>
      </c>
      <c r="Z531" s="197"/>
      <c r="AA531" s="228"/>
      <c r="AB531" s="228"/>
      <c r="AD531" s="228"/>
      <c r="AE531" s="228"/>
      <c r="AF531" s="228"/>
      <c r="AG531" s="228"/>
      <c r="AH531" s="228"/>
      <c r="AI531" s="228"/>
      <c r="AJ531" s="228"/>
      <c r="AK531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</row>
    <row r="532" spans="1:64" s="198" customFormat="1" x14ac:dyDescent="0.25">
      <c r="A532" s="290" t="str">
        <f t="shared" si="82"/>
        <v>Hudson View Park</v>
      </c>
      <c r="B532" s="195">
        <f t="shared" si="80"/>
        <v>434</v>
      </c>
      <c r="C532" s="196" t="str">
        <f t="shared" si="81"/>
        <v>Occ</v>
      </c>
      <c r="D532" s="196" t="e" cm="1">
        <f t="array" ref="D532">INDEX($C$5:$C$61,MATCH(1,(K532=$D$5:$D$61)*(A532=$B$5:$B$61),0))</f>
        <v>#N/A</v>
      </c>
      <c r="E532" s="196" t="e" cm="1">
        <f t="array" ref="E532">INDEX($E$5:$E$61,MATCH(1,(D532=$C$5:$C$61)*(A532=$B$5:$B$61),0))</f>
        <v>#N/A</v>
      </c>
      <c r="F532" s="196" t="e" cm="1">
        <f t="array" ref="F532">INDEX($F$5:$F$61,MATCH(1,(D532=$C$5:$C$61)*(A532=$B$5:$B$61),0))</f>
        <v>#N/A</v>
      </c>
      <c r="G532" s="196" t="e" cm="1">
        <f t="array" ref="G532">INDEX($G$5:$G$61,MATCH(1,(D532=$C$5:$C$61)*(A532=$B$5:$B$61),0))</f>
        <v>#N/A</v>
      </c>
      <c r="H532" s="196" t="e" cm="1">
        <f t="array" ref="H532">INDEX($H$5:$H$61,MATCH(1,(D532=$C$5:$C$61)*(A532=$B$5:$B$61),0))</f>
        <v>#N/A</v>
      </c>
      <c r="I532" s="196" t="e" cm="1">
        <f t="array" ref="I532">INDEX($I$5:$I$61,MATCH(1,(D532=$C$5:$C$61)*(A532=$B$5:$B$61),0))</f>
        <v>#N/A</v>
      </c>
      <c r="J532" s="273"/>
      <c r="K532" s="273"/>
      <c r="L532" s="272"/>
      <c r="M532" s="273"/>
      <c r="N532" s="197"/>
      <c r="O532" s="200">
        <f t="shared" si="75"/>
        <v>0</v>
      </c>
      <c r="P532" s="274"/>
      <c r="Q532" s="274"/>
      <c r="R532" s="276"/>
      <c r="S532" s="274"/>
      <c r="T532" s="197">
        <f t="shared" si="76"/>
        <v>0</v>
      </c>
      <c r="U532" s="197">
        <f t="shared" si="77"/>
        <v>0</v>
      </c>
      <c r="V532" s="197">
        <f t="shared" si="78"/>
        <v>0</v>
      </c>
      <c r="W532" s="197">
        <f t="shared" si="79"/>
        <v>0</v>
      </c>
      <c r="Z532" s="197"/>
      <c r="AA532" s="228"/>
      <c r="AB532" s="228"/>
      <c r="AD532" s="228"/>
      <c r="AE532" s="228"/>
      <c r="AF532" s="228"/>
      <c r="AG532" s="228"/>
      <c r="AH532" s="228"/>
      <c r="AI532" s="228"/>
      <c r="AJ532" s="228"/>
      <c r="AK532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</row>
    <row r="533" spans="1:64" s="198" customFormat="1" x14ac:dyDescent="0.25">
      <c r="A533" s="290" t="str">
        <f t="shared" si="82"/>
        <v>Hudson View Park</v>
      </c>
      <c r="B533" s="195">
        <f t="shared" si="80"/>
        <v>435</v>
      </c>
      <c r="C533" s="196" t="str">
        <f t="shared" si="81"/>
        <v>Occ</v>
      </c>
      <c r="D533" s="196" t="e" cm="1">
        <f t="array" ref="D533">INDEX($C$5:$C$61,MATCH(1,(K533=$D$5:$D$61)*(A533=$B$5:$B$61),0))</f>
        <v>#N/A</v>
      </c>
      <c r="E533" s="196" t="e" cm="1">
        <f t="array" ref="E533">INDEX($E$5:$E$61,MATCH(1,(D533=$C$5:$C$61)*(A533=$B$5:$B$61),0))</f>
        <v>#N/A</v>
      </c>
      <c r="F533" s="196" t="e" cm="1">
        <f t="array" ref="F533">INDEX($F$5:$F$61,MATCH(1,(D533=$C$5:$C$61)*(A533=$B$5:$B$61),0))</f>
        <v>#N/A</v>
      </c>
      <c r="G533" s="196" t="e" cm="1">
        <f t="array" ref="G533">INDEX($G$5:$G$61,MATCH(1,(D533=$C$5:$C$61)*(A533=$B$5:$B$61),0))</f>
        <v>#N/A</v>
      </c>
      <c r="H533" s="196" t="e" cm="1">
        <f t="array" ref="H533">INDEX($H$5:$H$61,MATCH(1,(D533=$C$5:$C$61)*(A533=$B$5:$B$61),0))</f>
        <v>#N/A</v>
      </c>
      <c r="I533" s="196" t="e" cm="1">
        <f t="array" ref="I533">INDEX($I$5:$I$61,MATCH(1,(D533=$C$5:$C$61)*(A533=$B$5:$B$61),0))</f>
        <v>#N/A</v>
      </c>
      <c r="J533" s="273"/>
      <c r="K533" s="273"/>
      <c r="L533" s="272"/>
      <c r="M533" s="273"/>
      <c r="N533" s="197"/>
      <c r="O533" s="200">
        <f t="shared" si="75"/>
        <v>0</v>
      </c>
      <c r="P533" s="274"/>
      <c r="Q533" s="274"/>
      <c r="R533" s="276"/>
      <c r="S533" s="274"/>
      <c r="T533" s="197">
        <f t="shared" si="76"/>
        <v>0</v>
      </c>
      <c r="U533" s="197">
        <f t="shared" si="77"/>
        <v>0</v>
      </c>
      <c r="V533" s="197">
        <f t="shared" si="78"/>
        <v>0</v>
      </c>
      <c r="W533" s="197">
        <f t="shared" si="79"/>
        <v>0</v>
      </c>
      <c r="Z533" s="197"/>
      <c r="AA533" s="228"/>
      <c r="AB533" s="228"/>
      <c r="AD533" s="228"/>
      <c r="AE533" s="228"/>
      <c r="AF533" s="228"/>
      <c r="AG533" s="228"/>
      <c r="AH533" s="228"/>
      <c r="AI533" s="228"/>
      <c r="AJ533" s="228"/>
      <c r="AK533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</row>
    <row r="534" spans="1:64" s="198" customFormat="1" x14ac:dyDescent="0.25">
      <c r="A534" s="290" t="str">
        <f t="shared" si="82"/>
        <v>Hudson View Park</v>
      </c>
      <c r="B534" s="195">
        <f t="shared" si="80"/>
        <v>436</v>
      </c>
      <c r="C534" s="196" t="str">
        <f t="shared" si="81"/>
        <v>Occ</v>
      </c>
      <c r="D534" s="196" t="e" cm="1">
        <f t="array" ref="D534">INDEX($C$5:$C$61,MATCH(1,(K534=$D$5:$D$61)*(A534=$B$5:$B$61),0))</f>
        <v>#N/A</v>
      </c>
      <c r="E534" s="196" t="e" cm="1">
        <f t="array" ref="E534">INDEX($E$5:$E$61,MATCH(1,(D534=$C$5:$C$61)*(A534=$B$5:$B$61),0))</f>
        <v>#N/A</v>
      </c>
      <c r="F534" s="196" t="e" cm="1">
        <f t="array" ref="F534">INDEX($F$5:$F$61,MATCH(1,(D534=$C$5:$C$61)*(A534=$B$5:$B$61),0))</f>
        <v>#N/A</v>
      </c>
      <c r="G534" s="196" t="e" cm="1">
        <f t="array" ref="G534">INDEX($G$5:$G$61,MATCH(1,(D534=$C$5:$C$61)*(A534=$B$5:$B$61),0))</f>
        <v>#N/A</v>
      </c>
      <c r="H534" s="196" t="e" cm="1">
        <f t="array" ref="H534">INDEX($H$5:$H$61,MATCH(1,(D534=$C$5:$C$61)*(A534=$B$5:$B$61),0))</f>
        <v>#N/A</v>
      </c>
      <c r="I534" s="196" t="e" cm="1">
        <f t="array" ref="I534">INDEX($I$5:$I$61,MATCH(1,(D534=$C$5:$C$61)*(A534=$B$5:$B$61),0))</f>
        <v>#N/A</v>
      </c>
      <c r="J534" s="273"/>
      <c r="K534" s="273"/>
      <c r="L534" s="272"/>
      <c r="M534" s="273"/>
      <c r="N534" s="197"/>
      <c r="O534" s="200">
        <f t="shared" si="75"/>
        <v>0</v>
      </c>
      <c r="P534" s="274"/>
      <c r="Q534" s="274"/>
      <c r="R534" s="276"/>
      <c r="S534" s="274"/>
      <c r="T534" s="197">
        <f t="shared" si="76"/>
        <v>0</v>
      </c>
      <c r="U534" s="197">
        <f t="shared" si="77"/>
        <v>0</v>
      </c>
      <c r="V534" s="197">
        <f t="shared" si="78"/>
        <v>0</v>
      </c>
      <c r="W534" s="197">
        <f t="shared" si="79"/>
        <v>0</v>
      </c>
      <c r="Z534" s="197"/>
      <c r="AA534" s="228"/>
      <c r="AB534" s="228"/>
      <c r="AD534" s="228"/>
      <c r="AE534" s="228"/>
      <c r="AF534" s="228"/>
      <c r="AG534" s="228"/>
      <c r="AH534" s="228"/>
      <c r="AI534" s="228"/>
      <c r="AJ534" s="228"/>
      <c r="AK534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</row>
    <row r="535" spans="1:64" s="198" customFormat="1" x14ac:dyDescent="0.25">
      <c r="A535" s="290" t="str">
        <f t="shared" si="82"/>
        <v>Hudson View Park</v>
      </c>
      <c r="B535" s="195">
        <f t="shared" si="80"/>
        <v>437</v>
      </c>
      <c r="C535" s="196" t="str">
        <f t="shared" si="81"/>
        <v>Occ</v>
      </c>
      <c r="D535" s="196" t="e" cm="1">
        <f t="array" ref="D535">INDEX($C$5:$C$61,MATCH(1,(K535=$D$5:$D$61)*(A535=$B$5:$B$61),0))</f>
        <v>#N/A</v>
      </c>
      <c r="E535" s="196" t="e" cm="1">
        <f t="array" ref="E535">INDEX($E$5:$E$61,MATCH(1,(D535=$C$5:$C$61)*(A535=$B$5:$B$61),0))</f>
        <v>#N/A</v>
      </c>
      <c r="F535" s="196" t="e" cm="1">
        <f t="array" ref="F535">INDEX($F$5:$F$61,MATCH(1,(D535=$C$5:$C$61)*(A535=$B$5:$B$61),0))</f>
        <v>#N/A</v>
      </c>
      <c r="G535" s="196" t="e" cm="1">
        <f t="array" ref="G535">INDEX($G$5:$G$61,MATCH(1,(D535=$C$5:$C$61)*(A535=$B$5:$B$61),0))</f>
        <v>#N/A</v>
      </c>
      <c r="H535" s="196" t="e" cm="1">
        <f t="array" ref="H535">INDEX($H$5:$H$61,MATCH(1,(D535=$C$5:$C$61)*(A535=$B$5:$B$61),0))</f>
        <v>#N/A</v>
      </c>
      <c r="I535" s="196" t="e" cm="1">
        <f t="array" ref="I535">INDEX($I$5:$I$61,MATCH(1,(D535=$C$5:$C$61)*(A535=$B$5:$B$61),0))</f>
        <v>#N/A</v>
      </c>
      <c r="J535" s="273"/>
      <c r="K535" s="273"/>
      <c r="L535" s="272"/>
      <c r="M535" s="273"/>
      <c r="N535" s="197"/>
      <c r="O535" s="200">
        <f t="shared" si="75"/>
        <v>0</v>
      </c>
      <c r="P535" s="274"/>
      <c r="Q535" s="274"/>
      <c r="R535" s="276"/>
      <c r="S535" s="274"/>
      <c r="T535" s="197">
        <f t="shared" si="76"/>
        <v>0</v>
      </c>
      <c r="U535" s="197">
        <f t="shared" si="77"/>
        <v>0</v>
      </c>
      <c r="V535" s="197">
        <f t="shared" si="78"/>
        <v>0</v>
      </c>
      <c r="W535" s="197">
        <f t="shared" si="79"/>
        <v>0</v>
      </c>
      <c r="Z535" s="197"/>
      <c r="AA535" s="228"/>
      <c r="AB535" s="228"/>
      <c r="AD535" s="228"/>
      <c r="AE535" s="228"/>
      <c r="AF535" s="228"/>
      <c r="AG535" s="228"/>
      <c r="AH535" s="228"/>
      <c r="AI535" s="228"/>
      <c r="AJ535" s="228"/>
      <c r="AK535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</row>
    <row r="536" spans="1:64" s="198" customFormat="1" x14ac:dyDescent="0.25">
      <c r="A536" s="290" t="str">
        <f t="shared" si="82"/>
        <v>Hudson View Park</v>
      </c>
      <c r="B536" s="195">
        <f t="shared" si="80"/>
        <v>438</v>
      </c>
      <c r="C536" s="196" t="str">
        <f t="shared" si="81"/>
        <v>Occ</v>
      </c>
      <c r="D536" s="196" t="e" cm="1">
        <f t="array" ref="D536">INDEX($C$5:$C$61,MATCH(1,(K536=$D$5:$D$61)*(A536=$B$5:$B$61),0))</f>
        <v>#N/A</v>
      </c>
      <c r="E536" s="196" t="e" cm="1">
        <f t="array" ref="E536">INDEX($E$5:$E$61,MATCH(1,(D536=$C$5:$C$61)*(A536=$B$5:$B$61),0))</f>
        <v>#N/A</v>
      </c>
      <c r="F536" s="196" t="e" cm="1">
        <f t="array" ref="F536">INDEX($F$5:$F$61,MATCH(1,(D536=$C$5:$C$61)*(A536=$B$5:$B$61),0))</f>
        <v>#N/A</v>
      </c>
      <c r="G536" s="196" t="e" cm="1">
        <f t="array" ref="G536">INDEX($G$5:$G$61,MATCH(1,(D536=$C$5:$C$61)*(A536=$B$5:$B$61),0))</f>
        <v>#N/A</v>
      </c>
      <c r="H536" s="196" t="e" cm="1">
        <f t="array" ref="H536">INDEX($H$5:$H$61,MATCH(1,(D536=$C$5:$C$61)*(A536=$B$5:$B$61),0))</f>
        <v>#N/A</v>
      </c>
      <c r="I536" s="196" t="e" cm="1">
        <f t="array" ref="I536">INDEX($I$5:$I$61,MATCH(1,(D536=$C$5:$C$61)*(A536=$B$5:$B$61),0))</f>
        <v>#N/A</v>
      </c>
      <c r="J536" s="273"/>
      <c r="K536" s="273"/>
      <c r="L536" s="272"/>
      <c r="M536" s="273"/>
      <c r="N536" s="197"/>
      <c r="O536" s="200">
        <f t="shared" si="75"/>
        <v>0</v>
      </c>
      <c r="P536" s="274"/>
      <c r="Q536" s="274"/>
      <c r="R536" s="276"/>
      <c r="S536" s="274"/>
      <c r="T536" s="197">
        <f t="shared" si="76"/>
        <v>0</v>
      </c>
      <c r="U536" s="197">
        <f t="shared" si="77"/>
        <v>0</v>
      </c>
      <c r="V536" s="197">
        <f t="shared" si="78"/>
        <v>0</v>
      </c>
      <c r="W536" s="197">
        <f t="shared" si="79"/>
        <v>0</v>
      </c>
      <c r="Z536" s="197"/>
      <c r="AA536" s="228"/>
      <c r="AB536" s="228"/>
      <c r="AD536" s="228"/>
      <c r="AE536" s="228"/>
      <c r="AF536" s="228"/>
      <c r="AG536" s="228"/>
      <c r="AH536" s="228"/>
      <c r="AI536" s="228"/>
      <c r="AJ536" s="228"/>
      <c r="AK536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</row>
    <row r="537" spans="1:64" s="198" customFormat="1" x14ac:dyDescent="0.25">
      <c r="A537" s="290" t="str">
        <f t="shared" si="82"/>
        <v>Hudson View Park</v>
      </c>
      <c r="B537" s="195">
        <f t="shared" si="80"/>
        <v>439</v>
      </c>
      <c r="C537" s="196" t="str">
        <f t="shared" si="81"/>
        <v>Occ</v>
      </c>
      <c r="D537" s="196" t="e" cm="1">
        <f t="array" ref="D537">INDEX($C$5:$C$61,MATCH(1,(K537=$D$5:$D$61)*(A537=$B$5:$B$61),0))</f>
        <v>#N/A</v>
      </c>
      <c r="E537" s="196" t="e" cm="1">
        <f t="array" ref="E537">INDEX($E$5:$E$61,MATCH(1,(D537=$C$5:$C$61)*(A537=$B$5:$B$61),0))</f>
        <v>#N/A</v>
      </c>
      <c r="F537" s="196" t="e" cm="1">
        <f t="array" ref="F537">INDEX($F$5:$F$61,MATCH(1,(D537=$C$5:$C$61)*(A537=$B$5:$B$61),0))</f>
        <v>#N/A</v>
      </c>
      <c r="G537" s="196" t="e" cm="1">
        <f t="array" ref="G537">INDEX($G$5:$G$61,MATCH(1,(D537=$C$5:$C$61)*(A537=$B$5:$B$61),0))</f>
        <v>#N/A</v>
      </c>
      <c r="H537" s="196" t="e" cm="1">
        <f t="array" ref="H537">INDEX($H$5:$H$61,MATCH(1,(D537=$C$5:$C$61)*(A537=$B$5:$B$61),0))</f>
        <v>#N/A</v>
      </c>
      <c r="I537" s="196" t="e" cm="1">
        <f t="array" ref="I537">INDEX($I$5:$I$61,MATCH(1,(D537=$C$5:$C$61)*(A537=$B$5:$B$61),0))</f>
        <v>#N/A</v>
      </c>
      <c r="J537" s="273"/>
      <c r="K537" s="273"/>
      <c r="L537" s="272"/>
      <c r="M537" s="273"/>
      <c r="N537" s="197"/>
      <c r="O537" s="200">
        <f t="shared" si="75"/>
        <v>0</v>
      </c>
      <c r="P537" s="274"/>
      <c r="Q537" s="274"/>
      <c r="R537" s="276"/>
      <c r="S537" s="274"/>
      <c r="T537" s="197">
        <f t="shared" si="76"/>
        <v>0</v>
      </c>
      <c r="U537" s="197">
        <f t="shared" si="77"/>
        <v>0</v>
      </c>
      <c r="V537" s="197">
        <f t="shared" si="78"/>
        <v>0</v>
      </c>
      <c r="W537" s="197">
        <f t="shared" si="79"/>
        <v>0</v>
      </c>
      <c r="Z537" s="197"/>
      <c r="AA537" s="228"/>
      <c r="AB537" s="228"/>
      <c r="AD537" s="228"/>
      <c r="AE537" s="228"/>
      <c r="AF537" s="228"/>
      <c r="AG537" s="228"/>
      <c r="AH537" s="228"/>
      <c r="AI537" s="228"/>
      <c r="AJ537" s="228"/>
      <c r="AK537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</row>
    <row r="538" spans="1:64" s="198" customFormat="1" x14ac:dyDescent="0.25">
      <c r="A538" s="290" t="str">
        <f t="shared" si="82"/>
        <v>Hudson View Park</v>
      </c>
      <c r="B538" s="195">
        <f t="shared" si="80"/>
        <v>440</v>
      </c>
      <c r="C538" s="196" t="str">
        <f t="shared" si="81"/>
        <v>Occ</v>
      </c>
      <c r="D538" s="196" t="e" cm="1">
        <f t="array" ref="D538">INDEX($C$5:$C$61,MATCH(1,(K538=$D$5:$D$61)*(A538=$B$5:$B$61),0))</f>
        <v>#N/A</v>
      </c>
      <c r="E538" s="196" t="e" cm="1">
        <f t="array" ref="E538">INDEX($E$5:$E$61,MATCH(1,(D538=$C$5:$C$61)*(A538=$B$5:$B$61),0))</f>
        <v>#N/A</v>
      </c>
      <c r="F538" s="196" t="e" cm="1">
        <f t="array" ref="F538">INDEX($F$5:$F$61,MATCH(1,(D538=$C$5:$C$61)*(A538=$B$5:$B$61),0))</f>
        <v>#N/A</v>
      </c>
      <c r="G538" s="196" t="e" cm="1">
        <f t="array" ref="G538">INDEX($G$5:$G$61,MATCH(1,(D538=$C$5:$C$61)*(A538=$B$5:$B$61),0))</f>
        <v>#N/A</v>
      </c>
      <c r="H538" s="196" t="e" cm="1">
        <f t="array" ref="H538">INDEX($H$5:$H$61,MATCH(1,(D538=$C$5:$C$61)*(A538=$B$5:$B$61),0))</f>
        <v>#N/A</v>
      </c>
      <c r="I538" s="196" t="e" cm="1">
        <f t="array" ref="I538">INDEX($I$5:$I$61,MATCH(1,(D538=$C$5:$C$61)*(A538=$B$5:$B$61),0))</f>
        <v>#N/A</v>
      </c>
      <c r="J538" s="273"/>
      <c r="K538" s="273"/>
      <c r="L538" s="272"/>
      <c r="M538" s="273"/>
      <c r="N538" s="197"/>
      <c r="O538" s="200">
        <f t="shared" si="75"/>
        <v>0</v>
      </c>
      <c r="P538" s="274"/>
      <c r="Q538" s="274"/>
      <c r="R538" s="276"/>
      <c r="S538" s="274"/>
      <c r="T538" s="197">
        <f t="shared" si="76"/>
        <v>0</v>
      </c>
      <c r="U538" s="197">
        <f t="shared" si="77"/>
        <v>0</v>
      </c>
      <c r="V538" s="197">
        <f t="shared" si="78"/>
        <v>0</v>
      </c>
      <c r="W538" s="197">
        <f t="shared" si="79"/>
        <v>0</v>
      </c>
      <c r="Z538" s="197"/>
      <c r="AA538" s="228"/>
      <c r="AB538" s="228"/>
      <c r="AD538" s="228"/>
      <c r="AE538" s="228"/>
      <c r="AF538" s="228"/>
      <c r="AG538" s="228"/>
      <c r="AH538" s="228"/>
      <c r="AI538" s="228"/>
      <c r="AJ538" s="228"/>
      <c r="AK53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</row>
    <row r="539" spans="1:64" s="198" customFormat="1" x14ac:dyDescent="0.25">
      <c r="A539" s="290" t="str">
        <f t="shared" si="82"/>
        <v>Hudson View Park</v>
      </c>
      <c r="B539" s="195">
        <f t="shared" si="80"/>
        <v>441</v>
      </c>
      <c r="C539" s="196" t="str">
        <f t="shared" si="81"/>
        <v>Occ</v>
      </c>
      <c r="D539" s="196" t="e" cm="1">
        <f t="array" ref="D539">INDEX($C$5:$C$61,MATCH(1,(K539=$D$5:$D$61)*(A539=$B$5:$B$61),0))</f>
        <v>#N/A</v>
      </c>
      <c r="E539" s="196" t="e" cm="1">
        <f t="array" ref="E539">INDEX($E$5:$E$61,MATCH(1,(D539=$C$5:$C$61)*(A539=$B$5:$B$61),0))</f>
        <v>#N/A</v>
      </c>
      <c r="F539" s="196" t="e" cm="1">
        <f t="array" ref="F539">INDEX($F$5:$F$61,MATCH(1,(D539=$C$5:$C$61)*(A539=$B$5:$B$61),0))</f>
        <v>#N/A</v>
      </c>
      <c r="G539" s="196" t="e" cm="1">
        <f t="array" ref="G539">INDEX($G$5:$G$61,MATCH(1,(D539=$C$5:$C$61)*(A539=$B$5:$B$61),0))</f>
        <v>#N/A</v>
      </c>
      <c r="H539" s="196" t="e" cm="1">
        <f t="array" ref="H539">INDEX($H$5:$H$61,MATCH(1,(D539=$C$5:$C$61)*(A539=$B$5:$B$61),0))</f>
        <v>#N/A</v>
      </c>
      <c r="I539" s="196" t="e" cm="1">
        <f t="array" ref="I539">INDEX($I$5:$I$61,MATCH(1,(D539=$C$5:$C$61)*(A539=$B$5:$B$61),0))</f>
        <v>#N/A</v>
      </c>
      <c r="J539" s="273"/>
      <c r="K539" s="273"/>
      <c r="L539" s="272"/>
      <c r="M539" s="273"/>
      <c r="N539" s="197"/>
      <c r="O539" s="200">
        <f t="shared" si="75"/>
        <v>0</v>
      </c>
      <c r="P539" s="274"/>
      <c r="Q539" s="274"/>
      <c r="R539" s="276"/>
      <c r="S539" s="274"/>
      <c r="T539" s="197">
        <f t="shared" si="76"/>
        <v>0</v>
      </c>
      <c r="U539" s="197">
        <f t="shared" si="77"/>
        <v>0</v>
      </c>
      <c r="V539" s="197">
        <f t="shared" si="78"/>
        <v>0</v>
      </c>
      <c r="W539" s="197">
        <f t="shared" si="79"/>
        <v>0</v>
      </c>
      <c r="Z539" s="197"/>
      <c r="AA539" s="228"/>
      <c r="AB539" s="228"/>
      <c r="AD539" s="228"/>
      <c r="AE539" s="228"/>
      <c r="AF539" s="228"/>
      <c r="AG539" s="228"/>
      <c r="AH539" s="228"/>
      <c r="AI539" s="228"/>
      <c r="AJ539" s="228"/>
      <c r="AK539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</row>
    <row r="540" spans="1:64" s="198" customFormat="1" x14ac:dyDescent="0.25">
      <c r="A540" s="290" t="str">
        <f t="shared" si="82"/>
        <v>Hudson View Park</v>
      </c>
      <c r="B540" s="195">
        <f t="shared" si="80"/>
        <v>442</v>
      </c>
      <c r="C540" s="196" t="str">
        <f t="shared" si="81"/>
        <v>Occ</v>
      </c>
      <c r="D540" s="196" t="e" cm="1">
        <f t="array" ref="D540">INDEX($C$5:$C$61,MATCH(1,(K540=$D$5:$D$61)*(A540=$B$5:$B$61),0))</f>
        <v>#N/A</v>
      </c>
      <c r="E540" s="196" t="e" cm="1">
        <f t="array" ref="E540">INDEX($E$5:$E$61,MATCH(1,(D540=$C$5:$C$61)*(A540=$B$5:$B$61),0))</f>
        <v>#N/A</v>
      </c>
      <c r="F540" s="196" t="e" cm="1">
        <f t="array" ref="F540">INDEX($F$5:$F$61,MATCH(1,(D540=$C$5:$C$61)*(A540=$B$5:$B$61),0))</f>
        <v>#N/A</v>
      </c>
      <c r="G540" s="196" t="e" cm="1">
        <f t="array" ref="G540">INDEX($G$5:$G$61,MATCH(1,(D540=$C$5:$C$61)*(A540=$B$5:$B$61),0))</f>
        <v>#N/A</v>
      </c>
      <c r="H540" s="196" t="e" cm="1">
        <f t="array" ref="H540">INDEX($H$5:$H$61,MATCH(1,(D540=$C$5:$C$61)*(A540=$B$5:$B$61),0))</f>
        <v>#N/A</v>
      </c>
      <c r="I540" s="196" t="e" cm="1">
        <f t="array" ref="I540">INDEX($I$5:$I$61,MATCH(1,(D540=$C$5:$C$61)*(A540=$B$5:$B$61),0))</f>
        <v>#N/A</v>
      </c>
      <c r="J540" s="273"/>
      <c r="K540" s="273"/>
      <c r="L540" s="272"/>
      <c r="M540" s="273"/>
      <c r="N540" s="197"/>
      <c r="O540" s="200">
        <f t="shared" si="75"/>
        <v>0</v>
      </c>
      <c r="P540" s="274"/>
      <c r="Q540" s="274"/>
      <c r="R540" s="276"/>
      <c r="S540" s="274"/>
      <c r="T540" s="197">
        <f t="shared" si="76"/>
        <v>0</v>
      </c>
      <c r="U540" s="197">
        <f t="shared" si="77"/>
        <v>0</v>
      </c>
      <c r="V540" s="197">
        <f t="shared" si="78"/>
        <v>0</v>
      </c>
      <c r="W540" s="197">
        <f t="shared" si="79"/>
        <v>0</v>
      </c>
      <c r="Z540" s="197"/>
      <c r="AA540" s="228"/>
      <c r="AB540" s="228"/>
      <c r="AD540" s="228"/>
      <c r="AE540" s="228"/>
      <c r="AF540" s="228"/>
      <c r="AG540" s="228"/>
      <c r="AH540" s="228"/>
      <c r="AI540" s="228"/>
      <c r="AJ540" s="228"/>
      <c r="AK540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</row>
    <row r="541" spans="1:64" s="198" customFormat="1" x14ac:dyDescent="0.25">
      <c r="A541" s="290" t="str">
        <f t="shared" si="82"/>
        <v>Hudson View Park</v>
      </c>
      <c r="B541" s="195">
        <f t="shared" si="80"/>
        <v>443</v>
      </c>
      <c r="C541" s="196" t="str">
        <f t="shared" si="81"/>
        <v>Occ</v>
      </c>
      <c r="D541" s="196" t="e" cm="1">
        <f t="array" ref="D541">INDEX($C$5:$C$61,MATCH(1,(K541=$D$5:$D$61)*(A541=$B$5:$B$61),0))</f>
        <v>#N/A</v>
      </c>
      <c r="E541" s="196" t="e" cm="1">
        <f t="array" ref="E541">INDEX($E$5:$E$61,MATCH(1,(D541=$C$5:$C$61)*(A541=$B$5:$B$61),0))</f>
        <v>#N/A</v>
      </c>
      <c r="F541" s="196" t="e" cm="1">
        <f t="array" ref="F541">INDEX($F$5:$F$61,MATCH(1,(D541=$C$5:$C$61)*(A541=$B$5:$B$61),0))</f>
        <v>#N/A</v>
      </c>
      <c r="G541" s="196" t="e" cm="1">
        <f t="array" ref="G541">INDEX($G$5:$G$61,MATCH(1,(D541=$C$5:$C$61)*(A541=$B$5:$B$61),0))</f>
        <v>#N/A</v>
      </c>
      <c r="H541" s="196" t="e" cm="1">
        <f t="array" ref="H541">INDEX($H$5:$H$61,MATCH(1,(D541=$C$5:$C$61)*(A541=$B$5:$B$61),0))</f>
        <v>#N/A</v>
      </c>
      <c r="I541" s="196" t="e" cm="1">
        <f t="array" ref="I541">INDEX($I$5:$I$61,MATCH(1,(D541=$C$5:$C$61)*(A541=$B$5:$B$61),0))</f>
        <v>#N/A</v>
      </c>
      <c r="J541" s="273"/>
      <c r="K541" s="273"/>
      <c r="L541" s="272"/>
      <c r="M541" s="273"/>
      <c r="N541" s="197"/>
      <c r="O541" s="200">
        <f t="shared" si="75"/>
        <v>0</v>
      </c>
      <c r="P541" s="274"/>
      <c r="Q541" s="274"/>
      <c r="R541" s="276"/>
      <c r="S541" s="274"/>
      <c r="T541" s="197">
        <f t="shared" si="76"/>
        <v>0</v>
      </c>
      <c r="U541" s="197">
        <f t="shared" si="77"/>
        <v>0</v>
      </c>
      <c r="V541" s="197">
        <f t="shared" si="78"/>
        <v>0</v>
      </c>
      <c r="W541" s="197">
        <f t="shared" si="79"/>
        <v>0</v>
      </c>
      <c r="Z541" s="197"/>
      <c r="AA541" s="228"/>
      <c r="AB541" s="228"/>
      <c r="AD541" s="228"/>
      <c r="AE541" s="228"/>
      <c r="AF541" s="228"/>
      <c r="AG541" s="228"/>
      <c r="AH541" s="228"/>
      <c r="AI541" s="228"/>
      <c r="AJ541" s="228"/>
      <c r="AK541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</row>
    <row r="542" spans="1:64" s="198" customFormat="1" x14ac:dyDescent="0.25">
      <c r="A542" s="290" t="str">
        <f t="shared" si="82"/>
        <v>Hudson View Park</v>
      </c>
      <c r="B542" s="195">
        <f t="shared" si="80"/>
        <v>444</v>
      </c>
      <c r="C542" s="196" t="str">
        <f t="shared" si="81"/>
        <v>Occ</v>
      </c>
      <c r="D542" s="196" t="e" cm="1">
        <f t="array" ref="D542">INDEX($C$5:$C$61,MATCH(1,(K542=$D$5:$D$61)*(A542=$B$5:$B$61),0))</f>
        <v>#N/A</v>
      </c>
      <c r="E542" s="196" t="e" cm="1">
        <f t="array" ref="E542">INDEX($E$5:$E$61,MATCH(1,(D542=$C$5:$C$61)*(A542=$B$5:$B$61),0))</f>
        <v>#N/A</v>
      </c>
      <c r="F542" s="196" t="e" cm="1">
        <f t="array" ref="F542">INDEX($F$5:$F$61,MATCH(1,(D542=$C$5:$C$61)*(A542=$B$5:$B$61),0))</f>
        <v>#N/A</v>
      </c>
      <c r="G542" s="196" t="e" cm="1">
        <f t="array" ref="G542">INDEX($G$5:$G$61,MATCH(1,(D542=$C$5:$C$61)*(A542=$B$5:$B$61),0))</f>
        <v>#N/A</v>
      </c>
      <c r="H542" s="196" t="e" cm="1">
        <f t="array" ref="H542">INDEX($H$5:$H$61,MATCH(1,(D542=$C$5:$C$61)*(A542=$B$5:$B$61),0))</f>
        <v>#N/A</v>
      </c>
      <c r="I542" s="196" t="e" cm="1">
        <f t="array" ref="I542">INDEX($I$5:$I$61,MATCH(1,(D542=$C$5:$C$61)*(A542=$B$5:$B$61),0))</f>
        <v>#N/A</v>
      </c>
      <c r="J542" s="273"/>
      <c r="K542" s="273"/>
      <c r="L542" s="272"/>
      <c r="M542" s="273"/>
      <c r="N542" s="197"/>
      <c r="O542" s="200">
        <f t="shared" si="75"/>
        <v>0</v>
      </c>
      <c r="P542" s="274"/>
      <c r="Q542" s="274"/>
      <c r="R542" s="276"/>
      <c r="S542" s="274"/>
      <c r="T542" s="197">
        <f t="shared" si="76"/>
        <v>0</v>
      </c>
      <c r="U542" s="197">
        <f t="shared" si="77"/>
        <v>0</v>
      </c>
      <c r="V542" s="197">
        <f t="shared" si="78"/>
        <v>0</v>
      </c>
      <c r="W542" s="197">
        <f t="shared" si="79"/>
        <v>0</v>
      </c>
      <c r="Z542" s="197"/>
      <c r="AA542" s="228"/>
      <c r="AB542" s="228"/>
      <c r="AD542" s="228"/>
      <c r="AE542" s="228"/>
      <c r="AF542" s="228"/>
      <c r="AG542" s="228"/>
      <c r="AH542" s="228"/>
      <c r="AI542" s="228"/>
      <c r="AJ542" s="228"/>
      <c r="AK542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</row>
    <row r="543" spans="1:64" s="198" customFormat="1" x14ac:dyDescent="0.25">
      <c r="A543" s="290" t="str">
        <f t="shared" si="82"/>
        <v>Hudson View Park</v>
      </c>
      <c r="B543" s="195">
        <f t="shared" si="80"/>
        <v>445</v>
      </c>
      <c r="C543" s="196" t="str">
        <f t="shared" si="81"/>
        <v>Occ</v>
      </c>
      <c r="D543" s="196" t="e" cm="1">
        <f t="array" ref="D543">INDEX($C$5:$C$61,MATCH(1,(K543=$D$5:$D$61)*(A543=$B$5:$B$61),0))</f>
        <v>#N/A</v>
      </c>
      <c r="E543" s="196" t="e" cm="1">
        <f t="array" ref="E543">INDEX($E$5:$E$61,MATCH(1,(D543=$C$5:$C$61)*(A543=$B$5:$B$61),0))</f>
        <v>#N/A</v>
      </c>
      <c r="F543" s="196" t="e" cm="1">
        <f t="array" ref="F543">INDEX($F$5:$F$61,MATCH(1,(D543=$C$5:$C$61)*(A543=$B$5:$B$61),0))</f>
        <v>#N/A</v>
      </c>
      <c r="G543" s="196" t="e" cm="1">
        <f t="array" ref="G543">INDEX($G$5:$G$61,MATCH(1,(D543=$C$5:$C$61)*(A543=$B$5:$B$61),0))</f>
        <v>#N/A</v>
      </c>
      <c r="H543" s="196" t="e" cm="1">
        <f t="array" ref="H543">INDEX($H$5:$H$61,MATCH(1,(D543=$C$5:$C$61)*(A543=$B$5:$B$61),0))</f>
        <v>#N/A</v>
      </c>
      <c r="I543" s="196" t="e" cm="1">
        <f t="array" ref="I543">INDEX($I$5:$I$61,MATCH(1,(D543=$C$5:$C$61)*(A543=$B$5:$B$61),0))</f>
        <v>#N/A</v>
      </c>
      <c r="J543" s="273"/>
      <c r="K543" s="273"/>
      <c r="L543" s="272"/>
      <c r="M543" s="273"/>
      <c r="N543" s="197"/>
      <c r="O543" s="200">
        <f t="shared" si="75"/>
        <v>0</v>
      </c>
      <c r="P543" s="274"/>
      <c r="Q543" s="274"/>
      <c r="R543" s="276"/>
      <c r="S543" s="274"/>
      <c r="T543" s="197">
        <f t="shared" si="76"/>
        <v>0</v>
      </c>
      <c r="U543" s="197">
        <f t="shared" si="77"/>
        <v>0</v>
      </c>
      <c r="V543" s="197">
        <f t="shared" si="78"/>
        <v>0</v>
      </c>
      <c r="W543" s="197">
        <f t="shared" si="79"/>
        <v>0</v>
      </c>
      <c r="Z543" s="197"/>
      <c r="AA543" s="228"/>
      <c r="AB543" s="228"/>
      <c r="AD543" s="228"/>
      <c r="AE543" s="228"/>
      <c r="AF543" s="228"/>
      <c r="AG543" s="228"/>
      <c r="AH543" s="228"/>
      <c r="AI543" s="228"/>
      <c r="AJ543" s="228"/>
      <c r="AK543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</row>
    <row r="544" spans="1:64" s="198" customFormat="1" x14ac:dyDescent="0.25">
      <c r="A544" s="290" t="str">
        <f t="shared" si="82"/>
        <v>Hudson View Park</v>
      </c>
      <c r="B544" s="195">
        <f t="shared" si="80"/>
        <v>446</v>
      </c>
      <c r="C544" s="196" t="str">
        <f t="shared" si="81"/>
        <v>Occ</v>
      </c>
      <c r="D544" s="196" t="e" cm="1">
        <f t="array" ref="D544">INDEX($C$5:$C$61,MATCH(1,(K544=$D$5:$D$61)*(A544=$B$5:$B$61),0))</f>
        <v>#N/A</v>
      </c>
      <c r="E544" s="196" t="e" cm="1">
        <f t="array" ref="E544">INDEX($E$5:$E$61,MATCH(1,(D544=$C$5:$C$61)*(A544=$B$5:$B$61),0))</f>
        <v>#N/A</v>
      </c>
      <c r="F544" s="196" t="e" cm="1">
        <f t="array" ref="F544">INDEX($F$5:$F$61,MATCH(1,(D544=$C$5:$C$61)*(A544=$B$5:$B$61),0))</f>
        <v>#N/A</v>
      </c>
      <c r="G544" s="196" t="e" cm="1">
        <f t="array" ref="G544">INDEX($G$5:$G$61,MATCH(1,(D544=$C$5:$C$61)*(A544=$B$5:$B$61),0))</f>
        <v>#N/A</v>
      </c>
      <c r="H544" s="196" t="e" cm="1">
        <f t="array" ref="H544">INDEX($H$5:$H$61,MATCH(1,(D544=$C$5:$C$61)*(A544=$B$5:$B$61),0))</f>
        <v>#N/A</v>
      </c>
      <c r="I544" s="196" t="e" cm="1">
        <f t="array" ref="I544">INDEX($I$5:$I$61,MATCH(1,(D544=$C$5:$C$61)*(A544=$B$5:$B$61),0))</f>
        <v>#N/A</v>
      </c>
      <c r="J544" s="273"/>
      <c r="K544" s="273"/>
      <c r="L544" s="272"/>
      <c r="M544" s="273"/>
      <c r="N544" s="197"/>
      <c r="O544" s="200">
        <f t="shared" si="75"/>
        <v>0</v>
      </c>
      <c r="P544" s="274"/>
      <c r="Q544" s="274"/>
      <c r="R544" s="276"/>
      <c r="S544" s="274"/>
      <c r="T544" s="197">
        <f t="shared" si="76"/>
        <v>0</v>
      </c>
      <c r="U544" s="197">
        <f t="shared" si="77"/>
        <v>0</v>
      </c>
      <c r="V544" s="197">
        <f t="shared" si="78"/>
        <v>0</v>
      </c>
      <c r="W544" s="197">
        <f t="shared" si="79"/>
        <v>0</v>
      </c>
      <c r="Z544" s="197"/>
      <c r="AA544" s="228"/>
      <c r="AB544" s="228"/>
      <c r="AD544" s="228"/>
      <c r="AE544" s="228"/>
      <c r="AF544" s="228"/>
      <c r="AG544" s="228"/>
      <c r="AH544" s="228"/>
      <c r="AI544" s="228"/>
      <c r="AJ544" s="228"/>
      <c r="AK544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</row>
    <row r="545" spans="1:64" s="198" customFormat="1" x14ac:dyDescent="0.25">
      <c r="A545" s="290" t="str">
        <f t="shared" si="82"/>
        <v>Hudson View Park</v>
      </c>
      <c r="B545" s="195">
        <f t="shared" si="80"/>
        <v>447</v>
      </c>
      <c r="C545" s="196" t="str">
        <f t="shared" si="81"/>
        <v>Occ</v>
      </c>
      <c r="D545" s="196" t="e" cm="1">
        <f t="array" ref="D545">INDEX($C$5:$C$61,MATCH(1,(K545=$D$5:$D$61)*(A545=$B$5:$B$61),0))</f>
        <v>#N/A</v>
      </c>
      <c r="E545" s="196" t="e" cm="1">
        <f t="array" ref="E545">INDEX($E$5:$E$61,MATCH(1,(D545=$C$5:$C$61)*(A545=$B$5:$B$61),0))</f>
        <v>#N/A</v>
      </c>
      <c r="F545" s="196" t="e" cm="1">
        <f t="array" ref="F545">INDEX($F$5:$F$61,MATCH(1,(D545=$C$5:$C$61)*(A545=$B$5:$B$61),0))</f>
        <v>#N/A</v>
      </c>
      <c r="G545" s="196" t="e" cm="1">
        <f t="array" ref="G545">INDEX($G$5:$G$61,MATCH(1,(D545=$C$5:$C$61)*(A545=$B$5:$B$61),0))</f>
        <v>#N/A</v>
      </c>
      <c r="H545" s="196" t="e" cm="1">
        <f t="array" ref="H545">INDEX($H$5:$H$61,MATCH(1,(D545=$C$5:$C$61)*(A545=$B$5:$B$61),0))</f>
        <v>#N/A</v>
      </c>
      <c r="I545" s="196" t="e" cm="1">
        <f t="array" ref="I545">INDEX($I$5:$I$61,MATCH(1,(D545=$C$5:$C$61)*(A545=$B$5:$B$61),0))</f>
        <v>#N/A</v>
      </c>
      <c r="J545" s="273"/>
      <c r="K545" s="273"/>
      <c r="L545" s="272"/>
      <c r="M545" s="273"/>
      <c r="N545" s="197"/>
      <c r="O545" s="200">
        <f t="shared" si="75"/>
        <v>0</v>
      </c>
      <c r="P545" s="274"/>
      <c r="Q545" s="274"/>
      <c r="R545" s="276"/>
      <c r="S545" s="274"/>
      <c r="T545" s="197">
        <f t="shared" si="76"/>
        <v>0</v>
      </c>
      <c r="U545" s="197">
        <f t="shared" si="77"/>
        <v>0</v>
      </c>
      <c r="V545" s="197">
        <f t="shared" si="78"/>
        <v>0</v>
      </c>
      <c r="W545" s="197">
        <f t="shared" si="79"/>
        <v>0</v>
      </c>
      <c r="Z545" s="197"/>
      <c r="AA545" s="228"/>
      <c r="AB545" s="228"/>
      <c r="AD545" s="228"/>
      <c r="AE545" s="228"/>
      <c r="AF545" s="228"/>
      <c r="AG545" s="228"/>
      <c r="AH545" s="228"/>
      <c r="AI545" s="228"/>
      <c r="AJ545" s="228"/>
      <c r="AK545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</row>
    <row r="546" spans="1:64" s="198" customFormat="1" x14ac:dyDescent="0.25">
      <c r="A546" s="290" t="str">
        <f t="shared" si="82"/>
        <v>Hudson View Park</v>
      </c>
      <c r="B546" s="195">
        <f t="shared" si="80"/>
        <v>448</v>
      </c>
      <c r="C546" s="196" t="str">
        <f t="shared" si="81"/>
        <v>Occ</v>
      </c>
      <c r="D546" s="196" t="e" cm="1">
        <f t="array" ref="D546">INDEX($C$5:$C$61,MATCH(1,(K546=$D$5:$D$61)*(A546=$B$5:$B$61),0))</f>
        <v>#N/A</v>
      </c>
      <c r="E546" s="196" t="e" cm="1">
        <f t="array" ref="E546">INDEX($E$5:$E$61,MATCH(1,(D546=$C$5:$C$61)*(A546=$B$5:$B$61),0))</f>
        <v>#N/A</v>
      </c>
      <c r="F546" s="196" t="e" cm="1">
        <f t="array" ref="F546">INDEX($F$5:$F$61,MATCH(1,(D546=$C$5:$C$61)*(A546=$B$5:$B$61),0))</f>
        <v>#N/A</v>
      </c>
      <c r="G546" s="196" t="e" cm="1">
        <f t="array" ref="G546">INDEX($G$5:$G$61,MATCH(1,(D546=$C$5:$C$61)*(A546=$B$5:$B$61),0))</f>
        <v>#N/A</v>
      </c>
      <c r="H546" s="196" t="e" cm="1">
        <f t="array" ref="H546">INDEX($H$5:$H$61,MATCH(1,(D546=$C$5:$C$61)*(A546=$B$5:$B$61),0))</f>
        <v>#N/A</v>
      </c>
      <c r="I546" s="196" t="e" cm="1">
        <f t="array" ref="I546">INDEX($I$5:$I$61,MATCH(1,(D546=$C$5:$C$61)*(A546=$B$5:$B$61),0))</f>
        <v>#N/A</v>
      </c>
      <c r="J546" s="273"/>
      <c r="K546" s="273"/>
      <c r="L546" s="272"/>
      <c r="M546" s="273"/>
      <c r="N546" s="197"/>
      <c r="O546" s="200">
        <f t="shared" si="75"/>
        <v>0</v>
      </c>
      <c r="P546" s="274"/>
      <c r="Q546" s="274"/>
      <c r="R546" s="276"/>
      <c r="S546" s="274"/>
      <c r="T546" s="197">
        <f t="shared" si="76"/>
        <v>0</v>
      </c>
      <c r="U546" s="197">
        <f t="shared" si="77"/>
        <v>0</v>
      </c>
      <c r="V546" s="197">
        <f t="shared" si="78"/>
        <v>0</v>
      </c>
      <c r="W546" s="197">
        <f t="shared" si="79"/>
        <v>0</v>
      </c>
      <c r="Z546" s="197"/>
      <c r="AA546" s="228"/>
      <c r="AB546" s="228"/>
      <c r="AD546" s="228"/>
      <c r="AE546" s="228"/>
      <c r="AF546" s="228"/>
      <c r="AG546" s="228"/>
      <c r="AH546" s="228"/>
      <c r="AI546" s="228"/>
      <c r="AJ546" s="228"/>
      <c r="AK546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</row>
    <row r="547" spans="1:64" s="198" customFormat="1" x14ac:dyDescent="0.25">
      <c r="A547" s="290" t="str">
        <f t="shared" si="82"/>
        <v>Hudson View Park</v>
      </c>
      <c r="B547" s="195">
        <f t="shared" si="80"/>
        <v>449</v>
      </c>
      <c r="C547" s="196" t="str">
        <f t="shared" si="81"/>
        <v>Occ</v>
      </c>
      <c r="D547" s="196" t="e" cm="1">
        <f t="array" ref="D547">INDEX($C$5:$C$61,MATCH(1,(K547=$D$5:$D$61)*(A547=$B$5:$B$61),0))</f>
        <v>#N/A</v>
      </c>
      <c r="E547" s="196" t="e" cm="1">
        <f t="array" ref="E547">INDEX($E$5:$E$61,MATCH(1,(D547=$C$5:$C$61)*(A547=$B$5:$B$61),0))</f>
        <v>#N/A</v>
      </c>
      <c r="F547" s="196" t="e" cm="1">
        <f t="array" ref="F547">INDEX($F$5:$F$61,MATCH(1,(D547=$C$5:$C$61)*(A547=$B$5:$B$61),0))</f>
        <v>#N/A</v>
      </c>
      <c r="G547" s="196" t="e" cm="1">
        <f t="array" ref="G547">INDEX($G$5:$G$61,MATCH(1,(D547=$C$5:$C$61)*(A547=$B$5:$B$61),0))</f>
        <v>#N/A</v>
      </c>
      <c r="H547" s="196" t="e" cm="1">
        <f t="array" ref="H547">INDEX($H$5:$H$61,MATCH(1,(D547=$C$5:$C$61)*(A547=$B$5:$B$61),0))</f>
        <v>#N/A</v>
      </c>
      <c r="I547" s="196" t="e" cm="1">
        <f t="array" ref="I547">INDEX($I$5:$I$61,MATCH(1,(D547=$C$5:$C$61)*(A547=$B$5:$B$61),0))</f>
        <v>#N/A</v>
      </c>
      <c r="J547" s="273"/>
      <c r="K547" s="273"/>
      <c r="L547" s="272"/>
      <c r="M547" s="273"/>
      <c r="N547" s="197"/>
      <c r="O547" s="200">
        <f t="shared" si="75"/>
        <v>0</v>
      </c>
      <c r="P547" s="274"/>
      <c r="Q547" s="274"/>
      <c r="R547" s="276"/>
      <c r="S547" s="274"/>
      <c r="T547" s="197">
        <f t="shared" si="76"/>
        <v>0</v>
      </c>
      <c r="U547" s="197">
        <f t="shared" si="77"/>
        <v>0</v>
      </c>
      <c r="V547" s="197">
        <f t="shared" si="78"/>
        <v>0</v>
      </c>
      <c r="W547" s="197">
        <f t="shared" si="79"/>
        <v>0</v>
      </c>
      <c r="Z547" s="197"/>
      <c r="AA547" s="228"/>
      <c r="AB547" s="228"/>
      <c r="AD547" s="228"/>
      <c r="AE547" s="228"/>
      <c r="AF547" s="228"/>
      <c r="AG547" s="228"/>
      <c r="AH547" s="228"/>
      <c r="AI547" s="228"/>
      <c r="AJ547" s="228"/>
      <c r="AK547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</row>
    <row r="548" spans="1:64" s="198" customFormat="1" x14ac:dyDescent="0.25">
      <c r="A548" s="290" t="str">
        <f t="shared" si="82"/>
        <v>Hudson View Park</v>
      </c>
      <c r="B548" s="195">
        <f t="shared" si="80"/>
        <v>450</v>
      </c>
      <c r="C548" s="196" t="str">
        <f t="shared" si="81"/>
        <v>Occ</v>
      </c>
      <c r="D548" s="196" t="e" cm="1">
        <f t="array" ref="D548">INDEX($C$5:$C$61,MATCH(1,(K548=$D$5:$D$61)*(A548=$B$5:$B$61),0))</f>
        <v>#N/A</v>
      </c>
      <c r="E548" s="196" t="e" cm="1">
        <f t="array" ref="E548">INDEX($E$5:$E$61,MATCH(1,(D548=$C$5:$C$61)*(A548=$B$5:$B$61),0))</f>
        <v>#N/A</v>
      </c>
      <c r="F548" s="196" t="e" cm="1">
        <f t="array" ref="F548">INDEX($F$5:$F$61,MATCH(1,(D548=$C$5:$C$61)*(A548=$B$5:$B$61),0))</f>
        <v>#N/A</v>
      </c>
      <c r="G548" s="196" t="e" cm="1">
        <f t="array" ref="G548">INDEX($G$5:$G$61,MATCH(1,(D548=$C$5:$C$61)*(A548=$B$5:$B$61),0))</f>
        <v>#N/A</v>
      </c>
      <c r="H548" s="196" t="e" cm="1">
        <f t="array" ref="H548">INDEX($H$5:$H$61,MATCH(1,(D548=$C$5:$C$61)*(A548=$B$5:$B$61),0))</f>
        <v>#N/A</v>
      </c>
      <c r="I548" s="196" t="e" cm="1">
        <f t="array" ref="I548">INDEX($I$5:$I$61,MATCH(1,(D548=$C$5:$C$61)*(A548=$B$5:$B$61),0))</f>
        <v>#N/A</v>
      </c>
      <c r="J548" s="273"/>
      <c r="K548" s="273"/>
      <c r="L548" s="272"/>
      <c r="M548" s="273"/>
      <c r="N548" s="197"/>
      <c r="O548" s="200">
        <f t="shared" ref="O548:O606" si="83">SUM(AA548:AB548)</f>
        <v>0</v>
      </c>
      <c r="P548" s="274"/>
      <c r="Q548" s="274"/>
      <c r="R548" s="276"/>
      <c r="S548" s="274"/>
      <c r="T548" s="197">
        <f t="shared" ref="T548:T606" si="84">SUM(AD548:AJ548)</f>
        <v>0</v>
      </c>
      <c r="U548" s="197">
        <f t="shared" ref="U548:U606" si="85">SUM(AL548:AO548)</f>
        <v>0</v>
      </c>
      <c r="V548" s="197">
        <f t="shared" ref="V548:V606" si="86">SUM(AQ548:AR548)</f>
        <v>0</v>
      </c>
      <c r="W548" s="197">
        <f t="shared" ref="W548:W606" si="87">SUM(AT548:AV548)</f>
        <v>0</v>
      </c>
      <c r="Z548" s="197"/>
      <c r="AA548" s="228"/>
      <c r="AB548" s="228"/>
      <c r="AD548" s="228"/>
      <c r="AE548" s="228"/>
      <c r="AF548" s="228"/>
      <c r="AG548" s="228"/>
      <c r="AH548" s="228"/>
      <c r="AI548" s="228"/>
      <c r="AJ548" s="228"/>
      <c r="AK54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</row>
    <row r="549" spans="1:64" s="198" customFormat="1" x14ac:dyDescent="0.25">
      <c r="A549" s="290" t="str">
        <f t="shared" si="82"/>
        <v>Hudson View Park</v>
      </c>
      <c r="B549" s="195">
        <f t="shared" ref="B549:B606" si="88">B548+1</f>
        <v>451</v>
      </c>
      <c r="C549" s="196" t="str">
        <f t="shared" ref="C549:C606" si="89">IF(M549="Vacant","Vac",IF(M549="Model","Model",IF(M549="Admin","Admin",IF(M549="Down","Down","Occ"))))</f>
        <v>Occ</v>
      </c>
      <c r="D549" s="196" t="e" cm="1">
        <f t="array" ref="D549">INDEX($C$5:$C$61,MATCH(1,(K549=$D$5:$D$61)*(A549=$B$5:$B$61),0))</f>
        <v>#N/A</v>
      </c>
      <c r="E549" s="196" t="e" cm="1">
        <f t="array" ref="E549">INDEX($E$5:$E$61,MATCH(1,(D549=$C$5:$C$61)*(A549=$B$5:$B$61),0))</f>
        <v>#N/A</v>
      </c>
      <c r="F549" s="196" t="e" cm="1">
        <f t="array" ref="F549">INDEX($F$5:$F$61,MATCH(1,(D549=$C$5:$C$61)*(A549=$B$5:$B$61),0))</f>
        <v>#N/A</v>
      </c>
      <c r="G549" s="196" t="e" cm="1">
        <f t="array" ref="G549">INDEX($G$5:$G$61,MATCH(1,(D549=$C$5:$C$61)*(A549=$B$5:$B$61),0))</f>
        <v>#N/A</v>
      </c>
      <c r="H549" s="196" t="e" cm="1">
        <f t="array" ref="H549">INDEX($H$5:$H$61,MATCH(1,(D549=$C$5:$C$61)*(A549=$B$5:$B$61),0))</f>
        <v>#N/A</v>
      </c>
      <c r="I549" s="196" t="e" cm="1">
        <f t="array" ref="I549">INDEX($I$5:$I$61,MATCH(1,(D549=$C$5:$C$61)*(A549=$B$5:$B$61),0))</f>
        <v>#N/A</v>
      </c>
      <c r="J549" s="273"/>
      <c r="K549" s="273"/>
      <c r="L549" s="272"/>
      <c r="M549" s="273"/>
      <c r="N549" s="197"/>
      <c r="O549" s="200">
        <f t="shared" si="83"/>
        <v>0</v>
      </c>
      <c r="P549" s="274"/>
      <c r="Q549" s="274"/>
      <c r="R549" s="276"/>
      <c r="S549" s="274"/>
      <c r="T549" s="197">
        <f t="shared" si="84"/>
        <v>0</v>
      </c>
      <c r="U549" s="197">
        <f t="shared" si="85"/>
        <v>0</v>
      </c>
      <c r="V549" s="197">
        <f t="shared" si="86"/>
        <v>0</v>
      </c>
      <c r="W549" s="197">
        <f t="shared" si="87"/>
        <v>0</v>
      </c>
      <c r="Z549" s="197"/>
      <c r="AA549" s="228"/>
      <c r="AB549" s="228"/>
      <c r="AD549" s="228"/>
      <c r="AE549" s="228"/>
      <c r="AF549" s="228"/>
      <c r="AG549" s="228"/>
      <c r="AH549" s="228"/>
      <c r="AI549" s="228"/>
      <c r="AJ549" s="228"/>
      <c r="AK549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</row>
    <row r="550" spans="1:64" s="198" customFormat="1" x14ac:dyDescent="0.25">
      <c r="A550" s="290" t="str">
        <f t="shared" si="82"/>
        <v>Hudson View Park</v>
      </c>
      <c r="B550" s="195">
        <f t="shared" si="88"/>
        <v>452</v>
      </c>
      <c r="C550" s="196" t="str">
        <f t="shared" si="89"/>
        <v>Occ</v>
      </c>
      <c r="D550" s="196" t="e" cm="1">
        <f t="array" ref="D550">INDEX($C$5:$C$61,MATCH(1,(K550=$D$5:$D$61)*(A550=$B$5:$B$61),0))</f>
        <v>#N/A</v>
      </c>
      <c r="E550" s="196" t="e" cm="1">
        <f t="array" ref="E550">INDEX($E$5:$E$61,MATCH(1,(D550=$C$5:$C$61)*(A550=$B$5:$B$61),0))</f>
        <v>#N/A</v>
      </c>
      <c r="F550" s="196" t="e" cm="1">
        <f t="array" ref="F550">INDEX($F$5:$F$61,MATCH(1,(D550=$C$5:$C$61)*(A550=$B$5:$B$61),0))</f>
        <v>#N/A</v>
      </c>
      <c r="G550" s="196" t="e" cm="1">
        <f t="array" ref="G550">INDEX($G$5:$G$61,MATCH(1,(D550=$C$5:$C$61)*(A550=$B$5:$B$61),0))</f>
        <v>#N/A</v>
      </c>
      <c r="H550" s="196" t="e" cm="1">
        <f t="array" ref="H550">INDEX($H$5:$H$61,MATCH(1,(D550=$C$5:$C$61)*(A550=$B$5:$B$61),0))</f>
        <v>#N/A</v>
      </c>
      <c r="I550" s="196" t="e" cm="1">
        <f t="array" ref="I550">INDEX($I$5:$I$61,MATCH(1,(D550=$C$5:$C$61)*(A550=$B$5:$B$61),0))</f>
        <v>#N/A</v>
      </c>
      <c r="J550" s="273"/>
      <c r="K550" s="273"/>
      <c r="L550" s="272"/>
      <c r="M550" s="273"/>
      <c r="N550" s="197"/>
      <c r="O550" s="200">
        <f t="shared" si="83"/>
        <v>0</v>
      </c>
      <c r="P550" s="274"/>
      <c r="Q550" s="274"/>
      <c r="R550" s="276"/>
      <c r="S550" s="274"/>
      <c r="T550" s="197">
        <f t="shared" si="84"/>
        <v>0</v>
      </c>
      <c r="U550" s="197">
        <f t="shared" si="85"/>
        <v>0</v>
      </c>
      <c r="V550" s="197">
        <f t="shared" si="86"/>
        <v>0</v>
      </c>
      <c r="W550" s="197">
        <f t="shared" si="87"/>
        <v>0</v>
      </c>
      <c r="Z550" s="197"/>
      <c r="AA550" s="228"/>
      <c r="AB550" s="228"/>
      <c r="AD550" s="228"/>
      <c r="AE550" s="228"/>
      <c r="AF550" s="228"/>
      <c r="AG550" s="228"/>
      <c r="AH550" s="228"/>
      <c r="AI550" s="228"/>
      <c r="AJ550" s="228"/>
      <c r="AK550"/>
      <c r="AL550" s="228"/>
      <c r="AM550" s="228"/>
      <c r="AN550" s="228"/>
      <c r="AO550" s="228"/>
      <c r="AP550" s="228"/>
      <c r="AQ550" s="228"/>
      <c r="AR550" s="228"/>
      <c r="AS550" s="228"/>
      <c r="AT550" s="228"/>
      <c r="AU550" s="228"/>
      <c r="AV550" s="228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</row>
    <row r="551" spans="1:64" s="198" customFormat="1" x14ac:dyDescent="0.25">
      <c r="A551" s="290" t="str">
        <f t="shared" si="82"/>
        <v>Hudson View Park</v>
      </c>
      <c r="B551" s="195">
        <f t="shared" si="88"/>
        <v>453</v>
      </c>
      <c r="C551" s="196" t="str">
        <f t="shared" si="89"/>
        <v>Occ</v>
      </c>
      <c r="D551" s="196" t="e" cm="1">
        <f t="array" ref="D551">INDEX($C$5:$C$61,MATCH(1,(K551=$D$5:$D$61)*(A551=$B$5:$B$61),0))</f>
        <v>#N/A</v>
      </c>
      <c r="E551" s="196" t="e" cm="1">
        <f t="array" ref="E551">INDEX($E$5:$E$61,MATCH(1,(D551=$C$5:$C$61)*(A551=$B$5:$B$61),0))</f>
        <v>#N/A</v>
      </c>
      <c r="F551" s="196" t="e" cm="1">
        <f t="array" ref="F551">INDEX($F$5:$F$61,MATCH(1,(D551=$C$5:$C$61)*(A551=$B$5:$B$61),0))</f>
        <v>#N/A</v>
      </c>
      <c r="G551" s="196" t="e" cm="1">
        <f t="array" ref="G551">INDEX($G$5:$G$61,MATCH(1,(D551=$C$5:$C$61)*(A551=$B$5:$B$61),0))</f>
        <v>#N/A</v>
      </c>
      <c r="H551" s="196" t="e" cm="1">
        <f t="array" ref="H551">INDEX($H$5:$H$61,MATCH(1,(D551=$C$5:$C$61)*(A551=$B$5:$B$61),0))</f>
        <v>#N/A</v>
      </c>
      <c r="I551" s="196" t="e" cm="1">
        <f t="array" ref="I551">INDEX($I$5:$I$61,MATCH(1,(D551=$C$5:$C$61)*(A551=$B$5:$B$61),0))</f>
        <v>#N/A</v>
      </c>
      <c r="J551" s="273"/>
      <c r="K551" s="273"/>
      <c r="L551" s="272"/>
      <c r="M551" s="273"/>
      <c r="N551" s="197"/>
      <c r="O551" s="200">
        <f t="shared" si="83"/>
        <v>0</v>
      </c>
      <c r="P551" s="274"/>
      <c r="Q551" s="274"/>
      <c r="R551" s="276"/>
      <c r="S551" s="274"/>
      <c r="T551" s="197">
        <f t="shared" si="84"/>
        <v>0</v>
      </c>
      <c r="U551" s="197">
        <f t="shared" si="85"/>
        <v>0</v>
      </c>
      <c r="V551" s="197">
        <f t="shared" si="86"/>
        <v>0</v>
      </c>
      <c r="W551" s="197">
        <f t="shared" si="87"/>
        <v>0</v>
      </c>
      <c r="Z551" s="197"/>
      <c r="AA551" s="228"/>
      <c r="AB551" s="228"/>
      <c r="AD551" s="228"/>
      <c r="AE551" s="228"/>
      <c r="AF551" s="228"/>
      <c r="AG551" s="228"/>
      <c r="AH551" s="228"/>
      <c r="AI551" s="228"/>
      <c r="AJ551" s="228"/>
      <c r="AK551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</row>
    <row r="552" spans="1:64" s="198" customFormat="1" x14ac:dyDescent="0.25">
      <c r="A552" s="290" t="str">
        <f t="shared" si="82"/>
        <v>Hudson View Park</v>
      </c>
      <c r="B552" s="195">
        <f t="shared" si="88"/>
        <v>454</v>
      </c>
      <c r="C552" s="196" t="str">
        <f t="shared" si="89"/>
        <v>Occ</v>
      </c>
      <c r="D552" s="196" t="e" cm="1">
        <f t="array" ref="D552">INDEX($C$5:$C$61,MATCH(1,(K552=$D$5:$D$61)*(A552=$B$5:$B$61),0))</f>
        <v>#N/A</v>
      </c>
      <c r="E552" s="196" t="e" cm="1">
        <f t="array" ref="E552">INDEX($E$5:$E$61,MATCH(1,(D552=$C$5:$C$61)*(A552=$B$5:$B$61),0))</f>
        <v>#N/A</v>
      </c>
      <c r="F552" s="196" t="e" cm="1">
        <f t="array" ref="F552">INDEX($F$5:$F$61,MATCH(1,(D552=$C$5:$C$61)*(A552=$B$5:$B$61),0))</f>
        <v>#N/A</v>
      </c>
      <c r="G552" s="196" t="e" cm="1">
        <f t="array" ref="G552">INDEX($G$5:$G$61,MATCH(1,(D552=$C$5:$C$61)*(A552=$B$5:$B$61),0))</f>
        <v>#N/A</v>
      </c>
      <c r="H552" s="196" t="e" cm="1">
        <f t="array" ref="H552">INDEX($H$5:$H$61,MATCH(1,(D552=$C$5:$C$61)*(A552=$B$5:$B$61),0))</f>
        <v>#N/A</v>
      </c>
      <c r="I552" s="196" t="e" cm="1">
        <f t="array" ref="I552">INDEX($I$5:$I$61,MATCH(1,(D552=$C$5:$C$61)*(A552=$B$5:$B$61),0))</f>
        <v>#N/A</v>
      </c>
      <c r="J552" s="273"/>
      <c r="K552" s="273"/>
      <c r="L552" s="272"/>
      <c r="M552" s="273"/>
      <c r="N552" s="197"/>
      <c r="O552" s="200">
        <f t="shared" si="83"/>
        <v>0</v>
      </c>
      <c r="P552" s="274"/>
      <c r="Q552" s="274"/>
      <c r="R552" s="276"/>
      <c r="S552" s="274"/>
      <c r="T552" s="197">
        <f t="shared" si="84"/>
        <v>0</v>
      </c>
      <c r="U552" s="197">
        <f t="shared" si="85"/>
        <v>0</v>
      </c>
      <c r="V552" s="197">
        <f t="shared" si="86"/>
        <v>0</v>
      </c>
      <c r="W552" s="197">
        <f t="shared" si="87"/>
        <v>0</v>
      </c>
      <c r="Z552" s="197"/>
      <c r="AA552" s="228"/>
      <c r="AB552" s="228"/>
      <c r="AD552" s="228"/>
      <c r="AE552" s="228"/>
      <c r="AF552" s="228"/>
      <c r="AG552" s="228"/>
      <c r="AH552" s="228"/>
      <c r="AI552" s="228"/>
      <c r="AJ552" s="228"/>
      <c r="AK552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</row>
    <row r="553" spans="1:64" s="198" customFormat="1" x14ac:dyDescent="0.25">
      <c r="A553" s="290" t="str">
        <f t="shared" si="82"/>
        <v>Hudson View Park</v>
      </c>
      <c r="B553" s="195">
        <f t="shared" si="88"/>
        <v>455</v>
      </c>
      <c r="C553" s="196" t="str">
        <f t="shared" si="89"/>
        <v>Occ</v>
      </c>
      <c r="D553" s="196" t="e" cm="1">
        <f t="array" ref="D553">INDEX($C$5:$C$61,MATCH(1,(K553=$D$5:$D$61)*(A553=$B$5:$B$61),0))</f>
        <v>#N/A</v>
      </c>
      <c r="E553" s="196" t="e" cm="1">
        <f t="array" ref="E553">INDEX($E$5:$E$61,MATCH(1,(D553=$C$5:$C$61)*(A553=$B$5:$B$61),0))</f>
        <v>#N/A</v>
      </c>
      <c r="F553" s="196" t="e" cm="1">
        <f t="array" ref="F553">INDEX($F$5:$F$61,MATCH(1,(D553=$C$5:$C$61)*(A553=$B$5:$B$61),0))</f>
        <v>#N/A</v>
      </c>
      <c r="G553" s="196" t="e" cm="1">
        <f t="array" ref="G553">INDEX($G$5:$G$61,MATCH(1,(D553=$C$5:$C$61)*(A553=$B$5:$B$61),0))</f>
        <v>#N/A</v>
      </c>
      <c r="H553" s="196" t="e" cm="1">
        <f t="array" ref="H553">INDEX($H$5:$H$61,MATCH(1,(D553=$C$5:$C$61)*(A553=$B$5:$B$61),0))</f>
        <v>#N/A</v>
      </c>
      <c r="I553" s="196" t="e" cm="1">
        <f t="array" ref="I553">INDEX($I$5:$I$61,MATCH(1,(D553=$C$5:$C$61)*(A553=$B$5:$B$61),0))</f>
        <v>#N/A</v>
      </c>
      <c r="J553" s="273"/>
      <c r="K553" s="273"/>
      <c r="L553" s="272"/>
      <c r="M553" s="273"/>
      <c r="N553" s="197"/>
      <c r="O553" s="200">
        <f t="shared" si="83"/>
        <v>0</v>
      </c>
      <c r="P553" s="274"/>
      <c r="Q553" s="274"/>
      <c r="R553" s="276"/>
      <c r="S553" s="274"/>
      <c r="T553" s="197">
        <f t="shared" si="84"/>
        <v>0</v>
      </c>
      <c r="U553" s="197">
        <f t="shared" si="85"/>
        <v>0</v>
      </c>
      <c r="V553" s="197">
        <f t="shared" si="86"/>
        <v>0</v>
      </c>
      <c r="W553" s="197">
        <f t="shared" si="87"/>
        <v>0</v>
      </c>
      <c r="Z553" s="197"/>
      <c r="AA553" s="228"/>
      <c r="AB553" s="228"/>
      <c r="AD553" s="228"/>
      <c r="AE553" s="228"/>
      <c r="AF553" s="228"/>
      <c r="AG553" s="228"/>
      <c r="AH553" s="228"/>
      <c r="AI553" s="228"/>
      <c r="AJ553" s="228"/>
      <c r="AK553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</row>
    <row r="554" spans="1:64" s="198" customFormat="1" x14ac:dyDescent="0.25">
      <c r="A554" s="290" t="str">
        <f t="shared" si="82"/>
        <v>Hudson View Park</v>
      </c>
      <c r="B554" s="195">
        <f t="shared" si="88"/>
        <v>456</v>
      </c>
      <c r="C554" s="196" t="str">
        <f t="shared" si="89"/>
        <v>Occ</v>
      </c>
      <c r="D554" s="196" t="e" cm="1">
        <f t="array" ref="D554">INDEX($C$5:$C$61,MATCH(1,(K554=$D$5:$D$61)*(A554=$B$5:$B$61),0))</f>
        <v>#N/A</v>
      </c>
      <c r="E554" s="196" t="e" cm="1">
        <f t="array" ref="E554">INDEX($E$5:$E$61,MATCH(1,(D554=$C$5:$C$61)*(A554=$B$5:$B$61),0))</f>
        <v>#N/A</v>
      </c>
      <c r="F554" s="196" t="e" cm="1">
        <f t="array" ref="F554">INDEX($F$5:$F$61,MATCH(1,(D554=$C$5:$C$61)*(A554=$B$5:$B$61),0))</f>
        <v>#N/A</v>
      </c>
      <c r="G554" s="196" t="e" cm="1">
        <f t="array" ref="G554">INDEX($G$5:$G$61,MATCH(1,(D554=$C$5:$C$61)*(A554=$B$5:$B$61),0))</f>
        <v>#N/A</v>
      </c>
      <c r="H554" s="196" t="e" cm="1">
        <f t="array" ref="H554">INDEX($H$5:$H$61,MATCH(1,(D554=$C$5:$C$61)*(A554=$B$5:$B$61),0))</f>
        <v>#N/A</v>
      </c>
      <c r="I554" s="196" t="e" cm="1">
        <f t="array" ref="I554">INDEX($I$5:$I$61,MATCH(1,(D554=$C$5:$C$61)*(A554=$B$5:$B$61),0))</f>
        <v>#N/A</v>
      </c>
      <c r="J554" s="273"/>
      <c r="K554" s="273"/>
      <c r="L554" s="272"/>
      <c r="M554" s="273"/>
      <c r="N554" s="197"/>
      <c r="O554" s="200">
        <f t="shared" si="83"/>
        <v>0</v>
      </c>
      <c r="P554" s="274"/>
      <c r="Q554" s="274"/>
      <c r="R554" s="276"/>
      <c r="S554" s="274"/>
      <c r="T554" s="197">
        <f t="shared" si="84"/>
        <v>0</v>
      </c>
      <c r="U554" s="197">
        <f t="shared" si="85"/>
        <v>0</v>
      </c>
      <c r="V554" s="197">
        <f t="shared" si="86"/>
        <v>0</v>
      </c>
      <c r="W554" s="197">
        <f t="shared" si="87"/>
        <v>0</v>
      </c>
      <c r="Z554" s="197"/>
      <c r="AA554" s="228"/>
      <c r="AB554" s="228"/>
      <c r="AD554" s="228"/>
      <c r="AE554" s="228"/>
      <c r="AF554" s="228"/>
      <c r="AG554" s="228"/>
      <c r="AH554" s="228"/>
      <c r="AI554" s="228"/>
      <c r="AJ554" s="228"/>
      <c r="AK554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</row>
    <row r="555" spans="1:64" s="198" customFormat="1" x14ac:dyDescent="0.25">
      <c r="A555" s="290" t="str">
        <f t="shared" si="82"/>
        <v>Hudson View Park</v>
      </c>
      <c r="B555" s="195">
        <f t="shared" si="88"/>
        <v>457</v>
      </c>
      <c r="C555" s="196" t="str">
        <f t="shared" si="89"/>
        <v>Occ</v>
      </c>
      <c r="D555" s="196" t="e" cm="1">
        <f t="array" ref="D555">INDEX($C$5:$C$61,MATCH(1,(K555=$D$5:$D$61)*(A555=$B$5:$B$61),0))</f>
        <v>#N/A</v>
      </c>
      <c r="E555" s="196" t="e" cm="1">
        <f t="array" ref="E555">INDEX($E$5:$E$61,MATCH(1,(D555=$C$5:$C$61)*(A555=$B$5:$B$61),0))</f>
        <v>#N/A</v>
      </c>
      <c r="F555" s="196" t="e" cm="1">
        <f t="array" ref="F555">INDEX($F$5:$F$61,MATCH(1,(D555=$C$5:$C$61)*(A555=$B$5:$B$61),0))</f>
        <v>#N/A</v>
      </c>
      <c r="G555" s="196" t="e" cm="1">
        <f t="array" ref="G555">INDEX($G$5:$G$61,MATCH(1,(D555=$C$5:$C$61)*(A555=$B$5:$B$61),0))</f>
        <v>#N/A</v>
      </c>
      <c r="H555" s="196" t="e" cm="1">
        <f t="array" ref="H555">INDEX($H$5:$H$61,MATCH(1,(D555=$C$5:$C$61)*(A555=$B$5:$B$61),0))</f>
        <v>#N/A</v>
      </c>
      <c r="I555" s="196" t="e" cm="1">
        <f t="array" ref="I555">INDEX($I$5:$I$61,MATCH(1,(D555=$C$5:$C$61)*(A555=$B$5:$B$61),0))</f>
        <v>#N/A</v>
      </c>
      <c r="J555" s="273"/>
      <c r="K555" s="273"/>
      <c r="L555" s="272"/>
      <c r="M555" s="273"/>
      <c r="N555" s="197"/>
      <c r="O555" s="200">
        <f t="shared" si="83"/>
        <v>0</v>
      </c>
      <c r="P555" s="274"/>
      <c r="Q555" s="274"/>
      <c r="R555" s="276"/>
      <c r="S555" s="274"/>
      <c r="T555" s="197">
        <f t="shared" si="84"/>
        <v>0</v>
      </c>
      <c r="U555" s="197">
        <f t="shared" si="85"/>
        <v>0</v>
      </c>
      <c r="V555" s="197">
        <f t="shared" si="86"/>
        <v>0</v>
      </c>
      <c r="W555" s="197">
        <f t="shared" si="87"/>
        <v>0</v>
      </c>
      <c r="Z555" s="197"/>
      <c r="AA555" s="228"/>
      <c r="AB555" s="228"/>
      <c r="AD555" s="228"/>
      <c r="AE555" s="228"/>
      <c r="AF555" s="228"/>
      <c r="AG555" s="228"/>
      <c r="AH555" s="228"/>
      <c r="AI555" s="228"/>
      <c r="AJ555" s="228"/>
      <c r="AK555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</row>
    <row r="556" spans="1:64" s="198" customFormat="1" x14ac:dyDescent="0.25">
      <c r="A556" s="290" t="str">
        <f t="shared" si="82"/>
        <v>Hudson View Park</v>
      </c>
      <c r="B556" s="195">
        <f t="shared" si="88"/>
        <v>458</v>
      </c>
      <c r="C556" s="196" t="str">
        <f t="shared" si="89"/>
        <v>Occ</v>
      </c>
      <c r="D556" s="196" t="e" cm="1">
        <f t="array" ref="D556">INDEX($C$5:$C$61,MATCH(1,(K556=$D$5:$D$61)*(A556=$B$5:$B$61),0))</f>
        <v>#N/A</v>
      </c>
      <c r="E556" s="196" t="e" cm="1">
        <f t="array" ref="E556">INDEX($E$5:$E$61,MATCH(1,(D556=$C$5:$C$61)*(A556=$B$5:$B$61),0))</f>
        <v>#N/A</v>
      </c>
      <c r="F556" s="196" t="e" cm="1">
        <f t="array" ref="F556">INDEX($F$5:$F$61,MATCH(1,(D556=$C$5:$C$61)*(A556=$B$5:$B$61),0))</f>
        <v>#N/A</v>
      </c>
      <c r="G556" s="196" t="e" cm="1">
        <f t="array" ref="G556">INDEX($G$5:$G$61,MATCH(1,(D556=$C$5:$C$61)*(A556=$B$5:$B$61),0))</f>
        <v>#N/A</v>
      </c>
      <c r="H556" s="196" t="e" cm="1">
        <f t="array" ref="H556">INDEX($H$5:$H$61,MATCH(1,(D556=$C$5:$C$61)*(A556=$B$5:$B$61),0))</f>
        <v>#N/A</v>
      </c>
      <c r="I556" s="196" t="e" cm="1">
        <f t="array" ref="I556">INDEX($I$5:$I$61,MATCH(1,(D556=$C$5:$C$61)*(A556=$B$5:$B$61),0))</f>
        <v>#N/A</v>
      </c>
      <c r="J556" s="273"/>
      <c r="K556" s="273"/>
      <c r="L556" s="272"/>
      <c r="M556" s="273"/>
      <c r="N556" s="197"/>
      <c r="O556" s="200">
        <f t="shared" si="83"/>
        <v>0</v>
      </c>
      <c r="P556" s="274"/>
      <c r="Q556" s="274"/>
      <c r="R556" s="276"/>
      <c r="S556" s="274"/>
      <c r="T556" s="197">
        <f t="shared" si="84"/>
        <v>0</v>
      </c>
      <c r="U556" s="197">
        <f t="shared" si="85"/>
        <v>0</v>
      </c>
      <c r="V556" s="197">
        <f t="shared" si="86"/>
        <v>0</v>
      </c>
      <c r="W556" s="197">
        <f t="shared" si="87"/>
        <v>0</v>
      </c>
      <c r="Z556" s="197"/>
      <c r="AA556" s="228"/>
      <c r="AB556" s="228"/>
      <c r="AD556" s="228"/>
      <c r="AE556" s="228"/>
      <c r="AF556" s="228"/>
      <c r="AG556" s="228"/>
      <c r="AH556" s="228"/>
      <c r="AI556" s="228"/>
      <c r="AJ556" s="228"/>
      <c r="AK556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</row>
    <row r="557" spans="1:64" s="198" customFormat="1" x14ac:dyDescent="0.25">
      <c r="A557" s="290" t="str">
        <f t="shared" si="82"/>
        <v>Hudson View Park</v>
      </c>
      <c r="B557" s="195">
        <f t="shared" si="88"/>
        <v>459</v>
      </c>
      <c r="C557" s="196" t="str">
        <f t="shared" si="89"/>
        <v>Occ</v>
      </c>
      <c r="D557" s="196" t="e" cm="1">
        <f t="array" ref="D557">INDEX($C$5:$C$61,MATCH(1,(K557=$D$5:$D$61)*(A557=$B$5:$B$61),0))</f>
        <v>#N/A</v>
      </c>
      <c r="E557" s="196" t="e" cm="1">
        <f t="array" ref="E557">INDEX($E$5:$E$61,MATCH(1,(D557=$C$5:$C$61)*(A557=$B$5:$B$61),0))</f>
        <v>#N/A</v>
      </c>
      <c r="F557" s="196" t="e" cm="1">
        <f t="array" ref="F557">INDEX($F$5:$F$61,MATCH(1,(D557=$C$5:$C$61)*(A557=$B$5:$B$61),0))</f>
        <v>#N/A</v>
      </c>
      <c r="G557" s="196" t="e" cm="1">
        <f t="array" ref="G557">INDEX($G$5:$G$61,MATCH(1,(D557=$C$5:$C$61)*(A557=$B$5:$B$61),0))</f>
        <v>#N/A</v>
      </c>
      <c r="H557" s="196" t="e" cm="1">
        <f t="array" ref="H557">INDEX($H$5:$H$61,MATCH(1,(D557=$C$5:$C$61)*(A557=$B$5:$B$61),0))</f>
        <v>#N/A</v>
      </c>
      <c r="I557" s="196" t="e" cm="1">
        <f t="array" ref="I557">INDEX($I$5:$I$61,MATCH(1,(D557=$C$5:$C$61)*(A557=$B$5:$B$61),0))</f>
        <v>#N/A</v>
      </c>
      <c r="J557" s="273"/>
      <c r="K557" s="273"/>
      <c r="L557" s="272"/>
      <c r="M557" s="273"/>
      <c r="N557" s="197"/>
      <c r="O557" s="200">
        <f t="shared" si="83"/>
        <v>0</v>
      </c>
      <c r="P557" s="274"/>
      <c r="Q557" s="274"/>
      <c r="R557" s="276"/>
      <c r="S557" s="274"/>
      <c r="T557" s="197">
        <f t="shared" si="84"/>
        <v>0</v>
      </c>
      <c r="U557" s="197">
        <f t="shared" si="85"/>
        <v>0</v>
      </c>
      <c r="V557" s="197">
        <f t="shared" si="86"/>
        <v>0</v>
      </c>
      <c r="W557" s="197">
        <f t="shared" si="87"/>
        <v>0</v>
      </c>
      <c r="Z557" s="197"/>
      <c r="AA557" s="228"/>
      <c r="AB557" s="228"/>
      <c r="AD557" s="228"/>
      <c r="AE557" s="228"/>
      <c r="AF557" s="228"/>
      <c r="AG557" s="228"/>
      <c r="AH557" s="228"/>
      <c r="AI557" s="228"/>
      <c r="AJ557" s="228"/>
      <c r="AK557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</row>
    <row r="558" spans="1:64" s="198" customFormat="1" x14ac:dyDescent="0.25">
      <c r="A558" s="290" t="str">
        <f t="shared" si="82"/>
        <v>Hudson View Park</v>
      </c>
      <c r="B558" s="195">
        <f t="shared" si="88"/>
        <v>460</v>
      </c>
      <c r="C558" s="196" t="str">
        <f t="shared" si="89"/>
        <v>Occ</v>
      </c>
      <c r="D558" s="196" t="e" cm="1">
        <f t="array" ref="D558">INDEX($C$5:$C$61,MATCH(1,(K558=$D$5:$D$61)*(A558=$B$5:$B$61),0))</f>
        <v>#N/A</v>
      </c>
      <c r="E558" s="196" t="e" cm="1">
        <f t="array" ref="E558">INDEX($E$5:$E$61,MATCH(1,(D558=$C$5:$C$61)*(A558=$B$5:$B$61),0))</f>
        <v>#N/A</v>
      </c>
      <c r="F558" s="196" t="e" cm="1">
        <f t="array" ref="F558">INDEX($F$5:$F$61,MATCH(1,(D558=$C$5:$C$61)*(A558=$B$5:$B$61),0))</f>
        <v>#N/A</v>
      </c>
      <c r="G558" s="196" t="e" cm="1">
        <f t="array" ref="G558">INDEX($G$5:$G$61,MATCH(1,(D558=$C$5:$C$61)*(A558=$B$5:$B$61),0))</f>
        <v>#N/A</v>
      </c>
      <c r="H558" s="196" t="e" cm="1">
        <f t="array" ref="H558">INDEX($H$5:$H$61,MATCH(1,(D558=$C$5:$C$61)*(A558=$B$5:$B$61),0))</f>
        <v>#N/A</v>
      </c>
      <c r="I558" s="196" t="e" cm="1">
        <f t="array" ref="I558">INDEX($I$5:$I$61,MATCH(1,(D558=$C$5:$C$61)*(A558=$B$5:$B$61),0))</f>
        <v>#N/A</v>
      </c>
      <c r="J558" s="273"/>
      <c r="K558" s="273"/>
      <c r="L558" s="272"/>
      <c r="M558" s="273"/>
      <c r="N558" s="197"/>
      <c r="O558" s="200">
        <f t="shared" si="83"/>
        <v>0</v>
      </c>
      <c r="P558" s="274"/>
      <c r="Q558" s="274"/>
      <c r="R558" s="276"/>
      <c r="S558" s="274"/>
      <c r="T558" s="197">
        <f t="shared" si="84"/>
        <v>0</v>
      </c>
      <c r="U558" s="197">
        <f t="shared" si="85"/>
        <v>0</v>
      </c>
      <c r="V558" s="197">
        <f t="shared" si="86"/>
        <v>0</v>
      </c>
      <c r="W558" s="197">
        <f t="shared" si="87"/>
        <v>0</v>
      </c>
      <c r="Z558" s="197"/>
      <c r="AA558" s="228"/>
      <c r="AB558" s="228"/>
      <c r="AD558" s="228"/>
      <c r="AE558" s="228"/>
      <c r="AF558" s="228"/>
      <c r="AG558" s="228"/>
      <c r="AH558" s="228"/>
      <c r="AI558" s="228"/>
      <c r="AJ558" s="228"/>
      <c r="AK55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</row>
    <row r="559" spans="1:64" s="198" customFormat="1" x14ac:dyDescent="0.25">
      <c r="A559" s="290" t="str">
        <f t="shared" si="82"/>
        <v>Hudson View Park</v>
      </c>
      <c r="B559" s="195">
        <f t="shared" si="88"/>
        <v>461</v>
      </c>
      <c r="C559" s="196" t="str">
        <f t="shared" si="89"/>
        <v>Occ</v>
      </c>
      <c r="D559" s="196" t="e" cm="1">
        <f t="array" ref="D559">INDEX($C$5:$C$61,MATCH(1,(K559=$D$5:$D$61)*(A559=$B$5:$B$61),0))</f>
        <v>#N/A</v>
      </c>
      <c r="E559" s="196" t="e" cm="1">
        <f t="array" ref="E559">INDEX($E$5:$E$61,MATCH(1,(D559=$C$5:$C$61)*(A559=$B$5:$B$61),0))</f>
        <v>#N/A</v>
      </c>
      <c r="F559" s="196" t="e" cm="1">
        <f t="array" ref="F559">INDEX($F$5:$F$61,MATCH(1,(D559=$C$5:$C$61)*(A559=$B$5:$B$61),0))</f>
        <v>#N/A</v>
      </c>
      <c r="G559" s="196" t="e" cm="1">
        <f t="array" ref="G559">INDEX($G$5:$G$61,MATCH(1,(D559=$C$5:$C$61)*(A559=$B$5:$B$61),0))</f>
        <v>#N/A</v>
      </c>
      <c r="H559" s="196" t="e" cm="1">
        <f t="array" ref="H559">INDEX($H$5:$H$61,MATCH(1,(D559=$C$5:$C$61)*(A559=$B$5:$B$61),0))</f>
        <v>#N/A</v>
      </c>
      <c r="I559" s="196" t="e" cm="1">
        <f t="array" ref="I559">INDEX($I$5:$I$61,MATCH(1,(D559=$C$5:$C$61)*(A559=$B$5:$B$61),0))</f>
        <v>#N/A</v>
      </c>
      <c r="J559" s="273"/>
      <c r="K559" s="273"/>
      <c r="L559" s="272"/>
      <c r="M559" s="273"/>
      <c r="N559" s="197"/>
      <c r="O559" s="200">
        <f t="shared" si="83"/>
        <v>0</v>
      </c>
      <c r="P559" s="274"/>
      <c r="Q559" s="274"/>
      <c r="R559" s="276"/>
      <c r="S559" s="274"/>
      <c r="T559" s="197">
        <f t="shared" si="84"/>
        <v>0</v>
      </c>
      <c r="U559" s="197">
        <f t="shared" si="85"/>
        <v>0</v>
      </c>
      <c r="V559" s="197">
        <f t="shared" si="86"/>
        <v>0</v>
      </c>
      <c r="W559" s="197">
        <f t="shared" si="87"/>
        <v>0</v>
      </c>
      <c r="Z559" s="197"/>
      <c r="AA559" s="228"/>
      <c r="AB559" s="228"/>
      <c r="AD559" s="228"/>
      <c r="AE559" s="228"/>
      <c r="AF559" s="228"/>
      <c r="AG559" s="228"/>
      <c r="AH559" s="228"/>
      <c r="AI559" s="228"/>
      <c r="AJ559" s="228"/>
      <c r="AK559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</row>
    <row r="560" spans="1:64" s="198" customFormat="1" x14ac:dyDescent="0.25">
      <c r="A560" s="290" t="str">
        <f t="shared" si="82"/>
        <v>Hudson View Park</v>
      </c>
      <c r="B560" s="195">
        <f t="shared" si="88"/>
        <v>462</v>
      </c>
      <c r="C560" s="196" t="str">
        <f t="shared" si="89"/>
        <v>Occ</v>
      </c>
      <c r="D560" s="196" t="e" cm="1">
        <f t="array" ref="D560">INDEX($C$5:$C$61,MATCH(1,(K560=$D$5:$D$61)*(A560=$B$5:$B$61),0))</f>
        <v>#N/A</v>
      </c>
      <c r="E560" s="196" t="e" cm="1">
        <f t="array" ref="E560">INDEX($E$5:$E$61,MATCH(1,(D560=$C$5:$C$61)*(A560=$B$5:$B$61),0))</f>
        <v>#N/A</v>
      </c>
      <c r="F560" s="196" t="e" cm="1">
        <f t="array" ref="F560">INDEX($F$5:$F$61,MATCH(1,(D560=$C$5:$C$61)*(A560=$B$5:$B$61),0))</f>
        <v>#N/A</v>
      </c>
      <c r="G560" s="196" t="e" cm="1">
        <f t="array" ref="G560">INDEX($G$5:$G$61,MATCH(1,(D560=$C$5:$C$61)*(A560=$B$5:$B$61),0))</f>
        <v>#N/A</v>
      </c>
      <c r="H560" s="196" t="e" cm="1">
        <f t="array" ref="H560">INDEX($H$5:$H$61,MATCH(1,(D560=$C$5:$C$61)*(A560=$B$5:$B$61),0))</f>
        <v>#N/A</v>
      </c>
      <c r="I560" s="196" t="e" cm="1">
        <f t="array" ref="I560">INDEX($I$5:$I$61,MATCH(1,(D560=$C$5:$C$61)*(A560=$B$5:$B$61),0))</f>
        <v>#N/A</v>
      </c>
      <c r="J560" s="273"/>
      <c r="K560" s="273"/>
      <c r="L560" s="272"/>
      <c r="M560" s="273"/>
      <c r="N560" s="197"/>
      <c r="O560" s="200">
        <f t="shared" si="83"/>
        <v>0</v>
      </c>
      <c r="P560" s="274"/>
      <c r="Q560" s="274"/>
      <c r="R560" s="276"/>
      <c r="S560" s="274"/>
      <c r="T560" s="197">
        <f t="shared" si="84"/>
        <v>0</v>
      </c>
      <c r="U560" s="197">
        <f t="shared" si="85"/>
        <v>0</v>
      </c>
      <c r="V560" s="197">
        <f t="shared" si="86"/>
        <v>0</v>
      </c>
      <c r="W560" s="197">
        <f t="shared" si="87"/>
        <v>0</v>
      </c>
      <c r="Z560" s="197"/>
      <c r="AA560" s="228"/>
      <c r="AB560" s="228"/>
      <c r="AD560" s="228"/>
      <c r="AE560" s="228"/>
      <c r="AF560" s="228"/>
      <c r="AG560" s="228"/>
      <c r="AH560" s="228"/>
      <c r="AI560" s="228"/>
      <c r="AJ560" s="228"/>
      <c r="AK560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</row>
    <row r="561" spans="1:64" s="198" customFormat="1" x14ac:dyDescent="0.25">
      <c r="A561" s="290" t="str">
        <f t="shared" si="82"/>
        <v>Hudson View Park</v>
      </c>
      <c r="B561" s="195">
        <f t="shared" si="88"/>
        <v>463</v>
      </c>
      <c r="C561" s="196" t="str">
        <f t="shared" si="89"/>
        <v>Occ</v>
      </c>
      <c r="D561" s="196" t="e" cm="1">
        <f t="array" ref="D561">INDEX($C$5:$C$61,MATCH(1,(K561=$D$5:$D$61)*(A561=$B$5:$B$61),0))</f>
        <v>#N/A</v>
      </c>
      <c r="E561" s="196" t="e" cm="1">
        <f t="array" ref="E561">INDEX($E$5:$E$61,MATCH(1,(D561=$C$5:$C$61)*(A561=$B$5:$B$61),0))</f>
        <v>#N/A</v>
      </c>
      <c r="F561" s="196" t="e" cm="1">
        <f t="array" ref="F561">INDEX($F$5:$F$61,MATCH(1,(D561=$C$5:$C$61)*(A561=$B$5:$B$61),0))</f>
        <v>#N/A</v>
      </c>
      <c r="G561" s="196" t="e" cm="1">
        <f t="array" ref="G561">INDEX($G$5:$G$61,MATCH(1,(D561=$C$5:$C$61)*(A561=$B$5:$B$61),0))</f>
        <v>#N/A</v>
      </c>
      <c r="H561" s="196" t="e" cm="1">
        <f t="array" ref="H561">INDEX($H$5:$H$61,MATCH(1,(D561=$C$5:$C$61)*(A561=$B$5:$B$61),0))</f>
        <v>#N/A</v>
      </c>
      <c r="I561" s="196" t="e" cm="1">
        <f t="array" ref="I561">INDEX($I$5:$I$61,MATCH(1,(D561=$C$5:$C$61)*(A561=$B$5:$B$61),0))</f>
        <v>#N/A</v>
      </c>
      <c r="J561" s="273"/>
      <c r="K561" s="273"/>
      <c r="L561" s="272"/>
      <c r="M561" s="273"/>
      <c r="N561" s="197"/>
      <c r="O561" s="200">
        <f t="shared" si="83"/>
        <v>0</v>
      </c>
      <c r="P561" s="274"/>
      <c r="Q561" s="274"/>
      <c r="R561" s="276"/>
      <c r="S561" s="274"/>
      <c r="T561" s="197">
        <f t="shared" si="84"/>
        <v>0</v>
      </c>
      <c r="U561" s="197">
        <f t="shared" si="85"/>
        <v>0</v>
      </c>
      <c r="V561" s="197">
        <f t="shared" si="86"/>
        <v>0</v>
      </c>
      <c r="W561" s="197">
        <f t="shared" si="87"/>
        <v>0</v>
      </c>
      <c r="Z561" s="197"/>
      <c r="AA561" s="228"/>
      <c r="AB561" s="228"/>
      <c r="AD561" s="228"/>
      <c r="AE561" s="228"/>
      <c r="AF561" s="228"/>
      <c r="AG561" s="228"/>
      <c r="AH561" s="228"/>
      <c r="AI561" s="228"/>
      <c r="AJ561" s="228"/>
      <c r="AK561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</row>
    <row r="562" spans="1:64" s="198" customFormat="1" x14ac:dyDescent="0.25">
      <c r="A562" s="290" t="str">
        <f t="shared" si="82"/>
        <v>Hudson View Park</v>
      </c>
      <c r="B562" s="195">
        <f t="shared" si="88"/>
        <v>464</v>
      </c>
      <c r="C562" s="196" t="str">
        <f t="shared" si="89"/>
        <v>Occ</v>
      </c>
      <c r="D562" s="196" t="e" cm="1">
        <f t="array" ref="D562">INDEX($C$5:$C$61,MATCH(1,(K562=$D$5:$D$61)*(A562=$B$5:$B$61),0))</f>
        <v>#N/A</v>
      </c>
      <c r="E562" s="196" t="e" cm="1">
        <f t="array" ref="E562">INDEX($E$5:$E$61,MATCH(1,(D562=$C$5:$C$61)*(A562=$B$5:$B$61),0))</f>
        <v>#N/A</v>
      </c>
      <c r="F562" s="196" t="e" cm="1">
        <f t="array" ref="F562">INDEX($F$5:$F$61,MATCH(1,(D562=$C$5:$C$61)*(A562=$B$5:$B$61),0))</f>
        <v>#N/A</v>
      </c>
      <c r="G562" s="196" t="e" cm="1">
        <f t="array" ref="G562">INDEX($G$5:$G$61,MATCH(1,(D562=$C$5:$C$61)*(A562=$B$5:$B$61),0))</f>
        <v>#N/A</v>
      </c>
      <c r="H562" s="196" t="e" cm="1">
        <f t="array" ref="H562">INDEX($H$5:$H$61,MATCH(1,(D562=$C$5:$C$61)*(A562=$B$5:$B$61),0))</f>
        <v>#N/A</v>
      </c>
      <c r="I562" s="196" t="e" cm="1">
        <f t="array" ref="I562">INDEX($I$5:$I$61,MATCH(1,(D562=$C$5:$C$61)*(A562=$B$5:$B$61),0))</f>
        <v>#N/A</v>
      </c>
      <c r="J562" s="273"/>
      <c r="K562" s="273"/>
      <c r="L562" s="272"/>
      <c r="M562" s="273"/>
      <c r="N562" s="197"/>
      <c r="O562" s="200">
        <f t="shared" si="83"/>
        <v>0</v>
      </c>
      <c r="P562" s="274"/>
      <c r="Q562" s="274"/>
      <c r="R562" s="276"/>
      <c r="S562" s="274"/>
      <c r="T562" s="197">
        <f t="shared" si="84"/>
        <v>0</v>
      </c>
      <c r="U562" s="197">
        <f t="shared" si="85"/>
        <v>0</v>
      </c>
      <c r="V562" s="197">
        <f t="shared" si="86"/>
        <v>0</v>
      </c>
      <c r="W562" s="197">
        <f t="shared" si="87"/>
        <v>0</v>
      </c>
      <c r="Z562" s="197"/>
      <c r="AA562" s="228"/>
      <c r="AB562" s="228"/>
      <c r="AD562" s="228"/>
      <c r="AE562" s="228"/>
      <c r="AF562" s="228"/>
      <c r="AG562" s="228"/>
      <c r="AH562" s="228"/>
      <c r="AI562" s="228"/>
      <c r="AJ562" s="228"/>
      <c r="AK562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</row>
    <row r="563" spans="1:64" s="198" customFormat="1" x14ac:dyDescent="0.25">
      <c r="A563" s="290" t="str">
        <f t="shared" si="82"/>
        <v>Hudson View Park</v>
      </c>
      <c r="B563" s="195">
        <f t="shared" si="88"/>
        <v>465</v>
      </c>
      <c r="C563" s="196" t="str">
        <f t="shared" si="89"/>
        <v>Occ</v>
      </c>
      <c r="D563" s="196" t="e" cm="1">
        <f t="array" ref="D563">INDEX($C$5:$C$61,MATCH(1,(K563=$D$5:$D$61)*(A563=$B$5:$B$61),0))</f>
        <v>#N/A</v>
      </c>
      <c r="E563" s="196" t="e" cm="1">
        <f t="array" ref="E563">INDEX($E$5:$E$61,MATCH(1,(D563=$C$5:$C$61)*(A563=$B$5:$B$61),0))</f>
        <v>#N/A</v>
      </c>
      <c r="F563" s="196" t="e" cm="1">
        <f t="array" ref="F563">INDEX($F$5:$F$61,MATCH(1,(D563=$C$5:$C$61)*(A563=$B$5:$B$61),0))</f>
        <v>#N/A</v>
      </c>
      <c r="G563" s="196" t="e" cm="1">
        <f t="array" ref="G563">INDEX($G$5:$G$61,MATCH(1,(D563=$C$5:$C$61)*(A563=$B$5:$B$61),0))</f>
        <v>#N/A</v>
      </c>
      <c r="H563" s="196" t="e" cm="1">
        <f t="array" ref="H563">INDEX($H$5:$H$61,MATCH(1,(D563=$C$5:$C$61)*(A563=$B$5:$B$61),0))</f>
        <v>#N/A</v>
      </c>
      <c r="I563" s="196" t="e" cm="1">
        <f t="array" ref="I563">INDEX($I$5:$I$61,MATCH(1,(D563=$C$5:$C$61)*(A563=$B$5:$B$61),0))</f>
        <v>#N/A</v>
      </c>
      <c r="J563" s="273"/>
      <c r="K563" s="273"/>
      <c r="L563" s="272"/>
      <c r="M563" s="273"/>
      <c r="N563" s="197"/>
      <c r="O563" s="200">
        <f t="shared" si="83"/>
        <v>0</v>
      </c>
      <c r="P563" s="274"/>
      <c r="Q563" s="274"/>
      <c r="R563" s="276"/>
      <c r="S563" s="274"/>
      <c r="T563" s="197">
        <f t="shared" si="84"/>
        <v>0</v>
      </c>
      <c r="U563" s="197">
        <f t="shared" si="85"/>
        <v>0</v>
      </c>
      <c r="V563" s="197">
        <f t="shared" si="86"/>
        <v>0</v>
      </c>
      <c r="W563" s="197">
        <f t="shared" si="87"/>
        <v>0</v>
      </c>
      <c r="Z563" s="197"/>
      <c r="AA563" s="228"/>
      <c r="AB563" s="228"/>
      <c r="AD563" s="228"/>
      <c r="AE563" s="228"/>
      <c r="AF563" s="228"/>
      <c r="AG563" s="228"/>
      <c r="AH563" s="228"/>
      <c r="AI563" s="228"/>
      <c r="AJ563" s="228"/>
      <c r="AK563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</row>
    <row r="564" spans="1:64" s="198" customFormat="1" x14ac:dyDescent="0.25">
      <c r="A564" s="290" t="str">
        <f t="shared" si="82"/>
        <v>Hudson View Park</v>
      </c>
      <c r="B564" s="195">
        <f t="shared" si="88"/>
        <v>466</v>
      </c>
      <c r="C564" s="196" t="str">
        <f t="shared" si="89"/>
        <v>Occ</v>
      </c>
      <c r="D564" s="196" t="e" cm="1">
        <f t="array" ref="D564">INDEX($C$5:$C$61,MATCH(1,(K564=$D$5:$D$61)*(A564=$B$5:$B$61),0))</f>
        <v>#N/A</v>
      </c>
      <c r="E564" s="196" t="e" cm="1">
        <f t="array" ref="E564">INDEX($E$5:$E$61,MATCH(1,(D564=$C$5:$C$61)*(A564=$B$5:$B$61),0))</f>
        <v>#N/A</v>
      </c>
      <c r="F564" s="196" t="e" cm="1">
        <f t="array" ref="F564">INDEX($F$5:$F$61,MATCH(1,(D564=$C$5:$C$61)*(A564=$B$5:$B$61),0))</f>
        <v>#N/A</v>
      </c>
      <c r="G564" s="196" t="e" cm="1">
        <f t="array" ref="G564">INDEX($G$5:$G$61,MATCH(1,(D564=$C$5:$C$61)*(A564=$B$5:$B$61),0))</f>
        <v>#N/A</v>
      </c>
      <c r="H564" s="196" t="e" cm="1">
        <f t="array" ref="H564">INDEX($H$5:$H$61,MATCH(1,(D564=$C$5:$C$61)*(A564=$B$5:$B$61),0))</f>
        <v>#N/A</v>
      </c>
      <c r="I564" s="196" t="e" cm="1">
        <f t="array" ref="I564">INDEX($I$5:$I$61,MATCH(1,(D564=$C$5:$C$61)*(A564=$B$5:$B$61),0))</f>
        <v>#N/A</v>
      </c>
      <c r="J564" s="273"/>
      <c r="K564" s="273"/>
      <c r="L564" s="272"/>
      <c r="M564" s="273"/>
      <c r="N564" s="197"/>
      <c r="O564" s="200">
        <f t="shared" si="83"/>
        <v>0</v>
      </c>
      <c r="P564" s="274"/>
      <c r="Q564" s="274"/>
      <c r="R564" s="276"/>
      <c r="S564" s="274"/>
      <c r="T564" s="197">
        <f t="shared" si="84"/>
        <v>0</v>
      </c>
      <c r="U564" s="197">
        <f t="shared" si="85"/>
        <v>0</v>
      </c>
      <c r="V564" s="197">
        <f t="shared" si="86"/>
        <v>0</v>
      </c>
      <c r="W564" s="197">
        <f t="shared" si="87"/>
        <v>0</v>
      </c>
      <c r="Z564" s="197"/>
      <c r="AA564" s="228"/>
      <c r="AB564" s="228"/>
      <c r="AD564" s="228"/>
      <c r="AE564" s="228"/>
      <c r="AF564" s="228"/>
      <c r="AG564" s="228"/>
      <c r="AH564" s="228"/>
      <c r="AI564" s="228"/>
      <c r="AJ564" s="228"/>
      <c r="AK564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</row>
    <row r="565" spans="1:64" s="198" customFormat="1" x14ac:dyDescent="0.25">
      <c r="A565" s="290" t="str">
        <f t="shared" si="82"/>
        <v>Hudson View Park</v>
      </c>
      <c r="B565" s="195">
        <f t="shared" si="88"/>
        <v>467</v>
      </c>
      <c r="C565" s="196" t="str">
        <f t="shared" si="89"/>
        <v>Occ</v>
      </c>
      <c r="D565" s="196" t="e" cm="1">
        <f t="array" ref="D565">INDEX($C$5:$C$61,MATCH(1,(K565=$D$5:$D$61)*(A565=$B$5:$B$61),0))</f>
        <v>#N/A</v>
      </c>
      <c r="E565" s="196" t="e" cm="1">
        <f t="array" ref="E565">INDEX($E$5:$E$61,MATCH(1,(D565=$C$5:$C$61)*(A565=$B$5:$B$61),0))</f>
        <v>#N/A</v>
      </c>
      <c r="F565" s="196" t="e" cm="1">
        <f t="array" ref="F565">INDEX($F$5:$F$61,MATCH(1,(D565=$C$5:$C$61)*(A565=$B$5:$B$61),0))</f>
        <v>#N/A</v>
      </c>
      <c r="G565" s="196" t="e" cm="1">
        <f t="array" ref="G565">INDEX($G$5:$G$61,MATCH(1,(D565=$C$5:$C$61)*(A565=$B$5:$B$61),0))</f>
        <v>#N/A</v>
      </c>
      <c r="H565" s="196" t="e" cm="1">
        <f t="array" ref="H565">INDEX($H$5:$H$61,MATCH(1,(D565=$C$5:$C$61)*(A565=$B$5:$B$61),0))</f>
        <v>#N/A</v>
      </c>
      <c r="I565" s="196" t="e" cm="1">
        <f t="array" ref="I565">INDEX($I$5:$I$61,MATCH(1,(D565=$C$5:$C$61)*(A565=$B$5:$B$61),0))</f>
        <v>#N/A</v>
      </c>
      <c r="J565" s="273"/>
      <c r="K565" s="273"/>
      <c r="L565" s="272"/>
      <c r="M565" s="273"/>
      <c r="N565" s="197"/>
      <c r="O565" s="200">
        <f t="shared" si="83"/>
        <v>0</v>
      </c>
      <c r="P565" s="274"/>
      <c r="Q565" s="274"/>
      <c r="R565" s="276"/>
      <c r="S565" s="274"/>
      <c r="T565" s="197">
        <f t="shared" si="84"/>
        <v>0</v>
      </c>
      <c r="U565" s="197">
        <f t="shared" si="85"/>
        <v>0</v>
      </c>
      <c r="V565" s="197">
        <f t="shared" si="86"/>
        <v>0</v>
      </c>
      <c r="W565" s="197">
        <f t="shared" si="87"/>
        <v>0</v>
      </c>
      <c r="Z565" s="197"/>
      <c r="AA565" s="228"/>
      <c r="AB565" s="228"/>
      <c r="AD565" s="228"/>
      <c r="AE565" s="228"/>
      <c r="AF565" s="228"/>
      <c r="AG565" s="228"/>
      <c r="AH565" s="228"/>
      <c r="AI565" s="228"/>
      <c r="AJ565" s="228"/>
      <c r="AK565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</row>
    <row r="566" spans="1:64" s="198" customFormat="1" x14ac:dyDescent="0.25">
      <c r="A566" s="290" t="str">
        <f t="shared" si="82"/>
        <v>Hudson View Park</v>
      </c>
      <c r="B566" s="195">
        <f t="shared" si="88"/>
        <v>468</v>
      </c>
      <c r="C566" s="196" t="str">
        <f t="shared" si="89"/>
        <v>Occ</v>
      </c>
      <c r="D566" s="196" t="e" cm="1">
        <f t="array" ref="D566">INDEX($C$5:$C$61,MATCH(1,(K566=$D$5:$D$61)*(A566=$B$5:$B$61),0))</f>
        <v>#N/A</v>
      </c>
      <c r="E566" s="196" t="e" cm="1">
        <f t="array" ref="E566">INDEX($E$5:$E$61,MATCH(1,(D566=$C$5:$C$61)*(A566=$B$5:$B$61),0))</f>
        <v>#N/A</v>
      </c>
      <c r="F566" s="196" t="e" cm="1">
        <f t="array" ref="F566">INDEX($F$5:$F$61,MATCH(1,(D566=$C$5:$C$61)*(A566=$B$5:$B$61),0))</f>
        <v>#N/A</v>
      </c>
      <c r="G566" s="196" t="e" cm="1">
        <f t="array" ref="G566">INDEX($G$5:$G$61,MATCH(1,(D566=$C$5:$C$61)*(A566=$B$5:$B$61),0))</f>
        <v>#N/A</v>
      </c>
      <c r="H566" s="196" t="e" cm="1">
        <f t="array" ref="H566">INDEX($H$5:$H$61,MATCH(1,(D566=$C$5:$C$61)*(A566=$B$5:$B$61),0))</f>
        <v>#N/A</v>
      </c>
      <c r="I566" s="196" t="e" cm="1">
        <f t="array" ref="I566">INDEX($I$5:$I$61,MATCH(1,(D566=$C$5:$C$61)*(A566=$B$5:$B$61),0))</f>
        <v>#N/A</v>
      </c>
      <c r="J566" s="273"/>
      <c r="K566" s="273"/>
      <c r="L566" s="272"/>
      <c r="M566" s="273"/>
      <c r="N566" s="197"/>
      <c r="O566" s="200">
        <f t="shared" si="83"/>
        <v>0</v>
      </c>
      <c r="P566" s="274"/>
      <c r="Q566" s="274"/>
      <c r="R566" s="276"/>
      <c r="S566" s="274"/>
      <c r="T566" s="197">
        <f t="shared" si="84"/>
        <v>0</v>
      </c>
      <c r="U566" s="197">
        <f t="shared" si="85"/>
        <v>0</v>
      </c>
      <c r="V566" s="197">
        <f t="shared" si="86"/>
        <v>0</v>
      </c>
      <c r="W566" s="197">
        <f t="shared" si="87"/>
        <v>0</v>
      </c>
      <c r="Z566" s="197"/>
      <c r="AA566" s="228"/>
      <c r="AB566" s="228"/>
      <c r="AD566" s="228"/>
      <c r="AE566" s="228"/>
      <c r="AF566" s="228"/>
      <c r="AG566" s="228"/>
      <c r="AH566" s="228"/>
      <c r="AI566" s="228"/>
      <c r="AJ566" s="228"/>
      <c r="AK566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</row>
    <row r="567" spans="1:64" s="198" customFormat="1" x14ac:dyDescent="0.25">
      <c r="A567" s="290" t="str">
        <f t="shared" si="82"/>
        <v>Hudson View Park</v>
      </c>
      <c r="B567" s="195">
        <f t="shared" si="88"/>
        <v>469</v>
      </c>
      <c r="C567" s="196" t="str">
        <f t="shared" si="89"/>
        <v>Occ</v>
      </c>
      <c r="D567" s="196" t="e" cm="1">
        <f t="array" ref="D567">INDEX($C$5:$C$61,MATCH(1,(K567=$D$5:$D$61)*(A567=$B$5:$B$61),0))</f>
        <v>#N/A</v>
      </c>
      <c r="E567" s="196" t="e" cm="1">
        <f t="array" ref="E567">INDEX($E$5:$E$61,MATCH(1,(D567=$C$5:$C$61)*(A567=$B$5:$B$61),0))</f>
        <v>#N/A</v>
      </c>
      <c r="F567" s="196" t="e" cm="1">
        <f t="array" ref="F567">INDEX($F$5:$F$61,MATCH(1,(D567=$C$5:$C$61)*(A567=$B$5:$B$61),0))</f>
        <v>#N/A</v>
      </c>
      <c r="G567" s="196" t="e" cm="1">
        <f t="array" ref="G567">INDEX($G$5:$G$61,MATCH(1,(D567=$C$5:$C$61)*(A567=$B$5:$B$61),0))</f>
        <v>#N/A</v>
      </c>
      <c r="H567" s="196" t="e" cm="1">
        <f t="array" ref="H567">INDEX($H$5:$H$61,MATCH(1,(D567=$C$5:$C$61)*(A567=$B$5:$B$61),0))</f>
        <v>#N/A</v>
      </c>
      <c r="I567" s="196" t="e" cm="1">
        <f t="array" ref="I567">INDEX($I$5:$I$61,MATCH(1,(D567=$C$5:$C$61)*(A567=$B$5:$B$61),0))</f>
        <v>#N/A</v>
      </c>
      <c r="J567" s="273"/>
      <c r="K567" s="273"/>
      <c r="L567" s="272"/>
      <c r="M567" s="273"/>
      <c r="N567" s="197"/>
      <c r="O567" s="200">
        <f t="shared" si="83"/>
        <v>0</v>
      </c>
      <c r="P567" s="274"/>
      <c r="Q567" s="274"/>
      <c r="R567" s="276"/>
      <c r="S567" s="274"/>
      <c r="T567" s="197">
        <f t="shared" si="84"/>
        <v>0</v>
      </c>
      <c r="U567" s="197">
        <f t="shared" si="85"/>
        <v>0</v>
      </c>
      <c r="V567" s="197">
        <f t="shared" si="86"/>
        <v>0</v>
      </c>
      <c r="W567" s="197">
        <f t="shared" si="87"/>
        <v>0</v>
      </c>
      <c r="Z567" s="197"/>
      <c r="AA567" s="228"/>
      <c r="AB567" s="228"/>
      <c r="AD567" s="228"/>
      <c r="AE567" s="228"/>
      <c r="AF567" s="228"/>
      <c r="AG567" s="228"/>
      <c r="AH567" s="228"/>
      <c r="AI567" s="228"/>
      <c r="AJ567" s="228"/>
      <c r="AK567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</row>
    <row r="568" spans="1:64" s="198" customFormat="1" x14ac:dyDescent="0.25">
      <c r="A568" s="290" t="str">
        <f t="shared" ref="A568:A606" si="90">$C$67</f>
        <v>Hudson View Park</v>
      </c>
      <c r="B568" s="195">
        <f t="shared" si="88"/>
        <v>470</v>
      </c>
      <c r="C568" s="196" t="str">
        <f t="shared" si="89"/>
        <v>Occ</v>
      </c>
      <c r="D568" s="196" t="e" cm="1">
        <f t="array" ref="D568">INDEX($C$5:$C$61,MATCH(1,(K568=$D$5:$D$61)*(A568=$B$5:$B$61),0))</f>
        <v>#N/A</v>
      </c>
      <c r="E568" s="196" t="e" cm="1">
        <f t="array" ref="E568">INDEX($E$5:$E$61,MATCH(1,(D568=$C$5:$C$61)*(A568=$B$5:$B$61),0))</f>
        <v>#N/A</v>
      </c>
      <c r="F568" s="196" t="e" cm="1">
        <f t="array" ref="F568">INDEX($F$5:$F$61,MATCH(1,(D568=$C$5:$C$61)*(A568=$B$5:$B$61),0))</f>
        <v>#N/A</v>
      </c>
      <c r="G568" s="196" t="e" cm="1">
        <f t="array" ref="G568">INDEX($G$5:$G$61,MATCH(1,(D568=$C$5:$C$61)*(A568=$B$5:$B$61),0))</f>
        <v>#N/A</v>
      </c>
      <c r="H568" s="196" t="e" cm="1">
        <f t="array" ref="H568">INDEX($H$5:$H$61,MATCH(1,(D568=$C$5:$C$61)*(A568=$B$5:$B$61),0))</f>
        <v>#N/A</v>
      </c>
      <c r="I568" s="196" t="e" cm="1">
        <f t="array" ref="I568">INDEX($I$5:$I$61,MATCH(1,(D568=$C$5:$C$61)*(A568=$B$5:$B$61),0))</f>
        <v>#N/A</v>
      </c>
      <c r="J568" s="273"/>
      <c r="K568" s="273"/>
      <c r="L568" s="272"/>
      <c r="M568" s="273"/>
      <c r="N568" s="197"/>
      <c r="O568" s="200">
        <f t="shared" si="83"/>
        <v>0</v>
      </c>
      <c r="P568" s="274"/>
      <c r="Q568" s="274"/>
      <c r="R568" s="276"/>
      <c r="S568" s="274"/>
      <c r="T568" s="197">
        <f t="shared" si="84"/>
        <v>0</v>
      </c>
      <c r="U568" s="197">
        <f t="shared" si="85"/>
        <v>0</v>
      </c>
      <c r="V568" s="197">
        <f t="shared" si="86"/>
        <v>0</v>
      </c>
      <c r="W568" s="197">
        <f t="shared" si="87"/>
        <v>0</v>
      </c>
      <c r="Z568" s="197"/>
      <c r="AA568" s="228"/>
      <c r="AB568" s="228"/>
      <c r="AD568" s="228"/>
      <c r="AE568" s="228"/>
      <c r="AF568" s="228"/>
      <c r="AG568" s="228"/>
      <c r="AH568" s="228"/>
      <c r="AI568" s="228"/>
      <c r="AJ568" s="228"/>
      <c r="AK56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</row>
    <row r="569" spans="1:64" s="198" customFormat="1" x14ac:dyDescent="0.25">
      <c r="A569" s="290" t="str">
        <f t="shared" si="90"/>
        <v>Hudson View Park</v>
      </c>
      <c r="B569" s="195">
        <f t="shared" si="88"/>
        <v>471</v>
      </c>
      <c r="C569" s="196" t="str">
        <f t="shared" si="89"/>
        <v>Occ</v>
      </c>
      <c r="D569" s="196" t="e" cm="1">
        <f t="array" ref="D569">INDEX($C$5:$C$61,MATCH(1,(K569=$D$5:$D$61)*(A569=$B$5:$B$61),0))</f>
        <v>#N/A</v>
      </c>
      <c r="E569" s="196" t="e" cm="1">
        <f t="array" ref="E569">INDEX($E$5:$E$61,MATCH(1,(D569=$C$5:$C$61)*(A569=$B$5:$B$61),0))</f>
        <v>#N/A</v>
      </c>
      <c r="F569" s="196" t="e" cm="1">
        <f t="array" ref="F569">INDEX($F$5:$F$61,MATCH(1,(D569=$C$5:$C$61)*(A569=$B$5:$B$61),0))</f>
        <v>#N/A</v>
      </c>
      <c r="G569" s="196" t="e" cm="1">
        <f t="array" ref="G569">INDEX($G$5:$G$61,MATCH(1,(D569=$C$5:$C$61)*(A569=$B$5:$B$61),0))</f>
        <v>#N/A</v>
      </c>
      <c r="H569" s="196" t="e" cm="1">
        <f t="array" ref="H569">INDEX($H$5:$H$61,MATCH(1,(D569=$C$5:$C$61)*(A569=$B$5:$B$61),0))</f>
        <v>#N/A</v>
      </c>
      <c r="I569" s="196" t="e" cm="1">
        <f t="array" ref="I569">INDEX($I$5:$I$61,MATCH(1,(D569=$C$5:$C$61)*(A569=$B$5:$B$61),0))</f>
        <v>#N/A</v>
      </c>
      <c r="J569" s="273"/>
      <c r="K569" s="273"/>
      <c r="L569" s="272"/>
      <c r="M569" s="273"/>
      <c r="N569" s="197"/>
      <c r="O569" s="200">
        <f t="shared" si="83"/>
        <v>0</v>
      </c>
      <c r="P569" s="274"/>
      <c r="Q569" s="274"/>
      <c r="R569" s="276"/>
      <c r="S569" s="274"/>
      <c r="T569" s="197">
        <f t="shared" si="84"/>
        <v>0</v>
      </c>
      <c r="U569" s="197">
        <f t="shared" si="85"/>
        <v>0</v>
      </c>
      <c r="V569" s="197">
        <f t="shared" si="86"/>
        <v>0</v>
      </c>
      <c r="W569" s="197">
        <f t="shared" si="87"/>
        <v>0</v>
      </c>
      <c r="Z569" s="197"/>
      <c r="AA569" s="228"/>
      <c r="AB569" s="228"/>
      <c r="AD569" s="228"/>
      <c r="AE569" s="228"/>
      <c r="AF569" s="228"/>
      <c r="AG569" s="228"/>
      <c r="AH569" s="228"/>
      <c r="AI569" s="228"/>
      <c r="AJ569" s="228"/>
      <c r="AK569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</row>
    <row r="570" spans="1:64" s="198" customFormat="1" x14ac:dyDescent="0.25">
      <c r="A570" s="290" t="str">
        <f t="shared" si="90"/>
        <v>Hudson View Park</v>
      </c>
      <c r="B570" s="195">
        <f t="shared" si="88"/>
        <v>472</v>
      </c>
      <c r="C570" s="196" t="str">
        <f t="shared" si="89"/>
        <v>Occ</v>
      </c>
      <c r="D570" s="196" t="e" cm="1">
        <f t="array" ref="D570">INDEX($C$5:$C$61,MATCH(1,(K570=$D$5:$D$61)*(A570=$B$5:$B$61),0))</f>
        <v>#N/A</v>
      </c>
      <c r="E570" s="196" t="e" cm="1">
        <f t="array" ref="E570">INDEX($E$5:$E$61,MATCH(1,(D570=$C$5:$C$61)*(A570=$B$5:$B$61),0))</f>
        <v>#N/A</v>
      </c>
      <c r="F570" s="196" t="e" cm="1">
        <f t="array" ref="F570">INDEX($F$5:$F$61,MATCH(1,(D570=$C$5:$C$61)*(A570=$B$5:$B$61),0))</f>
        <v>#N/A</v>
      </c>
      <c r="G570" s="196" t="e" cm="1">
        <f t="array" ref="G570">INDEX($G$5:$G$61,MATCH(1,(D570=$C$5:$C$61)*(A570=$B$5:$B$61),0))</f>
        <v>#N/A</v>
      </c>
      <c r="H570" s="196" t="e" cm="1">
        <f t="array" ref="H570">INDEX($H$5:$H$61,MATCH(1,(D570=$C$5:$C$61)*(A570=$B$5:$B$61),0))</f>
        <v>#N/A</v>
      </c>
      <c r="I570" s="196" t="e" cm="1">
        <f t="array" ref="I570">INDEX($I$5:$I$61,MATCH(1,(D570=$C$5:$C$61)*(A570=$B$5:$B$61),0))</f>
        <v>#N/A</v>
      </c>
      <c r="J570" s="273"/>
      <c r="K570" s="273"/>
      <c r="L570" s="272"/>
      <c r="M570" s="273"/>
      <c r="N570" s="197"/>
      <c r="O570" s="200">
        <f t="shared" si="83"/>
        <v>0</v>
      </c>
      <c r="P570" s="274"/>
      <c r="Q570" s="274"/>
      <c r="R570" s="276"/>
      <c r="S570" s="274"/>
      <c r="T570" s="197">
        <f t="shared" si="84"/>
        <v>0</v>
      </c>
      <c r="U570" s="197">
        <f t="shared" si="85"/>
        <v>0</v>
      </c>
      <c r="V570" s="197">
        <f t="shared" si="86"/>
        <v>0</v>
      </c>
      <c r="W570" s="197">
        <f t="shared" si="87"/>
        <v>0</v>
      </c>
      <c r="Z570" s="197"/>
      <c r="AA570" s="228"/>
      <c r="AB570" s="228"/>
      <c r="AD570" s="228"/>
      <c r="AE570" s="228"/>
      <c r="AF570" s="228"/>
      <c r="AG570" s="228"/>
      <c r="AH570" s="228"/>
      <c r="AI570" s="228"/>
      <c r="AJ570" s="228"/>
      <c r="AK570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</row>
    <row r="571" spans="1:64" s="198" customFormat="1" x14ac:dyDescent="0.25">
      <c r="A571" s="290" t="str">
        <f t="shared" si="90"/>
        <v>Hudson View Park</v>
      </c>
      <c r="B571" s="195">
        <f t="shared" si="88"/>
        <v>473</v>
      </c>
      <c r="C571" s="196" t="str">
        <f t="shared" si="89"/>
        <v>Occ</v>
      </c>
      <c r="D571" s="196" t="e" cm="1">
        <f t="array" ref="D571">INDEX($C$5:$C$61,MATCH(1,(K571=$D$5:$D$61)*(A571=$B$5:$B$61),0))</f>
        <v>#N/A</v>
      </c>
      <c r="E571" s="196" t="e" cm="1">
        <f t="array" ref="E571">INDEX($E$5:$E$61,MATCH(1,(D571=$C$5:$C$61)*(A571=$B$5:$B$61),0))</f>
        <v>#N/A</v>
      </c>
      <c r="F571" s="196" t="e" cm="1">
        <f t="array" ref="F571">INDEX($F$5:$F$61,MATCH(1,(D571=$C$5:$C$61)*(A571=$B$5:$B$61),0))</f>
        <v>#N/A</v>
      </c>
      <c r="G571" s="196" t="e" cm="1">
        <f t="array" ref="G571">INDEX($G$5:$G$61,MATCH(1,(D571=$C$5:$C$61)*(A571=$B$5:$B$61),0))</f>
        <v>#N/A</v>
      </c>
      <c r="H571" s="196" t="e" cm="1">
        <f t="array" ref="H571">INDEX($H$5:$H$61,MATCH(1,(D571=$C$5:$C$61)*(A571=$B$5:$B$61),0))</f>
        <v>#N/A</v>
      </c>
      <c r="I571" s="196" t="e" cm="1">
        <f t="array" ref="I571">INDEX($I$5:$I$61,MATCH(1,(D571=$C$5:$C$61)*(A571=$B$5:$B$61),0))</f>
        <v>#N/A</v>
      </c>
      <c r="J571" s="273"/>
      <c r="K571" s="273"/>
      <c r="L571" s="272"/>
      <c r="M571" s="273"/>
      <c r="N571" s="197"/>
      <c r="O571" s="200">
        <f t="shared" si="83"/>
        <v>0</v>
      </c>
      <c r="P571" s="274"/>
      <c r="Q571" s="274"/>
      <c r="R571" s="276"/>
      <c r="S571" s="274"/>
      <c r="T571" s="197">
        <f t="shared" si="84"/>
        <v>0</v>
      </c>
      <c r="U571" s="197">
        <f t="shared" si="85"/>
        <v>0</v>
      </c>
      <c r="V571" s="197">
        <f t="shared" si="86"/>
        <v>0</v>
      </c>
      <c r="W571" s="197">
        <f t="shared" si="87"/>
        <v>0</v>
      </c>
      <c r="Z571" s="197"/>
      <c r="AA571" s="228"/>
      <c r="AB571" s="228"/>
      <c r="AD571" s="228"/>
      <c r="AE571" s="228"/>
      <c r="AF571" s="228"/>
      <c r="AG571" s="228"/>
      <c r="AH571" s="228"/>
      <c r="AI571" s="228"/>
      <c r="AJ571" s="228"/>
      <c r="AK571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</row>
    <row r="572" spans="1:64" s="198" customFormat="1" x14ac:dyDescent="0.25">
      <c r="A572" s="290" t="str">
        <f t="shared" si="90"/>
        <v>Hudson View Park</v>
      </c>
      <c r="B572" s="195">
        <f t="shared" si="88"/>
        <v>474</v>
      </c>
      <c r="C572" s="196" t="str">
        <f t="shared" si="89"/>
        <v>Occ</v>
      </c>
      <c r="D572" s="196" t="e" cm="1">
        <f t="array" ref="D572">INDEX($C$5:$C$61,MATCH(1,(K572=$D$5:$D$61)*(A572=$B$5:$B$61),0))</f>
        <v>#N/A</v>
      </c>
      <c r="E572" s="196" t="e" cm="1">
        <f t="array" ref="E572">INDEX($E$5:$E$61,MATCH(1,(D572=$C$5:$C$61)*(A572=$B$5:$B$61),0))</f>
        <v>#N/A</v>
      </c>
      <c r="F572" s="196" t="e" cm="1">
        <f t="array" ref="F572">INDEX($F$5:$F$61,MATCH(1,(D572=$C$5:$C$61)*(A572=$B$5:$B$61),0))</f>
        <v>#N/A</v>
      </c>
      <c r="G572" s="196" t="e" cm="1">
        <f t="array" ref="G572">INDEX($G$5:$G$61,MATCH(1,(D572=$C$5:$C$61)*(A572=$B$5:$B$61),0))</f>
        <v>#N/A</v>
      </c>
      <c r="H572" s="196" t="e" cm="1">
        <f t="array" ref="H572">INDEX($H$5:$H$61,MATCH(1,(D572=$C$5:$C$61)*(A572=$B$5:$B$61),0))</f>
        <v>#N/A</v>
      </c>
      <c r="I572" s="196" t="e" cm="1">
        <f t="array" ref="I572">INDEX($I$5:$I$61,MATCH(1,(D572=$C$5:$C$61)*(A572=$B$5:$B$61),0))</f>
        <v>#N/A</v>
      </c>
      <c r="J572" s="273"/>
      <c r="K572" s="273"/>
      <c r="L572" s="272"/>
      <c r="M572" s="273"/>
      <c r="N572" s="197"/>
      <c r="O572" s="200">
        <f t="shared" si="83"/>
        <v>0</v>
      </c>
      <c r="P572" s="274"/>
      <c r="Q572" s="274"/>
      <c r="R572" s="276"/>
      <c r="S572" s="274"/>
      <c r="T572" s="197">
        <f t="shared" si="84"/>
        <v>0</v>
      </c>
      <c r="U572" s="197">
        <f t="shared" si="85"/>
        <v>0</v>
      </c>
      <c r="V572" s="197">
        <f t="shared" si="86"/>
        <v>0</v>
      </c>
      <c r="W572" s="197">
        <f t="shared" si="87"/>
        <v>0</v>
      </c>
      <c r="Z572" s="197"/>
      <c r="AA572" s="228"/>
      <c r="AB572" s="228"/>
      <c r="AD572" s="228"/>
      <c r="AE572" s="228"/>
      <c r="AF572" s="228"/>
      <c r="AG572" s="228"/>
      <c r="AH572" s="228"/>
      <c r="AI572" s="228"/>
      <c r="AJ572" s="228"/>
      <c r="AK572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</row>
    <row r="573" spans="1:64" s="198" customFormat="1" x14ac:dyDescent="0.25">
      <c r="A573" s="290" t="str">
        <f t="shared" si="90"/>
        <v>Hudson View Park</v>
      </c>
      <c r="B573" s="195">
        <f t="shared" si="88"/>
        <v>475</v>
      </c>
      <c r="C573" s="196" t="str">
        <f t="shared" si="89"/>
        <v>Occ</v>
      </c>
      <c r="D573" s="196" t="e" cm="1">
        <f t="array" ref="D573">INDEX($C$5:$C$61,MATCH(1,(K573=$D$5:$D$61)*(A573=$B$5:$B$61),0))</f>
        <v>#N/A</v>
      </c>
      <c r="E573" s="196" t="e" cm="1">
        <f t="array" ref="E573">INDEX($E$5:$E$61,MATCH(1,(D573=$C$5:$C$61)*(A573=$B$5:$B$61),0))</f>
        <v>#N/A</v>
      </c>
      <c r="F573" s="196" t="e" cm="1">
        <f t="array" ref="F573">INDEX($F$5:$F$61,MATCH(1,(D573=$C$5:$C$61)*(A573=$B$5:$B$61),0))</f>
        <v>#N/A</v>
      </c>
      <c r="G573" s="196" t="e" cm="1">
        <f t="array" ref="G573">INDEX($G$5:$G$61,MATCH(1,(D573=$C$5:$C$61)*(A573=$B$5:$B$61),0))</f>
        <v>#N/A</v>
      </c>
      <c r="H573" s="196" t="e" cm="1">
        <f t="array" ref="H573">INDEX($H$5:$H$61,MATCH(1,(D573=$C$5:$C$61)*(A573=$B$5:$B$61),0))</f>
        <v>#N/A</v>
      </c>
      <c r="I573" s="196" t="e" cm="1">
        <f t="array" ref="I573">INDEX($I$5:$I$61,MATCH(1,(D573=$C$5:$C$61)*(A573=$B$5:$B$61),0))</f>
        <v>#N/A</v>
      </c>
      <c r="J573" s="273"/>
      <c r="K573" s="273"/>
      <c r="L573" s="272"/>
      <c r="M573" s="273"/>
      <c r="N573" s="197"/>
      <c r="O573" s="200">
        <f t="shared" si="83"/>
        <v>0</v>
      </c>
      <c r="P573" s="274"/>
      <c r="Q573" s="274"/>
      <c r="R573" s="276"/>
      <c r="S573" s="274"/>
      <c r="T573" s="197">
        <f t="shared" si="84"/>
        <v>0</v>
      </c>
      <c r="U573" s="197">
        <f t="shared" si="85"/>
        <v>0</v>
      </c>
      <c r="V573" s="197">
        <f t="shared" si="86"/>
        <v>0</v>
      </c>
      <c r="W573" s="197">
        <f t="shared" si="87"/>
        <v>0</v>
      </c>
      <c r="Z573" s="197"/>
      <c r="AA573" s="228"/>
      <c r="AB573" s="228"/>
      <c r="AD573" s="228"/>
      <c r="AE573" s="228"/>
      <c r="AF573" s="228"/>
      <c r="AG573" s="228"/>
      <c r="AH573" s="228"/>
      <c r="AI573" s="228"/>
      <c r="AJ573" s="228"/>
      <c r="AK573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</row>
    <row r="574" spans="1:64" s="198" customFormat="1" x14ac:dyDescent="0.25">
      <c r="A574" s="290" t="str">
        <f t="shared" si="90"/>
        <v>Hudson View Park</v>
      </c>
      <c r="B574" s="195">
        <f t="shared" si="88"/>
        <v>476</v>
      </c>
      <c r="C574" s="196" t="str">
        <f t="shared" si="89"/>
        <v>Occ</v>
      </c>
      <c r="D574" s="196" t="e" cm="1">
        <f t="array" ref="D574">INDEX($C$5:$C$61,MATCH(1,(K574=$D$5:$D$61)*(A574=$B$5:$B$61),0))</f>
        <v>#N/A</v>
      </c>
      <c r="E574" s="196" t="e" cm="1">
        <f t="array" ref="E574">INDEX($E$5:$E$61,MATCH(1,(D574=$C$5:$C$61)*(A574=$B$5:$B$61),0))</f>
        <v>#N/A</v>
      </c>
      <c r="F574" s="196" t="e" cm="1">
        <f t="array" ref="F574">INDEX($F$5:$F$61,MATCH(1,(D574=$C$5:$C$61)*(A574=$B$5:$B$61),0))</f>
        <v>#N/A</v>
      </c>
      <c r="G574" s="196" t="e" cm="1">
        <f t="array" ref="G574">INDEX($G$5:$G$61,MATCH(1,(D574=$C$5:$C$61)*(A574=$B$5:$B$61),0))</f>
        <v>#N/A</v>
      </c>
      <c r="H574" s="196" t="e" cm="1">
        <f t="array" ref="H574">INDEX($H$5:$H$61,MATCH(1,(D574=$C$5:$C$61)*(A574=$B$5:$B$61),0))</f>
        <v>#N/A</v>
      </c>
      <c r="I574" s="196" t="e" cm="1">
        <f t="array" ref="I574">INDEX($I$5:$I$61,MATCH(1,(D574=$C$5:$C$61)*(A574=$B$5:$B$61),0))</f>
        <v>#N/A</v>
      </c>
      <c r="J574" s="273"/>
      <c r="K574" s="273"/>
      <c r="L574" s="272"/>
      <c r="M574" s="273"/>
      <c r="N574" s="197"/>
      <c r="O574" s="200">
        <f t="shared" si="83"/>
        <v>0</v>
      </c>
      <c r="P574" s="274"/>
      <c r="Q574" s="274"/>
      <c r="R574" s="276"/>
      <c r="S574" s="274"/>
      <c r="T574" s="197">
        <f t="shared" si="84"/>
        <v>0</v>
      </c>
      <c r="U574" s="197">
        <f t="shared" si="85"/>
        <v>0</v>
      </c>
      <c r="V574" s="197">
        <f t="shared" si="86"/>
        <v>0</v>
      </c>
      <c r="W574" s="197">
        <f t="shared" si="87"/>
        <v>0</v>
      </c>
      <c r="Z574" s="197"/>
      <c r="AA574" s="228"/>
      <c r="AB574" s="228"/>
      <c r="AD574" s="228"/>
      <c r="AE574" s="228"/>
      <c r="AF574" s="228"/>
      <c r="AG574" s="228"/>
      <c r="AH574" s="228"/>
      <c r="AI574" s="228"/>
      <c r="AJ574" s="228"/>
      <c r="AK574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</row>
    <row r="575" spans="1:64" s="198" customFormat="1" x14ac:dyDescent="0.25">
      <c r="A575" s="290" t="str">
        <f t="shared" si="90"/>
        <v>Hudson View Park</v>
      </c>
      <c r="B575" s="195">
        <f t="shared" si="88"/>
        <v>477</v>
      </c>
      <c r="C575" s="196" t="str">
        <f t="shared" si="89"/>
        <v>Occ</v>
      </c>
      <c r="D575" s="196" t="e" cm="1">
        <f t="array" ref="D575">INDEX($C$5:$C$61,MATCH(1,(K575=$D$5:$D$61)*(A575=$B$5:$B$61),0))</f>
        <v>#N/A</v>
      </c>
      <c r="E575" s="196" t="e" cm="1">
        <f t="array" ref="E575">INDEX($E$5:$E$61,MATCH(1,(D575=$C$5:$C$61)*(A575=$B$5:$B$61),0))</f>
        <v>#N/A</v>
      </c>
      <c r="F575" s="196" t="e" cm="1">
        <f t="array" ref="F575">INDEX($F$5:$F$61,MATCH(1,(D575=$C$5:$C$61)*(A575=$B$5:$B$61),0))</f>
        <v>#N/A</v>
      </c>
      <c r="G575" s="196" t="e" cm="1">
        <f t="array" ref="G575">INDEX($G$5:$G$61,MATCH(1,(D575=$C$5:$C$61)*(A575=$B$5:$B$61),0))</f>
        <v>#N/A</v>
      </c>
      <c r="H575" s="196" t="e" cm="1">
        <f t="array" ref="H575">INDEX($H$5:$H$61,MATCH(1,(D575=$C$5:$C$61)*(A575=$B$5:$B$61),0))</f>
        <v>#N/A</v>
      </c>
      <c r="I575" s="196" t="e" cm="1">
        <f t="array" ref="I575">INDEX($I$5:$I$61,MATCH(1,(D575=$C$5:$C$61)*(A575=$B$5:$B$61),0))</f>
        <v>#N/A</v>
      </c>
      <c r="J575" s="273"/>
      <c r="K575" s="273"/>
      <c r="L575" s="272"/>
      <c r="M575" s="273"/>
      <c r="N575" s="197"/>
      <c r="O575" s="200">
        <f t="shared" si="83"/>
        <v>0</v>
      </c>
      <c r="P575" s="274"/>
      <c r="Q575" s="274"/>
      <c r="R575" s="276"/>
      <c r="S575" s="274"/>
      <c r="T575" s="197">
        <f t="shared" si="84"/>
        <v>0</v>
      </c>
      <c r="U575" s="197">
        <f t="shared" si="85"/>
        <v>0</v>
      </c>
      <c r="V575" s="197">
        <f t="shared" si="86"/>
        <v>0</v>
      </c>
      <c r="W575" s="197">
        <f t="shared" si="87"/>
        <v>0</v>
      </c>
      <c r="Z575" s="197"/>
      <c r="AA575" s="228"/>
      <c r="AB575" s="228"/>
      <c r="AD575" s="228"/>
      <c r="AE575" s="228"/>
      <c r="AF575" s="228"/>
      <c r="AG575" s="228"/>
      <c r="AH575" s="228"/>
      <c r="AI575" s="228"/>
      <c r="AJ575" s="228"/>
      <c r="AK575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</row>
    <row r="576" spans="1:64" s="198" customFormat="1" x14ac:dyDescent="0.25">
      <c r="A576" s="290" t="str">
        <f t="shared" si="90"/>
        <v>Hudson View Park</v>
      </c>
      <c r="B576" s="195">
        <f t="shared" si="88"/>
        <v>478</v>
      </c>
      <c r="C576" s="196" t="str">
        <f t="shared" si="89"/>
        <v>Occ</v>
      </c>
      <c r="D576" s="196" t="e" cm="1">
        <f t="array" ref="D576">INDEX($C$5:$C$61,MATCH(1,(K576=$D$5:$D$61)*(A576=$B$5:$B$61),0))</f>
        <v>#N/A</v>
      </c>
      <c r="E576" s="196" t="e" cm="1">
        <f t="array" ref="E576">INDEX($E$5:$E$61,MATCH(1,(D576=$C$5:$C$61)*(A576=$B$5:$B$61),0))</f>
        <v>#N/A</v>
      </c>
      <c r="F576" s="196" t="e" cm="1">
        <f t="array" ref="F576">INDEX($F$5:$F$61,MATCH(1,(D576=$C$5:$C$61)*(A576=$B$5:$B$61),0))</f>
        <v>#N/A</v>
      </c>
      <c r="G576" s="196" t="e" cm="1">
        <f t="array" ref="G576">INDEX($G$5:$G$61,MATCH(1,(D576=$C$5:$C$61)*(A576=$B$5:$B$61),0))</f>
        <v>#N/A</v>
      </c>
      <c r="H576" s="196" t="e" cm="1">
        <f t="array" ref="H576">INDEX($H$5:$H$61,MATCH(1,(D576=$C$5:$C$61)*(A576=$B$5:$B$61),0))</f>
        <v>#N/A</v>
      </c>
      <c r="I576" s="196" t="e" cm="1">
        <f t="array" ref="I576">INDEX($I$5:$I$61,MATCH(1,(D576=$C$5:$C$61)*(A576=$B$5:$B$61),0))</f>
        <v>#N/A</v>
      </c>
      <c r="J576" s="273"/>
      <c r="K576" s="273"/>
      <c r="L576" s="272"/>
      <c r="M576" s="273"/>
      <c r="N576" s="197"/>
      <c r="O576" s="200">
        <f t="shared" si="83"/>
        <v>0</v>
      </c>
      <c r="P576" s="274"/>
      <c r="Q576" s="274"/>
      <c r="R576" s="276"/>
      <c r="S576" s="274"/>
      <c r="T576" s="197">
        <f t="shared" si="84"/>
        <v>0</v>
      </c>
      <c r="U576" s="197">
        <f t="shared" si="85"/>
        <v>0</v>
      </c>
      <c r="V576" s="197">
        <f t="shared" si="86"/>
        <v>0</v>
      </c>
      <c r="W576" s="197">
        <f t="shared" si="87"/>
        <v>0</v>
      </c>
      <c r="Z576" s="197"/>
      <c r="AA576" s="228"/>
      <c r="AB576" s="228"/>
      <c r="AD576" s="228"/>
      <c r="AE576" s="228"/>
      <c r="AF576" s="228"/>
      <c r="AG576" s="228"/>
      <c r="AH576" s="228"/>
      <c r="AI576" s="228"/>
      <c r="AJ576" s="228"/>
      <c r="AK576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</row>
    <row r="577" spans="1:64" s="198" customFormat="1" x14ac:dyDescent="0.25">
      <c r="A577" s="290" t="str">
        <f t="shared" si="90"/>
        <v>Hudson View Park</v>
      </c>
      <c r="B577" s="195">
        <f t="shared" si="88"/>
        <v>479</v>
      </c>
      <c r="C577" s="196" t="str">
        <f t="shared" si="89"/>
        <v>Occ</v>
      </c>
      <c r="D577" s="196" t="e" cm="1">
        <f t="array" ref="D577">INDEX($C$5:$C$61,MATCH(1,(K577=$D$5:$D$61)*(A577=$B$5:$B$61),0))</f>
        <v>#N/A</v>
      </c>
      <c r="E577" s="196" t="e" cm="1">
        <f t="array" ref="E577">INDEX($E$5:$E$61,MATCH(1,(D577=$C$5:$C$61)*(A577=$B$5:$B$61),0))</f>
        <v>#N/A</v>
      </c>
      <c r="F577" s="196" t="e" cm="1">
        <f t="array" ref="F577">INDEX($F$5:$F$61,MATCH(1,(D577=$C$5:$C$61)*(A577=$B$5:$B$61),0))</f>
        <v>#N/A</v>
      </c>
      <c r="G577" s="196" t="e" cm="1">
        <f t="array" ref="G577">INDEX($G$5:$G$61,MATCH(1,(D577=$C$5:$C$61)*(A577=$B$5:$B$61),0))</f>
        <v>#N/A</v>
      </c>
      <c r="H577" s="196" t="e" cm="1">
        <f t="array" ref="H577">INDEX($H$5:$H$61,MATCH(1,(D577=$C$5:$C$61)*(A577=$B$5:$B$61),0))</f>
        <v>#N/A</v>
      </c>
      <c r="I577" s="196" t="e" cm="1">
        <f t="array" ref="I577">INDEX($I$5:$I$61,MATCH(1,(D577=$C$5:$C$61)*(A577=$B$5:$B$61),0))</f>
        <v>#N/A</v>
      </c>
      <c r="J577" s="273"/>
      <c r="K577" s="273"/>
      <c r="L577" s="272"/>
      <c r="M577" s="273"/>
      <c r="N577" s="197"/>
      <c r="O577" s="200">
        <f t="shared" si="83"/>
        <v>0</v>
      </c>
      <c r="P577" s="274"/>
      <c r="Q577" s="274"/>
      <c r="R577" s="276"/>
      <c r="S577" s="274"/>
      <c r="T577" s="197">
        <f t="shared" si="84"/>
        <v>0</v>
      </c>
      <c r="U577" s="197">
        <f t="shared" si="85"/>
        <v>0</v>
      </c>
      <c r="V577" s="197">
        <f t="shared" si="86"/>
        <v>0</v>
      </c>
      <c r="W577" s="197">
        <f t="shared" si="87"/>
        <v>0</v>
      </c>
      <c r="Z577" s="197"/>
      <c r="AA577" s="228"/>
      <c r="AB577" s="228"/>
      <c r="AD577" s="228"/>
      <c r="AE577" s="228"/>
      <c r="AF577" s="228"/>
      <c r="AG577" s="228"/>
      <c r="AH577" s="228"/>
      <c r="AI577" s="228"/>
      <c r="AJ577" s="228"/>
      <c r="AK577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</row>
    <row r="578" spans="1:64" s="198" customFormat="1" x14ac:dyDescent="0.25">
      <c r="A578" s="290" t="str">
        <f t="shared" si="90"/>
        <v>Hudson View Park</v>
      </c>
      <c r="B578" s="195">
        <f t="shared" si="88"/>
        <v>480</v>
      </c>
      <c r="C578" s="196" t="str">
        <f t="shared" si="89"/>
        <v>Occ</v>
      </c>
      <c r="D578" s="196" t="e" cm="1">
        <f t="array" ref="D578">INDEX($C$5:$C$61,MATCH(1,(K578=$D$5:$D$61)*(A578=$B$5:$B$61),0))</f>
        <v>#N/A</v>
      </c>
      <c r="E578" s="196" t="e" cm="1">
        <f t="array" ref="E578">INDEX($E$5:$E$61,MATCH(1,(D578=$C$5:$C$61)*(A578=$B$5:$B$61),0))</f>
        <v>#N/A</v>
      </c>
      <c r="F578" s="196" t="e" cm="1">
        <f t="array" ref="F578">INDEX($F$5:$F$61,MATCH(1,(D578=$C$5:$C$61)*(A578=$B$5:$B$61),0))</f>
        <v>#N/A</v>
      </c>
      <c r="G578" s="196" t="e" cm="1">
        <f t="array" ref="G578">INDEX($G$5:$G$61,MATCH(1,(D578=$C$5:$C$61)*(A578=$B$5:$B$61),0))</f>
        <v>#N/A</v>
      </c>
      <c r="H578" s="196" t="e" cm="1">
        <f t="array" ref="H578">INDEX($H$5:$H$61,MATCH(1,(D578=$C$5:$C$61)*(A578=$B$5:$B$61),0))</f>
        <v>#N/A</v>
      </c>
      <c r="I578" s="196" t="e" cm="1">
        <f t="array" ref="I578">INDEX($I$5:$I$61,MATCH(1,(D578=$C$5:$C$61)*(A578=$B$5:$B$61),0))</f>
        <v>#N/A</v>
      </c>
      <c r="J578" s="273"/>
      <c r="K578" s="273"/>
      <c r="L578" s="272"/>
      <c r="M578" s="273"/>
      <c r="N578" s="197"/>
      <c r="O578" s="200">
        <f t="shared" si="83"/>
        <v>0</v>
      </c>
      <c r="P578" s="274"/>
      <c r="Q578" s="274"/>
      <c r="R578" s="276"/>
      <c r="S578" s="274"/>
      <c r="T578" s="197">
        <f t="shared" si="84"/>
        <v>0</v>
      </c>
      <c r="U578" s="197">
        <f t="shared" si="85"/>
        <v>0</v>
      </c>
      <c r="V578" s="197">
        <f t="shared" si="86"/>
        <v>0</v>
      </c>
      <c r="W578" s="197">
        <f t="shared" si="87"/>
        <v>0</v>
      </c>
      <c r="Z578" s="197"/>
      <c r="AA578" s="228"/>
      <c r="AB578" s="228"/>
      <c r="AD578" s="228"/>
      <c r="AE578" s="228"/>
      <c r="AF578" s="228"/>
      <c r="AG578" s="228"/>
      <c r="AH578" s="228"/>
      <c r="AI578" s="228"/>
      <c r="AJ578" s="228"/>
      <c r="AK57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</row>
    <row r="579" spans="1:64" s="198" customFormat="1" x14ac:dyDescent="0.25">
      <c r="A579" s="290" t="str">
        <f t="shared" si="90"/>
        <v>Hudson View Park</v>
      </c>
      <c r="B579" s="195">
        <f t="shared" si="88"/>
        <v>481</v>
      </c>
      <c r="C579" s="196" t="str">
        <f t="shared" si="89"/>
        <v>Occ</v>
      </c>
      <c r="D579" s="196" t="e" cm="1">
        <f t="array" ref="D579">INDEX($C$5:$C$61,MATCH(1,(K579=$D$5:$D$61)*(A579=$B$5:$B$61),0))</f>
        <v>#N/A</v>
      </c>
      <c r="E579" s="196" t="e" cm="1">
        <f t="array" ref="E579">INDEX($E$5:$E$61,MATCH(1,(D579=$C$5:$C$61)*(A579=$B$5:$B$61),0))</f>
        <v>#N/A</v>
      </c>
      <c r="F579" s="196" t="e" cm="1">
        <f t="array" ref="F579">INDEX($F$5:$F$61,MATCH(1,(D579=$C$5:$C$61)*(A579=$B$5:$B$61),0))</f>
        <v>#N/A</v>
      </c>
      <c r="G579" s="196" t="e" cm="1">
        <f t="array" ref="G579">INDEX($G$5:$G$61,MATCH(1,(D579=$C$5:$C$61)*(A579=$B$5:$B$61),0))</f>
        <v>#N/A</v>
      </c>
      <c r="H579" s="196" t="e" cm="1">
        <f t="array" ref="H579">INDEX($H$5:$H$61,MATCH(1,(D579=$C$5:$C$61)*(A579=$B$5:$B$61),0))</f>
        <v>#N/A</v>
      </c>
      <c r="I579" s="196" t="e" cm="1">
        <f t="array" ref="I579">INDEX($I$5:$I$61,MATCH(1,(D579=$C$5:$C$61)*(A579=$B$5:$B$61),0))</f>
        <v>#N/A</v>
      </c>
      <c r="J579" s="273"/>
      <c r="K579" s="273"/>
      <c r="L579" s="272"/>
      <c r="M579" s="273"/>
      <c r="N579" s="197"/>
      <c r="O579" s="200">
        <f t="shared" si="83"/>
        <v>0</v>
      </c>
      <c r="P579" s="274"/>
      <c r="Q579" s="274"/>
      <c r="R579" s="276"/>
      <c r="S579" s="274"/>
      <c r="T579" s="197">
        <f t="shared" si="84"/>
        <v>0</v>
      </c>
      <c r="U579" s="197">
        <f t="shared" si="85"/>
        <v>0</v>
      </c>
      <c r="V579" s="197">
        <f t="shared" si="86"/>
        <v>0</v>
      </c>
      <c r="W579" s="197">
        <f t="shared" si="87"/>
        <v>0</v>
      </c>
      <c r="Z579" s="197"/>
      <c r="AA579" s="228"/>
      <c r="AB579" s="228"/>
      <c r="AD579" s="228"/>
      <c r="AE579" s="228"/>
      <c r="AF579" s="228"/>
      <c r="AG579" s="228"/>
      <c r="AH579" s="228"/>
      <c r="AI579" s="228"/>
      <c r="AJ579" s="228"/>
      <c r="AK579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</row>
    <row r="580" spans="1:64" s="198" customFormat="1" x14ac:dyDescent="0.25">
      <c r="A580" s="290" t="str">
        <f t="shared" si="90"/>
        <v>Hudson View Park</v>
      </c>
      <c r="B580" s="195">
        <f t="shared" si="88"/>
        <v>482</v>
      </c>
      <c r="C580" s="196" t="str">
        <f t="shared" si="89"/>
        <v>Occ</v>
      </c>
      <c r="D580" s="196" t="e" cm="1">
        <f t="array" ref="D580">INDEX($C$5:$C$61,MATCH(1,(K580=$D$5:$D$61)*(A580=$B$5:$B$61),0))</f>
        <v>#N/A</v>
      </c>
      <c r="E580" s="196" t="e" cm="1">
        <f t="array" ref="E580">INDEX($E$5:$E$61,MATCH(1,(D580=$C$5:$C$61)*(A580=$B$5:$B$61),0))</f>
        <v>#N/A</v>
      </c>
      <c r="F580" s="196" t="e" cm="1">
        <f t="array" ref="F580">INDEX($F$5:$F$61,MATCH(1,(D580=$C$5:$C$61)*(A580=$B$5:$B$61),0))</f>
        <v>#N/A</v>
      </c>
      <c r="G580" s="196" t="e" cm="1">
        <f t="array" ref="G580">INDEX($G$5:$G$61,MATCH(1,(D580=$C$5:$C$61)*(A580=$B$5:$B$61),0))</f>
        <v>#N/A</v>
      </c>
      <c r="H580" s="196" t="e" cm="1">
        <f t="array" ref="H580">INDEX($H$5:$H$61,MATCH(1,(D580=$C$5:$C$61)*(A580=$B$5:$B$61),0))</f>
        <v>#N/A</v>
      </c>
      <c r="I580" s="196" t="e" cm="1">
        <f t="array" ref="I580">INDEX($I$5:$I$61,MATCH(1,(D580=$C$5:$C$61)*(A580=$B$5:$B$61),0))</f>
        <v>#N/A</v>
      </c>
      <c r="J580" s="273"/>
      <c r="K580" s="273"/>
      <c r="L580" s="272"/>
      <c r="M580" s="273"/>
      <c r="N580" s="197"/>
      <c r="O580" s="200">
        <f t="shared" si="83"/>
        <v>0</v>
      </c>
      <c r="P580" s="274"/>
      <c r="Q580" s="274"/>
      <c r="R580" s="276"/>
      <c r="S580" s="274"/>
      <c r="T580" s="197">
        <f t="shared" si="84"/>
        <v>0</v>
      </c>
      <c r="U580" s="197">
        <f t="shared" si="85"/>
        <v>0</v>
      </c>
      <c r="V580" s="197">
        <f t="shared" si="86"/>
        <v>0</v>
      </c>
      <c r="W580" s="197">
        <f t="shared" si="87"/>
        <v>0</v>
      </c>
      <c r="Z580" s="197"/>
      <c r="AA580" s="228"/>
      <c r="AB580" s="228"/>
      <c r="AD580" s="228"/>
      <c r="AE580" s="228"/>
      <c r="AF580" s="228"/>
      <c r="AG580" s="228"/>
      <c r="AH580" s="228"/>
      <c r="AI580" s="228"/>
      <c r="AJ580" s="228"/>
      <c r="AK580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</row>
    <row r="581" spans="1:64" s="198" customFormat="1" x14ac:dyDescent="0.25">
      <c r="A581" s="290" t="str">
        <f t="shared" si="90"/>
        <v>Hudson View Park</v>
      </c>
      <c r="B581" s="195">
        <f t="shared" si="88"/>
        <v>483</v>
      </c>
      <c r="C581" s="196" t="str">
        <f t="shared" si="89"/>
        <v>Occ</v>
      </c>
      <c r="D581" s="196" t="e" cm="1">
        <f t="array" ref="D581">INDEX($C$5:$C$61,MATCH(1,(K581=$D$5:$D$61)*(A581=$B$5:$B$61),0))</f>
        <v>#N/A</v>
      </c>
      <c r="E581" s="196" t="e" cm="1">
        <f t="array" ref="E581">INDEX($E$5:$E$61,MATCH(1,(D581=$C$5:$C$61)*(A581=$B$5:$B$61),0))</f>
        <v>#N/A</v>
      </c>
      <c r="F581" s="196" t="e" cm="1">
        <f t="array" ref="F581">INDEX($F$5:$F$61,MATCH(1,(D581=$C$5:$C$61)*(A581=$B$5:$B$61),0))</f>
        <v>#N/A</v>
      </c>
      <c r="G581" s="196" t="e" cm="1">
        <f t="array" ref="G581">INDEX($G$5:$G$61,MATCH(1,(D581=$C$5:$C$61)*(A581=$B$5:$B$61),0))</f>
        <v>#N/A</v>
      </c>
      <c r="H581" s="196" t="e" cm="1">
        <f t="array" ref="H581">INDEX($H$5:$H$61,MATCH(1,(D581=$C$5:$C$61)*(A581=$B$5:$B$61),0))</f>
        <v>#N/A</v>
      </c>
      <c r="I581" s="196" t="e" cm="1">
        <f t="array" ref="I581">INDEX($I$5:$I$61,MATCH(1,(D581=$C$5:$C$61)*(A581=$B$5:$B$61),0))</f>
        <v>#N/A</v>
      </c>
      <c r="J581" s="273"/>
      <c r="K581" s="273"/>
      <c r="L581" s="272"/>
      <c r="M581" s="273"/>
      <c r="N581" s="197"/>
      <c r="O581" s="200">
        <f t="shared" si="83"/>
        <v>0</v>
      </c>
      <c r="P581" s="274"/>
      <c r="Q581" s="274"/>
      <c r="R581" s="276"/>
      <c r="S581" s="274"/>
      <c r="T581" s="197">
        <f t="shared" si="84"/>
        <v>0</v>
      </c>
      <c r="U581" s="197">
        <f t="shared" si="85"/>
        <v>0</v>
      </c>
      <c r="V581" s="197">
        <f t="shared" si="86"/>
        <v>0</v>
      </c>
      <c r="W581" s="197">
        <f t="shared" si="87"/>
        <v>0</v>
      </c>
      <c r="Z581" s="197"/>
      <c r="AA581" s="228"/>
      <c r="AB581" s="228"/>
      <c r="AD581" s="228"/>
      <c r="AE581" s="228"/>
      <c r="AF581" s="228"/>
      <c r="AG581" s="228"/>
      <c r="AH581" s="228"/>
      <c r="AI581" s="228"/>
      <c r="AJ581" s="228"/>
      <c r="AK581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</row>
    <row r="582" spans="1:64" s="198" customFormat="1" x14ac:dyDescent="0.25">
      <c r="A582" s="290" t="str">
        <f t="shared" si="90"/>
        <v>Hudson View Park</v>
      </c>
      <c r="B582" s="195">
        <f t="shared" si="88"/>
        <v>484</v>
      </c>
      <c r="C582" s="196" t="str">
        <f t="shared" si="89"/>
        <v>Occ</v>
      </c>
      <c r="D582" s="196" t="e" cm="1">
        <f t="array" ref="D582">INDEX($C$5:$C$61,MATCH(1,(K582=$D$5:$D$61)*(A582=$B$5:$B$61),0))</f>
        <v>#N/A</v>
      </c>
      <c r="E582" s="196" t="e" cm="1">
        <f t="array" ref="E582">INDEX($E$5:$E$61,MATCH(1,(D582=$C$5:$C$61)*(A582=$B$5:$B$61),0))</f>
        <v>#N/A</v>
      </c>
      <c r="F582" s="196" t="e" cm="1">
        <f t="array" ref="F582">INDEX($F$5:$F$61,MATCH(1,(D582=$C$5:$C$61)*(A582=$B$5:$B$61),0))</f>
        <v>#N/A</v>
      </c>
      <c r="G582" s="196" t="e" cm="1">
        <f t="array" ref="G582">INDEX($G$5:$G$61,MATCH(1,(D582=$C$5:$C$61)*(A582=$B$5:$B$61),0))</f>
        <v>#N/A</v>
      </c>
      <c r="H582" s="196" t="e" cm="1">
        <f t="array" ref="H582">INDEX($H$5:$H$61,MATCH(1,(D582=$C$5:$C$61)*(A582=$B$5:$B$61),0))</f>
        <v>#N/A</v>
      </c>
      <c r="I582" s="196" t="e" cm="1">
        <f t="array" ref="I582">INDEX($I$5:$I$61,MATCH(1,(D582=$C$5:$C$61)*(A582=$B$5:$B$61),0))</f>
        <v>#N/A</v>
      </c>
      <c r="J582" s="273"/>
      <c r="K582" s="273"/>
      <c r="L582" s="272"/>
      <c r="M582" s="273"/>
      <c r="N582" s="197"/>
      <c r="O582" s="200">
        <f t="shared" si="83"/>
        <v>0</v>
      </c>
      <c r="P582" s="274"/>
      <c r="Q582" s="274"/>
      <c r="R582" s="276"/>
      <c r="S582" s="274"/>
      <c r="T582" s="197">
        <f t="shared" si="84"/>
        <v>0</v>
      </c>
      <c r="U582" s="197">
        <f t="shared" si="85"/>
        <v>0</v>
      </c>
      <c r="V582" s="197">
        <f t="shared" si="86"/>
        <v>0</v>
      </c>
      <c r="W582" s="197">
        <f t="shared" si="87"/>
        <v>0</v>
      </c>
      <c r="Z582" s="197"/>
      <c r="AA582" s="228"/>
      <c r="AB582" s="228"/>
      <c r="AD582" s="228"/>
      <c r="AE582" s="228"/>
      <c r="AF582" s="228"/>
      <c r="AG582" s="228"/>
      <c r="AH582" s="228"/>
      <c r="AI582" s="228"/>
      <c r="AJ582" s="228"/>
      <c r="AK582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</row>
    <row r="583" spans="1:64" s="198" customFormat="1" x14ac:dyDescent="0.25">
      <c r="A583" s="290" t="str">
        <f t="shared" si="90"/>
        <v>Hudson View Park</v>
      </c>
      <c r="B583" s="195">
        <f t="shared" si="88"/>
        <v>485</v>
      </c>
      <c r="C583" s="196" t="str">
        <f t="shared" si="89"/>
        <v>Occ</v>
      </c>
      <c r="D583" s="196" t="e" cm="1">
        <f t="array" ref="D583">INDEX($C$5:$C$61,MATCH(1,(K583=$D$5:$D$61)*(A583=$B$5:$B$61),0))</f>
        <v>#N/A</v>
      </c>
      <c r="E583" s="196" t="e" cm="1">
        <f t="array" ref="E583">INDEX($E$5:$E$61,MATCH(1,(D583=$C$5:$C$61)*(A583=$B$5:$B$61),0))</f>
        <v>#N/A</v>
      </c>
      <c r="F583" s="196" t="e" cm="1">
        <f t="array" ref="F583">INDEX($F$5:$F$61,MATCH(1,(D583=$C$5:$C$61)*(A583=$B$5:$B$61),0))</f>
        <v>#N/A</v>
      </c>
      <c r="G583" s="196" t="e" cm="1">
        <f t="array" ref="G583">INDEX($G$5:$G$61,MATCH(1,(D583=$C$5:$C$61)*(A583=$B$5:$B$61),0))</f>
        <v>#N/A</v>
      </c>
      <c r="H583" s="196" t="e" cm="1">
        <f t="array" ref="H583">INDEX($H$5:$H$61,MATCH(1,(D583=$C$5:$C$61)*(A583=$B$5:$B$61),0))</f>
        <v>#N/A</v>
      </c>
      <c r="I583" s="196" t="e" cm="1">
        <f t="array" ref="I583">INDEX($I$5:$I$61,MATCH(1,(D583=$C$5:$C$61)*(A583=$B$5:$B$61),0))</f>
        <v>#N/A</v>
      </c>
      <c r="J583" s="273"/>
      <c r="K583" s="273"/>
      <c r="L583" s="272"/>
      <c r="M583" s="273"/>
      <c r="N583" s="197"/>
      <c r="O583" s="200">
        <f t="shared" si="83"/>
        <v>0</v>
      </c>
      <c r="P583" s="274"/>
      <c r="Q583" s="274"/>
      <c r="R583" s="276"/>
      <c r="S583" s="274"/>
      <c r="T583" s="197">
        <f t="shared" si="84"/>
        <v>0</v>
      </c>
      <c r="U583" s="197">
        <f t="shared" si="85"/>
        <v>0</v>
      </c>
      <c r="V583" s="197">
        <f t="shared" si="86"/>
        <v>0</v>
      </c>
      <c r="W583" s="197">
        <f t="shared" si="87"/>
        <v>0</v>
      </c>
      <c r="Z583" s="197"/>
      <c r="AA583" s="228"/>
      <c r="AB583" s="228"/>
      <c r="AD583" s="228"/>
      <c r="AE583" s="228"/>
      <c r="AF583" s="228"/>
      <c r="AG583" s="228"/>
      <c r="AH583" s="228"/>
      <c r="AI583" s="228"/>
      <c r="AJ583" s="228"/>
      <c r="AK583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</row>
    <row r="584" spans="1:64" s="198" customFormat="1" x14ac:dyDescent="0.25">
      <c r="A584" s="290" t="str">
        <f t="shared" si="90"/>
        <v>Hudson View Park</v>
      </c>
      <c r="B584" s="195">
        <f t="shared" si="88"/>
        <v>486</v>
      </c>
      <c r="C584" s="196" t="str">
        <f t="shared" si="89"/>
        <v>Occ</v>
      </c>
      <c r="D584" s="196" t="e" cm="1">
        <f t="array" ref="D584">INDEX($C$5:$C$61,MATCH(1,(K584=$D$5:$D$61)*(A584=$B$5:$B$61),0))</f>
        <v>#N/A</v>
      </c>
      <c r="E584" s="196" t="e" cm="1">
        <f t="array" ref="E584">INDEX($E$5:$E$61,MATCH(1,(D584=$C$5:$C$61)*(A584=$B$5:$B$61),0))</f>
        <v>#N/A</v>
      </c>
      <c r="F584" s="196" t="e" cm="1">
        <f t="array" ref="F584">INDEX($F$5:$F$61,MATCH(1,(D584=$C$5:$C$61)*(A584=$B$5:$B$61),0))</f>
        <v>#N/A</v>
      </c>
      <c r="G584" s="196" t="e" cm="1">
        <f t="array" ref="G584">INDEX($G$5:$G$61,MATCH(1,(D584=$C$5:$C$61)*(A584=$B$5:$B$61),0))</f>
        <v>#N/A</v>
      </c>
      <c r="H584" s="196" t="e" cm="1">
        <f t="array" ref="H584">INDEX($H$5:$H$61,MATCH(1,(D584=$C$5:$C$61)*(A584=$B$5:$B$61),0))</f>
        <v>#N/A</v>
      </c>
      <c r="I584" s="196" t="e" cm="1">
        <f t="array" ref="I584">INDEX($I$5:$I$61,MATCH(1,(D584=$C$5:$C$61)*(A584=$B$5:$B$61),0))</f>
        <v>#N/A</v>
      </c>
      <c r="J584" s="273"/>
      <c r="K584" s="273"/>
      <c r="L584" s="272"/>
      <c r="M584" s="273"/>
      <c r="N584" s="197"/>
      <c r="O584" s="200">
        <f t="shared" si="83"/>
        <v>0</v>
      </c>
      <c r="P584" s="274"/>
      <c r="Q584" s="274"/>
      <c r="R584" s="276"/>
      <c r="S584" s="274"/>
      <c r="T584" s="197">
        <f t="shared" si="84"/>
        <v>0</v>
      </c>
      <c r="U584" s="197">
        <f t="shared" si="85"/>
        <v>0</v>
      </c>
      <c r="V584" s="197">
        <f t="shared" si="86"/>
        <v>0</v>
      </c>
      <c r="W584" s="197">
        <f t="shared" si="87"/>
        <v>0</v>
      </c>
      <c r="Z584" s="197"/>
      <c r="AA584" s="228"/>
      <c r="AB584" s="228"/>
      <c r="AD584" s="228"/>
      <c r="AE584" s="228"/>
      <c r="AF584" s="228"/>
      <c r="AG584" s="228"/>
      <c r="AH584" s="228"/>
      <c r="AI584" s="228"/>
      <c r="AJ584" s="228"/>
      <c r="AK584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</row>
    <row r="585" spans="1:64" s="198" customFormat="1" x14ac:dyDescent="0.25">
      <c r="A585" s="290" t="str">
        <f t="shared" si="90"/>
        <v>Hudson View Park</v>
      </c>
      <c r="B585" s="195">
        <f t="shared" si="88"/>
        <v>487</v>
      </c>
      <c r="C585" s="196" t="str">
        <f t="shared" si="89"/>
        <v>Occ</v>
      </c>
      <c r="D585" s="196" t="e" cm="1">
        <f t="array" ref="D585">INDEX($C$5:$C$61,MATCH(1,(K585=$D$5:$D$61)*(A585=$B$5:$B$61),0))</f>
        <v>#N/A</v>
      </c>
      <c r="E585" s="196" t="e" cm="1">
        <f t="array" ref="E585">INDEX($E$5:$E$61,MATCH(1,(D585=$C$5:$C$61)*(A585=$B$5:$B$61),0))</f>
        <v>#N/A</v>
      </c>
      <c r="F585" s="196" t="e" cm="1">
        <f t="array" ref="F585">INDEX($F$5:$F$61,MATCH(1,(D585=$C$5:$C$61)*(A585=$B$5:$B$61),0))</f>
        <v>#N/A</v>
      </c>
      <c r="G585" s="196" t="e" cm="1">
        <f t="array" ref="G585">INDEX($G$5:$G$61,MATCH(1,(D585=$C$5:$C$61)*(A585=$B$5:$B$61),0))</f>
        <v>#N/A</v>
      </c>
      <c r="H585" s="196" t="e" cm="1">
        <f t="array" ref="H585">INDEX($H$5:$H$61,MATCH(1,(D585=$C$5:$C$61)*(A585=$B$5:$B$61),0))</f>
        <v>#N/A</v>
      </c>
      <c r="I585" s="196" t="e" cm="1">
        <f t="array" ref="I585">INDEX($I$5:$I$61,MATCH(1,(D585=$C$5:$C$61)*(A585=$B$5:$B$61),0))</f>
        <v>#N/A</v>
      </c>
      <c r="J585" s="273"/>
      <c r="K585" s="273"/>
      <c r="L585" s="272"/>
      <c r="M585" s="273"/>
      <c r="N585" s="197"/>
      <c r="O585" s="200">
        <f t="shared" si="83"/>
        <v>0</v>
      </c>
      <c r="P585" s="274"/>
      <c r="Q585" s="274"/>
      <c r="R585" s="276"/>
      <c r="S585" s="274"/>
      <c r="T585" s="197">
        <f t="shared" si="84"/>
        <v>0</v>
      </c>
      <c r="U585" s="197">
        <f t="shared" si="85"/>
        <v>0</v>
      </c>
      <c r="V585" s="197">
        <f t="shared" si="86"/>
        <v>0</v>
      </c>
      <c r="W585" s="197">
        <f t="shared" si="87"/>
        <v>0</v>
      </c>
      <c r="Z585" s="197"/>
      <c r="AA585" s="228"/>
      <c r="AB585" s="228"/>
      <c r="AD585" s="228"/>
      <c r="AE585" s="228"/>
      <c r="AF585" s="228"/>
      <c r="AG585" s="228"/>
      <c r="AH585" s="228"/>
      <c r="AI585" s="228"/>
      <c r="AJ585" s="228"/>
      <c r="AK585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</row>
    <row r="586" spans="1:64" s="198" customFormat="1" x14ac:dyDescent="0.25">
      <c r="A586" s="290" t="str">
        <f t="shared" si="90"/>
        <v>Hudson View Park</v>
      </c>
      <c r="B586" s="195">
        <f t="shared" si="88"/>
        <v>488</v>
      </c>
      <c r="C586" s="196" t="str">
        <f t="shared" si="89"/>
        <v>Occ</v>
      </c>
      <c r="D586" s="196" t="e" cm="1">
        <f t="array" ref="D586">INDEX($C$5:$C$61,MATCH(1,(K586=$D$5:$D$61)*(A586=$B$5:$B$61),0))</f>
        <v>#N/A</v>
      </c>
      <c r="E586" s="196" t="e" cm="1">
        <f t="array" ref="E586">INDEX($E$5:$E$61,MATCH(1,(D586=$C$5:$C$61)*(A586=$B$5:$B$61),0))</f>
        <v>#N/A</v>
      </c>
      <c r="F586" s="196" t="e" cm="1">
        <f t="array" ref="F586">INDEX($F$5:$F$61,MATCH(1,(D586=$C$5:$C$61)*(A586=$B$5:$B$61),0))</f>
        <v>#N/A</v>
      </c>
      <c r="G586" s="196" t="e" cm="1">
        <f t="array" ref="G586">INDEX($G$5:$G$61,MATCH(1,(D586=$C$5:$C$61)*(A586=$B$5:$B$61),0))</f>
        <v>#N/A</v>
      </c>
      <c r="H586" s="196" t="e" cm="1">
        <f t="array" ref="H586">INDEX($H$5:$H$61,MATCH(1,(D586=$C$5:$C$61)*(A586=$B$5:$B$61),0))</f>
        <v>#N/A</v>
      </c>
      <c r="I586" s="196" t="e" cm="1">
        <f t="array" ref="I586">INDEX($I$5:$I$61,MATCH(1,(D586=$C$5:$C$61)*(A586=$B$5:$B$61),0))</f>
        <v>#N/A</v>
      </c>
      <c r="J586" s="273"/>
      <c r="K586" s="273"/>
      <c r="L586" s="272"/>
      <c r="M586" s="273"/>
      <c r="N586" s="197"/>
      <c r="O586" s="200">
        <f t="shared" si="83"/>
        <v>0</v>
      </c>
      <c r="P586" s="274"/>
      <c r="Q586" s="274"/>
      <c r="R586" s="276"/>
      <c r="S586" s="274"/>
      <c r="T586" s="197">
        <f t="shared" si="84"/>
        <v>0</v>
      </c>
      <c r="U586" s="197">
        <f t="shared" si="85"/>
        <v>0</v>
      </c>
      <c r="V586" s="197">
        <f t="shared" si="86"/>
        <v>0</v>
      </c>
      <c r="W586" s="197">
        <f t="shared" si="87"/>
        <v>0</v>
      </c>
      <c r="Z586" s="197"/>
      <c r="AA586" s="228"/>
      <c r="AB586" s="228"/>
      <c r="AD586" s="228"/>
      <c r="AE586" s="228"/>
      <c r="AF586" s="228"/>
      <c r="AG586" s="228"/>
      <c r="AH586" s="228"/>
      <c r="AI586" s="228"/>
      <c r="AJ586" s="228"/>
      <c r="AK586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</row>
    <row r="587" spans="1:64" s="198" customFormat="1" x14ac:dyDescent="0.25">
      <c r="A587" s="290" t="str">
        <f t="shared" si="90"/>
        <v>Hudson View Park</v>
      </c>
      <c r="B587" s="195">
        <f t="shared" si="88"/>
        <v>489</v>
      </c>
      <c r="C587" s="196" t="str">
        <f t="shared" si="89"/>
        <v>Occ</v>
      </c>
      <c r="D587" s="196" t="e" cm="1">
        <f t="array" ref="D587">INDEX($C$5:$C$61,MATCH(1,(K587=$D$5:$D$61)*(A587=$B$5:$B$61),0))</f>
        <v>#N/A</v>
      </c>
      <c r="E587" s="196" t="e" cm="1">
        <f t="array" ref="E587">INDEX($E$5:$E$61,MATCH(1,(D587=$C$5:$C$61)*(A587=$B$5:$B$61),0))</f>
        <v>#N/A</v>
      </c>
      <c r="F587" s="196" t="e" cm="1">
        <f t="array" ref="F587">INDEX($F$5:$F$61,MATCH(1,(D587=$C$5:$C$61)*(A587=$B$5:$B$61),0))</f>
        <v>#N/A</v>
      </c>
      <c r="G587" s="196" t="e" cm="1">
        <f t="array" ref="G587">INDEX($G$5:$G$61,MATCH(1,(D587=$C$5:$C$61)*(A587=$B$5:$B$61),0))</f>
        <v>#N/A</v>
      </c>
      <c r="H587" s="196" t="e" cm="1">
        <f t="array" ref="H587">INDEX($H$5:$H$61,MATCH(1,(D587=$C$5:$C$61)*(A587=$B$5:$B$61),0))</f>
        <v>#N/A</v>
      </c>
      <c r="I587" s="196" t="e" cm="1">
        <f t="array" ref="I587">INDEX($I$5:$I$61,MATCH(1,(D587=$C$5:$C$61)*(A587=$B$5:$B$61),0))</f>
        <v>#N/A</v>
      </c>
      <c r="J587" s="273"/>
      <c r="K587" s="273"/>
      <c r="L587" s="272"/>
      <c r="M587" s="273"/>
      <c r="N587" s="197"/>
      <c r="O587" s="200">
        <f t="shared" si="83"/>
        <v>0</v>
      </c>
      <c r="P587" s="274"/>
      <c r="Q587" s="274"/>
      <c r="R587" s="276"/>
      <c r="S587" s="274"/>
      <c r="T587" s="197">
        <f t="shared" si="84"/>
        <v>0</v>
      </c>
      <c r="U587" s="197">
        <f t="shared" si="85"/>
        <v>0</v>
      </c>
      <c r="V587" s="197">
        <f t="shared" si="86"/>
        <v>0</v>
      </c>
      <c r="W587" s="197">
        <f t="shared" si="87"/>
        <v>0</v>
      </c>
      <c r="Z587" s="197"/>
      <c r="AA587" s="228"/>
      <c r="AB587" s="228"/>
      <c r="AD587" s="228"/>
      <c r="AE587" s="228"/>
      <c r="AF587" s="228"/>
      <c r="AG587" s="228"/>
      <c r="AH587" s="228"/>
      <c r="AI587" s="228"/>
      <c r="AJ587" s="228"/>
      <c r="AK587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</row>
    <row r="588" spans="1:64" s="198" customFormat="1" x14ac:dyDescent="0.25">
      <c r="A588" s="290" t="str">
        <f t="shared" si="90"/>
        <v>Hudson View Park</v>
      </c>
      <c r="B588" s="195">
        <f t="shared" si="88"/>
        <v>490</v>
      </c>
      <c r="C588" s="196" t="str">
        <f t="shared" si="89"/>
        <v>Occ</v>
      </c>
      <c r="D588" s="196" t="e" cm="1">
        <f t="array" ref="D588">INDEX($C$5:$C$61,MATCH(1,(K588=$D$5:$D$61)*(A588=$B$5:$B$61),0))</f>
        <v>#N/A</v>
      </c>
      <c r="E588" s="196" t="e" cm="1">
        <f t="array" ref="E588">INDEX($E$5:$E$61,MATCH(1,(D588=$C$5:$C$61)*(A588=$B$5:$B$61),0))</f>
        <v>#N/A</v>
      </c>
      <c r="F588" s="196" t="e" cm="1">
        <f t="array" ref="F588">INDEX($F$5:$F$61,MATCH(1,(D588=$C$5:$C$61)*(A588=$B$5:$B$61),0))</f>
        <v>#N/A</v>
      </c>
      <c r="G588" s="196" t="e" cm="1">
        <f t="array" ref="G588">INDEX($G$5:$G$61,MATCH(1,(D588=$C$5:$C$61)*(A588=$B$5:$B$61),0))</f>
        <v>#N/A</v>
      </c>
      <c r="H588" s="196" t="e" cm="1">
        <f t="array" ref="H588">INDEX($H$5:$H$61,MATCH(1,(D588=$C$5:$C$61)*(A588=$B$5:$B$61),0))</f>
        <v>#N/A</v>
      </c>
      <c r="I588" s="196" t="e" cm="1">
        <f t="array" ref="I588">INDEX($I$5:$I$61,MATCH(1,(D588=$C$5:$C$61)*(A588=$B$5:$B$61),0))</f>
        <v>#N/A</v>
      </c>
      <c r="J588" s="273"/>
      <c r="K588" s="273"/>
      <c r="L588" s="272"/>
      <c r="M588" s="273"/>
      <c r="N588" s="197"/>
      <c r="O588" s="200">
        <f t="shared" si="83"/>
        <v>0</v>
      </c>
      <c r="P588" s="274"/>
      <c r="Q588" s="274"/>
      <c r="R588" s="276"/>
      <c r="S588" s="274"/>
      <c r="T588" s="197">
        <f t="shared" si="84"/>
        <v>0</v>
      </c>
      <c r="U588" s="197">
        <f t="shared" si="85"/>
        <v>0</v>
      </c>
      <c r="V588" s="197">
        <f t="shared" si="86"/>
        <v>0</v>
      </c>
      <c r="W588" s="197">
        <f t="shared" si="87"/>
        <v>0</v>
      </c>
      <c r="Z588" s="197"/>
      <c r="AA588" s="228"/>
      <c r="AB588" s="228"/>
      <c r="AD588" s="228"/>
      <c r="AE588" s="228"/>
      <c r="AF588" s="228"/>
      <c r="AG588" s="228"/>
      <c r="AH588" s="228"/>
      <c r="AI588" s="228"/>
      <c r="AJ588" s="228"/>
      <c r="AK58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</row>
    <row r="589" spans="1:64" s="198" customFormat="1" x14ac:dyDescent="0.25">
      <c r="A589" s="290" t="str">
        <f t="shared" si="90"/>
        <v>Hudson View Park</v>
      </c>
      <c r="B589" s="195">
        <f t="shared" si="88"/>
        <v>491</v>
      </c>
      <c r="C589" s="196" t="str">
        <f t="shared" si="89"/>
        <v>Occ</v>
      </c>
      <c r="D589" s="196" t="e" cm="1">
        <f t="array" ref="D589">INDEX($C$5:$C$61,MATCH(1,(K589=$D$5:$D$61)*(A589=$B$5:$B$61),0))</f>
        <v>#N/A</v>
      </c>
      <c r="E589" s="196" t="e" cm="1">
        <f t="array" ref="E589">INDEX($E$5:$E$61,MATCH(1,(D589=$C$5:$C$61)*(A589=$B$5:$B$61),0))</f>
        <v>#N/A</v>
      </c>
      <c r="F589" s="196" t="e" cm="1">
        <f t="array" ref="F589">INDEX($F$5:$F$61,MATCH(1,(D589=$C$5:$C$61)*(A589=$B$5:$B$61),0))</f>
        <v>#N/A</v>
      </c>
      <c r="G589" s="196" t="e" cm="1">
        <f t="array" ref="G589">INDEX($G$5:$G$61,MATCH(1,(D589=$C$5:$C$61)*(A589=$B$5:$B$61),0))</f>
        <v>#N/A</v>
      </c>
      <c r="H589" s="196" t="e" cm="1">
        <f t="array" ref="H589">INDEX($H$5:$H$61,MATCH(1,(D589=$C$5:$C$61)*(A589=$B$5:$B$61),0))</f>
        <v>#N/A</v>
      </c>
      <c r="I589" s="196" t="e" cm="1">
        <f t="array" ref="I589">INDEX($I$5:$I$61,MATCH(1,(D589=$C$5:$C$61)*(A589=$B$5:$B$61),0))</f>
        <v>#N/A</v>
      </c>
      <c r="J589" s="273"/>
      <c r="K589" s="273"/>
      <c r="L589" s="272"/>
      <c r="M589" s="273"/>
      <c r="N589" s="197"/>
      <c r="O589" s="200">
        <f t="shared" si="83"/>
        <v>0</v>
      </c>
      <c r="P589" s="274"/>
      <c r="Q589" s="274"/>
      <c r="R589" s="276"/>
      <c r="S589" s="274"/>
      <c r="T589" s="197">
        <f t="shared" si="84"/>
        <v>0</v>
      </c>
      <c r="U589" s="197">
        <f t="shared" si="85"/>
        <v>0</v>
      </c>
      <c r="V589" s="197">
        <f t="shared" si="86"/>
        <v>0</v>
      </c>
      <c r="W589" s="197">
        <f t="shared" si="87"/>
        <v>0</v>
      </c>
      <c r="Z589" s="197"/>
      <c r="AA589" s="228"/>
      <c r="AB589" s="228"/>
      <c r="AD589" s="228"/>
      <c r="AE589" s="228"/>
      <c r="AF589" s="228"/>
      <c r="AG589" s="228"/>
      <c r="AH589" s="228"/>
      <c r="AI589" s="228"/>
      <c r="AJ589" s="228"/>
      <c r="AK589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</row>
    <row r="590" spans="1:64" s="198" customFormat="1" x14ac:dyDescent="0.25">
      <c r="A590" s="290" t="str">
        <f t="shared" si="90"/>
        <v>Hudson View Park</v>
      </c>
      <c r="B590" s="195">
        <f t="shared" si="88"/>
        <v>492</v>
      </c>
      <c r="C590" s="196" t="str">
        <f t="shared" si="89"/>
        <v>Occ</v>
      </c>
      <c r="D590" s="196" t="e" cm="1">
        <f t="array" ref="D590">INDEX($C$5:$C$61,MATCH(1,(K590=$D$5:$D$61)*(A590=$B$5:$B$61),0))</f>
        <v>#N/A</v>
      </c>
      <c r="E590" s="196" t="e" cm="1">
        <f t="array" ref="E590">INDEX($E$5:$E$61,MATCH(1,(D590=$C$5:$C$61)*(A590=$B$5:$B$61),0))</f>
        <v>#N/A</v>
      </c>
      <c r="F590" s="196" t="e" cm="1">
        <f t="array" ref="F590">INDEX($F$5:$F$61,MATCH(1,(D590=$C$5:$C$61)*(A590=$B$5:$B$61),0))</f>
        <v>#N/A</v>
      </c>
      <c r="G590" s="196" t="e" cm="1">
        <f t="array" ref="G590">INDEX($G$5:$G$61,MATCH(1,(D590=$C$5:$C$61)*(A590=$B$5:$B$61),0))</f>
        <v>#N/A</v>
      </c>
      <c r="H590" s="196" t="e" cm="1">
        <f t="array" ref="H590">INDEX($H$5:$H$61,MATCH(1,(D590=$C$5:$C$61)*(A590=$B$5:$B$61),0))</f>
        <v>#N/A</v>
      </c>
      <c r="I590" s="196" t="e" cm="1">
        <f t="array" ref="I590">INDEX($I$5:$I$61,MATCH(1,(D590=$C$5:$C$61)*(A590=$B$5:$B$61),0))</f>
        <v>#N/A</v>
      </c>
      <c r="J590" s="273"/>
      <c r="K590" s="273"/>
      <c r="L590" s="272"/>
      <c r="M590" s="273"/>
      <c r="N590" s="197"/>
      <c r="O590" s="200">
        <f t="shared" si="83"/>
        <v>0</v>
      </c>
      <c r="P590" s="274"/>
      <c r="Q590" s="274"/>
      <c r="R590" s="276"/>
      <c r="S590" s="274"/>
      <c r="T590" s="197">
        <f t="shared" si="84"/>
        <v>0</v>
      </c>
      <c r="U590" s="197">
        <f t="shared" si="85"/>
        <v>0</v>
      </c>
      <c r="V590" s="197">
        <f t="shared" si="86"/>
        <v>0</v>
      </c>
      <c r="W590" s="197">
        <f t="shared" si="87"/>
        <v>0</v>
      </c>
      <c r="Z590" s="197"/>
      <c r="AA590" s="228"/>
      <c r="AB590" s="228"/>
      <c r="AD590" s="228"/>
      <c r="AE590" s="228"/>
      <c r="AF590" s="228"/>
      <c r="AG590" s="228"/>
      <c r="AH590" s="228"/>
      <c r="AI590" s="228"/>
      <c r="AJ590" s="228"/>
      <c r="AK590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</row>
    <row r="591" spans="1:64" s="198" customFormat="1" x14ac:dyDescent="0.25">
      <c r="A591" s="290" t="str">
        <f t="shared" si="90"/>
        <v>Hudson View Park</v>
      </c>
      <c r="B591" s="195">
        <f t="shared" si="88"/>
        <v>493</v>
      </c>
      <c r="C591" s="196" t="str">
        <f t="shared" si="89"/>
        <v>Occ</v>
      </c>
      <c r="D591" s="196" t="e" cm="1">
        <f t="array" ref="D591">INDEX($C$5:$C$61,MATCH(1,(K591=$D$5:$D$61)*(A591=$B$5:$B$61),0))</f>
        <v>#N/A</v>
      </c>
      <c r="E591" s="196" t="e" cm="1">
        <f t="array" ref="E591">INDEX($E$5:$E$61,MATCH(1,(D591=$C$5:$C$61)*(A591=$B$5:$B$61),0))</f>
        <v>#N/A</v>
      </c>
      <c r="F591" s="196" t="e" cm="1">
        <f t="array" ref="F591">INDEX($F$5:$F$61,MATCH(1,(D591=$C$5:$C$61)*(A591=$B$5:$B$61),0))</f>
        <v>#N/A</v>
      </c>
      <c r="G591" s="196" t="e" cm="1">
        <f t="array" ref="G591">INDEX($G$5:$G$61,MATCH(1,(D591=$C$5:$C$61)*(A591=$B$5:$B$61),0))</f>
        <v>#N/A</v>
      </c>
      <c r="H591" s="196" t="e" cm="1">
        <f t="array" ref="H591">INDEX($H$5:$H$61,MATCH(1,(D591=$C$5:$C$61)*(A591=$B$5:$B$61),0))</f>
        <v>#N/A</v>
      </c>
      <c r="I591" s="196" t="e" cm="1">
        <f t="array" ref="I591">INDEX($I$5:$I$61,MATCH(1,(D591=$C$5:$C$61)*(A591=$B$5:$B$61),0))</f>
        <v>#N/A</v>
      </c>
      <c r="J591" s="273"/>
      <c r="K591" s="273"/>
      <c r="L591" s="272"/>
      <c r="M591" s="273"/>
      <c r="N591" s="197"/>
      <c r="O591" s="200">
        <f t="shared" si="83"/>
        <v>0</v>
      </c>
      <c r="P591" s="274"/>
      <c r="Q591" s="274"/>
      <c r="R591" s="276"/>
      <c r="S591" s="274"/>
      <c r="T591" s="197">
        <f t="shared" si="84"/>
        <v>0</v>
      </c>
      <c r="U591" s="197">
        <f t="shared" si="85"/>
        <v>0</v>
      </c>
      <c r="V591" s="197">
        <f t="shared" si="86"/>
        <v>0</v>
      </c>
      <c r="W591" s="197">
        <f t="shared" si="87"/>
        <v>0</v>
      </c>
      <c r="Z591" s="197"/>
      <c r="AA591" s="228"/>
      <c r="AB591" s="228"/>
      <c r="AD591" s="228"/>
      <c r="AE591" s="228"/>
      <c r="AF591" s="228"/>
      <c r="AG591" s="228"/>
      <c r="AH591" s="228"/>
      <c r="AI591" s="228"/>
      <c r="AJ591" s="228"/>
      <c r="AK591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</row>
    <row r="592" spans="1:64" s="198" customFormat="1" x14ac:dyDescent="0.25">
      <c r="A592" s="290" t="str">
        <f t="shared" si="90"/>
        <v>Hudson View Park</v>
      </c>
      <c r="B592" s="195">
        <f t="shared" si="88"/>
        <v>494</v>
      </c>
      <c r="C592" s="196" t="str">
        <f t="shared" si="89"/>
        <v>Occ</v>
      </c>
      <c r="D592" s="196" t="e" cm="1">
        <f t="array" ref="D592">INDEX($C$5:$C$61,MATCH(1,(K592=$D$5:$D$61)*(A592=$B$5:$B$61),0))</f>
        <v>#N/A</v>
      </c>
      <c r="E592" s="196" t="e" cm="1">
        <f t="array" ref="E592">INDEX($E$5:$E$61,MATCH(1,(D592=$C$5:$C$61)*(A592=$B$5:$B$61),0))</f>
        <v>#N/A</v>
      </c>
      <c r="F592" s="196" t="e" cm="1">
        <f t="array" ref="F592">INDEX($F$5:$F$61,MATCH(1,(D592=$C$5:$C$61)*(A592=$B$5:$B$61),0))</f>
        <v>#N/A</v>
      </c>
      <c r="G592" s="196" t="e" cm="1">
        <f t="array" ref="G592">INDEX($G$5:$G$61,MATCH(1,(D592=$C$5:$C$61)*(A592=$B$5:$B$61),0))</f>
        <v>#N/A</v>
      </c>
      <c r="H592" s="196" t="e" cm="1">
        <f t="array" ref="H592">INDEX($H$5:$H$61,MATCH(1,(D592=$C$5:$C$61)*(A592=$B$5:$B$61),0))</f>
        <v>#N/A</v>
      </c>
      <c r="I592" s="196" t="e" cm="1">
        <f t="array" ref="I592">INDEX($I$5:$I$61,MATCH(1,(D592=$C$5:$C$61)*(A592=$B$5:$B$61),0))</f>
        <v>#N/A</v>
      </c>
      <c r="J592" s="273"/>
      <c r="K592" s="273"/>
      <c r="L592" s="272"/>
      <c r="M592" s="273"/>
      <c r="N592" s="197"/>
      <c r="O592" s="200">
        <f t="shared" si="83"/>
        <v>0</v>
      </c>
      <c r="P592" s="274"/>
      <c r="Q592" s="274"/>
      <c r="R592" s="276"/>
      <c r="S592" s="274"/>
      <c r="T592" s="197">
        <f t="shared" si="84"/>
        <v>0</v>
      </c>
      <c r="U592" s="197">
        <f t="shared" si="85"/>
        <v>0</v>
      </c>
      <c r="V592" s="197">
        <f t="shared" si="86"/>
        <v>0</v>
      </c>
      <c r="W592" s="197">
        <f t="shared" si="87"/>
        <v>0</v>
      </c>
      <c r="Z592" s="197"/>
      <c r="AA592" s="228"/>
      <c r="AB592" s="228"/>
      <c r="AD592" s="228"/>
      <c r="AE592" s="228"/>
      <c r="AF592" s="228"/>
      <c r="AG592" s="228"/>
      <c r="AH592" s="228"/>
      <c r="AI592" s="228"/>
      <c r="AJ592" s="228"/>
      <c r="AK592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</row>
    <row r="593" spans="1:64" s="198" customFormat="1" x14ac:dyDescent="0.25">
      <c r="A593" s="290" t="str">
        <f t="shared" si="90"/>
        <v>Hudson View Park</v>
      </c>
      <c r="B593" s="195">
        <f t="shared" si="88"/>
        <v>495</v>
      </c>
      <c r="C593" s="196" t="str">
        <f t="shared" si="89"/>
        <v>Occ</v>
      </c>
      <c r="D593" s="196" t="e" cm="1">
        <f t="array" ref="D593">INDEX($C$5:$C$61,MATCH(1,(K593=$D$5:$D$61)*(A593=$B$5:$B$61),0))</f>
        <v>#N/A</v>
      </c>
      <c r="E593" s="196" t="e" cm="1">
        <f t="array" ref="E593">INDEX($E$5:$E$61,MATCH(1,(D593=$C$5:$C$61)*(A593=$B$5:$B$61),0))</f>
        <v>#N/A</v>
      </c>
      <c r="F593" s="196" t="e" cm="1">
        <f t="array" ref="F593">INDEX($F$5:$F$61,MATCH(1,(D593=$C$5:$C$61)*(A593=$B$5:$B$61),0))</f>
        <v>#N/A</v>
      </c>
      <c r="G593" s="196" t="e" cm="1">
        <f t="array" ref="G593">INDEX($G$5:$G$61,MATCH(1,(D593=$C$5:$C$61)*(A593=$B$5:$B$61),0))</f>
        <v>#N/A</v>
      </c>
      <c r="H593" s="196" t="e" cm="1">
        <f t="array" ref="H593">INDEX($H$5:$H$61,MATCH(1,(D593=$C$5:$C$61)*(A593=$B$5:$B$61),0))</f>
        <v>#N/A</v>
      </c>
      <c r="I593" s="196" t="e" cm="1">
        <f t="array" ref="I593">INDEX($I$5:$I$61,MATCH(1,(D593=$C$5:$C$61)*(A593=$B$5:$B$61),0))</f>
        <v>#N/A</v>
      </c>
      <c r="J593" s="273"/>
      <c r="K593" s="273"/>
      <c r="L593" s="272"/>
      <c r="M593" s="273"/>
      <c r="N593" s="197"/>
      <c r="O593" s="200">
        <f t="shared" si="83"/>
        <v>0</v>
      </c>
      <c r="P593" s="274"/>
      <c r="Q593" s="274"/>
      <c r="R593" s="276"/>
      <c r="S593" s="274"/>
      <c r="T593" s="197">
        <f t="shared" si="84"/>
        <v>0</v>
      </c>
      <c r="U593" s="197">
        <f t="shared" si="85"/>
        <v>0</v>
      </c>
      <c r="V593" s="197">
        <f t="shared" si="86"/>
        <v>0</v>
      </c>
      <c r="W593" s="197">
        <f t="shared" si="87"/>
        <v>0</v>
      </c>
      <c r="Z593" s="197"/>
      <c r="AA593" s="228"/>
      <c r="AB593" s="228"/>
      <c r="AD593" s="228"/>
      <c r="AE593" s="228"/>
      <c r="AF593" s="228"/>
      <c r="AG593" s="228"/>
      <c r="AH593" s="228"/>
      <c r="AI593" s="228"/>
      <c r="AJ593" s="228"/>
      <c r="AK593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</row>
    <row r="594" spans="1:64" s="198" customFormat="1" x14ac:dyDescent="0.25">
      <c r="A594" s="290" t="str">
        <f t="shared" si="90"/>
        <v>Hudson View Park</v>
      </c>
      <c r="B594" s="195">
        <f t="shared" si="88"/>
        <v>496</v>
      </c>
      <c r="C594" s="196" t="str">
        <f t="shared" si="89"/>
        <v>Occ</v>
      </c>
      <c r="D594" s="196" t="e" cm="1">
        <f t="array" ref="D594">INDEX($C$5:$C$61,MATCH(1,(K594=$D$5:$D$61)*(A594=$B$5:$B$61),0))</f>
        <v>#N/A</v>
      </c>
      <c r="E594" s="196" t="e" cm="1">
        <f t="array" ref="E594">INDEX($E$5:$E$61,MATCH(1,(D594=$C$5:$C$61)*(A594=$B$5:$B$61),0))</f>
        <v>#N/A</v>
      </c>
      <c r="F594" s="196" t="e" cm="1">
        <f t="array" ref="F594">INDEX($F$5:$F$61,MATCH(1,(D594=$C$5:$C$61)*(A594=$B$5:$B$61),0))</f>
        <v>#N/A</v>
      </c>
      <c r="G594" s="196" t="e" cm="1">
        <f t="array" ref="G594">INDEX($G$5:$G$61,MATCH(1,(D594=$C$5:$C$61)*(A594=$B$5:$B$61),0))</f>
        <v>#N/A</v>
      </c>
      <c r="H594" s="196" t="e" cm="1">
        <f t="array" ref="H594">INDEX($H$5:$H$61,MATCH(1,(D594=$C$5:$C$61)*(A594=$B$5:$B$61),0))</f>
        <v>#N/A</v>
      </c>
      <c r="I594" s="196" t="e" cm="1">
        <f t="array" ref="I594">INDEX($I$5:$I$61,MATCH(1,(D594=$C$5:$C$61)*(A594=$B$5:$B$61),0))</f>
        <v>#N/A</v>
      </c>
      <c r="J594" s="273"/>
      <c r="K594" s="273"/>
      <c r="L594" s="272"/>
      <c r="M594" s="273"/>
      <c r="N594" s="197"/>
      <c r="O594" s="200">
        <f t="shared" si="83"/>
        <v>0</v>
      </c>
      <c r="P594" s="274"/>
      <c r="Q594" s="274"/>
      <c r="R594" s="276"/>
      <c r="S594" s="274"/>
      <c r="T594" s="197">
        <f t="shared" si="84"/>
        <v>0</v>
      </c>
      <c r="U594" s="197">
        <f t="shared" si="85"/>
        <v>0</v>
      </c>
      <c r="V594" s="197">
        <f t="shared" si="86"/>
        <v>0</v>
      </c>
      <c r="W594" s="197">
        <f t="shared" si="87"/>
        <v>0</v>
      </c>
      <c r="Z594" s="197"/>
      <c r="AA594" s="228"/>
      <c r="AB594" s="228"/>
      <c r="AD594" s="228"/>
      <c r="AE594" s="228"/>
      <c r="AF594" s="228"/>
      <c r="AG594" s="228"/>
      <c r="AH594" s="228"/>
      <c r="AI594" s="228"/>
      <c r="AJ594" s="228"/>
      <c r="AK594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</row>
    <row r="595" spans="1:64" s="198" customFormat="1" x14ac:dyDescent="0.25">
      <c r="A595" s="290" t="str">
        <f t="shared" si="90"/>
        <v>Hudson View Park</v>
      </c>
      <c r="B595" s="195">
        <f t="shared" si="88"/>
        <v>497</v>
      </c>
      <c r="C595" s="196" t="str">
        <f t="shared" si="89"/>
        <v>Occ</v>
      </c>
      <c r="D595" s="196" t="e" cm="1">
        <f t="array" ref="D595">INDEX($C$5:$C$61,MATCH(1,(K595=$D$5:$D$61)*(A595=$B$5:$B$61),0))</f>
        <v>#N/A</v>
      </c>
      <c r="E595" s="196" t="e" cm="1">
        <f t="array" ref="E595">INDEX($E$5:$E$61,MATCH(1,(D595=$C$5:$C$61)*(A595=$B$5:$B$61),0))</f>
        <v>#N/A</v>
      </c>
      <c r="F595" s="196" t="e" cm="1">
        <f t="array" ref="F595">INDEX($F$5:$F$61,MATCH(1,(D595=$C$5:$C$61)*(A595=$B$5:$B$61),0))</f>
        <v>#N/A</v>
      </c>
      <c r="G595" s="196" t="e" cm="1">
        <f t="array" ref="G595">INDEX($G$5:$G$61,MATCH(1,(D595=$C$5:$C$61)*(A595=$B$5:$B$61),0))</f>
        <v>#N/A</v>
      </c>
      <c r="H595" s="196" t="e" cm="1">
        <f t="array" ref="H595">INDEX($H$5:$H$61,MATCH(1,(D595=$C$5:$C$61)*(A595=$B$5:$B$61),0))</f>
        <v>#N/A</v>
      </c>
      <c r="I595" s="196" t="e" cm="1">
        <f t="array" ref="I595">INDEX($I$5:$I$61,MATCH(1,(D595=$C$5:$C$61)*(A595=$B$5:$B$61),0))</f>
        <v>#N/A</v>
      </c>
      <c r="J595" s="273"/>
      <c r="K595" s="273"/>
      <c r="L595" s="272"/>
      <c r="M595" s="273"/>
      <c r="N595" s="197"/>
      <c r="O595" s="200">
        <f t="shared" si="83"/>
        <v>0</v>
      </c>
      <c r="P595" s="274"/>
      <c r="Q595" s="274"/>
      <c r="R595" s="276"/>
      <c r="S595" s="274"/>
      <c r="T595" s="197">
        <f t="shared" si="84"/>
        <v>0</v>
      </c>
      <c r="U595" s="197">
        <f t="shared" si="85"/>
        <v>0</v>
      </c>
      <c r="V595" s="197">
        <f t="shared" si="86"/>
        <v>0</v>
      </c>
      <c r="W595" s="197">
        <f t="shared" si="87"/>
        <v>0</v>
      </c>
      <c r="Z595" s="197"/>
      <c r="AA595" s="228"/>
      <c r="AB595" s="228"/>
      <c r="AD595" s="228"/>
      <c r="AE595" s="228"/>
      <c r="AF595" s="228"/>
      <c r="AG595" s="228"/>
      <c r="AH595" s="228"/>
      <c r="AI595" s="228"/>
      <c r="AJ595" s="228"/>
      <c r="AK595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</row>
    <row r="596" spans="1:64" s="198" customFormat="1" x14ac:dyDescent="0.25">
      <c r="A596" s="290" t="str">
        <f t="shared" si="90"/>
        <v>Hudson View Park</v>
      </c>
      <c r="B596" s="195">
        <f t="shared" si="88"/>
        <v>498</v>
      </c>
      <c r="C596" s="196" t="str">
        <f t="shared" si="89"/>
        <v>Occ</v>
      </c>
      <c r="D596" s="196" t="e" cm="1">
        <f t="array" ref="D596">INDEX($C$5:$C$61,MATCH(1,(K596=$D$5:$D$61)*(A596=$B$5:$B$61),0))</f>
        <v>#N/A</v>
      </c>
      <c r="E596" s="196" t="e" cm="1">
        <f t="array" ref="E596">INDEX($E$5:$E$61,MATCH(1,(D596=$C$5:$C$61)*(A596=$B$5:$B$61),0))</f>
        <v>#N/A</v>
      </c>
      <c r="F596" s="196" t="e" cm="1">
        <f t="array" ref="F596">INDEX($F$5:$F$61,MATCH(1,(D596=$C$5:$C$61)*(A596=$B$5:$B$61),0))</f>
        <v>#N/A</v>
      </c>
      <c r="G596" s="196" t="e" cm="1">
        <f t="array" ref="G596">INDEX($G$5:$G$61,MATCH(1,(D596=$C$5:$C$61)*(A596=$B$5:$B$61),0))</f>
        <v>#N/A</v>
      </c>
      <c r="H596" s="196" t="e" cm="1">
        <f t="array" ref="H596">INDEX($H$5:$H$61,MATCH(1,(D596=$C$5:$C$61)*(A596=$B$5:$B$61),0))</f>
        <v>#N/A</v>
      </c>
      <c r="I596" s="196" t="e" cm="1">
        <f t="array" ref="I596">INDEX($I$5:$I$61,MATCH(1,(D596=$C$5:$C$61)*(A596=$B$5:$B$61),0))</f>
        <v>#N/A</v>
      </c>
      <c r="J596" s="273"/>
      <c r="K596" s="273"/>
      <c r="L596" s="272"/>
      <c r="M596" s="273"/>
      <c r="N596" s="197"/>
      <c r="O596" s="200">
        <f t="shared" si="83"/>
        <v>0</v>
      </c>
      <c r="P596" s="274"/>
      <c r="Q596" s="274"/>
      <c r="R596" s="276"/>
      <c r="S596" s="274"/>
      <c r="T596" s="197">
        <f t="shared" si="84"/>
        <v>0</v>
      </c>
      <c r="U596" s="197">
        <f t="shared" si="85"/>
        <v>0</v>
      </c>
      <c r="V596" s="197">
        <f t="shared" si="86"/>
        <v>0</v>
      </c>
      <c r="W596" s="197">
        <f t="shared" si="87"/>
        <v>0</v>
      </c>
      <c r="Z596" s="197"/>
      <c r="AA596" s="228"/>
      <c r="AB596" s="228"/>
      <c r="AD596" s="228"/>
      <c r="AE596" s="228"/>
      <c r="AF596" s="228"/>
      <c r="AG596" s="228"/>
      <c r="AH596" s="228"/>
      <c r="AI596" s="228"/>
      <c r="AJ596" s="228"/>
      <c r="AK596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</row>
    <row r="597" spans="1:64" s="198" customFormat="1" x14ac:dyDescent="0.25">
      <c r="A597" s="290" t="str">
        <f t="shared" si="90"/>
        <v>Hudson View Park</v>
      </c>
      <c r="B597" s="195">
        <f t="shared" si="88"/>
        <v>499</v>
      </c>
      <c r="C597" s="196" t="str">
        <f t="shared" si="89"/>
        <v>Occ</v>
      </c>
      <c r="D597" s="196" t="e" cm="1">
        <f t="array" ref="D597">INDEX($C$5:$C$61,MATCH(1,(K597=$D$5:$D$61)*(A597=$B$5:$B$61),0))</f>
        <v>#N/A</v>
      </c>
      <c r="E597" s="196" t="e" cm="1">
        <f t="array" ref="E597">INDEX($E$5:$E$61,MATCH(1,(D597=$C$5:$C$61)*(A597=$B$5:$B$61),0))</f>
        <v>#N/A</v>
      </c>
      <c r="F597" s="196" t="e" cm="1">
        <f t="array" ref="F597">INDEX($F$5:$F$61,MATCH(1,(D597=$C$5:$C$61)*(A597=$B$5:$B$61),0))</f>
        <v>#N/A</v>
      </c>
      <c r="G597" s="196" t="e" cm="1">
        <f t="array" ref="G597">INDEX($G$5:$G$61,MATCH(1,(D597=$C$5:$C$61)*(A597=$B$5:$B$61),0))</f>
        <v>#N/A</v>
      </c>
      <c r="H597" s="196" t="e" cm="1">
        <f t="array" ref="H597">INDEX($H$5:$H$61,MATCH(1,(D597=$C$5:$C$61)*(A597=$B$5:$B$61),0))</f>
        <v>#N/A</v>
      </c>
      <c r="I597" s="196" t="e" cm="1">
        <f t="array" ref="I597">INDEX($I$5:$I$61,MATCH(1,(D597=$C$5:$C$61)*(A597=$B$5:$B$61),0))</f>
        <v>#N/A</v>
      </c>
      <c r="J597" s="273"/>
      <c r="K597" s="273"/>
      <c r="L597" s="272"/>
      <c r="M597" s="273"/>
      <c r="N597" s="197"/>
      <c r="O597" s="200">
        <f t="shared" si="83"/>
        <v>0</v>
      </c>
      <c r="P597" s="274"/>
      <c r="Q597" s="274"/>
      <c r="R597" s="276"/>
      <c r="S597" s="274"/>
      <c r="T597" s="197">
        <f t="shared" si="84"/>
        <v>0</v>
      </c>
      <c r="U597" s="197">
        <f t="shared" si="85"/>
        <v>0</v>
      </c>
      <c r="V597" s="197">
        <f t="shared" si="86"/>
        <v>0</v>
      </c>
      <c r="W597" s="197">
        <f t="shared" si="87"/>
        <v>0</v>
      </c>
      <c r="Z597" s="197"/>
      <c r="AA597" s="228"/>
      <c r="AB597" s="228"/>
      <c r="AD597" s="228"/>
      <c r="AE597" s="228"/>
      <c r="AF597" s="228"/>
      <c r="AG597" s="228"/>
      <c r="AH597" s="228"/>
      <c r="AI597" s="228"/>
      <c r="AJ597" s="228"/>
      <c r="AK597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</row>
    <row r="598" spans="1:64" s="198" customFormat="1" x14ac:dyDescent="0.25">
      <c r="A598" s="290" t="str">
        <f t="shared" si="90"/>
        <v>Hudson View Park</v>
      </c>
      <c r="B598" s="195">
        <f t="shared" si="88"/>
        <v>500</v>
      </c>
      <c r="C598" s="196" t="str">
        <f t="shared" si="89"/>
        <v>Occ</v>
      </c>
      <c r="D598" s="196" t="e" cm="1">
        <f t="array" ref="D598">INDEX($C$5:$C$61,MATCH(1,(K598=$D$5:$D$61)*(A598=$B$5:$B$61),0))</f>
        <v>#N/A</v>
      </c>
      <c r="E598" s="196" t="e" cm="1">
        <f t="array" ref="E598">INDEX($E$5:$E$61,MATCH(1,(D598=$C$5:$C$61)*(A598=$B$5:$B$61),0))</f>
        <v>#N/A</v>
      </c>
      <c r="F598" s="196" t="e" cm="1">
        <f t="array" ref="F598">INDEX($F$5:$F$61,MATCH(1,(D598=$C$5:$C$61)*(A598=$B$5:$B$61),0))</f>
        <v>#N/A</v>
      </c>
      <c r="G598" s="196" t="e" cm="1">
        <f t="array" ref="G598">INDEX($G$5:$G$61,MATCH(1,(D598=$C$5:$C$61)*(A598=$B$5:$B$61),0))</f>
        <v>#N/A</v>
      </c>
      <c r="H598" s="196" t="e" cm="1">
        <f t="array" ref="H598">INDEX($H$5:$H$61,MATCH(1,(D598=$C$5:$C$61)*(A598=$B$5:$B$61),0))</f>
        <v>#N/A</v>
      </c>
      <c r="I598" s="196" t="e" cm="1">
        <f t="array" ref="I598">INDEX($I$5:$I$61,MATCH(1,(D598=$C$5:$C$61)*(A598=$B$5:$B$61),0))</f>
        <v>#N/A</v>
      </c>
      <c r="J598" s="273"/>
      <c r="K598" s="273"/>
      <c r="L598" s="272"/>
      <c r="M598" s="273"/>
      <c r="N598" s="197"/>
      <c r="O598" s="200">
        <f t="shared" si="83"/>
        <v>0</v>
      </c>
      <c r="P598" s="274"/>
      <c r="Q598" s="274"/>
      <c r="R598" s="276"/>
      <c r="S598" s="274"/>
      <c r="T598" s="197">
        <f t="shared" si="84"/>
        <v>0</v>
      </c>
      <c r="U598" s="197">
        <f t="shared" si="85"/>
        <v>0</v>
      </c>
      <c r="V598" s="197">
        <f t="shared" si="86"/>
        <v>0</v>
      </c>
      <c r="W598" s="197">
        <f t="shared" si="87"/>
        <v>0</v>
      </c>
      <c r="Z598" s="197"/>
      <c r="AA598" s="228"/>
      <c r="AB598" s="228"/>
      <c r="AD598" s="228"/>
      <c r="AE598" s="228"/>
      <c r="AF598" s="228"/>
      <c r="AG598" s="228"/>
      <c r="AH598" s="228"/>
      <c r="AI598" s="228"/>
      <c r="AJ598" s="228"/>
      <c r="AK59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</row>
    <row r="599" spans="1:64" s="198" customFormat="1" x14ac:dyDescent="0.25">
      <c r="A599" s="290" t="str">
        <f t="shared" si="90"/>
        <v>Hudson View Park</v>
      </c>
      <c r="B599" s="195">
        <f t="shared" si="88"/>
        <v>501</v>
      </c>
      <c r="C599" s="196" t="str">
        <f t="shared" si="89"/>
        <v>Occ</v>
      </c>
      <c r="D599" s="196" t="e" cm="1">
        <f t="array" ref="D599">INDEX($C$5:$C$61,MATCH(1,(K599=$D$5:$D$61)*(A599=$B$5:$B$61),0))</f>
        <v>#N/A</v>
      </c>
      <c r="E599" s="196" t="e" cm="1">
        <f t="array" ref="E599">INDEX($E$5:$E$61,MATCH(1,(D599=$C$5:$C$61)*(A599=$B$5:$B$61),0))</f>
        <v>#N/A</v>
      </c>
      <c r="F599" s="196" t="e" cm="1">
        <f t="array" ref="F599">INDEX($F$5:$F$61,MATCH(1,(D599=$C$5:$C$61)*(A599=$B$5:$B$61),0))</f>
        <v>#N/A</v>
      </c>
      <c r="G599" s="196" t="e" cm="1">
        <f t="array" ref="G599">INDEX($G$5:$G$61,MATCH(1,(D599=$C$5:$C$61)*(A599=$B$5:$B$61),0))</f>
        <v>#N/A</v>
      </c>
      <c r="H599" s="196" t="e" cm="1">
        <f t="array" ref="H599">INDEX($H$5:$H$61,MATCH(1,(D599=$C$5:$C$61)*(A599=$B$5:$B$61),0))</f>
        <v>#N/A</v>
      </c>
      <c r="I599" s="196" t="e" cm="1">
        <f t="array" ref="I599">INDEX($I$5:$I$61,MATCH(1,(D599=$C$5:$C$61)*(A599=$B$5:$B$61),0))</f>
        <v>#N/A</v>
      </c>
      <c r="J599" s="273"/>
      <c r="K599" s="273"/>
      <c r="L599" s="272"/>
      <c r="M599" s="273"/>
      <c r="N599" s="197"/>
      <c r="O599" s="200">
        <f t="shared" si="83"/>
        <v>0</v>
      </c>
      <c r="P599" s="274"/>
      <c r="Q599" s="274"/>
      <c r="R599" s="276"/>
      <c r="S599" s="274"/>
      <c r="T599" s="197">
        <f t="shared" si="84"/>
        <v>0</v>
      </c>
      <c r="U599" s="197">
        <f t="shared" si="85"/>
        <v>0</v>
      </c>
      <c r="V599" s="197">
        <f t="shared" si="86"/>
        <v>0</v>
      </c>
      <c r="W599" s="197">
        <f t="shared" si="87"/>
        <v>0</v>
      </c>
      <c r="Z599" s="197"/>
      <c r="AA599" s="228"/>
      <c r="AB599" s="228"/>
      <c r="AD599" s="228"/>
      <c r="AE599" s="228"/>
      <c r="AF599" s="228"/>
      <c r="AG599" s="228"/>
      <c r="AH599" s="228"/>
      <c r="AI599" s="228"/>
      <c r="AJ599" s="228"/>
      <c r="AK599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</row>
    <row r="600" spans="1:64" s="198" customFormat="1" x14ac:dyDescent="0.25">
      <c r="A600" s="290" t="str">
        <f t="shared" si="90"/>
        <v>Hudson View Park</v>
      </c>
      <c r="B600" s="195">
        <f t="shared" si="88"/>
        <v>502</v>
      </c>
      <c r="C600" s="196" t="str">
        <f t="shared" si="89"/>
        <v>Occ</v>
      </c>
      <c r="D600" s="196" t="e" cm="1">
        <f t="array" ref="D600">INDEX($C$5:$C$61,MATCH(1,(K600=$D$5:$D$61)*(A600=$B$5:$B$61),0))</f>
        <v>#N/A</v>
      </c>
      <c r="E600" s="196" t="e" cm="1">
        <f t="array" ref="E600">INDEX($E$5:$E$61,MATCH(1,(D600=$C$5:$C$61)*(A600=$B$5:$B$61),0))</f>
        <v>#N/A</v>
      </c>
      <c r="F600" s="196" t="e" cm="1">
        <f t="array" ref="F600">INDEX($F$5:$F$61,MATCH(1,(D600=$C$5:$C$61)*(A600=$B$5:$B$61),0))</f>
        <v>#N/A</v>
      </c>
      <c r="G600" s="196" t="e" cm="1">
        <f t="array" ref="G600">INDEX($G$5:$G$61,MATCH(1,(D600=$C$5:$C$61)*(A600=$B$5:$B$61),0))</f>
        <v>#N/A</v>
      </c>
      <c r="H600" s="196" t="e" cm="1">
        <f t="array" ref="H600">INDEX($H$5:$H$61,MATCH(1,(D600=$C$5:$C$61)*(A600=$B$5:$B$61),0))</f>
        <v>#N/A</v>
      </c>
      <c r="I600" s="196" t="e" cm="1">
        <f t="array" ref="I600">INDEX($I$5:$I$61,MATCH(1,(D600=$C$5:$C$61)*(A600=$B$5:$B$61),0))</f>
        <v>#N/A</v>
      </c>
      <c r="J600" s="273"/>
      <c r="K600" s="273"/>
      <c r="L600" s="272"/>
      <c r="M600" s="273"/>
      <c r="N600" s="197"/>
      <c r="O600" s="200">
        <f t="shared" si="83"/>
        <v>0</v>
      </c>
      <c r="P600" s="274"/>
      <c r="Q600" s="274"/>
      <c r="R600" s="276"/>
      <c r="S600" s="274"/>
      <c r="T600" s="197">
        <f t="shared" si="84"/>
        <v>0</v>
      </c>
      <c r="U600" s="197">
        <f t="shared" si="85"/>
        <v>0</v>
      </c>
      <c r="V600" s="197">
        <f t="shared" si="86"/>
        <v>0</v>
      </c>
      <c r="W600" s="197">
        <f t="shared" si="87"/>
        <v>0</v>
      </c>
      <c r="Z600" s="197"/>
      <c r="AA600" s="228"/>
      <c r="AB600" s="228"/>
      <c r="AD600" s="228"/>
      <c r="AE600" s="228"/>
      <c r="AF600" s="228"/>
      <c r="AG600" s="228"/>
      <c r="AH600" s="228"/>
      <c r="AI600" s="228"/>
      <c r="AJ600" s="228"/>
      <c r="AK600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</row>
    <row r="601" spans="1:64" s="198" customFormat="1" x14ac:dyDescent="0.25">
      <c r="A601" s="290" t="str">
        <f t="shared" si="90"/>
        <v>Hudson View Park</v>
      </c>
      <c r="B601" s="195">
        <f t="shared" si="88"/>
        <v>503</v>
      </c>
      <c r="C601" s="196" t="str">
        <f t="shared" si="89"/>
        <v>Occ</v>
      </c>
      <c r="D601" s="196" t="e" cm="1">
        <f t="array" ref="D601">INDEX($C$5:$C$61,MATCH(1,(K601=$D$5:$D$61)*(A601=$B$5:$B$61),0))</f>
        <v>#N/A</v>
      </c>
      <c r="E601" s="196" t="e" cm="1">
        <f t="array" ref="E601">INDEX($E$5:$E$61,MATCH(1,(D601=$C$5:$C$61)*(A601=$B$5:$B$61),0))</f>
        <v>#N/A</v>
      </c>
      <c r="F601" s="196" t="e" cm="1">
        <f t="array" ref="F601">INDEX($F$5:$F$61,MATCH(1,(D601=$C$5:$C$61)*(A601=$B$5:$B$61),0))</f>
        <v>#N/A</v>
      </c>
      <c r="G601" s="196" t="e" cm="1">
        <f t="array" ref="G601">INDEX($G$5:$G$61,MATCH(1,(D601=$C$5:$C$61)*(A601=$B$5:$B$61),0))</f>
        <v>#N/A</v>
      </c>
      <c r="H601" s="196" t="e" cm="1">
        <f t="array" ref="H601">INDEX($H$5:$H$61,MATCH(1,(D601=$C$5:$C$61)*(A601=$B$5:$B$61),0))</f>
        <v>#N/A</v>
      </c>
      <c r="I601" s="196" t="e" cm="1">
        <f t="array" ref="I601">INDEX($I$5:$I$61,MATCH(1,(D601=$C$5:$C$61)*(A601=$B$5:$B$61),0))</f>
        <v>#N/A</v>
      </c>
      <c r="J601" s="273"/>
      <c r="K601" s="273"/>
      <c r="L601" s="272"/>
      <c r="M601" s="273"/>
      <c r="N601" s="197"/>
      <c r="O601" s="200">
        <f t="shared" si="83"/>
        <v>0</v>
      </c>
      <c r="P601" s="274"/>
      <c r="Q601" s="274"/>
      <c r="R601" s="276"/>
      <c r="S601" s="274"/>
      <c r="T601" s="197">
        <f t="shared" si="84"/>
        <v>0</v>
      </c>
      <c r="U601" s="197">
        <f t="shared" si="85"/>
        <v>0</v>
      </c>
      <c r="V601" s="197">
        <f t="shared" si="86"/>
        <v>0</v>
      </c>
      <c r="W601" s="197">
        <f t="shared" si="87"/>
        <v>0</v>
      </c>
      <c r="Z601" s="197"/>
      <c r="AA601" s="228"/>
      <c r="AB601" s="228"/>
      <c r="AD601" s="228"/>
      <c r="AE601" s="228"/>
      <c r="AF601" s="228"/>
      <c r="AG601" s="228"/>
      <c r="AH601" s="228"/>
      <c r="AI601" s="228"/>
      <c r="AJ601" s="228"/>
      <c r="AK601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</row>
    <row r="602" spans="1:64" s="198" customFormat="1" x14ac:dyDescent="0.25">
      <c r="A602" s="290" t="str">
        <f t="shared" si="90"/>
        <v>Hudson View Park</v>
      </c>
      <c r="B602" s="195">
        <f t="shared" si="88"/>
        <v>504</v>
      </c>
      <c r="C602" s="196" t="str">
        <f t="shared" si="89"/>
        <v>Occ</v>
      </c>
      <c r="D602" s="196" t="e" cm="1">
        <f t="array" ref="D602">INDEX($C$5:$C$61,MATCH(1,(K602=$D$5:$D$61)*(A602=$B$5:$B$61),0))</f>
        <v>#N/A</v>
      </c>
      <c r="E602" s="196" t="e" cm="1">
        <f t="array" ref="E602">INDEX($E$5:$E$61,MATCH(1,(D602=$C$5:$C$61)*(A602=$B$5:$B$61),0))</f>
        <v>#N/A</v>
      </c>
      <c r="F602" s="196" t="e" cm="1">
        <f t="array" ref="F602">INDEX($F$5:$F$61,MATCH(1,(D602=$C$5:$C$61)*(A602=$B$5:$B$61),0))</f>
        <v>#N/A</v>
      </c>
      <c r="G602" s="196" t="e" cm="1">
        <f t="array" ref="G602">INDEX($G$5:$G$61,MATCH(1,(D602=$C$5:$C$61)*(A602=$B$5:$B$61),0))</f>
        <v>#N/A</v>
      </c>
      <c r="H602" s="196" t="e" cm="1">
        <f t="array" ref="H602">INDEX($H$5:$H$61,MATCH(1,(D602=$C$5:$C$61)*(A602=$B$5:$B$61),0))</f>
        <v>#N/A</v>
      </c>
      <c r="I602" s="196" t="e" cm="1">
        <f t="array" ref="I602">INDEX($I$5:$I$61,MATCH(1,(D602=$C$5:$C$61)*(A602=$B$5:$B$61),0))</f>
        <v>#N/A</v>
      </c>
      <c r="J602" s="273"/>
      <c r="K602" s="273"/>
      <c r="L602" s="272"/>
      <c r="M602" s="273"/>
      <c r="N602" s="197"/>
      <c r="O602" s="200">
        <f t="shared" si="83"/>
        <v>0</v>
      </c>
      <c r="P602" s="274"/>
      <c r="Q602" s="274"/>
      <c r="R602" s="276"/>
      <c r="S602" s="274"/>
      <c r="T602" s="197">
        <f t="shared" si="84"/>
        <v>0</v>
      </c>
      <c r="U602" s="197">
        <f t="shared" si="85"/>
        <v>0</v>
      </c>
      <c r="V602" s="197">
        <f t="shared" si="86"/>
        <v>0</v>
      </c>
      <c r="W602" s="197">
        <f t="shared" si="87"/>
        <v>0</v>
      </c>
      <c r="Z602" s="197"/>
      <c r="AA602" s="228"/>
      <c r="AB602" s="228"/>
      <c r="AD602" s="228"/>
      <c r="AE602" s="228"/>
      <c r="AF602" s="228"/>
      <c r="AG602" s="228"/>
      <c r="AH602" s="228"/>
      <c r="AI602" s="228"/>
      <c r="AJ602" s="228"/>
      <c r="AK602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</row>
    <row r="603" spans="1:64" s="198" customFormat="1" x14ac:dyDescent="0.25">
      <c r="A603" s="290" t="str">
        <f t="shared" si="90"/>
        <v>Hudson View Park</v>
      </c>
      <c r="B603" s="195">
        <f t="shared" si="88"/>
        <v>505</v>
      </c>
      <c r="C603" s="196" t="str">
        <f t="shared" si="89"/>
        <v>Occ</v>
      </c>
      <c r="D603" s="196" t="e" cm="1">
        <f t="array" ref="D603">INDEX($C$5:$C$61,MATCH(1,(K603=$D$5:$D$61)*(A603=$B$5:$B$61),0))</f>
        <v>#N/A</v>
      </c>
      <c r="E603" s="196" t="e" cm="1">
        <f t="array" ref="E603">INDEX($E$5:$E$61,MATCH(1,(D603=$C$5:$C$61)*(A603=$B$5:$B$61),0))</f>
        <v>#N/A</v>
      </c>
      <c r="F603" s="196" t="e" cm="1">
        <f t="array" ref="F603">INDEX($F$5:$F$61,MATCH(1,(D603=$C$5:$C$61)*(A603=$B$5:$B$61),0))</f>
        <v>#N/A</v>
      </c>
      <c r="G603" s="196" t="e" cm="1">
        <f t="array" ref="G603">INDEX($G$5:$G$61,MATCH(1,(D603=$C$5:$C$61)*(A603=$B$5:$B$61),0))</f>
        <v>#N/A</v>
      </c>
      <c r="H603" s="196" t="e" cm="1">
        <f t="array" ref="H603">INDEX($H$5:$H$61,MATCH(1,(D603=$C$5:$C$61)*(A603=$B$5:$B$61),0))</f>
        <v>#N/A</v>
      </c>
      <c r="I603" s="196" t="e" cm="1">
        <f t="array" ref="I603">INDEX($I$5:$I$61,MATCH(1,(D603=$C$5:$C$61)*(A603=$B$5:$B$61),0))</f>
        <v>#N/A</v>
      </c>
      <c r="J603" s="273"/>
      <c r="K603" s="273"/>
      <c r="L603" s="272"/>
      <c r="M603" s="273"/>
      <c r="N603" s="197"/>
      <c r="O603" s="200">
        <f t="shared" si="83"/>
        <v>0</v>
      </c>
      <c r="P603" s="274"/>
      <c r="Q603" s="274"/>
      <c r="R603" s="276"/>
      <c r="S603" s="274"/>
      <c r="T603" s="197">
        <f t="shared" si="84"/>
        <v>0</v>
      </c>
      <c r="U603" s="197">
        <f t="shared" si="85"/>
        <v>0</v>
      </c>
      <c r="V603" s="197">
        <f t="shared" si="86"/>
        <v>0</v>
      </c>
      <c r="W603" s="197">
        <f t="shared" si="87"/>
        <v>0</v>
      </c>
      <c r="Z603" s="197"/>
      <c r="AA603" s="228"/>
      <c r="AB603" s="228"/>
      <c r="AD603" s="228"/>
      <c r="AE603" s="228"/>
      <c r="AF603" s="228"/>
      <c r="AG603" s="228"/>
      <c r="AH603" s="228"/>
      <c r="AI603" s="228"/>
      <c r="AJ603" s="228"/>
      <c r="AK603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</row>
    <row r="604" spans="1:64" s="198" customFormat="1" x14ac:dyDescent="0.25">
      <c r="A604" s="290" t="str">
        <f t="shared" si="90"/>
        <v>Hudson View Park</v>
      </c>
      <c r="B604" s="195">
        <f t="shared" si="88"/>
        <v>506</v>
      </c>
      <c r="C604" s="196" t="str">
        <f t="shared" si="89"/>
        <v>Occ</v>
      </c>
      <c r="D604" s="196" t="e" cm="1">
        <f t="array" ref="D604">INDEX($C$5:$C$61,MATCH(1,(K604=$D$5:$D$61)*(A604=$B$5:$B$61),0))</f>
        <v>#N/A</v>
      </c>
      <c r="E604" s="196" t="e" cm="1">
        <f t="array" ref="E604">INDEX($E$5:$E$61,MATCH(1,(D604=$C$5:$C$61)*(A604=$B$5:$B$61),0))</f>
        <v>#N/A</v>
      </c>
      <c r="F604" s="196" t="e" cm="1">
        <f t="array" ref="F604">INDEX($F$5:$F$61,MATCH(1,(D604=$C$5:$C$61)*(A604=$B$5:$B$61),0))</f>
        <v>#N/A</v>
      </c>
      <c r="G604" s="196" t="e" cm="1">
        <f t="array" ref="G604">INDEX($G$5:$G$61,MATCH(1,(D604=$C$5:$C$61)*(A604=$B$5:$B$61),0))</f>
        <v>#N/A</v>
      </c>
      <c r="H604" s="196" t="e" cm="1">
        <f t="array" ref="H604">INDEX($H$5:$H$61,MATCH(1,(D604=$C$5:$C$61)*(A604=$B$5:$B$61),0))</f>
        <v>#N/A</v>
      </c>
      <c r="I604" s="196" t="e" cm="1">
        <f t="array" ref="I604">INDEX($I$5:$I$61,MATCH(1,(D604=$C$5:$C$61)*(A604=$B$5:$B$61),0))</f>
        <v>#N/A</v>
      </c>
      <c r="J604" s="273"/>
      <c r="K604" s="273"/>
      <c r="L604" s="272"/>
      <c r="M604" s="273"/>
      <c r="N604" s="197"/>
      <c r="O604" s="200">
        <f t="shared" si="83"/>
        <v>0</v>
      </c>
      <c r="P604" s="274"/>
      <c r="Q604" s="274"/>
      <c r="R604" s="276"/>
      <c r="S604" s="274"/>
      <c r="T604" s="197">
        <f t="shared" si="84"/>
        <v>0</v>
      </c>
      <c r="U604" s="197">
        <f t="shared" si="85"/>
        <v>0</v>
      </c>
      <c r="V604" s="197">
        <f t="shared" si="86"/>
        <v>0</v>
      </c>
      <c r="W604" s="197">
        <f t="shared" si="87"/>
        <v>0</v>
      </c>
      <c r="Z604" s="197"/>
      <c r="AA604" s="228"/>
      <c r="AB604" s="228"/>
      <c r="AD604" s="228"/>
      <c r="AE604" s="228"/>
      <c r="AF604" s="228"/>
      <c r="AG604" s="228"/>
      <c r="AH604" s="228"/>
      <c r="AI604" s="228"/>
      <c r="AJ604" s="228"/>
      <c r="AK604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</row>
    <row r="605" spans="1:64" s="198" customFormat="1" x14ac:dyDescent="0.25">
      <c r="A605" s="290" t="str">
        <f t="shared" si="90"/>
        <v>Hudson View Park</v>
      </c>
      <c r="B605" s="195">
        <f t="shared" si="88"/>
        <v>507</v>
      </c>
      <c r="C605" s="196" t="str">
        <f t="shared" si="89"/>
        <v>Occ</v>
      </c>
      <c r="D605" s="196" t="e" cm="1">
        <f t="array" ref="D605">INDEX($C$5:$C$61,MATCH(1,(K605=$D$5:$D$61)*(A605=$B$5:$B$61),0))</f>
        <v>#N/A</v>
      </c>
      <c r="E605" s="196" t="e" cm="1">
        <f t="array" ref="E605">INDEX($E$5:$E$61,MATCH(1,(D605=$C$5:$C$61)*(A605=$B$5:$B$61),0))</f>
        <v>#N/A</v>
      </c>
      <c r="F605" s="196" t="e" cm="1">
        <f t="array" ref="F605">INDEX($F$5:$F$61,MATCH(1,(D605=$C$5:$C$61)*(A605=$B$5:$B$61),0))</f>
        <v>#N/A</v>
      </c>
      <c r="G605" s="196" t="e" cm="1">
        <f t="array" ref="G605">INDEX($G$5:$G$61,MATCH(1,(D605=$C$5:$C$61)*(A605=$B$5:$B$61),0))</f>
        <v>#N/A</v>
      </c>
      <c r="H605" s="196" t="e" cm="1">
        <f t="array" ref="H605">INDEX($H$5:$H$61,MATCH(1,(D605=$C$5:$C$61)*(A605=$B$5:$B$61),0))</f>
        <v>#N/A</v>
      </c>
      <c r="I605" s="196" t="e" cm="1">
        <f t="array" ref="I605">INDEX($I$5:$I$61,MATCH(1,(D605=$C$5:$C$61)*(A605=$B$5:$B$61),0))</f>
        <v>#N/A</v>
      </c>
      <c r="J605" s="273"/>
      <c r="K605" s="273"/>
      <c r="L605" s="272"/>
      <c r="M605" s="273"/>
      <c r="N605" s="197"/>
      <c r="O605" s="200">
        <f t="shared" si="83"/>
        <v>0</v>
      </c>
      <c r="P605" s="274"/>
      <c r="Q605" s="274"/>
      <c r="R605" s="276"/>
      <c r="S605" s="274"/>
      <c r="T605" s="197">
        <f t="shared" si="84"/>
        <v>0</v>
      </c>
      <c r="U605" s="197">
        <f t="shared" si="85"/>
        <v>0</v>
      </c>
      <c r="V605" s="197">
        <f t="shared" si="86"/>
        <v>0</v>
      </c>
      <c r="W605" s="197">
        <f t="shared" si="87"/>
        <v>0</v>
      </c>
      <c r="Z605" s="197"/>
      <c r="AA605" s="228"/>
      <c r="AB605" s="228"/>
      <c r="AD605" s="228"/>
      <c r="AE605" s="228"/>
      <c r="AF605" s="228"/>
      <c r="AG605" s="228"/>
      <c r="AH605" s="228"/>
      <c r="AI605" s="228"/>
      <c r="AJ605" s="228"/>
      <c r="AK605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</row>
    <row r="606" spans="1:64" s="198" customFormat="1" x14ac:dyDescent="0.25">
      <c r="A606" s="290" t="str">
        <f t="shared" si="90"/>
        <v>Hudson View Park</v>
      </c>
      <c r="B606" s="195">
        <f t="shared" si="88"/>
        <v>508</v>
      </c>
      <c r="C606" s="196" t="str">
        <f t="shared" si="89"/>
        <v>Occ</v>
      </c>
      <c r="D606" s="196" t="e" cm="1">
        <f t="array" ref="D606">INDEX($C$5:$C$61,MATCH(1,(K606=$D$5:$D$61)*(A606=$B$5:$B$61),0))</f>
        <v>#N/A</v>
      </c>
      <c r="E606" s="196" t="e" cm="1">
        <f t="array" ref="E606">INDEX($E$5:$E$61,MATCH(1,(D606=$C$5:$C$61)*(A606=$B$5:$B$61),0))</f>
        <v>#N/A</v>
      </c>
      <c r="F606" s="196" t="e" cm="1">
        <f t="array" ref="F606">INDEX($F$5:$F$61,MATCH(1,(D606=$C$5:$C$61)*(A606=$B$5:$B$61),0))</f>
        <v>#N/A</v>
      </c>
      <c r="G606" s="196" t="e" cm="1">
        <f t="array" ref="G606">INDEX($G$5:$G$61,MATCH(1,(D606=$C$5:$C$61)*(A606=$B$5:$B$61),0))</f>
        <v>#N/A</v>
      </c>
      <c r="H606" s="196" t="e" cm="1">
        <f t="array" ref="H606">INDEX($H$5:$H$61,MATCH(1,(D606=$C$5:$C$61)*(A606=$B$5:$B$61),0))</f>
        <v>#N/A</v>
      </c>
      <c r="I606" s="196" t="e" cm="1">
        <f t="array" ref="I606">INDEX($I$5:$I$61,MATCH(1,(D606=$C$5:$C$61)*(A606=$B$5:$B$61),0))</f>
        <v>#N/A</v>
      </c>
      <c r="J606" s="273"/>
      <c r="K606" s="273"/>
      <c r="L606" s="272"/>
      <c r="M606" s="273"/>
      <c r="N606" s="197"/>
      <c r="O606" s="200">
        <f t="shared" si="83"/>
        <v>0</v>
      </c>
      <c r="P606" s="274"/>
      <c r="Q606" s="274"/>
      <c r="R606" s="276"/>
      <c r="S606" s="274"/>
      <c r="T606" s="197">
        <f t="shared" si="84"/>
        <v>0</v>
      </c>
      <c r="U606" s="197">
        <f t="shared" si="85"/>
        <v>0</v>
      </c>
      <c r="V606" s="197">
        <f t="shared" si="86"/>
        <v>0</v>
      </c>
      <c r="W606" s="197">
        <f t="shared" si="87"/>
        <v>0</v>
      </c>
      <c r="Z606" s="197"/>
      <c r="AA606" s="228"/>
      <c r="AB606" s="228"/>
      <c r="AD606" s="228"/>
      <c r="AE606" s="228"/>
      <c r="AF606" s="228"/>
      <c r="AG606" s="228"/>
      <c r="AH606" s="228"/>
      <c r="AI606" s="228"/>
      <c r="AJ606" s="228"/>
      <c r="AK606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</row>
    <row r="607" spans="1:64" s="198" customFormat="1" x14ac:dyDescent="0.25">
      <c r="A607" s="194"/>
      <c r="B607" s="195"/>
      <c r="C607" s="196"/>
      <c r="D607" s="196"/>
      <c r="E607" s="196"/>
      <c r="F607" s="196"/>
      <c r="G607" s="196"/>
      <c r="H607" s="196"/>
      <c r="I607" s="196"/>
      <c r="J607" s="196"/>
      <c r="K607" s="199"/>
      <c r="L607" s="196"/>
      <c r="M607" s="197"/>
      <c r="N607" s="200"/>
      <c r="O607" s="181"/>
      <c r="P607" s="181"/>
      <c r="Q607" s="201"/>
      <c r="R607" s="181"/>
      <c r="S607" s="197"/>
      <c r="T607" s="197"/>
      <c r="U607" s="197"/>
      <c r="V607" s="197"/>
      <c r="Z607" s="197"/>
      <c r="AA607" s="197"/>
      <c r="AD607" s="197"/>
      <c r="AE607" s="197"/>
      <c r="AF607" s="197"/>
      <c r="AG607" s="197"/>
      <c r="AH607" s="197"/>
      <c r="AI607" s="197"/>
      <c r="AJ607" s="197"/>
      <c r="AK60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</row>
    <row r="608" spans="1:64" s="198" customFormat="1" x14ac:dyDescent="0.25">
      <c r="A608" s="194"/>
      <c r="B608" s="195"/>
      <c r="C608" s="196"/>
      <c r="D608" s="196"/>
      <c r="E608" s="196"/>
      <c r="F608" s="196"/>
      <c r="G608" s="196"/>
      <c r="H608" s="196"/>
      <c r="I608" s="196"/>
      <c r="J608" s="196"/>
      <c r="K608" s="199"/>
      <c r="L608" s="196"/>
      <c r="M608" s="197"/>
      <c r="N608" s="200"/>
      <c r="O608" s="181"/>
      <c r="P608" s="181"/>
      <c r="Q608" s="201"/>
      <c r="R608" s="181"/>
      <c r="S608" s="197"/>
      <c r="T608" s="197"/>
      <c r="U608" s="197"/>
      <c r="V608" s="197"/>
      <c r="Z608" s="197"/>
      <c r="AA608" s="197"/>
      <c r="AD608" s="197"/>
      <c r="AE608" s="197"/>
      <c r="AF608" s="197"/>
      <c r="AG608" s="197"/>
      <c r="AH608" s="197"/>
      <c r="AI608" s="197"/>
      <c r="AJ608" s="197"/>
      <c r="AK608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</row>
    <row r="609" spans="1:64" s="198" customFormat="1" x14ac:dyDescent="0.25">
      <c r="A609" s="194"/>
      <c r="B609" s="195"/>
      <c r="C609" s="196"/>
      <c r="D609" s="196"/>
      <c r="E609" s="196"/>
      <c r="F609" s="196"/>
      <c r="G609" s="196"/>
      <c r="H609" s="196"/>
      <c r="I609" s="196"/>
      <c r="J609" s="196"/>
      <c r="K609" s="199"/>
      <c r="L609" s="196"/>
      <c r="M609" s="197"/>
      <c r="N609" s="200"/>
      <c r="O609" s="181"/>
      <c r="P609" s="181"/>
      <c r="Q609" s="201"/>
      <c r="R609" s="181"/>
      <c r="S609" s="197"/>
      <c r="T609" s="197"/>
      <c r="U609" s="197"/>
      <c r="V609" s="197"/>
      <c r="Z609" s="197"/>
      <c r="AA609" s="197"/>
      <c r="AD609" s="197"/>
      <c r="AE609" s="197"/>
      <c r="AF609" s="197"/>
      <c r="AG609" s="197"/>
      <c r="AH609" s="197"/>
      <c r="AI609" s="197"/>
      <c r="AJ609" s="197"/>
      <c r="AK609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</row>
    <row r="610" spans="1:64" s="198" customFormat="1" x14ac:dyDescent="0.25">
      <c r="A610" s="194"/>
      <c r="B610" s="195"/>
      <c r="C610" s="196"/>
      <c r="D610" s="196"/>
      <c r="E610" s="196"/>
      <c r="F610" s="196"/>
      <c r="G610" s="196"/>
      <c r="H610" s="196"/>
      <c r="I610" s="196"/>
      <c r="J610" s="196"/>
      <c r="K610" s="199"/>
      <c r="L610" s="196"/>
      <c r="M610" s="197"/>
      <c r="N610" s="200"/>
      <c r="O610" s="181"/>
      <c r="P610" s="181"/>
      <c r="Q610" s="201"/>
      <c r="R610" s="181"/>
      <c r="S610" s="197"/>
      <c r="T610" s="197"/>
      <c r="U610" s="197"/>
      <c r="V610" s="197"/>
      <c r="Z610" s="197"/>
      <c r="AA610" s="197"/>
      <c r="AD610" s="197"/>
      <c r="AE610" s="197"/>
      <c r="AF610" s="197"/>
      <c r="AG610" s="197"/>
      <c r="AH610" s="197"/>
      <c r="AI610" s="197"/>
      <c r="AJ610" s="197"/>
      <c r="AK610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</row>
    <row r="611" spans="1:64" s="198" customFormat="1" x14ac:dyDescent="0.25">
      <c r="A611" s="194"/>
      <c r="B611" s="195"/>
      <c r="C611" s="196"/>
      <c r="D611" s="196"/>
      <c r="E611" s="196"/>
      <c r="F611" s="196"/>
      <c r="G611" s="196"/>
      <c r="H611" s="196"/>
      <c r="I611" s="169"/>
      <c r="J611" s="196"/>
      <c r="K611" s="199"/>
      <c r="L611" s="196"/>
      <c r="M611" s="197"/>
      <c r="N611" s="200"/>
      <c r="O611" s="181"/>
      <c r="P611" s="181"/>
      <c r="Q611" s="201"/>
      <c r="R611" s="181"/>
      <c r="S611" s="197"/>
      <c r="T611" s="197"/>
      <c r="U611" s="197"/>
      <c r="V611" s="197"/>
      <c r="Z611" s="197"/>
      <c r="AA611" s="197"/>
      <c r="AD611" s="197"/>
      <c r="AE611" s="197"/>
      <c r="AF611" s="197"/>
      <c r="AG611" s="197"/>
      <c r="AH611" s="197"/>
      <c r="AI611" s="197"/>
      <c r="AJ611" s="197"/>
      <c r="AK611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</row>
    <row r="612" spans="1:64" s="198" customFormat="1" x14ac:dyDescent="0.25">
      <c r="A612" s="194"/>
      <c r="B612" s="195"/>
      <c r="C612" s="196"/>
      <c r="D612" s="196"/>
      <c r="E612" s="196"/>
      <c r="F612" s="196"/>
      <c r="G612" s="196"/>
      <c r="H612" s="196"/>
      <c r="I612" s="196"/>
      <c r="J612" s="196"/>
      <c r="K612" s="199"/>
      <c r="L612" s="196"/>
      <c r="M612" s="197"/>
      <c r="N612" s="200"/>
      <c r="O612" s="181"/>
      <c r="P612" s="181"/>
      <c r="Q612" s="201"/>
      <c r="R612" s="181"/>
      <c r="S612" s="197"/>
      <c r="T612" s="197"/>
      <c r="U612" s="197"/>
      <c r="V612" s="197"/>
      <c r="Z612" s="197"/>
      <c r="AA612" s="197"/>
      <c r="AD612" s="197"/>
      <c r="AE612" s="197"/>
      <c r="AF612" s="197"/>
      <c r="AG612" s="197"/>
      <c r="AH612" s="197"/>
      <c r="AI612" s="197"/>
      <c r="AJ612" s="197"/>
      <c r="AK612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</row>
    <row r="613" spans="1:64" s="198" customFormat="1" x14ac:dyDescent="0.25">
      <c r="A613" s="194"/>
      <c r="B613" s="195"/>
      <c r="C613" s="196"/>
      <c r="D613" s="196"/>
      <c r="E613" s="196"/>
      <c r="F613" s="196"/>
      <c r="G613" s="196"/>
      <c r="H613" s="196"/>
      <c r="I613" s="196"/>
      <c r="J613" s="196"/>
      <c r="K613" s="199"/>
      <c r="L613" s="196"/>
      <c r="M613" s="197"/>
      <c r="N613" s="200"/>
      <c r="O613" s="181"/>
      <c r="P613" s="181"/>
      <c r="Q613" s="201"/>
      <c r="R613" s="181"/>
      <c r="S613" s="197"/>
      <c r="T613" s="197"/>
      <c r="U613" s="197"/>
      <c r="V613" s="197"/>
      <c r="Z613" s="197"/>
      <c r="AA613" s="197"/>
      <c r="AD613" s="197"/>
      <c r="AE613" s="197"/>
      <c r="AF613" s="197"/>
      <c r="AG613" s="197"/>
      <c r="AH613" s="197"/>
      <c r="AI613" s="197"/>
      <c r="AJ613" s="197"/>
      <c r="AK613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</row>
    <row r="614" spans="1:64" s="198" customFormat="1" x14ac:dyDescent="0.25">
      <c r="A614" s="194"/>
      <c r="B614" s="195"/>
      <c r="C614" s="196"/>
      <c r="D614" s="196"/>
      <c r="E614" s="196"/>
      <c r="F614" s="196"/>
      <c r="G614" s="196"/>
      <c r="H614" s="196"/>
      <c r="I614" s="196"/>
      <c r="J614" s="196"/>
      <c r="K614" s="199"/>
      <c r="L614" s="196"/>
      <c r="M614" s="197"/>
      <c r="N614" s="200"/>
      <c r="O614" s="181"/>
      <c r="P614" s="181"/>
      <c r="Q614" s="201"/>
      <c r="R614" s="181"/>
      <c r="S614" s="197"/>
      <c r="T614" s="197"/>
      <c r="U614" s="197"/>
      <c r="V614" s="197"/>
      <c r="Z614" s="197"/>
      <c r="AA614" s="197"/>
      <c r="AD614" s="197"/>
      <c r="AE614" s="197"/>
      <c r="AF614" s="197"/>
      <c r="AG614" s="197"/>
      <c r="AH614" s="197"/>
      <c r="AI614" s="197"/>
      <c r="AJ614" s="197"/>
      <c r="AK614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</row>
    <row r="615" spans="1:64" s="198" customFormat="1" x14ac:dyDescent="0.25">
      <c r="A615" s="194"/>
      <c r="B615" s="195"/>
      <c r="C615" s="196"/>
      <c r="D615" s="196"/>
      <c r="E615" s="196"/>
      <c r="F615" s="196"/>
      <c r="G615" s="196"/>
      <c r="H615" s="196"/>
      <c r="I615" s="196"/>
      <c r="J615" s="196"/>
      <c r="K615" s="199"/>
      <c r="L615" s="196"/>
      <c r="M615" s="197"/>
      <c r="N615" s="200"/>
      <c r="O615" s="181"/>
      <c r="P615" s="181"/>
      <c r="Q615" s="201"/>
      <c r="R615" s="181"/>
      <c r="S615" s="197"/>
      <c r="T615" s="197"/>
      <c r="U615" s="197"/>
      <c r="V615" s="197"/>
      <c r="Z615" s="197"/>
      <c r="AA615" s="197"/>
      <c r="AD615" s="197"/>
      <c r="AE615" s="197"/>
      <c r="AF615" s="197"/>
      <c r="AG615" s="197"/>
      <c r="AH615" s="197"/>
      <c r="AI615" s="197"/>
      <c r="AJ615" s="197"/>
      <c r="AK615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</row>
    <row r="616" spans="1:64" s="198" customFormat="1" x14ac:dyDescent="0.25">
      <c r="A616" s="194"/>
      <c r="B616" s="195"/>
      <c r="C616" s="196"/>
      <c r="D616" s="196"/>
      <c r="E616" s="196"/>
      <c r="F616" s="196"/>
      <c r="G616" s="196"/>
      <c r="H616" s="196"/>
      <c r="I616" s="196"/>
      <c r="J616" s="196"/>
      <c r="K616" s="199"/>
      <c r="L616" s="196"/>
      <c r="M616" s="197"/>
      <c r="N616" s="200"/>
      <c r="O616" s="181"/>
      <c r="P616" s="181"/>
      <c r="Q616" s="201"/>
      <c r="R616" s="181"/>
      <c r="S616" s="197"/>
      <c r="T616" s="197"/>
      <c r="U616" s="197"/>
      <c r="V616" s="197"/>
      <c r="Z616" s="197"/>
      <c r="AA616" s="197"/>
      <c r="AD616" s="197"/>
      <c r="AE616" s="197"/>
      <c r="AF616" s="197"/>
      <c r="AG616" s="197"/>
      <c r="AH616" s="197"/>
      <c r="AI616" s="197"/>
      <c r="AJ616" s="197"/>
      <c r="AK616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</row>
    <row r="617" spans="1:64" s="198" customFormat="1" x14ac:dyDescent="0.25">
      <c r="A617" s="194"/>
      <c r="B617" s="195"/>
      <c r="C617" s="196"/>
      <c r="D617" s="196"/>
      <c r="E617" s="196"/>
      <c r="F617" s="196"/>
      <c r="G617" s="196"/>
      <c r="H617" s="196"/>
      <c r="I617" s="196"/>
      <c r="J617" s="196"/>
      <c r="K617" s="199"/>
      <c r="L617" s="196"/>
      <c r="M617" s="197"/>
      <c r="N617" s="200"/>
      <c r="O617" s="181"/>
      <c r="P617" s="181"/>
      <c r="Q617" s="201"/>
      <c r="R617" s="181"/>
      <c r="S617" s="197"/>
      <c r="T617" s="197"/>
      <c r="U617" s="197"/>
      <c r="V617" s="197"/>
      <c r="Z617" s="197"/>
      <c r="AA617" s="197"/>
      <c r="AD617" s="197"/>
      <c r="AE617" s="197"/>
      <c r="AF617" s="197"/>
      <c r="AG617" s="197"/>
      <c r="AH617" s="197"/>
      <c r="AI617" s="197"/>
      <c r="AJ617" s="197"/>
      <c r="AK61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</row>
    <row r="618" spans="1:64" s="198" customFormat="1" x14ac:dyDescent="0.25">
      <c r="A618" s="194"/>
      <c r="B618" s="195"/>
      <c r="C618" s="196"/>
      <c r="D618" s="196"/>
      <c r="E618" s="196"/>
      <c r="F618" s="196"/>
      <c r="G618" s="196"/>
      <c r="H618" s="196"/>
      <c r="I618" s="196"/>
      <c r="J618" s="196"/>
      <c r="K618" s="199"/>
      <c r="L618" s="196"/>
      <c r="M618" s="197"/>
      <c r="N618" s="200"/>
      <c r="O618" s="181"/>
      <c r="P618" s="181"/>
      <c r="Q618" s="201"/>
      <c r="R618" s="181"/>
      <c r="S618" s="197"/>
      <c r="T618" s="197"/>
      <c r="U618" s="197"/>
      <c r="V618" s="197"/>
      <c r="Z618" s="197"/>
      <c r="AA618" s="197"/>
      <c r="AD618" s="197"/>
      <c r="AE618" s="197"/>
      <c r="AF618" s="197"/>
      <c r="AG618" s="197"/>
      <c r="AH618" s="197"/>
      <c r="AI618" s="197"/>
      <c r="AJ618" s="197"/>
      <c r="AK618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</row>
    <row r="619" spans="1:64" s="198" customFormat="1" x14ac:dyDescent="0.25">
      <c r="A619" s="194"/>
      <c r="B619" s="195"/>
      <c r="C619" s="196"/>
      <c r="D619" s="196"/>
      <c r="E619" s="196"/>
      <c r="F619" s="196"/>
      <c r="G619" s="196"/>
      <c r="H619" s="196"/>
      <c r="I619" s="196"/>
      <c r="J619" s="196"/>
      <c r="K619" s="199"/>
      <c r="L619" s="196"/>
      <c r="M619" s="197"/>
      <c r="N619" s="200"/>
      <c r="O619" s="181"/>
      <c r="P619" s="181"/>
      <c r="Q619" s="201"/>
      <c r="R619" s="181"/>
      <c r="S619" s="197"/>
      <c r="T619" s="197"/>
      <c r="U619" s="197"/>
      <c r="V619" s="197"/>
      <c r="Z619" s="197"/>
      <c r="AA619" s="197"/>
      <c r="AD619" s="197"/>
      <c r="AE619" s="197"/>
      <c r="AF619" s="197"/>
      <c r="AG619" s="197"/>
      <c r="AH619" s="197"/>
      <c r="AI619" s="197"/>
      <c r="AJ619" s="197"/>
      <c r="AK619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</row>
    <row r="620" spans="1:64" s="198" customFormat="1" x14ac:dyDescent="0.25">
      <c r="A620" s="194"/>
      <c r="B620" s="195"/>
      <c r="C620" s="196"/>
      <c r="D620" s="196"/>
      <c r="E620" s="196"/>
      <c r="F620" s="196"/>
      <c r="G620" s="196"/>
      <c r="H620" s="196"/>
      <c r="I620" s="196"/>
      <c r="J620" s="196"/>
      <c r="K620" s="199"/>
      <c r="L620" s="196"/>
      <c r="M620" s="197"/>
      <c r="N620" s="200"/>
      <c r="O620" s="181"/>
      <c r="P620" s="181"/>
      <c r="Q620" s="201"/>
      <c r="R620" s="181"/>
      <c r="S620" s="197"/>
      <c r="T620" s="197"/>
      <c r="U620" s="197"/>
      <c r="V620" s="197"/>
      <c r="Z620" s="197"/>
      <c r="AA620" s="197"/>
      <c r="AD620" s="197"/>
      <c r="AE620" s="197"/>
      <c r="AF620" s="197"/>
      <c r="AG620" s="197"/>
      <c r="AH620" s="197"/>
      <c r="AI620" s="197"/>
      <c r="AJ620" s="197"/>
      <c r="AK620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</row>
    <row r="621" spans="1:64" s="198" customFormat="1" x14ac:dyDescent="0.25">
      <c r="A621" s="194"/>
      <c r="B621" s="195"/>
      <c r="C621" s="196"/>
      <c r="D621" s="196"/>
      <c r="E621" s="196"/>
      <c r="F621" s="196"/>
      <c r="G621" s="196"/>
      <c r="H621" s="196"/>
      <c r="I621" s="196"/>
      <c r="J621" s="196"/>
      <c r="K621" s="199"/>
      <c r="L621" s="196"/>
      <c r="M621" s="197"/>
      <c r="N621" s="200"/>
      <c r="O621" s="181"/>
      <c r="P621" s="181"/>
      <c r="Q621" s="201"/>
      <c r="R621" s="181"/>
      <c r="S621" s="197"/>
      <c r="T621" s="197"/>
      <c r="U621" s="197"/>
      <c r="V621" s="197"/>
      <c r="Z621" s="197"/>
      <c r="AA621" s="197"/>
      <c r="AD621" s="197"/>
      <c r="AE621" s="197"/>
      <c r="AF621" s="197"/>
      <c r="AG621" s="197"/>
      <c r="AH621" s="197"/>
      <c r="AI621" s="197"/>
      <c r="AJ621" s="197"/>
      <c r="AK621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</row>
    <row r="622" spans="1:64" s="198" customFormat="1" x14ac:dyDescent="0.25">
      <c r="A622" s="194"/>
      <c r="B622" s="195"/>
      <c r="C622" s="196"/>
      <c r="D622" s="196"/>
      <c r="E622" s="196"/>
      <c r="F622" s="196"/>
      <c r="G622" s="196"/>
      <c r="H622" s="196"/>
      <c r="I622" s="196"/>
      <c r="J622" s="196"/>
      <c r="K622" s="199"/>
      <c r="L622" s="196"/>
      <c r="M622" s="197"/>
      <c r="N622" s="200"/>
      <c r="O622" s="181"/>
      <c r="P622" s="181"/>
      <c r="Q622" s="201"/>
      <c r="R622" s="181"/>
      <c r="S622" s="197"/>
      <c r="T622" s="197"/>
      <c r="U622" s="197"/>
      <c r="V622" s="197"/>
      <c r="Z622" s="197"/>
      <c r="AA622" s="197"/>
      <c r="AD622" s="197"/>
      <c r="AE622" s="197"/>
      <c r="AF622" s="197"/>
      <c r="AG622" s="197"/>
      <c r="AH622" s="197"/>
      <c r="AI622" s="197"/>
      <c r="AJ622" s="197"/>
      <c r="AK622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</row>
    <row r="623" spans="1:64" s="198" customFormat="1" x14ac:dyDescent="0.25">
      <c r="A623" s="194"/>
      <c r="B623" s="195"/>
      <c r="C623" s="196"/>
      <c r="D623" s="196"/>
      <c r="E623" s="196"/>
      <c r="F623" s="196"/>
      <c r="G623" s="196"/>
      <c r="H623" s="196"/>
      <c r="I623" s="196"/>
      <c r="J623" s="196"/>
      <c r="K623" s="199"/>
      <c r="L623" s="196"/>
      <c r="M623" s="197"/>
      <c r="N623" s="200"/>
      <c r="O623" s="181"/>
      <c r="P623" s="181"/>
      <c r="Q623" s="201"/>
      <c r="R623" s="181"/>
      <c r="S623" s="197"/>
      <c r="T623" s="197"/>
      <c r="U623" s="197"/>
      <c r="V623" s="197"/>
      <c r="Z623" s="197"/>
      <c r="AA623" s="197"/>
      <c r="AD623" s="197"/>
      <c r="AE623" s="197"/>
      <c r="AF623" s="197"/>
      <c r="AG623" s="197"/>
      <c r="AH623" s="197"/>
      <c r="AI623" s="197"/>
      <c r="AJ623" s="197"/>
      <c r="AK623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</row>
    <row r="624" spans="1:64" s="198" customFormat="1" x14ac:dyDescent="0.25">
      <c r="A624" s="194"/>
      <c r="B624" s="195"/>
      <c r="C624" s="196"/>
      <c r="D624" s="196"/>
      <c r="E624" s="196"/>
      <c r="F624" s="196"/>
      <c r="G624" s="196"/>
      <c r="H624" s="196"/>
      <c r="I624" s="196"/>
      <c r="J624" s="196"/>
      <c r="K624" s="199"/>
      <c r="L624" s="196"/>
      <c r="M624" s="197"/>
      <c r="N624" s="200"/>
      <c r="O624" s="181"/>
      <c r="P624" s="181"/>
      <c r="Q624" s="201"/>
      <c r="R624" s="181"/>
      <c r="S624" s="197"/>
      <c r="T624" s="197"/>
      <c r="U624" s="197"/>
      <c r="V624" s="197"/>
      <c r="Z624" s="197"/>
      <c r="AA624" s="197"/>
      <c r="AD624" s="197"/>
      <c r="AE624" s="197"/>
      <c r="AF624" s="197"/>
      <c r="AG624" s="197"/>
      <c r="AH624" s="197"/>
      <c r="AI624" s="197"/>
      <c r="AJ624" s="197"/>
      <c r="AK624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</row>
    <row r="625" spans="1:64" s="198" customFormat="1" x14ac:dyDescent="0.25">
      <c r="A625" s="194"/>
      <c r="B625" s="195"/>
      <c r="C625" s="196"/>
      <c r="D625" s="196"/>
      <c r="E625" s="196"/>
      <c r="F625" s="196"/>
      <c r="G625" s="196"/>
      <c r="H625" s="196"/>
      <c r="I625" s="196"/>
      <c r="J625" s="196"/>
      <c r="K625" s="199"/>
      <c r="L625" s="196"/>
      <c r="M625" s="197"/>
      <c r="N625" s="200"/>
      <c r="O625" s="181"/>
      <c r="P625" s="181"/>
      <c r="Q625" s="201"/>
      <c r="R625" s="181"/>
      <c r="S625" s="197"/>
      <c r="T625" s="197"/>
      <c r="U625" s="197"/>
      <c r="V625" s="197"/>
      <c r="Z625" s="197"/>
      <c r="AA625" s="197"/>
      <c r="AD625" s="197"/>
      <c r="AE625" s="197"/>
      <c r="AF625" s="197"/>
      <c r="AG625" s="197"/>
      <c r="AH625" s="197"/>
      <c r="AI625" s="197"/>
      <c r="AJ625" s="197"/>
      <c r="AK625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</row>
    <row r="626" spans="1:64" s="198" customFormat="1" x14ac:dyDescent="0.25">
      <c r="A626" s="194"/>
      <c r="B626" s="195"/>
      <c r="C626" s="196"/>
      <c r="D626" s="196"/>
      <c r="E626" s="196"/>
      <c r="F626" s="196"/>
      <c r="G626" s="196"/>
      <c r="H626" s="196"/>
      <c r="I626" s="196"/>
      <c r="J626" s="196"/>
      <c r="K626" s="199"/>
      <c r="L626" s="196"/>
      <c r="M626" s="197"/>
      <c r="N626" s="200"/>
      <c r="O626" s="181"/>
      <c r="P626" s="181"/>
      <c r="Q626" s="201"/>
      <c r="R626" s="181"/>
      <c r="S626" s="197"/>
      <c r="T626" s="197"/>
      <c r="U626" s="197"/>
      <c r="V626" s="197"/>
      <c r="Z626" s="197"/>
      <c r="AA626" s="197"/>
      <c r="AD626" s="197"/>
      <c r="AE626" s="197"/>
      <c r="AF626" s="197"/>
      <c r="AG626" s="197"/>
      <c r="AH626" s="197"/>
      <c r="AI626" s="197"/>
      <c r="AJ626" s="197"/>
      <c r="AK626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</row>
    <row r="627" spans="1:64" s="198" customFormat="1" x14ac:dyDescent="0.25">
      <c r="A627" s="194"/>
      <c r="B627" s="195"/>
      <c r="C627" s="196"/>
      <c r="D627" s="196"/>
      <c r="E627" s="196"/>
      <c r="F627" s="196"/>
      <c r="G627" s="196"/>
      <c r="H627" s="196"/>
      <c r="I627" s="196"/>
      <c r="J627" s="196"/>
      <c r="K627" s="199"/>
      <c r="L627" s="196"/>
      <c r="M627" s="197"/>
      <c r="N627" s="200"/>
      <c r="O627" s="181"/>
      <c r="P627" s="181"/>
      <c r="Q627" s="201"/>
      <c r="R627" s="181"/>
      <c r="S627" s="197"/>
      <c r="T627" s="197"/>
      <c r="U627" s="197"/>
      <c r="V627" s="197"/>
      <c r="Z627" s="197"/>
      <c r="AA627" s="197"/>
      <c r="AD627" s="197"/>
      <c r="AE627" s="197"/>
      <c r="AF627" s="197"/>
      <c r="AG627" s="197"/>
      <c r="AH627" s="197"/>
      <c r="AI627" s="197"/>
      <c r="AJ627" s="197"/>
      <c r="AK62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</row>
    <row r="628" spans="1:64" s="198" customFormat="1" x14ac:dyDescent="0.25">
      <c r="A628" s="194"/>
      <c r="B628" s="195"/>
      <c r="C628" s="196"/>
      <c r="D628" s="196"/>
      <c r="E628" s="196"/>
      <c r="F628" s="196"/>
      <c r="G628" s="196"/>
      <c r="H628" s="196"/>
      <c r="I628" s="196"/>
      <c r="J628" s="196"/>
      <c r="K628" s="199"/>
      <c r="L628" s="196"/>
      <c r="M628" s="197"/>
      <c r="N628" s="200"/>
      <c r="O628" s="181"/>
      <c r="P628" s="181"/>
      <c r="Q628" s="201"/>
      <c r="R628" s="181"/>
      <c r="S628" s="197"/>
      <c r="T628" s="197"/>
      <c r="U628" s="197"/>
      <c r="V628" s="197"/>
      <c r="Z628" s="197"/>
      <c r="AA628" s="197"/>
      <c r="AD628" s="197"/>
      <c r="AE628" s="197"/>
      <c r="AF628" s="197"/>
      <c r="AG628" s="197"/>
      <c r="AH628" s="197"/>
      <c r="AI628" s="197"/>
      <c r="AJ628" s="197"/>
      <c r="AK628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</row>
    <row r="629" spans="1:64" s="198" customFormat="1" x14ac:dyDescent="0.25">
      <c r="A629" s="194"/>
      <c r="B629" s="195"/>
      <c r="C629" s="196"/>
      <c r="D629" s="196"/>
      <c r="E629" s="196"/>
      <c r="F629" s="196"/>
      <c r="G629" s="196"/>
      <c r="H629" s="196"/>
      <c r="I629" s="196"/>
      <c r="J629" s="196"/>
      <c r="K629" s="199"/>
      <c r="L629" s="196"/>
      <c r="M629" s="197"/>
      <c r="N629" s="200"/>
      <c r="O629" s="181"/>
      <c r="P629" s="181"/>
      <c r="Q629" s="201"/>
      <c r="R629" s="181"/>
      <c r="S629" s="197"/>
      <c r="T629" s="197"/>
      <c r="U629" s="197"/>
      <c r="V629" s="197"/>
      <c r="Z629" s="197"/>
      <c r="AA629" s="197"/>
      <c r="AD629" s="197"/>
      <c r="AE629" s="197"/>
      <c r="AF629" s="197"/>
      <c r="AG629" s="197"/>
      <c r="AH629" s="197"/>
      <c r="AI629" s="197"/>
      <c r="AJ629" s="197"/>
      <c r="AK629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</row>
    <row r="630" spans="1:64" s="198" customFormat="1" x14ac:dyDescent="0.25">
      <c r="A630" s="194"/>
      <c r="B630" s="195"/>
      <c r="C630" s="196"/>
      <c r="D630" s="196"/>
      <c r="E630" s="196"/>
      <c r="F630" s="196"/>
      <c r="G630" s="196"/>
      <c r="H630" s="196"/>
      <c r="I630" s="196"/>
      <c r="J630" s="196"/>
      <c r="K630" s="199"/>
      <c r="L630" s="196"/>
      <c r="M630" s="197"/>
      <c r="N630" s="200"/>
      <c r="O630" s="181"/>
      <c r="P630" s="181"/>
      <c r="Q630" s="201"/>
      <c r="R630" s="181"/>
      <c r="S630" s="197"/>
      <c r="T630" s="197"/>
      <c r="U630" s="197"/>
      <c r="V630" s="197"/>
      <c r="Z630" s="197"/>
      <c r="AA630" s="197"/>
      <c r="AD630" s="197"/>
      <c r="AE630" s="197"/>
      <c r="AF630" s="197"/>
      <c r="AG630" s="197"/>
      <c r="AH630" s="197"/>
      <c r="AI630" s="197"/>
      <c r="AJ630" s="197"/>
      <c r="AK630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</row>
    <row r="631" spans="1:64" s="198" customFormat="1" x14ac:dyDescent="0.25">
      <c r="A631" s="194"/>
      <c r="B631" s="195"/>
      <c r="C631" s="196"/>
      <c r="D631" s="196"/>
      <c r="E631" s="196"/>
      <c r="F631" s="196"/>
      <c r="G631" s="196"/>
      <c r="H631" s="196"/>
      <c r="I631" s="196"/>
      <c r="J631" s="196"/>
      <c r="K631" s="199"/>
      <c r="L631" s="196"/>
      <c r="M631" s="197"/>
      <c r="N631" s="200"/>
      <c r="O631" s="181"/>
      <c r="P631" s="181"/>
      <c r="Q631" s="201"/>
      <c r="R631" s="181"/>
      <c r="S631" s="197"/>
      <c r="T631" s="197"/>
      <c r="U631" s="197"/>
      <c r="V631" s="197"/>
      <c r="Z631" s="197"/>
      <c r="AA631" s="197"/>
      <c r="AD631" s="197"/>
      <c r="AE631" s="197"/>
      <c r="AF631" s="197"/>
      <c r="AG631" s="197"/>
      <c r="AH631" s="197"/>
      <c r="AI631" s="197"/>
      <c r="AJ631" s="197"/>
      <c r="AK631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</row>
    <row r="632" spans="1:64" s="198" customFormat="1" x14ac:dyDescent="0.25">
      <c r="A632" s="194"/>
      <c r="B632" s="195"/>
      <c r="C632" s="196"/>
      <c r="D632" s="196"/>
      <c r="E632" s="196"/>
      <c r="F632" s="196"/>
      <c r="G632" s="196"/>
      <c r="H632" s="196"/>
      <c r="I632" s="196"/>
      <c r="J632" s="196"/>
      <c r="K632" s="199"/>
      <c r="L632" s="196"/>
      <c r="M632" s="197"/>
      <c r="N632" s="200"/>
      <c r="O632" s="181"/>
      <c r="P632" s="181"/>
      <c r="Q632" s="201"/>
      <c r="R632" s="181"/>
      <c r="S632" s="197"/>
      <c r="T632" s="197"/>
      <c r="U632" s="197"/>
      <c r="V632" s="197"/>
      <c r="Z632" s="197"/>
      <c r="AA632" s="197"/>
      <c r="AD632" s="197"/>
      <c r="AE632" s="197"/>
      <c r="AF632" s="197"/>
      <c r="AG632" s="197"/>
      <c r="AH632" s="197"/>
      <c r="AI632" s="197"/>
      <c r="AJ632" s="197"/>
      <c r="AK632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</row>
    <row r="633" spans="1:64" s="198" customFormat="1" x14ac:dyDescent="0.25">
      <c r="A633" s="194"/>
      <c r="B633" s="195"/>
      <c r="C633" s="196"/>
      <c r="D633" s="196"/>
      <c r="E633" s="196"/>
      <c r="F633" s="196"/>
      <c r="G633" s="196"/>
      <c r="H633" s="196"/>
      <c r="I633" s="196"/>
      <c r="J633" s="196"/>
      <c r="K633" s="199"/>
      <c r="L633" s="196"/>
      <c r="M633" s="197"/>
      <c r="N633" s="200"/>
      <c r="O633" s="181"/>
      <c r="P633" s="181"/>
      <c r="Q633" s="201"/>
      <c r="R633" s="181"/>
      <c r="S633" s="197"/>
      <c r="T633" s="197"/>
      <c r="U633" s="197"/>
      <c r="V633" s="197"/>
      <c r="Z633" s="197"/>
      <c r="AA633" s="197"/>
      <c r="AD633" s="197"/>
      <c r="AE633" s="197"/>
      <c r="AF633" s="197"/>
      <c r="AG633" s="197"/>
      <c r="AH633" s="197"/>
      <c r="AI633" s="197"/>
      <c r="AJ633" s="197"/>
      <c r="AK633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</row>
    <row r="634" spans="1:64" s="198" customFormat="1" x14ac:dyDescent="0.25">
      <c r="A634" s="194"/>
      <c r="B634" s="195"/>
      <c r="C634" s="196"/>
      <c r="D634" s="196"/>
      <c r="E634" s="196"/>
      <c r="F634" s="196"/>
      <c r="G634" s="196"/>
      <c r="H634" s="196"/>
      <c r="I634" s="196"/>
      <c r="J634" s="196"/>
      <c r="K634" s="199"/>
      <c r="L634" s="196"/>
      <c r="M634" s="197"/>
      <c r="N634" s="200"/>
      <c r="O634" s="181"/>
      <c r="P634" s="181"/>
      <c r="Q634" s="201"/>
      <c r="R634" s="181"/>
      <c r="S634" s="197"/>
      <c r="T634" s="197"/>
      <c r="U634" s="197"/>
      <c r="V634" s="197"/>
      <c r="Z634" s="197"/>
      <c r="AA634" s="197"/>
      <c r="AD634" s="197"/>
      <c r="AE634" s="197"/>
      <c r="AF634" s="197"/>
      <c r="AG634" s="197"/>
      <c r="AH634" s="197"/>
      <c r="AI634" s="197"/>
      <c r="AJ634" s="197"/>
      <c r="AK634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</row>
    <row r="635" spans="1:64" s="198" customFormat="1" x14ac:dyDescent="0.25">
      <c r="A635" s="194"/>
      <c r="B635" s="195"/>
      <c r="C635" s="196"/>
      <c r="D635" s="196"/>
      <c r="E635" s="196"/>
      <c r="F635" s="196"/>
      <c r="G635" s="196"/>
      <c r="H635" s="196"/>
      <c r="I635" s="196"/>
      <c r="J635" s="196"/>
      <c r="K635" s="199"/>
      <c r="L635" s="196"/>
      <c r="M635" s="197"/>
      <c r="N635" s="200"/>
      <c r="O635" s="181"/>
      <c r="P635" s="181"/>
      <c r="Q635" s="201"/>
      <c r="R635" s="181"/>
      <c r="S635" s="197"/>
      <c r="T635" s="197"/>
      <c r="U635" s="197"/>
      <c r="V635" s="197"/>
      <c r="Z635" s="197"/>
      <c r="AA635" s="197"/>
      <c r="AD635" s="197"/>
      <c r="AE635" s="197"/>
      <c r="AF635" s="197"/>
      <c r="AG635" s="197"/>
      <c r="AH635" s="197"/>
      <c r="AI635" s="197"/>
      <c r="AJ635" s="197"/>
      <c r="AK635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</row>
    <row r="636" spans="1:64" s="198" customFormat="1" x14ac:dyDescent="0.25">
      <c r="A636" s="194"/>
      <c r="B636" s="195"/>
      <c r="C636" s="196"/>
      <c r="D636" s="196"/>
      <c r="E636" s="196"/>
      <c r="F636" s="196"/>
      <c r="G636" s="196"/>
      <c r="H636" s="196"/>
      <c r="I636" s="196"/>
      <c r="J636" s="196"/>
      <c r="K636" s="199"/>
      <c r="L636" s="196"/>
      <c r="M636" s="197"/>
      <c r="N636" s="200"/>
      <c r="O636" s="181"/>
      <c r="P636" s="181"/>
      <c r="Q636" s="201"/>
      <c r="R636" s="181"/>
      <c r="S636" s="197"/>
      <c r="T636" s="197"/>
      <c r="U636" s="197"/>
      <c r="V636" s="197"/>
      <c r="Z636" s="197"/>
      <c r="AA636" s="197"/>
      <c r="AD636" s="197"/>
      <c r="AE636" s="197"/>
      <c r="AF636" s="197"/>
      <c r="AG636" s="197"/>
      <c r="AH636" s="197"/>
      <c r="AI636" s="197"/>
      <c r="AJ636" s="197"/>
      <c r="AK636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</row>
    <row r="637" spans="1:64" s="198" customFormat="1" x14ac:dyDescent="0.25">
      <c r="A637" s="194"/>
      <c r="B637" s="195"/>
      <c r="C637" s="196"/>
      <c r="D637" s="196"/>
      <c r="E637" s="196"/>
      <c r="F637" s="196"/>
      <c r="G637" s="196"/>
      <c r="H637" s="196"/>
      <c r="I637" s="196"/>
      <c r="J637" s="196"/>
      <c r="K637" s="199"/>
      <c r="L637" s="196"/>
      <c r="M637" s="197"/>
      <c r="N637" s="200"/>
      <c r="O637" s="181"/>
      <c r="P637" s="181"/>
      <c r="Q637" s="201"/>
      <c r="R637" s="181"/>
      <c r="S637" s="197"/>
      <c r="T637" s="197"/>
      <c r="U637" s="197"/>
      <c r="V637" s="197"/>
      <c r="Z637" s="197"/>
      <c r="AA637" s="197"/>
      <c r="AD637" s="197"/>
      <c r="AE637" s="197"/>
      <c r="AF637" s="197"/>
      <c r="AG637" s="197"/>
      <c r="AH637" s="197"/>
      <c r="AI637" s="197"/>
      <c r="AJ637" s="197"/>
      <c r="AK63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</row>
    <row r="638" spans="1:64" s="198" customFormat="1" x14ac:dyDescent="0.25">
      <c r="A638" s="194"/>
      <c r="B638" s="195"/>
      <c r="C638" s="196"/>
      <c r="D638" s="196"/>
      <c r="E638" s="196"/>
      <c r="F638" s="196"/>
      <c r="G638" s="196"/>
      <c r="H638" s="196"/>
      <c r="I638" s="196"/>
      <c r="J638" s="196"/>
      <c r="K638" s="199"/>
      <c r="L638" s="196"/>
      <c r="M638" s="197"/>
      <c r="N638" s="200"/>
      <c r="O638" s="181"/>
      <c r="P638" s="181"/>
      <c r="Q638" s="201"/>
      <c r="R638" s="181"/>
      <c r="S638" s="197"/>
      <c r="T638" s="197"/>
      <c r="U638" s="197"/>
      <c r="V638" s="197"/>
      <c r="Z638" s="197"/>
      <c r="AA638" s="197"/>
      <c r="AD638" s="197"/>
      <c r="AE638" s="197"/>
      <c r="AF638" s="197"/>
      <c r="AG638" s="197"/>
      <c r="AH638" s="197"/>
      <c r="AI638" s="197"/>
      <c r="AJ638" s="197"/>
      <c r="AK638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</row>
    <row r="639" spans="1:64" x14ac:dyDescent="0.25">
      <c r="AK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</row>
    <row r="640" spans="1:64" x14ac:dyDescent="0.25">
      <c r="AK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</row>
    <row r="641" spans="37:64" x14ac:dyDescent="0.25">
      <c r="AK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</row>
  </sheetData>
  <autoFilter ref="A98:AV606" xr:uid="{21C7B384-FE0D-4605-80E5-7E6E8A8E6864}"/>
  <dataValidations count="2">
    <dataValidation type="list" allowBlank="1" showInputMessage="1" showErrorMessage="1" sqref="G5:H61" xr:uid="{38FE5DE8-9DE0-45BD-A56A-0AC20AEB6C9A}">
      <formula1>"Yes, No"</formula1>
    </dataValidation>
    <dataValidation type="list" allowBlank="1" showInputMessage="1" showErrorMessage="1" sqref="I5:I61" xr:uid="{617DBACB-9C3D-48EC-A6EF-C699C4AD6435}">
      <formula1>"Classic, Full, Partial"</formula1>
    </dataValidation>
  </dataValidations>
  <hyperlinks>
    <hyperlink ref="F67" r:id="rId1" xr:uid="{2BED4ED1-A148-4EC8-8D18-6D721403CBFA}"/>
  </hyperlinks>
  <pageMargins left="0.7" right="0.7" top="0.75" bottom="0.75" header="0.3" footer="0.3"/>
  <pageSetup scale="21" fitToHeight="0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B6AE-781B-460D-90D6-4AC47096C630}">
  <sheetPr codeName="Sheet2">
    <tabColor theme="5" tint="-0.249977111117893"/>
    <pageSetUpPr fitToPage="1"/>
  </sheetPr>
  <dimension ref="A1:I27"/>
  <sheetViews>
    <sheetView showGridLines="0" view="pageBreakPreview" zoomScale="85" zoomScaleNormal="100" zoomScaleSheetLayoutView="85" workbookViewId="0"/>
  </sheetViews>
  <sheetFormatPr defaultRowHeight="15" x14ac:dyDescent="0.25"/>
  <cols>
    <col min="1" max="1" width="10.140625" customWidth="1"/>
    <col min="2" max="2" width="12.85546875" customWidth="1"/>
    <col min="3" max="8" width="30.85546875" customWidth="1"/>
    <col min="9" max="9" width="18" bestFit="1" customWidth="1"/>
  </cols>
  <sheetData>
    <row r="1" spans="1:9" ht="18.75" x14ac:dyDescent="0.3">
      <c r="A1" s="864" t="s">
        <v>1841</v>
      </c>
    </row>
    <row r="3" spans="1:9" ht="95.1" customHeight="1" x14ac:dyDescent="0.25">
      <c r="C3" s="976" t="s">
        <v>1864</v>
      </c>
      <c r="D3" s="977" t="s">
        <v>1864</v>
      </c>
      <c r="E3" s="978" t="s">
        <v>1864</v>
      </c>
      <c r="F3" s="977" t="s">
        <v>1864</v>
      </c>
      <c r="G3" s="978" t="s">
        <v>1864</v>
      </c>
      <c r="H3" s="977" t="s">
        <v>1864</v>
      </c>
    </row>
    <row r="4" spans="1:9" ht="17.25" x14ac:dyDescent="0.4">
      <c r="A4" s="986" t="s">
        <v>1821</v>
      </c>
      <c r="B4" s="973"/>
      <c r="C4" s="985" t="s">
        <v>1865</v>
      </c>
      <c r="D4" s="974">
        <v>1</v>
      </c>
      <c r="E4" s="974">
        <v>2</v>
      </c>
      <c r="F4" s="974">
        <v>3</v>
      </c>
      <c r="G4" s="974">
        <v>4</v>
      </c>
      <c r="H4" s="974">
        <v>5</v>
      </c>
      <c r="I4" s="986" t="s">
        <v>1821</v>
      </c>
    </row>
    <row r="5" spans="1:9" s="904" customFormat="1" ht="30" customHeight="1" x14ac:dyDescent="0.25">
      <c r="A5" s="987"/>
      <c r="B5" s="979" t="s">
        <v>1852</v>
      </c>
      <c r="C5" s="990" t="str">
        <f>'Exec Summ'!F6</f>
        <v>Hudson View Park</v>
      </c>
      <c r="D5" s="991"/>
      <c r="E5" s="991"/>
      <c r="F5" s="991"/>
      <c r="G5" s="991"/>
      <c r="H5" s="991"/>
      <c r="I5" s="998" t="s">
        <v>1867</v>
      </c>
    </row>
    <row r="6" spans="1:9" s="904" customFormat="1" ht="30" customHeight="1" x14ac:dyDescent="0.25">
      <c r="A6" s="987"/>
      <c r="B6" s="896" t="s">
        <v>1842</v>
      </c>
      <c r="C6" s="989" t="str">
        <f>'Exec Summ'!F7&amp;", "&amp;'Exec Summ'!F8</f>
        <v>29 Hudson View Drive, Beacon, NY 12508</v>
      </c>
      <c r="D6" s="897"/>
      <c r="E6" s="897"/>
      <c r="F6" s="897"/>
      <c r="G6" s="897"/>
      <c r="H6" s="897"/>
      <c r="I6" s="999"/>
    </row>
    <row r="7" spans="1:9" x14ac:dyDescent="0.25">
      <c r="A7" s="988"/>
      <c r="B7" s="514" t="s">
        <v>1843</v>
      </c>
      <c r="C7" s="980">
        <f>'Exec Summ'!F12</f>
        <v>1900</v>
      </c>
      <c r="D7" s="19"/>
      <c r="E7" s="19"/>
      <c r="F7" s="19"/>
      <c r="G7" s="19"/>
      <c r="H7" s="19"/>
      <c r="I7" s="1000"/>
    </row>
    <row r="8" spans="1:9" x14ac:dyDescent="0.25">
      <c r="A8" s="988"/>
      <c r="B8" s="514" t="s">
        <v>1844</v>
      </c>
      <c r="C8" s="980">
        <f>'Exec Summ'!E35</f>
        <v>0</v>
      </c>
      <c r="D8" s="19"/>
      <c r="E8" s="19"/>
      <c r="F8" s="19"/>
      <c r="G8" s="19"/>
      <c r="H8" s="19"/>
      <c r="I8" s="1000"/>
    </row>
    <row r="9" spans="1:9" x14ac:dyDescent="0.25">
      <c r="A9" s="988"/>
      <c r="B9" s="514" t="s">
        <v>1845</v>
      </c>
      <c r="C9" s="980"/>
      <c r="D9" s="19"/>
      <c r="E9" s="19"/>
      <c r="F9" s="19"/>
      <c r="G9" s="19"/>
      <c r="H9" s="19"/>
      <c r="I9" s="1000"/>
    </row>
    <row r="10" spans="1:9" x14ac:dyDescent="0.25">
      <c r="A10" s="988" t="s">
        <v>237</v>
      </c>
      <c r="B10" s="898" t="s">
        <v>58</v>
      </c>
      <c r="C10" s="983"/>
      <c r="D10" s="899"/>
      <c r="E10" s="899"/>
      <c r="F10" s="899"/>
      <c r="G10" s="899"/>
      <c r="H10" s="899"/>
      <c r="I10" s="1001"/>
    </row>
    <row r="11" spans="1:9" x14ac:dyDescent="0.25">
      <c r="A11" s="988"/>
      <c r="B11" s="514" t="s">
        <v>1846</v>
      </c>
      <c r="C11" s="981" t="e">
        <f>INDEX('Exec Summ'!$J$30:$J$34,MATCH(A10,'Exec Summ'!$D$30:$D$34,0))</f>
        <v>#DIV/0!</v>
      </c>
      <c r="D11" s="900"/>
      <c r="E11" s="900"/>
      <c r="F11" s="900"/>
      <c r="G11" s="900"/>
      <c r="H11" s="900"/>
      <c r="I11" s="1002" t="e">
        <f>AVERAGE(D11:H11)</f>
        <v>#DIV/0!</v>
      </c>
    </row>
    <row r="12" spans="1:9" x14ac:dyDescent="0.25">
      <c r="A12" s="988"/>
      <c r="B12" s="514" t="s">
        <v>1847</v>
      </c>
      <c r="C12" s="982" t="e">
        <f>INDEX('Exec Summ'!$G$30:$G$34,MATCH(A10,'Exec Summ'!$D$30:$D$34,0))</f>
        <v>#DIV/0!</v>
      </c>
      <c r="D12" s="901"/>
      <c r="E12" s="901"/>
      <c r="F12" s="901"/>
      <c r="G12" s="901"/>
      <c r="H12" s="901"/>
      <c r="I12" s="1003" t="e">
        <f t="shared" ref="I12" si="0">AVERAGE(D12:H12)</f>
        <v>#DIV/0!</v>
      </c>
    </row>
    <row r="13" spans="1:9" x14ac:dyDescent="0.25">
      <c r="A13" s="988" t="s">
        <v>1764</v>
      </c>
      <c r="B13" s="898" t="s">
        <v>1848</v>
      </c>
      <c r="C13" s="984"/>
      <c r="D13" s="902"/>
      <c r="E13" s="902"/>
      <c r="F13" s="902"/>
      <c r="G13" s="902"/>
      <c r="H13" s="902"/>
      <c r="I13" s="1004"/>
    </row>
    <row r="14" spans="1:9" x14ac:dyDescent="0.25">
      <c r="A14" s="988"/>
      <c r="B14" s="514" t="s">
        <v>1846</v>
      </c>
      <c r="C14" s="981" t="e">
        <f>INDEX('Exec Summ'!$J$30:$J$34,MATCH(A13,'Exec Summ'!$D$30:$D$34,0))</f>
        <v>#DIV/0!</v>
      </c>
      <c r="D14" s="900"/>
      <c r="E14" s="900"/>
      <c r="F14" s="900"/>
      <c r="G14" s="900"/>
      <c r="H14" s="900"/>
      <c r="I14" s="1002" t="e">
        <f>AVERAGE(D14:H14)</f>
        <v>#DIV/0!</v>
      </c>
    </row>
    <row r="15" spans="1:9" x14ac:dyDescent="0.25">
      <c r="A15" s="988"/>
      <c r="B15" s="514" t="s">
        <v>1847</v>
      </c>
      <c r="C15" s="982" t="e">
        <f>INDEX('Exec Summ'!$G$30:$G$34,MATCH(A13,'Exec Summ'!$D$30:$D$34,0))</f>
        <v>#DIV/0!</v>
      </c>
      <c r="D15" s="901"/>
      <c r="E15" s="901"/>
      <c r="F15" s="901"/>
      <c r="G15" s="901"/>
      <c r="H15" s="901"/>
      <c r="I15" s="1003" t="e">
        <f t="shared" ref="I15" si="1">AVERAGE(D15:H15)</f>
        <v>#DIV/0!</v>
      </c>
    </row>
    <row r="16" spans="1:9" x14ac:dyDescent="0.25">
      <c r="A16" s="988" t="s">
        <v>1765</v>
      </c>
      <c r="B16" s="898" t="s">
        <v>1849</v>
      </c>
      <c r="C16" s="983"/>
      <c r="D16" s="899"/>
      <c r="E16" s="899"/>
      <c r="F16" s="899"/>
      <c r="G16" s="899"/>
      <c r="H16" s="899"/>
      <c r="I16" s="1001"/>
    </row>
    <row r="17" spans="1:9" x14ac:dyDescent="0.25">
      <c r="A17" s="988"/>
      <c r="B17" s="514" t="s">
        <v>1846</v>
      </c>
      <c r="C17" s="981" t="e">
        <f>INDEX('Exec Summ'!$J$30:$J$34,MATCH(A16,'Exec Summ'!$D$30:$D$34,0))</f>
        <v>#DIV/0!</v>
      </c>
      <c r="D17" s="900"/>
      <c r="E17" s="900"/>
      <c r="F17" s="900"/>
      <c r="G17" s="900"/>
      <c r="H17" s="900"/>
      <c r="I17" s="1002" t="e">
        <f>AVERAGE(D17:H17)</f>
        <v>#DIV/0!</v>
      </c>
    </row>
    <row r="18" spans="1:9" x14ac:dyDescent="0.25">
      <c r="A18" s="988"/>
      <c r="B18" s="514" t="s">
        <v>1847</v>
      </c>
      <c r="C18" s="982" t="e">
        <f>INDEX('Exec Summ'!$G$30:$G$34,MATCH(A16,'Exec Summ'!$D$30:$D$34,0))</f>
        <v>#DIV/0!</v>
      </c>
      <c r="D18" s="901"/>
      <c r="E18" s="901"/>
      <c r="F18" s="901"/>
      <c r="G18" s="901"/>
      <c r="H18" s="901"/>
      <c r="I18" s="1003" t="e">
        <f t="shared" ref="I18" si="2">AVERAGE(D18:H18)</f>
        <v>#DIV/0!</v>
      </c>
    </row>
    <row r="19" spans="1:9" x14ac:dyDescent="0.25">
      <c r="A19" s="988" t="s">
        <v>1766</v>
      </c>
      <c r="B19" s="898" t="s">
        <v>1850</v>
      </c>
      <c r="C19" s="983"/>
      <c r="D19" s="899"/>
      <c r="E19" s="899"/>
      <c r="F19" s="899"/>
      <c r="G19" s="899"/>
      <c r="H19" s="899"/>
      <c r="I19" s="1001"/>
    </row>
    <row r="20" spans="1:9" x14ac:dyDescent="0.25">
      <c r="A20" s="988"/>
      <c r="B20" s="514" t="s">
        <v>1846</v>
      </c>
      <c r="C20" s="981" t="e">
        <f>INDEX('Exec Summ'!$J$30:$J$34,MATCH(A19,'Exec Summ'!$D$30:$D$34,0))</f>
        <v>#DIV/0!</v>
      </c>
      <c r="D20" s="900"/>
      <c r="E20" s="900"/>
      <c r="F20" s="900"/>
      <c r="G20" s="900"/>
      <c r="H20" s="900"/>
      <c r="I20" s="1002" t="e">
        <f>AVERAGE(D20:H20)</f>
        <v>#DIV/0!</v>
      </c>
    </row>
    <row r="21" spans="1:9" x14ac:dyDescent="0.25">
      <c r="A21" s="988"/>
      <c r="B21" s="514" t="s">
        <v>1847</v>
      </c>
      <c r="C21" s="982" t="e">
        <f>INDEX('Exec Summ'!$G$30:$G$34,MATCH(A19,'Exec Summ'!$D$30:$D$34,0))</f>
        <v>#DIV/0!</v>
      </c>
      <c r="D21" s="901"/>
      <c r="E21" s="901"/>
      <c r="F21" s="901"/>
      <c r="G21" s="901"/>
      <c r="H21" s="901"/>
      <c r="I21" s="1003" t="e">
        <f t="shared" ref="I21" si="3">AVERAGE(D21:H21)</f>
        <v>#DIV/0!</v>
      </c>
    </row>
    <row r="22" spans="1:9" x14ac:dyDescent="0.25">
      <c r="A22" s="988" t="s">
        <v>1767</v>
      </c>
      <c r="B22" s="898" t="s">
        <v>1851</v>
      </c>
      <c r="C22" s="983"/>
      <c r="D22" s="899"/>
      <c r="E22" s="899"/>
      <c r="F22" s="899"/>
      <c r="G22" s="899"/>
      <c r="H22" s="899"/>
      <c r="I22" s="1001"/>
    </row>
    <row r="23" spans="1:9" x14ac:dyDescent="0.25">
      <c r="A23" s="988"/>
      <c r="B23" s="514" t="s">
        <v>1846</v>
      </c>
      <c r="C23" s="981" t="e">
        <f>INDEX('Exec Summ'!$J$30:$J$34,MATCH(A22,'Exec Summ'!$D$30:$D$34,0))</f>
        <v>#DIV/0!</v>
      </c>
      <c r="D23" s="900"/>
      <c r="E23" s="900"/>
      <c r="F23" s="900"/>
      <c r="G23" s="900"/>
      <c r="H23" s="900"/>
      <c r="I23" s="1002" t="e">
        <f>AVERAGE(D23:H23)</f>
        <v>#DIV/0!</v>
      </c>
    </row>
    <row r="24" spans="1:9" x14ac:dyDescent="0.25">
      <c r="A24" s="988"/>
      <c r="B24" s="514" t="s">
        <v>1847</v>
      </c>
      <c r="C24" s="982" t="e">
        <f>INDEX('Exec Summ'!$G$30:$G$34,MATCH(A22,'Exec Summ'!$D$30:$D$34,0))</f>
        <v>#DIV/0!</v>
      </c>
      <c r="D24" s="901"/>
      <c r="E24" s="901"/>
      <c r="F24" s="901"/>
      <c r="G24" s="901"/>
      <c r="H24" s="901"/>
      <c r="I24" s="1003" t="e">
        <f t="shared" ref="I24" si="4">AVERAGE(D24:H24)</f>
        <v>#DIV/0!</v>
      </c>
    </row>
    <row r="26" spans="1:9" x14ac:dyDescent="0.25">
      <c r="B26" s="903" t="s">
        <v>1853</v>
      </c>
    </row>
    <row r="27" spans="1:9" x14ac:dyDescent="0.25">
      <c r="B27" s="485"/>
    </row>
  </sheetData>
  <pageMargins left="0.7" right="0.7" top="0.75" bottom="0.75" header="0.3" footer="0.3"/>
  <pageSetup scale="40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CB97-9A09-4882-BE33-FF93893D9B04}">
  <sheetPr codeName="Sheet3">
    <tabColor theme="5" tint="-0.249977111117893"/>
    <pageSetUpPr fitToPage="1"/>
  </sheetPr>
  <dimension ref="C1:V683"/>
  <sheetViews>
    <sheetView showGridLines="0" view="pageBreakPreview" zoomScaleNormal="100" zoomScaleSheetLayoutView="100" workbookViewId="0"/>
  </sheetViews>
  <sheetFormatPr defaultColWidth="8.85546875" defaultRowHeight="12.75" outlineLevelRow="1" outlineLevelCol="2" x14ac:dyDescent="0.25"/>
  <cols>
    <col min="1" max="3" width="0.85546875" style="905" customWidth="1"/>
    <col min="4" max="4" width="23" style="905" bestFit="1" customWidth="1"/>
    <col min="5" max="6" width="21.85546875" style="905" customWidth="1"/>
    <col min="7" max="7" width="15.140625" style="905" customWidth="1"/>
    <col min="8" max="8" width="8.85546875" style="905" hidden="1" customWidth="1"/>
    <col min="9" max="9" width="13.85546875" style="905" bestFit="1" customWidth="1"/>
    <col min="10" max="10" width="18" style="905" bestFit="1" customWidth="1"/>
    <col min="11" max="11" width="8.85546875" style="905" hidden="1" customWidth="1" outlineLevel="2"/>
    <col min="12" max="12" width="9.5703125" style="905" hidden="1" customWidth="1" outlineLevel="2"/>
    <col min="13" max="13" width="16.140625" style="905" customWidth="1" collapsed="1"/>
    <col min="14" max="14" width="14.42578125" style="905" bestFit="1" customWidth="1"/>
    <col min="15" max="15" width="13.85546875" style="905" bestFit="1" customWidth="1"/>
    <col min="16" max="16" width="15.5703125" style="905" bestFit="1" customWidth="1"/>
    <col min="17" max="18" width="8.85546875" style="905" hidden="1" customWidth="1" outlineLevel="1"/>
    <col min="19" max="19" width="0.85546875" style="905" customWidth="1" collapsed="1"/>
    <col min="20" max="20" width="0.85546875" style="905" customWidth="1"/>
    <col min="21" max="21" width="10.85546875" style="905" bestFit="1" customWidth="1"/>
    <col min="22" max="16384" width="8.85546875" style="905"/>
  </cols>
  <sheetData>
    <row r="1" spans="3:22" ht="3.95" customHeight="1" x14ac:dyDescent="0.25">
      <c r="H1" s="906"/>
    </row>
    <row r="2" spans="3:22" ht="3.95" customHeight="1" x14ac:dyDescent="0.25">
      <c r="H2" s="906"/>
    </row>
    <row r="3" spans="3:22" ht="13.5" thickBot="1" x14ac:dyDescent="0.3">
      <c r="C3" s="907" t="s">
        <v>1854</v>
      </c>
      <c r="D3" s="907"/>
      <c r="E3" s="907"/>
      <c r="F3" s="907"/>
      <c r="G3" s="907"/>
      <c r="H3" s="908"/>
      <c r="I3" s="907"/>
      <c r="J3" s="907"/>
      <c r="K3" s="907"/>
      <c r="L3" s="907"/>
      <c r="M3" s="907"/>
      <c r="N3" s="907"/>
      <c r="O3" s="907"/>
      <c r="P3" s="907"/>
      <c r="Q3" s="909">
        <f>D12</f>
        <v>0</v>
      </c>
      <c r="R3" s="909"/>
    </row>
    <row r="4" spans="3:22" ht="13.5" thickTop="1" x14ac:dyDescent="0.25">
      <c r="C4" s="910"/>
      <c r="I4" s="911"/>
      <c r="J4" s="912"/>
      <c r="K4" s="912"/>
      <c r="L4" s="912"/>
      <c r="M4" s="912"/>
      <c r="N4" s="913"/>
      <c r="O4" s="914"/>
    </row>
    <row r="5" spans="3:22" ht="15" x14ac:dyDescent="0.25">
      <c r="C5" s="915"/>
      <c r="D5" s="916" t="s">
        <v>22</v>
      </c>
      <c r="E5" s="916" t="s">
        <v>23</v>
      </c>
      <c r="F5" s="917" t="s">
        <v>72</v>
      </c>
      <c r="G5" s="917" t="s">
        <v>1855</v>
      </c>
      <c r="H5" s="916" t="s">
        <v>1856</v>
      </c>
      <c r="I5" s="915" t="s">
        <v>47</v>
      </c>
      <c r="J5" s="915" t="s">
        <v>17</v>
      </c>
      <c r="K5" s="915" t="s">
        <v>25</v>
      </c>
      <c r="L5" s="915" t="s">
        <v>134</v>
      </c>
      <c r="M5" s="915" t="s">
        <v>1857</v>
      </c>
      <c r="N5" s="915" t="s">
        <v>1858</v>
      </c>
      <c r="O5" s="915" t="s">
        <v>1859</v>
      </c>
      <c r="P5" s="915" t="s">
        <v>1860</v>
      </c>
      <c r="Q5" s="915" t="s">
        <v>1861</v>
      </c>
      <c r="R5" s="915" t="s">
        <v>1862</v>
      </c>
      <c r="U5" s="910"/>
    </row>
    <row r="6" spans="3:22" x14ac:dyDescent="0.25">
      <c r="D6" s="918"/>
      <c r="E6" s="919"/>
      <c r="F6" s="911"/>
      <c r="G6" s="920"/>
      <c r="H6" s="921"/>
      <c r="I6" s="911"/>
      <c r="J6" s="922"/>
      <c r="K6" s="923"/>
      <c r="L6" s="924"/>
      <c r="M6" s="925"/>
      <c r="N6" s="926"/>
      <c r="O6" s="927"/>
      <c r="P6" s="927" t="e">
        <f>O6/J6</f>
        <v>#DIV/0!</v>
      </c>
      <c r="Q6" s="928"/>
      <c r="R6" s="927"/>
      <c r="U6" s="929" t="e">
        <f t="shared" ref="U6:U7" si="0">O6/J6</f>
        <v>#DIV/0!</v>
      </c>
      <c r="V6" s="929" t="e">
        <f t="shared" ref="V6:V7" si="1">O6/L6</f>
        <v>#DIV/0!</v>
      </c>
    </row>
    <row r="7" spans="3:22" x14ac:dyDescent="0.25">
      <c r="C7" s="930"/>
      <c r="D7" s="931"/>
      <c r="E7" s="932"/>
      <c r="F7" s="933"/>
      <c r="G7" s="934"/>
      <c r="H7" s="935"/>
      <c r="I7" s="933"/>
      <c r="J7" s="936"/>
      <c r="K7" s="937"/>
      <c r="L7" s="938"/>
      <c r="M7" s="939"/>
      <c r="N7" s="940"/>
      <c r="O7" s="941"/>
      <c r="P7" s="941" t="e">
        <f>O7/J7</f>
        <v>#DIV/0!</v>
      </c>
      <c r="Q7" s="928"/>
      <c r="R7" s="927"/>
      <c r="U7" s="929" t="e">
        <f t="shared" si="0"/>
        <v>#DIV/0!</v>
      </c>
      <c r="V7" s="929" t="e">
        <f t="shared" si="1"/>
        <v>#DIV/0!</v>
      </c>
    </row>
    <row r="8" spans="3:22" x14ac:dyDescent="0.25">
      <c r="D8" s="918"/>
      <c r="E8" s="919"/>
      <c r="F8" s="911"/>
      <c r="G8" s="920"/>
      <c r="H8" s="942"/>
      <c r="I8" s="911"/>
      <c r="J8" s="922"/>
      <c r="K8" s="943"/>
      <c r="L8" s="924"/>
      <c r="M8" s="944"/>
      <c r="N8" s="926"/>
      <c r="O8" s="927"/>
      <c r="P8" s="927" t="e">
        <f t="shared" ref="P8:P10" si="2">O8/J8</f>
        <v>#DIV/0!</v>
      </c>
      <c r="Q8" s="945"/>
      <c r="R8" s="936"/>
      <c r="U8" s="929" t="e">
        <f>O8/J8</f>
        <v>#DIV/0!</v>
      </c>
      <c r="V8" s="929" t="e">
        <f>O8/L8</f>
        <v>#DIV/0!</v>
      </c>
    </row>
    <row r="9" spans="3:22" x14ac:dyDescent="0.25">
      <c r="C9" s="930"/>
      <c r="D9" s="931"/>
      <c r="E9" s="932"/>
      <c r="F9" s="933"/>
      <c r="G9" s="934"/>
      <c r="H9" s="935"/>
      <c r="I9" s="933"/>
      <c r="J9" s="936"/>
      <c r="K9" s="937"/>
      <c r="L9" s="938"/>
      <c r="M9" s="939"/>
      <c r="N9" s="940"/>
      <c r="O9" s="941"/>
      <c r="P9" s="941" t="e">
        <f t="shared" si="2"/>
        <v>#DIV/0!</v>
      </c>
      <c r="Q9" s="928"/>
      <c r="R9" s="927"/>
      <c r="U9" s="929" t="e">
        <f>O9/J9</f>
        <v>#DIV/0!</v>
      </c>
      <c r="V9" s="929" t="e">
        <f>O9/L9</f>
        <v>#DIV/0!</v>
      </c>
    </row>
    <row r="10" spans="3:22" x14ac:dyDescent="0.25">
      <c r="D10" s="918"/>
      <c r="E10" s="919"/>
      <c r="F10" s="911"/>
      <c r="G10" s="920"/>
      <c r="H10" s="942"/>
      <c r="I10" s="911"/>
      <c r="J10" s="922"/>
      <c r="K10" s="943"/>
      <c r="L10" s="924"/>
      <c r="M10" s="944"/>
      <c r="N10" s="926"/>
      <c r="O10" s="927"/>
      <c r="P10" s="927" t="e">
        <f t="shared" si="2"/>
        <v>#DIV/0!</v>
      </c>
      <c r="Q10" s="945"/>
      <c r="R10" s="936"/>
      <c r="U10" s="929" t="e">
        <f>O10/J10</f>
        <v>#DIV/0!</v>
      </c>
      <c r="V10" s="929" t="e">
        <f>O10/L10</f>
        <v>#DIV/0!</v>
      </c>
    </row>
    <row r="11" spans="3:22" outlineLevel="1" x14ac:dyDescent="0.25">
      <c r="C11" s="946"/>
      <c r="D11" s="946" t="s">
        <v>1863</v>
      </c>
      <c r="E11" s="946"/>
      <c r="F11" s="946"/>
      <c r="G11" s="947" t="e">
        <f>SUMPRODUCT(G6:G10,$J$6:$J$10)/SUM($J$6:$J$10)</f>
        <v>#DIV/0!</v>
      </c>
      <c r="H11" s="948" t="e">
        <f>SUMPRODUCT(H6:H10,$J$6:$J$10)/SUM($J$6:$J$10)</f>
        <v>#DIV/0!</v>
      </c>
      <c r="I11" s="949" t="e">
        <f>SUMPRODUCT(I6:I10,$J$6:$J$10)/SUM($J$6:$J$10)</f>
        <v>#DIV/0!</v>
      </c>
      <c r="J11" s="950" t="e">
        <f>AVERAGE(J6:J10)</f>
        <v>#DIV/0!</v>
      </c>
      <c r="K11" s="951" t="e">
        <f t="shared" ref="K11:Q11" si="3">SUMPRODUCT(K6:K10,$J$6:$J$10)/SUM($J$6:$J$10)</f>
        <v>#DIV/0!</v>
      </c>
      <c r="L11" s="952" t="e">
        <f t="shared" si="3"/>
        <v>#DIV/0!</v>
      </c>
      <c r="M11" s="953" t="e">
        <f t="shared" si="3"/>
        <v>#DIV/0!</v>
      </c>
      <c r="N11" s="954" t="e">
        <f t="shared" si="3"/>
        <v>#DIV/0!</v>
      </c>
      <c r="O11" s="955" t="e">
        <f t="shared" si="3"/>
        <v>#DIV/0!</v>
      </c>
      <c r="P11" s="955" t="e">
        <f t="shared" si="3"/>
        <v>#DIV/0!</v>
      </c>
      <c r="Q11" s="956" t="e">
        <f t="shared" si="3"/>
        <v>#DIV/0!</v>
      </c>
      <c r="R11" s="957"/>
      <c r="U11" s="958"/>
    </row>
    <row r="12" spans="3:22" x14ac:dyDescent="0.25">
      <c r="C12" s="946"/>
      <c r="D12" s="959"/>
      <c r="E12" s="960"/>
      <c r="F12" s="961"/>
      <c r="G12" s="947"/>
      <c r="H12" s="948"/>
      <c r="I12" s="962"/>
      <c r="J12" s="950"/>
      <c r="K12" s="951"/>
      <c r="L12" s="952"/>
      <c r="M12" s="963"/>
      <c r="N12" s="964"/>
      <c r="O12" s="955"/>
      <c r="P12" s="955" t="e">
        <f>O12/J12</f>
        <v>#DIV/0!</v>
      </c>
      <c r="Q12" s="956" t="e">
        <f>O12/L12</f>
        <v>#DIV/0!</v>
      </c>
      <c r="R12" s="957"/>
      <c r="U12" s="958"/>
    </row>
    <row r="14" spans="3:22" x14ac:dyDescent="0.25">
      <c r="D14" s="906"/>
      <c r="G14" s="965"/>
      <c r="H14" s="965"/>
      <c r="I14" s="965"/>
      <c r="J14" s="966"/>
      <c r="K14" s="966"/>
      <c r="L14" s="966"/>
      <c r="M14" s="966"/>
      <c r="N14" s="966"/>
      <c r="O14" s="967"/>
      <c r="P14" s="968"/>
      <c r="Q14" s="969"/>
      <c r="R14" s="969"/>
    </row>
    <row r="15" spans="3:22" ht="15" x14ac:dyDescent="0.25">
      <c r="D15" s="975" t="s">
        <v>1853</v>
      </c>
      <c r="E15" s="506"/>
      <c r="F15" s="506"/>
    </row>
    <row r="16" spans="3:22" ht="15" x14ac:dyDescent="0.25">
      <c r="D16" s="970"/>
      <c r="F16" s="506"/>
      <c r="N16" s="905" t="s">
        <v>80</v>
      </c>
    </row>
    <row r="17" spans="4:14" x14ac:dyDescent="0.25">
      <c r="D17" s="906"/>
      <c r="J17" s="971"/>
      <c r="K17" s="971"/>
      <c r="L17" s="971"/>
      <c r="M17" s="971"/>
    </row>
    <row r="18" spans="4:14" x14ac:dyDescent="0.25">
      <c r="D18" s="906"/>
      <c r="N18" s="972"/>
    </row>
    <row r="19" spans="4:14" x14ac:dyDescent="0.25">
      <c r="D19" s="906"/>
      <c r="N19" s="972"/>
    </row>
    <row r="20" spans="4:14" x14ac:dyDescent="0.25">
      <c r="D20" s="906"/>
    </row>
    <row r="21" spans="4:14" x14ac:dyDescent="0.25">
      <c r="D21" s="906"/>
    </row>
    <row r="22" spans="4:14" x14ac:dyDescent="0.25">
      <c r="D22" s="906"/>
    </row>
    <row r="23" spans="4:14" x14ac:dyDescent="0.25">
      <c r="D23" s="906"/>
    </row>
    <row r="24" spans="4:14" x14ac:dyDescent="0.25">
      <c r="D24" s="906"/>
    </row>
    <row r="25" spans="4:14" x14ac:dyDescent="0.25">
      <c r="D25" s="906"/>
    </row>
    <row r="26" spans="4:14" x14ac:dyDescent="0.25">
      <c r="D26" s="906"/>
    </row>
    <row r="27" spans="4:14" x14ac:dyDescent="0.25">
      <c r="D27" s="906"/>
    </row>
    <row r="28" spans="4:14" x14ac:dyDescent="0.25">
      <c r="D28" s="906"/>
    </row>
    <row r="29" spans="4:14" x14ac:dyDescent="0.25">
      <c r="D29" s="906"/>
    </row>
    <row r="30" spans="4:14" x14ac:dyDescent="0.25">
      <c r="D30" s="906"/>
    </row>
    <row r="31" spans="4:14" x14ac:dyDescent="0.25">
      <c r="D31" s="906"/>
    </row>
    <row r="32" spans="4:14" x14ac:dyDescent="0.25">
      <c r="D32" s="906"/>
    </row>
    <row r="33" spans="4:4" x14ac:dyDescent="0.25">
      <c r="D33" s="906"/>
    </row>
    <row r="34" spans="4:4" x14ac:dyDescent="0.25">
      <c r="D34" s="906"/>
    </row>
    <row r="35" spans="4:4" x14ac:dyDescent="0.25">
      <c r="D35" s="906"/>
    </row>
    <row r="36" spans="4:4" x14ac:dyDescent="0.25">
      <c r="D36" s="906"/>
    </row>
    <row r="37" spans="4:4" x14ac:dyDescent="0.25">
      <c r="D37" s="906"/>
    </row>
    <row r="38" spans="4:4" x14ac:dyDescent="0.25">
      <c r="D38" s="906"/>
    </row>
    <row r="39" spans="4:4" x14ac:dyDescent="0.25">
      <c r="D39" s="906"/>
    </row>
    <row r="40" spans="4:4" x14ac:dyDescent="0.25">
      <c r="D40" s="906"/>
    </row>
    <row r="41" spans="4:4" x14ac:dyDescent="0.25">
      <c r="D41" s="906"/>
    </row>
    <row r="42" spans="4:4" x14ac:dyDescent="0.25">
      <c r="D42" s="906"/>
    </row>
    <row r="43" spans="4:4" x14ac:dyDescent="0.25">
      <c r="D43" s="906"/>
    </row>
    <row r="44" spans="4:4" x14ac:dyDescent="0.25">
      <c r="D44" s="906"/>
    </row>
    <row r="45" spans="4:4" x14ac:dyDescent="0.25">
      <c r="D45" s="906"/>
    </row>
    <row r="46" spans="4:4" x14ac:dyDescent="0.25">
      <c r="D46" s="906"/>
    </row>
    <row r="47" spans="4:4" x14ac:dyDescent="0.25">
      <c r="D47" s="906"/>
    </row>
    <row r="48" spans="4:4" x14ac:dyDescent="0.25">
      <c r="D48" s="906"/>
    </row>
    <row r="49" spans="4:4" x14ac:dyDescent="0.25">
      <c r="D49" s="906"/>
    </row>
    <row r="50" spans="4:4" x14ac:dyDescent="0.25">
      <c r="D50" s="906"/>
    </row>
    <row r="51" spans="4:4" x14ac:dyDescent="0.25">
      <c r="D51" s="906"/>
    </row>
    <row r="52" spans="4:4" x14ac:dyDescent="0.25">
      <c r="D52" s="906"/>
    </row>
    <row r="53" spans="4:4" x14ac:dyDescent="0.25">
      <c r="D53" s="906"/>
    </row>
    <row r="54" spans="4:4" x14ac:dyDescent="0.25">
      <c r="D54" s="906"/>
    </row>
    <row r="55" spans="4:4" x14ac:dyDescent="0.25">
      <c r="D55" s="906"/>
    </row>
    <row r="56" spans="4:4" x14ac:dyDescent="0.25">
      <c r="D56" s="906"/>
    </row>
    <row r="57" spans="4:4" x14ac:dyDescent="0.25">
      <c r="D57" s="906"/>
    </row>
    <row r="58" spans="4:4" x14ac:dyDescent="0.25">
      <c r="D58" s="906"/>
    </row>
    <row r="59" spans="4:4" x14ac:dyDescent="0.25">
      <c r="D59" s="906"/>
    </row>
    <row r="60" spans="4:4" x14ac:dyDescent="0.25">
      <c r="D60" s="906"/>
    </row>
    <row r="61" spans="4:4" x14ac:dyDescent="0.25">
      <c r="D61" s="906"/>
    </row>
    <row r="62" spans="4:4" x14ac:dyDescent="0.25">
      <c r="D62" s="906"/>
    </row>
    <row r="63" spans="4:4" x14ac:dyDescent="0.25">
      <c r="D63" s="906"/>
    </row>
    <row r="64" spans="4:4" x14ac:dyDescent="0.25">
      <c r="D64" s="906"/>
    </row>
    <row r="65" spans="4:4" x14ac:dyDescent="0.25">
      <c r="D65" s="906"/>
    </row>
    <row r="66" spans="4:4" x14ac:dyDescent="0.25">
      <c r="D66" s="906"/>
    </row>
    <row r="67" spans="4:4" x14ac:dyDescent="0.25">
      <c r="D67" s="906"/>
    </row>
    <row r="68" spans="4:4" x14ac:dyDescent="0.25">
      <c r="D68" s="906"/>
    </row>
    <row r="69" spans="4:4" x14ac:dyDescent="0.25">
      <c r="D69" s="906"/>
    </row>
    <row r="70" spans="4:4" x14ac:dyDescent="0.25">
      <c r="D70" s="906"/>
    </row>
    <row r="71" spans="4:4" x14ac:dyDescent="0.25">
      <c r="D71" s="906"/>
    </row>
    <row r="72" spans="4:4" x14ac:dyDescent="0.25">
      <c r="D72" s="906"/>
    </row>
    <row r="73" spans="4:4" x14ac:dyDescent="0.25">
      <c r="D73" s="906"/>
    </row>
    <row r="74" spans="4:4" x14ac:dyDescent="0.25">
      <c r="D74" s="906"/>
    </row>
    <row r="75" spans="4:4" x14ac:dyDescent="0.25">
      <c r="D75" s="906"/>
    </row>
    <row r="76" spans="4:4" x14ac:dyDescent="0.25">
      <c r="D76" s="906"/>
    </row>
    <row r="77" spans="4:4" x14ac:dyDescent="0.25">
      <c r="D77" s="906"/>
    </row>
    <row r="78" spans="4:4" x14ac:dyDescent="0.25">
      <c r="D78" s="906"/>
    </row>
    <row r="79" spans="4:4" x14ac:dyDescent="0.25">
      <c r="D79" s="906"/>
    </row>
    <row r="80" spans="4:4" x14ac:dyDescent="0.25">
      <c r="D80" s="906"/>
    </row>
    <row r="81" spans="4:4" x14ac:dyDescent="0.25">
      <c r="D81" s="906"/>
    </row>
    <row r="82" spans="4:4" x14ac:dyDescent="0.25">
      <c r="D82" s="906"/>
    </row>
    <row r="83" spans="4:4" x14ac:dyDescent="0.25">
      <c r="D83" s="906"/>
    </row>
    <row r="84" spans="4:4" x14ac:dyDescent="0.25">
      <c r="D84" s="906"/>
    </row>
    <row r="85" spans="4:4" x14ac:dyDescent="0.25">
      <c r="D85" s="906"/>
    </row>
    <row r="86" spans="4:4" x14ac:dyDescent="0.25">
      <c r="D86" s="906"/>
    </row>
    <row r="87" spans="4:4" x14ac:dyDescent="0.25">
      <c r="D87" s="906"/>
    </row>
    <row r="88" spans="4:4" x14ac:dyDescent="0.25">
      <c r="D88" s="906"/>
    </row>
    <row r="89" spans="4:4" x14ac:dyDescent="0.25">
      <c r="D89" s="906"/>
    </row>
    <row r="90" spans="4:4" x14ac:dyDescent="0.25">
      <c r="D90" s="906"/>
    </row>
    <row r="91" spans="4:4" x14ac:dyDescent="0.25">
      <c r="D91" s="906"/>
    </row>
    <row r="92" spans="4:4" x14ac:dyDescent="0.25">
      <c r="D92" s="906"/>
    </row>
    <row r="93" spans="4:4" x14ac:dyDescent="0.25">
      <c r="D93" s="906"/>
    </row>
    <row r="94" spans="4:4" x14ac:dyDescent="0.25">
      <c r="D94" s="906"/>
    </row>
    <row r="95" spans="4:4" x14ac:dyDescent="0.25">
      <c r="D95" s="906"/>
    </row>
    <row r="96" spans="4:4" x14ac:dyDescent="0.25">
      <c r="D96" s="906"/>
    </row>
    <row r="97" spans="4:4" x14ac:dyDescent="0.25">
      <c r="D97" s="906"/>
    </row>
    <row r="98" spans="4:4" x14ac:dyDescent="0.25">
      <c r="D98" s="906"/>
    </row>
    <row r="99" spans="4:4" x14ac:dyDescent="0.25">
      <c r="D99" s="906"/>
    </row>
    <row r="100" spans="4:4" x14ac:dyDescent="0.25">
      <c r="D100" s="906"/>
    </row>
    <row r="101" spans="4:4" x14ac:dyDescent="0.25">
      <c r="D101" s="906"/>
    </row>
    <row r="102" spans="4:4" x14ac:dyDescent="0.25">
      <c r="D102" s="906"/>
    </row>
    <row r="103" spans="4:4" x14ac:dyDescent="0.25">
      <c r="D103" s="906"/>
    </row>
    <row r="104" spans="4:4" x14ac:dyDescent="0.25">
      <c r="D104" s="906"/>
    </row>
    <row r="105" spans="4:4" x14ac:dyDescent="0.25">
      <c r="D105" s="906"/>
    </row>
    <row r="106" spans="4:4" x14ac:dyDescent="0.25">
      <c r="D106" s="906"/>
    </row>
    <row r="107" spans="4:4" x14ac:dyDescent="0.25">
      <c r="D107" s="906"/>
    </row>
    <row r="108" spans="4:4" x14ac:dyDescent="0.25">
      <c r="D108" s="906"/>
    </row>
    <row r="109" spans="4:4" x14ac:dyDescent="0.25">
      <c r="D109" s="906"/>
    </row>
    <row r="110" spans="4:4" x14ac:dyDescent="0.25">
      <c r="D110" s="906"/>
    </row>
    <row r="111" spans="4:4" x14ac:dyDescent="0.25">
      <c r="D111" s="906"/>
    </row>
    <row r="112" spans="4:4" x14ac:dyDescent="0.25">
      <c r="D112" s="906"/>
    </row>
    <row r="113" spans="4:4" x14ac:dyDescent="0.25">
      <c r="D113" s="906"/>
    </row>
    <row r="114" spans="4:4" x14ac:dyDescent="0.25">
      <c r="D114" s="906"/>
    </row>
    <row r="115" spans="4:4" x14ac:dyDescent="0.25">
      <c r="D115" s="906"/>
    </row>
    <row r="116" spans="4:4" x14ac:dyDescent="0.25">
      <c r="D116" s="906"/>
    </row>
    <row r="117" spans="4:4" x14ac:dyDescent="0.25">
      <c r="D117" s="906"/>
    </row>
    <row r="118" spans="4:4" x14ac:dyDescent="0.25">
      <c r="D118" s="906"/>
    </row>
    <row r="119" spans="4:4" x14ac:dyDescent="0.25">
      <c r="D119" s="906"/>
    </row>
    <row r="120" spans="4:4" x14ac:dyDescent="0.25">
      <c r="D120" s="906"/>
    </row>
    <row r="121" spans="4:4" x14ac:dyDescent="0.25">
      <c r="D121" s="906"/>
    </row>
    <row r="122" spans="4:4" x14ac:dyDescent="0.25">
      <c r="D122" s="906"/>
    </row>
    <row r="123" spans="4:4" x14ac:dyDescent="0.25">
      <c r="D123" s="906"/>
    </row>
    <row r="124" spans="4:4" x14ac:dyDescent="0.25">
      <c r="D124" s="906"/>
    </row>
    <row r="125" spans="4:4" x14ac:dyDescent="0.25">
      <c r="D125" s="906"/>
    </row>
    <row r="126" spans="4:4" x14ac:dyDescent="0.25">
      <c r="D126" s="906"/>
    </row>
    <row r="127" spans="4:4" x14ac:dyDescent="0.25">
      <c r="D127" s="906"/>
    </row>
    <row r="128" spans="4:4" x14ac:dyDescent="0.25">
      <c r="D128" s="906"/>
    </row>
    <row r="129" spans="4:4" x14ac:dyDescent="0.25">
      <c r="D129" s="906"/>
    </row>
    <row r="130" spans="4:4" x14ac:dyDescent="0.25">
      <c r="D130" s="906"/>
    </row>
    <row r="131" spans="4:4" x14ac:dyDescent="0.25">
      <c r="D131" s="906"/>
    </row>
    <row r="132" spans="4:4" x14ac:dyDescent="0.25">
      <c r="D132" s="906"/>
    </row>
    <row r="133" spans="4:4" x14ac:dyDescent="0.25">
      <c r="D133" s="906"/>
    </row>
    <row r="134" spans="4:4" x14ac:dyDescent="0.25">
      <c r="D134" s="906"/>
    </row>
    <row r="135" spans="4:4" x14ac:dyDescent="0.25">
      <c r="D135" s="906"/>
    </row>
    <row r="136" spans="4:4" x14ac:dyDescent="0.25">
      <c r="D136" s="906"/>
    </row>
    <row r="137" spans="4:4" x14ac:dyDescent="0.25">
      <c r="D137" s="906"/>
    </row>
    <row r="138" spans="4:4" x14ac:dyDescent="0.25">
      <c r="D138" s="906"/>
    </row>
    <row r="139" spans="4:4" x14ac:dyDescent="0.25">
      <c r="D139" s="906"/>
    </row>
    <row r="140" spans="4:4" x14ac:dyDescent="0.25">
      <c r="D140" s="906"/>
    </row>
    <row r="141" spans="4:4" x14ac:dyDescent="0.25">
      <c r="D141" s="906"/>
    </row>
    <row r="142" spans="4:4" x14ac:dyDescent="0.25">
      <c r="D142" s="906"/>
    </row>
    <row r="143" spans="4:4" x14ac:dyDescent="0.25">
      <c r="D143" s="906"/>
    </row>
    <row r="144" spans="4:4" x14ac:dyDescent="0.25">
      <c r="D144" s="906"/>
    </row>
    <row r="145" spans="4:4" x14ac:dyDescent="0.25">
      <c r="D145" s="906"/>
    </row>
    <row r="146" spans="4:4" x14ac:dyDescent="0.25">
      <c r="D146" s="906"/>
    </row>
    <row r="147" spans="4:4" x14ac:dyDescent="0.25">
      <c r="D147" s="906"/>
    </row>
    <row r="148" spans="4:4" x14ac:dyDescent="0.25">
      <c r="D148" s="906"/>
    </row>
    <row r="149" spans="4:4" x14ac:dyDescent="0.25">
      <c r="D149" s="906"/>
    </row>
    <row r="150" spans="4:4" x14ac:dyDescent="0.25">
      <c r="D150" s="906"/>
    </row>
    <row r="151" spans="4:4" x14ac:dyDescent="0.25">
      <c r="D151" s="906"/>
    </row>
    <row r="152" spans="4:4" x14ac:dyDescent="0.25">
      <c r="D152" s="906"/>
    </row>
    <row r="153" spans="4:4" x14ac:dyDescent="0.25">
      <c r="D153" s="906"/>
    </row>
    <row r="154" spans="4:4" x14ac:dyDescent="0.25">
      <c r="D154" s="906"/>
    </row>
    <row r="155" spans="4:4" x14ac:dyDescent="0.25">
      <c r="D155" s="906"/>
    </row>
    <row r="156" spans="4:4" x14ac:dyDescent="0.25">
      <c r="D156" s="906"/>
    </row>
    <row r="157" spans="4:4" x14ac:dyDescent="0.25">
      <c r="D157" s="906"/>
    </row>
    <row r="158" spans="4:4" x14ac:dyDescent="0.25">
      <c r="D158" s="906"/>
    </row>
    <row r="159" spans="4:4" x14ac:dyDescent="0.25">
      <c r="D159" s="906"/>
    </row>
    <row r="160" spans="4:4" x14ac:dyDescent="0.25">
      <c r="D160" s="906"/>
    </row>
    <row r="161" spans="4:4" x14ac:dyDescent="0.25">
      <c r="D161" s="906"/>
    </row>
    <row r="162" spans="4:4" x14ac:dyDescent="0.25">
      <c r="D162" s="906"/>
    </row>
    <row r="163" spans="4:4" x14ac:dyDescent="0.25">
      <c r="D163" s="906"/>
    </row>
    <row r="164" spans="4:4" x14ac:dyDescent="0.25">
      <c r="D164" s="906"/>
    </row>
    <row r="165" spans="4:4" x14ac:dyDescent="0.25">
      <c r="D165" s="906"/>
    </row>
    <row r="166" spans="4:4" x14ac:dyDescent="0.25">
      <c r="D166" s="906"/>
    </row>
    <row r="167" spans="4:4" x14ac:dyDescent="0.25">
      <c r="D167" s="906"/>
    </row>
    <row r="168" spans="4:4" x14ac:dyDescent="0.25">
      <c r="D168" s="906"/>
    </row>
    <row r="169" spans="4:4" x14ac:dyDescent="0.25">
      <c r="D169" s="906"/>
    </row>
    <row r="170" spans="4:4" x14ac:dyDescent="0.25">
      <c r="D170" s="906"/>
    </row>
    <row r="171" spans="4:4" x14ac:dyDescent="0.25">
      <c r="D171" s="906"/>
    </row>
    <row r="172" spans="4:4" x14ac:dyDescent="0.25">
      <c r="D172" s="906"/>
    </row>
    <row r="173" spans="4:4" x14ac:dyDescent="0.25">
      <c r="D173" s="906"/>
    </row>
    <row r="174" spans="4:4" x14ac:dyDescent="0.25">
      <c r="D174" s="906"/>
    </row>
    <row r="175" spans="4:4" x14ac:dyDescent="0.25">
      <c r="D175" s="906"/>
    </row>
    <row r="176" spans="4:4" x14ac:dyDescent="0.25">
      <c r="D176" s="906"/>
    </row>
    <row r="177" spans="4:4" x14ac:dyDescent="0.25">
      <c r="D177" s="906"/>
    </row>
    <row r="178" spans="4:4" x14ac:dyDescent="0.25">
      <c r="D178" s="906"/>
    </row>
    <row r="179" spans="4:4" x14ac:dyDescent="0.25">
      <c r="D179" s="906"/>
    </row>
    <row r="180" spans="4:4" x14ac:dyDescent="0.25">
      <c r="D180" s="906"/>
    </row>
    <row r="181" spans="4:4" x14ac:dyDescent="0.25">
      <c r="D181" s="906"/>
    </row>
    <row r="182" spans="4:4" x14ac:dyDescent="0.25">
      <c r="D182" s="906"/>
    </row>
    <row r="183" spans="4:4" x14ac:dyDescent="0.25">
      <c r="D183" s="906"/>
    </row>
    <row r="184" spans="4:4" x14ac:dyDescent="0.25">
      <c r="D184" s="906"/>
    </row>
    <row r="185" spans="4:4" x14ac:dyDescent="0.25">
      <c r="D185" s="906"/>
    </row>
    <row r="186" spans="4:4" x14ac:dyDescent="0.25">
      <c r="D186" s="906"/>
    </row>
    <row r="187" spans="4:4" x14ac:dyDescent="0.25">
      <c r="D187" s="906"/>
    </row>
    <row r="188" spans="4:4" x14ac:dyDescent="0.25">
      <c r="D188" s="906"/>
    </row>
    <row r="189" spans="4:4" x14ac:dyDescent="0.25">
      <c r="D189" s="906"/>
    </row>
    <row r="190" spans="4:4" x14ac:dyDescent="0.25">
      <c r="D190" s="906"/>
    </row>
    <row r="191" spans="4:4" x14ac:dyDescent="0.25">
      <c r="D191" s="906"/>
    </row>
    <row r="192" spans="4:4" x14ac:dyDescent="0.25">
      <c r="D192" s="906"/>
    </row>
    <row r="193" spans="4:4" x14ac:dyDescent="0.25">
      <c r="D193" s="906"/>
    </row>
    <row r="194" spans="4:4" x14ac:dyDescent="0.25">
      <c r="D194" s="906"/>
    </row>
    <row r="195" spans="4:4" x14ac:dyDescent="0.25">
      <c r="D195" s="906"/>
    </row>
    <row r="196" spans="4:4" x14ac:dyDescent="0.25">
      <c r="D196" s="906"/>
    </row>
    <row r="197" spans="4:4" x14ac:dyDescent="0.25">
      <c r="D197" s="906"/>
    </row>
    <row r="198" spans="4:4" x14ac:dyDescent="0.25">
      <c r="D198" s="906"/>
    </row>
    <row r="199" spans="4:4" x14ac:dyDescent="0.25">
      <c r="D199" s="906"/>
    </row>
    <row r="200" spans="4:4" x14ac:dyDescent="0.25">
      <c r="D200" s="906"/>
    </row>
    <row r="201" spans="4:4" x14ac:dyDescent="0.25">
      <c r="D201" s="906"/>
    </row>
    <row r="202" spans="4:4" x14ac:dyDescent="0.25">
      <c r="D202" s="906"/>
    </row>
    <row r="203" spans="4:4" x14ac:dyDescent="0.25">
      <c r="D203" s="906"/>
    </row>
    <row r="204" spans="4:4" x14ac:dyDescent="0.25">
      <c r="D204" s="906"/>
    </row>
    <row r="205" spans="4:4" x14ac:dyDescent="0.25">
      <c r="D205" s="906"/>
    </row>
    <row r="206" spans="4:4" x14ac:dyDescent="0.25">
      <c r="D206" s="906"/>
    </row>
    <row r="207" spans="4:4" x14ac:dyDescent="0.25">
      <c r="D207" s="906"/>
    </row>
    <row r="208" spans="4:4" x14ac:dyDescent="0.25">
      <c r="D208" s="906"/>
    </row>
    <row r="209" spans="4:4" x14ac:dyDescent="0.25">
      <c r="D209" s="906"/>
    </row>
    <row r="210" spans="4:4" x14ac:dyDescent="0.25">
      <c r="D210" s="906"/>
    </row>
    <row r="211" spans="4:4" x14ac:dyDescent="0.25">
      <c r="D211" s="906"/>
    </row>
    <row r="212" spans="4:4" x14ac:dyDescent="0.25">
      <c r="D212" s="906"/>
    </row>
    <row r="213" spans="4:4" x14ac:dyDescent="0.25">
      <c r="D213" s="906"/>
    </row>
    <row r="214" spans="4:4" x14ac:dyDescent="0.25">
      <c r="D214" s="906"/>
    </row>
    <row r="215" spans="4:4" x14ac:dyDescent="0.25">
      <c r="D215" s="906"/>
    </row>
    <row r="216" spans="4:4" x14ac:dyDescent="0.25">
      <c r="D216" s="906"/>
    </row>
    <row r="217" spans="4:4" x14ac:dyDescent="0.25">
      <c r="D217" s="906"/>
    </row>
    <row r="218" spans="4:4" x14ac:dyDescent="0.25">
      <c r="D218" s="906"/>
    </row>
    <row r="219" spans="4:4" x14ac:dyDescent="0.25">
      <c r="D219" s="906"/>
    </row>
    <row r="220" spans="4:4" x14ac:dyDescent="0.25">
      <c r="D220" s="906"/>
    </row>
    <row r="221" spans="4:4" x14ac:dyDescent="0.25">
      <c r="D221" s="906"/>
    </row>
    <row r="222" spans="4:4" x14ac:dyDescent="0.25">
      <c r="D222" s="906"/>
    </row>
    <row r="223" spans="4:4" x14ac:dyDescent="0.25">
      <c r="D223" s="906"/>
    </row>
    <row r="224" spans="4:4" x14ac:dyDescent="0.25">
      <c r="D224" s="906"/>
    </row>
    <row r="225" spans="4:4" x14ac:dyDescent="0.25">
      <c r="D225" s="906"/>
    </row>
    <row r="226" spans="4:4" x14ac:dyDescent="0.25">
      <c r="D226" s="906"/>
    </row>
    <row r="227" spans="4:4" x14ac:dyDescent="0.25">
      <c r="D227" s="906"/>
    </row>
    <row r="228" spans="4:4" x14ac:dyDescent="0.25">
      <c r="D228" s="906"/>
    </row>
    <row r="229" spans="4:4" x14ac:dyDescent="0.25">
      <c r="D229" s="906"/>
    </row>
    <row r="230" spans="4:4" x14ac:dyDescent="0.25">
      <c r="D230" s="906"/>
    </row>
    <row r="231" spans="4:4" x14ac:dyDescent="0.25">
      <c r="D231" s="906"/>
    </row>
    <row r="232" spans="4:4" x14ac:dyDescent="0.25">
      <c r="D232" s="906"/>
    </row>
    <row r="233" spans="4:4" x14ac:dyDescent="0.25">
      <c r="D233" s="906"/>
    </row>
    <row r="234" spans="4:4" x14ac:dyDescent="0.25">
      <c r="D234" s="906"/>
    </row>
    <row r="235" spans="4:4" x14ac:dyDescent="0.25">
      <c r="D235" s="906"/>
    </row>
    <row r="236" spans="4:4" x14ac:dyDescent="0.25">
      <c r="D236" s="906"/>
    </row>
    <row r="237" spans="4:4" x14ac:dyDescent="0.25">
      <c r="D237" s="906"/>
    </row>
    <row r="238" spans="4:4" x14ac:dyDescent="0.25">
      <c r="D238" s="906"/>
    </row>
    <row r="239" spans="4:4" x14ac:dyDescent="0.25">
      <c r="D239" s="906"/>
    </row>
    <row r="240" spans="4:4" x14ac:dyDescent="0.25">
      <c r="D240" s="906"/>
    </row>
    <row r="241" spans="4:4" x14ac:dyDescent="0.25">
      <c r="D241" s="906"/>
    </row>
    <row r="242" spans="4:4" x14ac:dyDescent="0.25">
      <c r="D242" s="906"/>
    </row>
    <row r="243" spans="4:4" x14ac:dyDescent="0.25">
      <c r="D243" s="906"/>
    </row>
    <row r="244" spans="4:4" x14ac:dyDescent="0.25">
      <c r="D244" s="906"/>
    </row>
    <row r="245" spans="4:4" x14ac:dyDescent="0.25">
      <c r="D245" s="906"/>
    </row>
    <row r="246" spans="4:4" x14ac:dyDescent="0.25">
      <c r="D246" s="906"/>
    </row>
    <row r="247" spans="4:4" x14ac:dyDescent="0.25">
      <c r="D247" s="906"/>
    </row>
    <row r="248" spans="4:4" x14ac:dyDescent="0.25">
      <c r="D248" s="906"/>
    </row>
    <row r="249" spans="4:4" x14ac:dyDescent="0.25">
      <c r="D249" s="906"/>
    </row>
    <row r="250" spans="4:4" x14ac:dyDescent="0.25">
      <c r="D250" s="906"/>
    </row>
    <row r="251" spans="4:4" x14ac:dyDescent="0.25">
      <c r="D251" s="906"/>
    </row>
    <row r="252" spans="4:4" x14ac:dyDescent="0.25">
      <c r="D252" s="906"/>
    </row>
    <row r="253" spans="4:4" x14ac:dyDescent="0.25">
      <c r="D253" s="906"/>
    </row>
    <row r="254" spans="4:4" x14ac:dyDescent="0.25">
      <c r="D254" s="906"/>
    </row>
    <row r="255" spans="4:4" x14ac:dyDescent="0.25">
      <c r="D255" s="906"/>
    </row>
    <row r="256" spans="4:4" x14ac:dyDescent="0.25">
      <c r="D256" s="906"/>
    </row>
    <row r="257" spans="4:4" x14ac:dyDescent="0.25">
      <c r="D257" s="906"/>
    </row>
    <row r="258" spans="4:4" x14ac:dyDescent="0.25">
      <c r="D258" s="906"/>
    </row>
    <row r="259" spans="4:4" x14ac:dyDescent="0.25">
      <c r="D259" s="906"/>
    </row>
    <row r="260" spans="4:4" x14ac:dyDescent="0.25">
      <c r="D260" s="906"/>
    </row>
    <row r="261" spans="4:4" x14ac:dyDescent="0.25">
      <c r="D261" s="906"/>
    </row>
    <row r="262" spans="4:4" x14ac:dyDescent="0.25">
      <c r="D262" s="906"/>
    </row>
    <row r="263" spans="4:4" x14ac:dyDescent="0.25">
      <c r="D263" s="906"/>
    </row>
    <row r="264" spans="4:4" x14ac:dyDescent="0.25">
      <c r="D264" s="906"/>
    </row>
    <row r="265" spans="4:4" x14ac:dyDescent="0.25">
      <c r="D265" s="906"/>
    </row>
    <row r="266" spans="4:4" x14ac:dyDescent="0.25">
      <c r="D266" s="906"/>
    </row>
    <row r="267" spans="4:4" x14ac:dyDescent="0.25">
      <c r="D267" s="906"/>
    </row>
    <row r="268" spans="4:4" x14ac:dyDescent="0.25">
      <c r="D268" s="906"/>
    </row>
    <row r="269" spans="4:4" x14ac:dyDescent="0.25">
      <c r="D269" s="906"/>
    </row>
    <row r="270" spans="4:4" x14ac:dyDescent="0.25">
      <c r="D270" s="906"/>
    </row>
    <row r="271" spans="4:4" x14ac:dyDescent="0.25">
      <c r="D271" s="906"/>
    </row>
    <row r="272" spans="4:4" x14ac:dyDescent="0.25">
      <c r="D272" s="906"/>
    </row>
    <row r="273" spans="4:4" x14ac:dyDescent="0.25">
      <c r="D273" s="906"/>
    </row>
    <row r="274" spans="4:4" x14ac:dyDescent="0.25">
      <c r="D274" s="906"/>
    </row>
    <row r="275" spans="4:4" x14ac:dyDescent="0.25">
      <c r="D275" s="906"/>
    </row>
    <row r="276" spans="4:4" x14ac:dyDescent="0.25">
      <c r="D276" s="906"/>
    </row>
    <row r="277" spans="4:4" x14ac:dyDescent="0.25">
      <c r="D277" s="906"/>
    </row>
    <row r="278" spans="4:4" x14ac:dyDescent="0.25">
      <c r="D278" s="906"/>
    </row>
    <row r="279" spans="4:4" x14ac:dyDescent="0.25">
      <c r="D279" s="906"/>
    </row>
    <row r="280" spans="4:4" x14ac:dyDescent="0.25">
      <c r="D280" s="906"/>
    </row>
    <row r="281" spans="4:4" x14ac:dyDescent="0.25">
      <c r="D281" s="906"/>
    </row>
    <row r="282" spans="4:4" x14ac:dyDescent="0.25">
      <c r="D282" s="906"/>
    </row>
    <row r="283" spans="4:4" x14ac:dyDescent="0.25">
      <c r="D283" s="906"/>
    </row>
    <row r="284" spans="4:4" x14ac:dyDescent="0.25">
      <c r="D284" s="906"/>
    </row>
    <row r="285" spans="4:4" x14ac:dyDescent="0.25">
      <c r="D285" s="906"/>
    </row>
    <row r="286" spans="4:4" x14ac:dyDescent="0.25">
      <c r="D286" s="906"/>
    </row>
    <row r="287" spans="4:4" x14ac:dyDescent="0.25">
      <c r="D287" s="906"/>
    </row>
    <row r="288" spans="4:4" x14ac:dyDescent="0.25">
      <c r="D288" s="906"/>
    </row>
    <row r="289" spans="4:4" x14ac:dyDescent="0.25">
      <c r="D289" s="906"/>
    </row>
    <row r="290" spans="4:4" x14ac:dyDescent="0.25">
      <c r="D290" s="906"/>
    </row>
    <row r="291" spans="4:4" x14ac:dyDescent="0.25">
      <c r="D291" s="906"/>
    </row>
    <row r="292" spans="4:4" x14ac:dyDescent="0.25">
      <c r="D292" s="906"/>
    </row>
    <row r="293" spans="4:4" x14ac:dyDescent="0.25">
      <c r="D293" s="906"/>
    </row>
    <row r="294" spans="4:4" x14ac:dyDescent="0.25">
      <c r="D294" s="906"/>
    </row>
    <row r="295" spans="4:4" x14ac:dyDescent="0.25">
      <c r="D295" s="906"/>
    </row>
    <row r="296" spans="4:4" x14ac:dyDescent="0.25">
      <c r="D296" s="906"/>
    </row>
    <row r="297" spans="4:4" x14ac:dyDescent="0.25">
      <c r="D297" s="906"/>
    </row>
    <row r="298" spans="4:4" x14ac:dyDescent="0.25">
      <c r="D298" s="906"/>
    </row>
    <row r="299" spans="4:4" x14ac:dyDescent="0.25">
      <c r="D299" s="906"/>
    </row>
    <row r="300" spans="4:4" x14ac:dyDescent="0.25">
      <c r="D300" s="906"/>
    </row>
    <row r="301" spans="4:4" x14ac:dyDescent="0.25">
      <c r="D301" s="906"/>
    </row>
    <row r="302" spans="4:4" x14ac:dyDescent="0.25">
      <c r="D302" s="906"/>
    </row>
    <row r="303" spans="4:4" x14ac:dyDescent="0.25">
      <c r="D303" s="906"/>
    </row>
    <row r="304" spans="4:4" x14ac:dyDescent="0.25">
      <c r="D304" s="906"/>
    </row>
    <row r="305" spans="4:4" x14ac:dyDescent="0.25">
      <c r="D305" s="906"/>
    </row>
    <row r="306" spans="4:4" x14ac:dyDescent="0.25">
      <c r="D306" s="906"/>
    </row>
    <row r="307" spans="4:4" x14ac:dyDescent="0.25">
      <c r="D307" s="906"/>
    </row>
    <row r="308" spans="4:4" x14ac:dyDescent="0.25">
      <c r="D308" s="906"/>
    </row>
    <row r="309" spans="4:4" x14ac:dyDescent="0.25">
      <c r="D309" s="906"/>
    </row>
    <row r="310" spans="4:4" x14ac:dyDescent="0.25">
      <c r="D310" s="906"/>
    </row>
    <row r="311" spans="4:4" x14ac:dyDescent="0.25">
      <c r="D311" s="906"/>
    </row>
    <row r="312" spans="4:4" x14ac:dyDescent="0.25">
      <c r="D312" s="906"/>
    </row>
    <row r="313" spans="4:4" x14ac:dyDescent="0.25">
      <c r="D313" s="906"/>
    </row>
    <row r="314" spans="4:4" x14ac:dyDescent="0.25">
      <c r="D314" s="906"/>
    </row>
    <row r="315" spans="4:4" x14ac:dyDescent="0.25">
      <c r="D315" s="906"/>
    </row>
    <row r="316" spans="4:4" x14ac:dyDescent="0.25">
      <c r="D316" s="906"/>
    </row>
    <row r="317" spans="4:4" x14ac:dyDescent="0.25">
      <c r="D317" s="906"/>
    </row>
    <row r="318" spans="4:4" x14ac:dyDescent="0.25">
      <c r="D318" s="906"/>
    </row>
    <row r="319" spans="4:4" x14ac:dyDescent="0.25">
      <c r="D319" s="906"/>
    </row>
    <row r="320" spans="4:4" x14ac:dyDescent="0.25">
      <c r="D320" s="906"/>
    </row>
    <row r="321" spans="4:4" x14ac:dyDescent="0.25">
      <c r="D321" s="906"/>
    </row>
    <row r="322" spans="4:4" x14ac:dyDescent="0.25">
      <c r="D322" s="906"/>
    </row>
    <row r="323" spans="4:4" x14ac:dyDescent="0.25">
      <c r="D323" s="906"/>
    </row>
    <row r="324" spans="4:4" x14ac:dyDescent="0.25">
      <c r="D324" s="906"/>
    </row>
    <row r="325" spans="4:4" x14ac:dyDescent="0.25">
      <c r="D325" s="906"/>
    </row>
    <row r="326" spans="4:4" x14ac:dyDescent="0.25">
      <c r="D326" s="906"/>
    </row>
    <row r="327" spans="4:4" x14ac:dyDescent="0.25">
      <c r="D327" s="906"/>
    </row>
    <row r="328" spans="4:4" x14ac:dyDescent="0.25">
      <c r="D328" s="906"/>
    </row>
    <row r="329" spans="4:4" x14ac:dyDescent="0.25">
      <c r="D329" s="906"/>
    </row>
    <row r="330" spans="4:4" x14ac:dyDescent="0.25">
      <c r="D330" s="906"/>
    </row>
    <row r="331" spans="4:4" x14ac:dyDescent="0.25">
      <c r="D331" s="906"/>
    </row>
    <row r="332" spans="4:4" x14ac:dyDescent="0.25">
      <c r="D332" s="906"/>
    </row>
    <row r="333" spans="4:4" x14ac:dyDescent="0.25">
      <c r="D333" s="906"/>
    </row>
    <row r="334" spans="4:4" x14ac:dyDescent="0.25">
      <c r="D334" s="906"/>
    </row>
    <row r="335" spans="4:4" x14ac:dyDescent="0.25">
      <c r="D335" s="906"/>
    </row>
    <row r="336" spans="4:4" x14ac:dyDescent="0.25">
      <c r="D336" s="906"/>
    </row>
    <row r="337" spans="4:4" x14ac:dyDescent="0.25">
      <c r="D337" s="906"/>
    </row>
    <row r="338" spans="4:4" x14ac:dyDescent="0.25">
      <c r="D338" s="906"/>
    </row>
    <row r="339" spans="4:4" x14ac:dyDescent="0.25">
      <c r="D339" s="906"/>
    </row>
    <row r="340" spans="4:4" x14ac:dyDescent="0.25">
      <c r="D340" s="906"/>
    </row>
    <row r="341" spans="4:4" x14ac:dyDescent="0.25">
      <c r="D341" s="906"/>
    </row>
    <row r="342" spans="4:4" x14ac:dyDescent="0.25">
      <c r="D342" s="906"/>
    </row>
    <row r="343" spans="4:4" x14ac:dyDescent="0.25">
      <c r="D343" s="906"/>
    </row>
    <row r="344" spans="4:4" x14ac:dyDescent="0.25">
      <c r="D344" s="906"/>
    </row>
    <row r="345" spans="4:4" x14ac:dyDescent="0.25">
      <c r="D345" s="906"/>
    </row>
    <row r="346" spans="4:4" x14ac:dyDescent="0.25">
      <c r="D346" s="906"/>
    </row>
    <row r="347" spans="4:4" x14ac:dyDescent="0.25">
      <c r="D347" s="906"/>
    </row>
    <row r="348" spans="4:4" x14ac:dyDescent="0.25">
      <c r="D348" s="906"/>
    </row>
    <row r="349" spans="4:4" x14ac:dyDescent="0.25">
      <c r="D349" s="906"/>
    </row>
    <row r="350" spans="4:4" x14ac:dyDescent="0.25">
      <c r="D350" s="906"/>
    </row>
    <row r="351" spans="4:4" x14ac:dyDescent="0.25">
      <c r="D351" s="906"/>
    </row>
    <row r="352" spans="4:4" x14ac:dyDescent="0.25">
      <c r="D352" s="906"/>
    </row>
    <row r="353" spans="4:4" x14ac:dyDescent="0.25">
      <c r="D353" s="906"/>
    </row>
    <row r="354" spans="4:4" x14ac:dyDescent="0.25">
      <c r="D354" s="906"/>
    </row>
    <row r="355" spans="4:4" x14ac:dyDescent="0.25">
      <c r="D355" s="906"/>
    </row>
    <row r="356" spans="4:4" x14ac:dyDescent="0.25">
      <c r="D356" s="906"/>
    </row>
    <row r="357" spans="4:4" x14ac:dyDescent="0.25">
      <c r="D357" s="906"/>
    </row>
    <row r="358" spans="4:4" x14ac:dyDescent="0.25">
      <c r="D358" s="906"/>
    </row>
    <row r="359" spans="4:4" x14ac:dyDescent="0.25">
      <c r="D359" s="906"/>
    </row>
    <row r="360" spans="4:4" x14ac:dyDescent="0.25">
      <c r="D360" s="906"/>
    </row>
    <row r="361" spans="4:4" x14ac:dyDescent="0.25">
      <c r="D361" s="906"/>
    </row>
    <row r="362" spans="4:4" x14ac:dyDescent="0.25">
      <c r="D362" s="906"/>
    </row>
    <row r="363" spans="4:4" x14ac:dyDescent="0.25">
      <c r="D363" s="906"/>
    </row>
    <row r="364" spans="4:4" x14ac:dyDescent="0.25">
      <c r="D364" s="906"/>
    </row>
    <row r="365" spans="4:4" x14ac:dyDescent="0.25">
      <c r="D365" s="906"/>
    </row>
    <row r="366" spans="4:4" x14ac:dyDescent="0.25">
      <c r="D366" s="906"/>
    </row>
    <row r="367" spans="4:4" x14ac:dyDescent="0.25">
      <c r="D367" s="906"/>
    </row>
    <row r="368" spans="4:4" x14ac:dyDescent="0.25">
      <c r="D368" s="906"/>
    </row>
    <row r="369" spans="4:4" x14ac:dyDescent="0.25">
      <c r="D369" s="906"/>
    </row>
    <row r="370" spans="4:4" x14ac:dyDescent="0.25">
      <c r="D370" s="906"/>
    </row>
    <row r="371" spans="4:4" x14ac:dyDescent="0.25">
      <c r="D371" s="906"/>
    </row>
    <row r="372" spans="4:4" x14ac:dyDescent="0.25">
      <c r="D372" s="906"/>
    </row>
    <row r="373" spans="4:4" x14ac:dyDescent="0.25">
      <c r="D373" s="906"/>
    </row>
    <row r="374" spans="4:4" x14ac:dyDescent="0.25">
      <c r="D374" s="906"/>
    </row>
    <row r="375" spans="4:4" x14ac:dyDescent="0.25">
      <c r="D375" s="906"/>
    </row>
    <row r="376" spans="4:4" x14ac:dyDescent="0.25">
      <c r="D376" s="906"/>
    </row>
    <row r="377" spans="4:4" x14ac:dyDescent="0.25">
      <c r="D377" s="906"/>
    </row>
    <row r="378" spans="4:4" x14ac:dyDescent="0.25">
      <c r="D378" s="906"/>
    </row>
    <row r="379" spans="4:4" x14ac:dyDescent="0.25">
      <c r="D379" s="906"/>
    </row>
    <row r="380" spans="4:4" x14ac:dyDescent="0.25">
      <c r="D380" s="906"/>
    </row>
    <row r="381" spans="4:4" x14ac:dyDescent="0.25">
      <c r="D381" s="906"/>
    </row>
    <row r="382" spans="4:4" x14ac:dyDescent="0.25">
      <c r="D382" s="906"/>
    </row>
    <row r="383" spans="4:4" x14ac:dyDescent="0.25">
      <c r="D383" s="906"/>
    </row>
    <row r="384" spans="4:4" x14ac:dyDescent="0.25">
      <c r="D384" s="906"/>
    </row>
    <row r="385" spans="4:4" x14ac:dyDescent="0.25">
      <c r="D385" s="906"/>
    </row>
    <row r="386" spans="4:4" x14ac:dyDescent="0.25">
      <c r="D386" s="906"/>
    </row>
    <row r="387" spans="4:4" x14ac:dyDescent="0.25">
      <c r="D387" s="906"/>
    </row>
    <row r="388" spans="4:4" x14ac:dyDescent="0.25">
      <c r="D388" s="906"/>
    </row>
    <row r="389" spans="4:4" x14ac:dyDescent="0.25">
      <c r="D389" s="906"/>
    </row>
    <row r="390" spans="4:4" x14ac:dyDescent="0.25">
      <c r="D390" s="906"/>
    </row>
    <row r="391" spans="4:4" x14ac:dyDescent="0.25">
      <c r="D391" s="906"/>
    </row>
    <row r="392" spans="4:4" x14ac:dyDescent="0.25">
      <c r="D392" s="906"/>
    </row>
    <row r="393" spans="4:4" x14ac:dyDescent="0.25">
      <c r="D393" s="906"/>
    </row>
    <row r="394" spans="4:4" x14ac:dyDescent="0.25">
      <c r="D394" s="906"/>
    </row>
    <row r="395" spans="4:4" x14ac:dyDescent="0.25">
      <c r="D395" s="906"/>
    </row>
    <row r="396" spans="4:4" x14ac:dyDescent="0.25">
      <c r="D396" s="906"/>
    </row>
    <row r="397" spans="4:4" x14ac:dyDescent="0.25">
      <c r="D397" s="906"/>
    </row>
    <row r="398" spans="4:4" x14ac:dyDescent="0.25">
      <c r="D398" s="906"/>
    </row>
    <row r="399" spans="4:4" x14ac:dyDescent="0.25">
      <c r="D399" s="906"/>
    </row>
    <row r="400" spans="4:4" x14ac:dyDescent="0.25">
      <c r="D400" s="906"/>
    </row>
    <row r="401" spans="4:4" x14ac:dyDescent="0.25">
      <c r="D401" s="906"/>
    </row>
    <row r="402" spans="4:4" x14ac:dyDescent="0.25">
      <c r="D402" s="906"/>
    </row>
    <row r="403" spans="4:4" x14ac:dyDescent="0.25">
      <c r="D403" s="906"/>
    </row>
    <row r="404" spans="4:4" x14ac:dyDescent="0.25">
      <c r="D404" s="906"/>
    </row>
    <row r="405" spans="4:4" x14ac:dyDescent="0.25">
      <c r="D405" s="906"/>
    </row>
    <row r="406" spans="4:4" x14ac:dyDescent="0.25">
      <c r="D406" s="906"/>
    </row>
    <row r="407" spans="4:4" x14ac:dyDescent="0.25">
      <c r="D407" s="906"/>
    </row>
    <row r="408" spans="4:4" x14ac:dyDescent="0.25">
      <c r="D408" s="906"/>
    </row>
    <row r="409" spans="4:4" x14ac:dyDescent="0.25">
      <c r="D409" s="906"/>
    </row>
    <row r="410" spans="4:4" x14ac:dyDescent="0.25">
      <c r="D410" s="906"/>
    </row>
    <row r="411" spans="4:4" x14ac:dyDescent="0.25">
      <c r="D411" s="906"/>
    </row>
    <row r="412" spans="4:4" x14ac:dyDescent="0.25">
      <c r="D412" s="906"/>
    </row>
    <row r="413" spans="4:4" x14ac:dyDescent="0.25">
      <c r="D413" s="906"/>
    </row>
    <row r="414" spans="4:4" x14ac:dyDescent="0.25">
      <c r="D414" s="906"/>
    </row>
    <row r="415" spans="4:4" x14ac:dyDescent="0.25">
      <c r="D415" s="906"/>
    </row>
    <row r="416" spans="4:4" x14ac:dyDescent="0.25">
      <c r="D416" s="906"/>
    </row>
    <row r="417" spans="4:4" x14ac:dyDescent="0.25">
      <c r="D417" s="906"/>
    </row>
    <row r="418" spans="4:4" x14ac:dyDescent="0.25">
      <c r="D418" s="906"/>
    </row>
    <row r="419" spans="4:4" x14ac:dyDescent="0.25">
      <c r="D419" s="906"/>
    </row>
    <row r="420" spans="4:4" x14ac:dyDescent="0.25">
      <c r="D420" s="906"/>
    </row>
    <row r="421" spans="4:4" x14ac:dyDescent="0.25">
      <c r="D421" s="906"/>
    </row>
    <row r="422" spans="4:4" x14ac:dyDescent="0.25">
      <c r="D422" s="906"/>
    </row>
    <row r="423" spans="4:4" x14ac:dyDescent="0.25">
      <c r="D423" s="906"/>
    </row>
    <row r="424" spans="4:4" x14ac:dyDescent="0.25">
      <c r="D424" s="906"/>
    </row>
    <row r="425" spans="4:4" x14ac:dyDescent="0.25">
      <c r="D425" s="906"/>
    </row>
    <row r="426" spans="4:4" x14ac:dyDescent="0.25">
      <c r="D426" s="906"/>
    </row>
    <row r="427" spans="4:4" x14ac:dyDescent="0.25">
      <c r="D427" s="906"/>
    </row>
    <row r="428" spans="4:4" x14ac:dyDescent="0.25">
      <c r="D428" s="906"/>
    </row>
    <row r="429" spans="4:4" x14ac:dyDescent="0.25">
      <c r="D429" s="906"/>
    </row>
    <row r="430" spans="4:4" x14ac:dyDescent="0.25">
      <c r="D430" s="906"/>
    </row>
    <row r="431" spans="4:4" x14ac:dyDescent="0.25">
      <c r="D431" s="906"/>
    </row>
    <row r="432" spans="4:4" x14ac:dyDescent="0.25">
      <c r="D432" s="906"/>
    </row>
    <row r="433" spans="4:4" x14ac:dyDescent="0.25">
      <c r="D433" s="906"/>
    </row>
    <row r="434" spans="4:4" x14ac:dyDescent="0.25">
      <c r="D434" s="906"/>
    </row>
    <row r="435" spans="4:4" x14ac:dyDescent="0.25">
      <c r="D435" s="906"/>
    </row>
    <row r="436" spans="4:4" x14ac:dyDescent="0.25">
      <c r="D436" s="906"/>
    </row>
    <row r="437" spans="4:4" x14ac:dyDescent="0.25">
      <c r="D437" s="906"/>
    </row>
    <row r="438" spans="4:4" x14ac:dyDescent="0.25">
      <c r="D438" s="906"/>
    </row>
    <row r="439" spans="4:4" x14ac:dyDescent="0.25">
      <c r="D439" s="906"/>
    </row>
    <row r="440" spans="4:4" x14ac:dyDescent="0.25">
      <c r="D440" s="906"/>
    </row>
    <row r="441" spans="4:4" x14ac:dyDescent="0.25">
      <c r="D441" s="906"/>
    </row>
    <row r="442" spans="4:4" x14ac:dyDescent="0.25">
      <c r="D442" s="906"/>
    </row>
    <row r="443" spans="4:4" x14ac:dyDescent="0.25">
      <c r="D443" s="906"/>
    </row>
    <row r="444" spans="4:4" x14ac:dyDescent="0.25">
      <c r="D444" s="906"/>
    </row>
    <row r="445" spans="4:4" x14ac:dyDescent="0.25">
      <c r="D445" s="906"/>
    </row>
    <row r="446" spans="4:4" x14ac:dyDescent="0.25">
      <c r="D446" s="906"/>
    </row>
    <row r="447" spans="4:4" x14ac:dyDescent="0.25">
      <c r="D447" s="906"/>
    </row>
    <row r="448" spans="4:4" x14ac:dyDescent="0.25">
      <c r="D448" s="906"/>
    </row>
    <row r="449" spans="4:4" x14ac:dyDescent="0.25">
      <c r="D449" s="906"/>
    </row>
    <row r="450" spans="4:4" x14ac:dyDescent="0.25">
      <c r="D450" s="906"/>
    </row>
    <row r="451" spans="4:4" x14ac:dyDescent="0.25">
      <c r="D451" s="906"/>
    </row>
    <row r="452" spans="4:4" x14ac:dyDescent="0.25">
      <c r="D452" s="906"/>
    </row>
    <row r="453" spans="4:4" x14ac:dyDescent="0.25">
      <c r="D453" s="906"/>
    </row>
    <row r="454" spans="4:4" x14ac:dyDescent="0.25">
      <c r="D454" s="906"/>
    </row>
    <row r="455" spans="4:4" x14ac:dyDescent="0.25">
      <c r="D455" s="906"/>
    </row>
    <row r="456" spans="4:4" x14ac:dyDescent="0.25">
      <c r="D456" s="906"/>
    </row>
    <row r="457" spans="4:4" x14ac:dyDescent="0.25">
      <c r="D457" s="906"/>
    </row>
    <row r="458" spans="4:4" x14ac:dyDescent="0.25">
      <c r="D458" s="906"/>
    </row>
    <row r="459" spans="4:4" x14ac:dyDescent="0.25">
      <c r="D459" s="906"/>
    </row>
    <row r="460" spans="4:4" x14ac:dyDescent="0.25">
      <c r="D460" s="906"/>
    </row>
    <row r="461" spans="4:4" x14ac:dyDescent="0.25">
      <c r="D461" s="906"/>
    </row>
    <row r="462" spans="4:4" x14ac:dyDescent="0.25">
      <c r="D462" s="906"/>
    </row>
    <row r="463" spans="4:4" x14ac:dyDescent="0.25">
      <c r="D463" s="906"/>
    </row>
    <row r="464" spans="4:4" x14ac:dyDescent="0.25">
      <c r="D464" s="906"/>
    </row>
    <row r="465" spans="4:4" x14ac:dyDescent="0.25">
      <c r="D465" s="906"/>
    </row>
    <row r="466" spans="4:4" x14ac:dyDescent="0.25">
      <c r="D466" s="906"/>
    </row>
    <row r="467" spans="4:4" x14ac:dyDescent="0.25">
      <c r="D467" s="906"/>
    </row>
    <row r="468" spans="4:4" x14ac:dyDescent="0.25">
      <c r="D468" s="906"/>
    </row>
    <row r="469" spans="4:4" x14ac:dyDescent="0.25">
      <c r="D469" s="906"/>
    </row>
    <row r="470" spans="4:4" x14ac:dyDescent="0.25">
      <c r="D470" s="906"/>
    </row>
    <row r="471" spans="4:4" x14ac:dyDescent="0.25">
      <c r="D471" s="906"/>
    </row>
    <row r="472" spans="4:4" x14ac:dyDescent="0.25">
      <c r="D472" s="906"/>
    </row>
    <row r="473" spans="4:4" x14ac:dyDescent="0.25">
      <c r="D473" s="906"/>
    </row>
    <row r="474" spans="4:4" x14ac:dyDescent="0.25">
      <c r="D474" s="906"/>
    </row>
    <row r="475" spans="4:4" x14ac:dyDescent="0.25">
      <c r="D475" s="906"/>
    </row>
    <row r="476" spans="4:4" x14ac:dyDescent="0.25">
      <c r="D476" s="906"/>
    </row>
    <row r="477" spans="4:4" x14ac:dyDescent="0.25">
      <c r="D477" s="906"/>
    </row>
    <row r="478" spans="4:4" x14ac:dyDescent="0.25">
      <c r="D478" s="906"/>
    </row>
    <row r="479" spans="4:4" x14ac:dyDescent="0.25">
      <c r="D479" s="906"/>
    </row>
    <row r="480" spans="4:4" x14ac:dyDescent="0.25">
      <c r="D480" s="906"/>
    </row>
    <row r="481" spans="4:4" x14ac:dyDescent="0.25">
      <c r="D481" s="906"/>
    </row>
    <row r="482" spans="4:4" x14ac:dyDescent="0.25">
      <c r="D482" s="906"/>
    </row>
    <row r="483" spans="4:4" x14ac:dyDescent="0.25">
      <c r="D483" s="906"/>
    </row>
    <row r="484" spans="4:4" x14ac:dyDescent="0.25">
      <c r="D484" s="906"/>
    </row>
    <row r="485" spans="4:4" x14ac:dyDescent="0.25">
      <c r="D485" s="906"/>
    </row>
    <row r="486" spans="4:4" x14ac:dyDescent="0.25">
      <c r="D486" s="906"/>
    </row>
    <row r="487" spans="4:4" x14ac:dyDescent="0.25">
      <c r="D487" s="906"/>
    </row>
    <row r="488" spans="4:4" x14ac:dyDescent="0.25">
      <c r="D488" s="906"/>
    </row>
    <row r="489" spans="4:4" x14ac:dyDescent="0.25">
      <c r="D489" s="906"/>
    </row>
    <row r="490" spans="4:4" x14ac:dyDescent="0.25">
      <c r="D490" s="906"/>
    </row>
    <row r="491" spans="4:4" x14ac:dyDescent="0.25">
      <c r="D491" s="906"/>
    </row>
    <row r="492" spans="4:4" x14ac:dyDescent="0.25">
      <c r="D492" s="906"/>
    </row>
    <row r="493" spans="4:4" x14ac:dyDescent="0.25">
      <c r="D493" s="906"/>
    </row>
    <row r="494" spans="4:4" x14ac:dyDescent="0.25">
      <c r="D494" s="906"/>
    </row>
    <row r="495" spans="4:4" x14ac:dyDescent="0.25">
      <c r="D495" s="906"/>
    </row>
    <row r="496" spans="4:4" x14ac:dyDescent="0.25">
      <c r="D496" s="906"/>
    </row>
    <row r="497" spans="4:4" x14ac:dyDescent="0.25">
      <c r="D497" s="906"/>
    </row>
    <row r="498" spans="4:4" x14ac:dyDescent="0.25">
      <c r="D498" s="906"/>
    </row>
    <row r="499" spans="4:4" x14ac:dyDescent="0.25">
      <c r="D499" s="906"/>
    </row>
    <row r="500" spans="4:4" x14ac:dyDescent="0.25">
      <c r="D500" s="906"/>
    </row>
    <row r="501" spans="4:4" x14ac:dyDescent="0.25">
      <c r="D501" s="906"/>
    </row>
    <row r="502" spans="4:4" x14ac:dyDescent="0.25">
      <c r="D502" s="906"/>
    </row>
    <row r="503" spans="4:4" x14ac:dyDescent="0.25">
      <c r="D503" s="906"/>
    </row>
    <row r="504" spans="4:4" x14ac:dyDescent="0.25">
      <c r="D504" s="906"/>
    </row>
    <row r="505" spans="4:4" x14ac:dyDescent="0.25">
      <c r="D505" s="906"/>
    </row>
    <row r="506" spans="4:4" x14ac:dyDescent="0.25">
      <c r="D506" s="906"/>
    </row>
    <row r="507" spans="4:4" x14ac:dyDescent="0.25">
      <c r="D507" s="906"/>
    </row>
    <row r="508" spans="4:4" x14ac:dyDescent="0.25">
      <c r="D508" s="906"/>
    </row>
    <row r="509" spans="4:4" x14ac:dyDescent="0.25">
      <c r="D509" s="906"/>
    </row>
    <row r="510" spans="4:4" x14ac:dyDescent="0.25">
      <c r="D510" s="906"/>
    </row>
    <row r="511" spans="4:4" x14ac:dyDescent="0.25">
      <c r="D511" s="906"/>
    </row>
    <row r="512" spans="4:4" x14ac:dyDescent="0.25">
      <c r="D512" s="906"/>
    </row>
    <row r="513" spans="4:4" x14ac:dyDescent="0.25">
      <c r="D513" s="906"/>
    </row>
    <row r="514" spans="4:4" x14ac:dyDescent="0.25">
      <c r="D514" s="906"/>
    </row>
    <row r="515" spans="4:4" x14ac:dyDescent="0.25">
      <c r="D515" s="906"/>
    </row>
    <row r="516" spans="4:4" x14ac:dyDescent="0.25">
      <c r="D516" s="906"/>
    </row>
    <row r="517" spans="4:4" x14ac:dyDescent="0.25">
      <c r="D517" s="906"/>
    </row>
    <row r="518" spans="4:4" x14ac:dyDescent="0.25">
      <c r="D518" s="906"/>
    </row>
    <row r="519" spans="4:4" x14ac:dyDescent="0.25">
      <c r="D519" s="906"/>
    </row>
    <row r="520" spans="4:4" x14ac:dyDescent="0.25">
      <c r="D520" s="906"/>
    </row>
    <row r="521" spans="4:4" x14ac:dyDescent="0.25">
      <c r="D521" s="906"/>
    </row>
    <row r="522" spans="4:4" x14ac:dyDescent="0.25">
      <c r="D522" s="906"/>
    </row>
    <row r="523" spans="4:4" x14ac:dyDescent="0.25">
      <c r="D523" s="906"/>
    </row>
    <row r="524" spans="4:4" x14ac:dyDescent="0.25">
      <c r="D524" s="906"/>
    </row>
    <row r="525" spans="4:4" x14ac:dyDescent="0.25">
      <c r="D525" s="906"/>
    </row>
    <row r="526" spans="4:4" x14ac:dyDescent="0.25">
      <c r="D526" s="906"/>
    </row>
    <row r="527" spans="4:4" x14ac:dyDescent="0.25">
      <c r="D527" s="906"/>
    </row>
    <row r="528" spans="4:4" x14ac:dyDescent="0.25">
      <c r="D528" s="906"/>
    </row>
    <row r="529" spans="4:4" x14ac:dyDescent="0.25">
      <c r="D529" s="906"/>
    </row>
    <row r="530" spans="4:4" x14ac:dyDescent="0.25">
      <c r="D530" s="906"/>
    </row>
    <row r="531" spans="4:4" x14ac:dyDescent="0.25">
      <c r="D531" s="906"/>
    </row>
    <row r="532" spans="4:4" x14ac:dyDescent="0.25">
      <c r="D532" s="906"/>
    </row>
    <row r="533" spans="4:4" x14ac:dyDescent="0.25">
      <c r="D533" s="906"/>
    </row>
    <row r="534" spans="4:4" x14ac:dyDescent="0.25">
      <c r="D534" s="906"/>
    </row>
    <row r="535" spans="4:4" x14ac:dyDescent="0.25">
      <c r="D535" s="906"/>
    </row>
    <row r="536" spans="4:4" x14ac:dyDescent="0.25">
      <c r="D536" s="906"/>
    </row>
    <row r="537" spans="4:4" x14ac:dyDescent="0.25">
      <c r="D537" s="906"/>
    </row>
    <row r="538" spans="4:4" x14ac:dyDescent="0.25">
      <c r="D538" s="906"/>
    </row>
    <row r="539" spans="4:4" x14ac:dyDescent="0.25">
      <c r="D539" s="906"/>
    </row>
    <row r="540" spans="4:4" x14ac:dyDescent="0.25">
      <c r="D540" s="906"/>
    </row>
    <row r="541" spans="4:4" x14ac:dyDescent="0.25">
      <c r="D541" s="906"/>
    </row>
    <row r="542" spans="4:4" x14ac:dyDescent="0.25">
      <c r="D542" s="906"/>
    </row>
    <row r="543" spans="4:4" x14ac:dyDescent="0.25">
      <c r="D543" s="906"/>
    </row>
    <row r="544" spans="4:4" x14ac:dyDescent="0.25">
      <c r="D544" s="906"/>
    </row>
    <row r="545" spans="4:4" x14ac:dyDescent="0.25">
      <c r="D545" s="906"/>
    </row>
    <row r="546" spans="4:4" x14ac:dyDescent="0.25">
      <c r="D546" s="906"/>
    </row>
    <row r="547" spans="4:4" x14ac:dyDescent="0.25">
      <c r="D547" s="906"/>
    </row>
    <row r="548" spans="4:4" x14ac:dyDescent="0.25">
      <c r="D548" s="906"/>
    </row>
    <row r="549" spans="4:4" x14ac:dyDescent="0.25">
      <c r="D549" s="906"/>
    </row>
    <row r="550" spans="4:4" x14ac:dyDescent="0.25">
      <c r="D550" s="906"/>
    </row>
    <row r="551" spans="4:4" x14ac:dyDescent="0.25">
      <c r="D551" s="906"/>
    </row>
    <row r="552" spans="4:4" x14ac:dyDescent="0.25">
      <c r="D552" s="906"/>
    </row>
    <row r="553" spans="4:4" x14ac:dyDescent="0.25">
      <c r="D553" s="906"/>
    </row>
    <row r="554" spans="4:4" x14ac:dyDescent="0.25">
      <c r="D554" s="906"/>
    </row>
    <row r="555" spans="4:4" x14ac:dyDescent="0.25">
      <c r="D555" s="906"/>
    </row>
    <row r="556" spans="4:4" x14ac:dyDescent="0.25">
      <c r="D556" s="906"/>
    </row>
    <row r="557" spans="4:4" x14ac:dyDescent="0.25">
      <c r="D557" s="906"/>
    </row>
    <row r="558" spans="4:4" x14ac:dyDescent="0.25">
      <c r="D558" s="906"/>
    </row>
    <row r="559" spans="4:4" x14ac:dyDescent="0.25">
      <c r="D559" s="906"/>
    </row>
    <row r="560" spans="4:4" x14ac:dyDescent="0.25">
      <c r="D560" s="906"/>
    </row>
    <row r="561" spans="4:4" x14ac:dyDescent="0.25">
      <c r="D561" s="906"/>
    </row>
    <row r="562" spans="4:4" x14ac:dyDescent="0.25">
      <c r="D562" s="906"/>
    </row>
    <row r="563" spans="4:4" x14ac:dyDescent="0.25">
      <c r="D563" s="906"/>
    </row>
    <row r="564" spans="4:4" x14ac:dyDescent="0.25">
      <c r="D564" s="906"/>
    </row>
    <row r="565" spans="4:4" x14ac:dyDescent="0.25">
      <c r="D565" s="906"/>
    </row>
    <row r="566" spans="4:4" x14ac:dyDescent="0.25">
      <c r="D566" s="906"/>
    </row>
    <row r="567" spans="4:4" x14ac:dyDescent="0.25">
      <c r="D567" s="906"/>
    </row>
    <row r="568" spans="4:4" x14ac:dyDescent="0.25">
      <c r="D568" s="906"/>
    </row>
    <row r="569" spans="4:4" x14ac:dyDescent="0.25">
      <c r="D569" s="906"/>
    </row>
    <row r="570" spans="4:4" x14ac:dyDescent="0.25">
      <c r="D570" s="906"/>
    </row>
    <row r="571" spans="4:4" x14ac:dyDescent="0.25">
      <c r="D571" s="906"/>
    </row>
    <row r="572" spans="4:4" x14ac:dyDescent="0.25">
      <c r="D572" s="906"/>
    </row>
    <row r="573" spans="4:4" x14ac:dyDescent="0.25">
      <c r="D573" s="906"/>
    </row>
    <row r="574" spans="4:4" x14ac:dyDescent="0.25">
      <c r="D574" s="906"/>
    </row>
    <row r="575" spans="4:4" x14ac:dyDescent="0.25">
      <c r="D575" s="906"/>
    </row>
    <row r="576" spans="4:4" x14ac:dyDescent="0.25">
      <c r="D576" s="906"/>
    </row>
    <row r="577" spans="4:4" x14ac:dyDescent="0.25">
      <c r="D577" s="906"/>
    </row>
    <row r="578" spans="4:4" x14ac:dyDescent="0.25">
      <c r="D578" s="906"/>
    </row>
    <row r="579" spans="4:4" x14ac:dyDescent="0.25">
      <c r="D579" s="906"/>
    </row>
    <row r="580" spans="4:4" x14ac:dyDescent="0.25">
      <c r="D580" s="906"/>
    </row>
    <row r="581" spans="4:4" x14ac:dyDescent="0.25">
      <c r="D581" s="906"/>
    </row>
    <row r="582" spans="4:4" x14ac:dyDescent="0.25">
      <c r="D582" s="906"/>
    </row>
    <row r="583" spans="4:4" x14ac:dyDescent="0.25">
      <c r="D583" s="906"/>
    </row>
    <row r="584" spans="4:4" x14ac:dyDescent="0.25">
      <c r="D584" s="906"/>
    </row>
    <row r="585" spans="4:4" x14ac:dyDescent="0.25">
      <c r="D585" s="906"/>
    </row>
    <row r="586" spans="4:4" x14ac:dyDescent="0.25">
      <c r="D586" s="906"/>
    </row>
    <row r="587" spans="4:4" x14ac:dyDescent="0.25">
      <c r="D587" s="906"/>
    </row>
    <row r="588" spans="4:4" x14ac:dyDescent="0.25">
      <c r="D588" s="906"/>
    </row>
    <row r="589" spans="4:4" x14ac:dyDescent="0.25">
      <c r="D589" s="906"/>
    </row>
    <row r="590" spans="4:4" x14ac:dyDescent="0.25">
      <c r="D590" s="906"/>
    </row>
    <row r="591" spans="4:4" x14ac:dyDescent="0.25">
      <c r="D591" s="906"/>
    </row>
    <row r="592" spans="4:4" x14ac:dyDescent="0.25">
      <c r="D592" s="906"/>
    </row>
    <row r="593" spans="4:4" x14ac:dyDescent="0.25">
      <c r="D593" s="906"/>
    </row>
    <row r="594" spans="4:4" x14ac:dyDescent="0.25">
      <c r="D594" s="906"/>
    </row>
    <row r="595" spans="4:4" x14ac:dyDescent="0.25">
      <c r="D595" s="906"/>
    </row>
    <row r="596" spans="4:4" x14ac:dyDescent="0.25">
      <c r="D596" s="906"/>
    </row>
    <row r="597" spans="4:4" x14ac:dyDescent="0.25">
      <c r="D597" s="906"/>
    </row>
    <row r="598" spans="4:4" x14ac:dyDescent="0.25">
      <c r="D598" s="906"/>
    </row>
    <row r="599" spans="4:4" x14ac:dyDescent="0.25">
      <c r="D599" s="906"/>
    </row>
    <row r="600" spans="4:4" x14ac:dyDescent="0.25">
      <c r="D600" s="906"/>
    </row>
    <row r="601" spans="4:4" x14ac:dyDescent="0.25">
      <c r="D601" s="906"/>
    </row>
    <row r="602" spans="4:4" x14ac:dyDescent="0.25">
      <c r="D602" s="906"/>
    </row>
    <row r="603" spans="4:4" x14ac:dyDescent="0.25">
      <c r="D603" s="906"/>
    </row>
    <row r="604" spans="4:4" x14ac:dyDescent="0.25">
      <c r="D604" s="906"/>
    </row>
    <row r="605" spans="4:4" x14ac:dyDescent="0.25">
      <c r="D605" s="906"/>
    </row>
    <row r="606" spans="4:4" x14ac:dyDescent="0.25">
      <c r="D606" s="906"/>
    </row>
    <row r="607" spans="4:4" x14ac:dyDescent="0.25">
      <c r="D607" s="906"/>
    </row>
    <row r="608" spans="4:4" x14ac:dyDescent="0.25">
      <c r="D608" s="906"/>
    </row>
    <row r="609" spans="4:4" x14ac:dyDescent="0.25">
      <c r="D609" s="906"/>
    </row>
    <row r="610" spans="4:4" x14ac:dyDescent="0.25">
      <c r="D610" s="906"/>
    </row>
    <row r="611" spans="4:4" x14ac:dyDescent="0.25">
      <c r="D611" s="906"/>
    </row>
    <row r="612" spans="4:4" x14ac:dyDescent="0.25">
      <c r="D612" s="906"/>
    </row>
    <row r="613" spans="4:4" x14ac:dyDescent="0.25">
      <c r="D613" s="906"/>
    </row>
    <row r="614" spans="4:4" x14ac:dyDescent="0.25">
      <c r="D614" s="906"/>
    </row>
    <row r="615" spans="4:4" x14ac:dyDescent="0.25">
      <c r="D615" s="906"/>
    </row>
    <row r="616" spans="4:4" x14ac:dyDescent="0.25">
      <c r="D616" s="906"/>
    </row>
    <row r="617" spans="4:4" x14ac:dyDescent="0.25">
      <c r="D617" s="906"/>
    </row>
    <row r="618" spans="4:4" x14ac:dyDescent="0.25">
      <c r="D618" s="906"/>
    </row>
    <row r="619" spans="4:4" x14ac:dyDescent="0.25">
      <c r="D619" s="906"/>
    </row>
    <row r="620" spans="4:4" x14ac:dyDescent="0.25">
      <c r="D620" s="906"/>
    </row>
    <row r="621" spans="4:4" x14ac:dyDescent="0.25">
      <c r="D621" s="906"/>
    </row>
    <row r="622" spans="4:4" x14ac:dyDescent="0.25">
      <c r="D622" s="906"/>
    </row>
    <row r="623" spans="4:4" x14ac:dyDescent="0.25">
      <c r="D623" s="906"/>
    </row>
    <row r="624" spans="4:4" x14ac:dyDescent="0.25">
      <c r="D624" s="906"/>
    </row>
    <row r="625" spans="4:4" x14ac:dyDescent="0.25">
      <c r="D625" s="906"/>
    </row>
    <row r="626" spans="4:4" x14ac:dyDescent="0.25">
      <c r="D626" s="906"/>
    </row>
    <row r="627" spans="4:4" x14ac:dyDescent="0.25">
      <c r="D627" s="906"/>
    </row>
    <row r="628" spans="4:4" x14ac:dyDescent="0.25">
      <c r="D628" s="906"/>
    </row>
    <row r="629" spans="4:4" x14ac:dyDescent="0.25">
      <c r="D629" s="906"/>
    </row>
    <row r="630" spans="4:4" x14ac:dyDescent="0.25">
      <c r="D630" s="906"/>
    </row>
    <row r="631" spans="4:4" x14ac:dyDescent="0.25">
      <c r="D631" s="906"/>
    </row>
    <row r="632" spans="4:4" x14ac:dyDescent="0.25">
      <c r="D632" s="906"/>
    </row>
    <row r="633" spans="4:4" x14ac:dyDescent="0.25">
      <c r="D633" s="906"/>
    </row>
    <row r="634" spans="4:4" x14ac:dyDescent="0.25">
      <c r="D634" s="906"/>
    </row>
    <row r="635" spans="4:4" x14ac:dyDescent="0.25">
      <c r="D635" s="906"/>
    </row>
    <row r="636" spans="4:4" x14ac:dyDescent="0.25">
      <c r="D636" s="906"/>
    </row>
    <row r="637" spans="4:4" x14ac:dyDescent="0.25">
      <c r="D637" s="906"/>
    </row>
    <row r="638" spans="4:4" x14ac:dyDescent="0.25">
      <c r="D638" s="906"/>
    </row>
    <row r="639" spans="4:4" x14ac:dyDescent="0.25">
      <c r="D639" s="906"/>
    </row>
    <row r="640" spans="4:4" x14ac:dyDescent="0.25">
      <c r="D640" s="906"/>
    </row>
    <row r="641" spans="4:4" x14ac:dyDescent="0.25">
      <c r="D641" s="906"/>
    </row>
    <row r="642" spans="4:4" x14ac:dyDescent="0.25">
      <c r="D642" s="906"/>
    </row>
    <row r="643" spans="4:4" x14ac:dyDescent="0.25">
      <c r="D643" s="906"/>
    </row>
    <row r="644" spans="4:4" x14ac:dyDescent="0.25">
      <c r="D644" s="906"/>
    </row>
    <row r="645" spans="4:4" x14ac:dyDescent="0.25">
      <c r="D645" s="906"/>
    </row>
    <row r="646" spans="4:4" x14ac:dyDescent="0.25">
      <c r="D646" s="906"/>
    </row>
    <row r="647" spans="4:4" x14ac:dyDescent="0.25">
      <c r="D647" s="906"/>
    </row>
    <row r="648" spans="4:4" x14ac:dyDescent="0.25">
      <c r="D648" s="906"/>
    </row>
    <row r="649" spans="4:4" x14ac:dyDescent="0.25">
      <c r="D649" s="906"/>
    </row>
    <row r="650" spans="4:4" x14ac:dyDescent="0.25">
      <c r="D650" s="906"/>
    </row>
    <row r="651" spans="4:4" x14ac:dyDescent="0.25">
      <c r="D651" s="906"/>
    </row>
    <row r="652" spans="4:4" x14ac:dyDescent="0.25">
      <c r="D652" s="906"/>
    </row>
    <row r="653" spans="4:4" x14ac:dyDescent="0.25">
      <c r="D653" s="906"/>
    </row>
    <row r="654" spans="4:4" x14ac:dyDescent="0.25">
      <c r="D654" s="906"/>
    </row>
    <row r="655" spans="4:4" x14ac:dyDescent="0.25">
      <c r="D655" s="906"/>
    </row>
    <row r="656" spans="4:4" x14ac:dyDescent="0.25">
      <c r="D656" s="906"/>
    </row>
    <row r="657" spans="4:4" x14ac:dyDescent="0.25">
      <c r="D657" s="906"/>
    </row>
    <row r="658" spans="4:4" x14ac:dyDescent="0.25">
      <c r="D658" s="906"/>
    </row>
    <row r="659" spans="4:4" x14ac:dyDescent="0.25">
      <c r="D659" s="906"/>
    </row>
    <row r="660" spans="4:4" x14ac:dyDescent="0.25">
      <c r="D660" s="906"/>
    </row>
    <row r="661" spans="4:4" x14ac:dyDescent="0.25">
      <c r="D661" s="906"/>
    </row>
    <row r="662" spans="4:4" x14ac:dyDescent="0.25">
      <c r="D662" s="906"/>
    </row>
    <row r="663" spans="4:4" x14ac:dyDescent="0.25">
      <c r="D663" s="906"/>
    </row>
    <row r="664" spans="4:4" x14ac:dyDescent="0.25">
      <c r="D664" s="906"/>
    </row>
    <row r="665" spans="4:4" x14ac:dyDescent="0.25">
      <c r="D665" s="906"/>
    </row>
    <row r="666" spans="4:4" x14ac:dyDescent="0.25">
      <c r="D666" s="906"/>
    </row>
    <row r="667" spans="4:4" x14ac:dyDescent="0.25">
      <c r="D667" s="906"/>
    </row>
    <row r="668" spans="4:4" x14ac:dyDescent="0.25">
      <c r="D668" s="906"/>
    </row>
    <row r="669" spans="4:4" x14ac:dyDescent="0.25">
      <c r="D669" s="906"/>
    </row>
    <row r="670" spans="4:4" x14ac:dyDescent="0.25">
      <c r="D670" s="906"/>
    </row>
    <row r="671" spans="4:4" x14ac:dyDescent="0.25">
      <c r="D671" s="906"/>
    </row>
    <row r="672" spans="4:4" x14ac:dyDescent="0.25">
      <c r="D672" s="906"/>
    </row>
    <row r="673" spans="4:4" x14ac:dyDescent="0.25">
      <c r="D673" s="906"/>
    </row>
    <row r="674" spans="4:4" x14ac:dyDescent="0.25">
      <c r="D674" s="906"/>
    </row>
    <row r="675" spans="4:4" x14ac:dyDescent="0.25">
      <c r="D675" s="906"/>
    </row>
    <row r="676" spans="4:4" x14ac:dyDescent="0.25">
      <c r="D676" s="906"/>
    </row>
    <row r="677" spans="4:4" x14ac:dyDescent="0.25">
      <c r="D677" s="906"/>
    </row>
    <row r="678" spans="4:4" x14ac:dyDescent="0.25">
      <c r="D678" s="906"/>
    </row>
    <row r="679" spans="4:4" x14ac:dyDescent="0.25">
      <c r="D679" s="906"/>
    </row>
    <row r="680" spans="4:4" x14ac:dyDescent="0.25">
      <c r="D680" s="906"/>
    </row>
    <row r="681" spans="4:4" x14ac:dyDescent="0.25">
      <c r="D681" s="906"/>
    </row>
    <row r="682" spans="4:4" x14ac:dyDescent="0.25">
      <c r="D682" s="906"/>
    </row>
    <row r="683" spans="4:4" x14ac:dyDescent="0.25">
      <c r="D683" s="906"/>
    </row>
  </sheetData>
  <pageMargins left="0.7" right="0.7" top="0.75" bottom="0.75" header="0.3" footer="0.3"/>
  <pageSetup scale="51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6386-B256-49B9-8475-830D2DFE9375}">
  <sheetPr codeName="Sheet20">
    <tabColor theme="5" tint="-0.249977111117893"/>
    <pageSetUpPr fitToPage="1"/>
  </sheetPr>
  <dimension ref="C1:J17"/>
  <sheetViews>
    <sheetView showGridLines="0" view="pageBreakPreview" zoomScaleNormal="100" zoomScaleSheetLayoutView="100" workbookViewId="0">
      <selection activeCell="J3" sqref="J3"/>
    </sheetView>
  </sheetViews>
  <sheetFormatPr defaultColWidth="8.85546875" defaultRowHeight="15" x14ac:dyDescent="0.25"/>
  <cols>
    <col min="1" max="2" width="0.85546875" customWidth="1"/>
    <col min="3" max="3" width="0.42578125" customWidth="1"/>
    <col min="4" max="4" width="50.42578125" customWidth="1"/>
    <col min="5" max="7" width="12.85546875" customWidth="1"/>
    <col min="8" max="9" width="0.85546875" customWidth="1"/>
    <col min="10" max="10" width="13.140625" bestFit="1" customWidth="1"/>
    <col min="11" max="11" width="27.140625" bestFit="1" customWidth="1"/>
    <col min="13" max="13" width="11.85546875" bestFit="1" customWidth="1"/>
    <col min="14" max="14" width="10.85546875" bestFit="1" customWidth="1"/>
    <col min="15" max="15" width="11.85546875" bestFit="1" customWidth="1"/>
  </cols>
  <sheetData>
    <row r="1" spans="3:10" ht="4.3499999999999996" customHeight="1" x14ac:dyDescent="0.25"/>
    <row r="2" spans="3:10" ht="4.3499999999999996" customHeight="1" x14ac:dyDescent="0.25">
      <c r="E2">
        <v>1687</v>
      </c>
    </row>
    <row r="3" spans="3:10" ht="20.25" thickBot="1" x14ac:dyDescent="0.35">
      <c r="C3" s="1" t="s">
        <v>44</v>
      </c>
      <c r="D3" s="1"/>
      <c r="E3" s="1"/>
      <c r="F3" s="1"/>
      <c r="G3" s="1"/>
      <c r="H3" s="20" t="str">
        <f>'Exec Summ'!$F$6</f>
        <v>Hudson View Park</v>
      </c>
      <c r="J3" s="224">
        <f>'P&amp;Ls Summary'!AA3</f>
        <v>0</v>
      </c>
    </row>
    <row r="4" spans="3:10" ht="7.35" customHeight="1" thickTop="1" x14ac:dyDescent="0.25">
      <c r="E4" s="223"/>
      <c r="F4" s="223"/>
      <c r="G4" s="223"/>
    </row>
    <row r="5" spans="3:10" ht="20.100000000000001" customHeight="1" x14ac:dyDescent="0.3">
      <c r="C5" s="537"/>
      <c r="D5" s="538"/>
      <c r="E5" s="992" t="s">
        <v>11</v>
      </c>
      <c r="F5" s="992" t="s">
        <v>1762</v>
      </c>
      <c r="G5" s="992" t="s">
        <v>12</v>
      </c>
      <c r="H5" s="3"/>
      <c r="I5" s="3"/>
    </row>
    <row r="6" spans="3:10" x14ac:dyDescent="0.25">
      <c r="D6" s="226" t="s">
        <v>13</v>
      </c>
      <c r="E6" s="225" t="e">
        <f>'Exec Summ'!F19</f>
        <v>#DIV/0!</v>
      </c>
      <c r="F6" s="225" t="e">
        <f>'Exec Summ'!G19</f>
        <v>#DIV/0!</v>
      </c>
      <c r="G6" s="225" t="e">
        <f>'Exec Summ'!H19</f>
        <v>#DIV/0!</v>
      </c>
    </row>
    <row r="7" spans="3:10" x14ac:dyDescent="0.25">
      <c r="D7" t="s">
        <v>14</v>
      </c>
      <c r="E7" s="227" t="e">
        <f>E6/$J$3</f>
        <v>#DIV/0!</v>
      </c>
      <c r="F7" s="227" t="e">
        <f t="shared" ref="F7:G7" si="0">F6/$J$3</f>
        <v>#DIV/0!</v>
      </c>
      <c r="G7" s="227" t="e">
        <f t="shared" si="0"/>
        <v>#DIV/0!</v>
      </c>
    </row>
    <row r="8" spans="3:10" ht="7.35" customHeight="1" x14ac:dyDescent="0.25">
      <c r="E8" s="223"/>
      <c r="F8" s="223"/>
      <c r="G8" s="223"/>
    </row>
    <row r="9" spans="3:10" x14ac:dyDescent="0.25">
      <c r="D9" s="21" t="s">
        <v>178</v>
      </c>
      <c r="E9" s="223"/>
      <c r="F9" s="223"/>
      <c r="G9" s="223"/>
    </row>
    <row r="10" spans="3:10" x14ac:dyDescent="0.25">
      <c r="D10" s="22" t="str">
        <f>'Exec Summ'!D24&amp;" Cap Rate"</f>
        <v>T12 Cap Rate</v>
      </c>
      <c r="E10" s="223" t="e">
        <f>'Exec Summ'!F24</f>
        <v>#DIV/0!</v>
      </c>
      <c r="F10" s="223" t="e">
        <f>'Exec Summ'!G24</f>
        <v>#DIV/0!</v>
      </c>
      <c r="G10" s="223" t="e">
        <f>'Exec Summ'!H24</f>
        <v>#DIV/0!</v>
      </c>
    </row>
    <row r="11" spans="3:10" x14ac:dyDescent="0.25">
      <c r="D11" s="22" t="str">
        <f>'Exec Summ'!D25&amp;" Cap Rate"</f>
        <v>In-Place Cap Rate</v>
      </c>
      <c r="E11" s="733">
        <f>'Exec Summ'!F25</f>
        <v>6.0000000000000005E-2</v>
      </c>
      <c r="F11" s="733">
        <f>'Exec Summ'!G25</f>
        <v>5.7500000000000002E-2</v>
      </c>
      <c r="G11" s="733">
        <f>'Exec Summ'!H25</f>
        <v>5.5E-2</v>
      </c>
    </row>
    <row r="12" spans="3:10" x14ac:dyDescent="0.25">
      <c r="D12" s="22" t="str">
        <f>'Exec Summ'!D26&amp;" Cap Rate"</f>
        <v>Stabilized Cap Rate</v>
      </c>
      <c r="E12" s="223" t="e">
        <f>'Exec Summ'!F26</f>
        <v>#DIV/0!</v>
      </c>
      <c r="F12" s="223" t="e">
        <f>'Exec Summ'!G26</f>
        <v>#DIV/0!</v>
      </c>
      <c r="G12" s="223" t="e">
        <f>'Exec Summ'!H26</f>
        <v>#DIV/0!</v>
      </c>
    </row>
    <row r="13" spans="3:10" ht="7.35" customHeight="1" x14ac:dyDescent="0.25">
      <c r="E13" s="223"/>
      <c r="F13" s="223"/>
      <c r="G13" s="223"/>
    </row>
    <row r="14" spans="3:10" ht="15" customHeight="1" x14ac:dyDescent="0.25">
      <c r="D14" s="1122" t="s">
        <v>1758</v>
      </c>
      <c r="E14" s="1123"/>
      <c r="F14" s="1123"/>
      <c r="G14" s="1124"/>
    </row>
    <row r="15" spans="3:10" x14ac:dyDescent="0.25">
      <c r="D15" s="1125"/>
      <c r="E15" s="1126"/>
      <c r="F15" s="1126"/>
      <c r="G15" s="1127"/>
    </row>
    <row r="16" spans="3:10" ht="32.25" customHeight="1" x14ac:dyDescent="0.25">
      <c r="D16" s="1128"/>
      <c r="E16" s="1129"/>
      <c r="F16" s="1129"/>
      <c r="G16" s="1130"/>
    </row>
    <row r="17" ht="4.3499999999999996" customHeight="1" x14ac:dyDescent="0.25"/>
  </sheetData>
  <mergeCells count="1">
    <mergeCell ref="D14:G16"/>
  </mergeCells>
  <printOptions horizontalCentered="1"/>
  <pageMargins left="0.35" right="0.35" top="0.5" bottom="0.35" header="0.3" footer="0.3"/>
  <pageSetup orientation="portrait" r:id="rId1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C6-B8B7-432B-B55F-D48FB94E9177}">
  <sheetPr codeName="Sheet19">
    <tabColor theme="5" tint="-0.249977111117893"/>
    <pageSetUpPr fitToPage="1"/>
  </sheetPr>
  <dimension ref="A1:AF40"/>
  <sheetViews>
    <sheetView showGridLines="0" zoomScale="85" zoomScaleNormal="85" zoomScaleSheetLayoutView="85" workbookViewId="0"/>
  </sheetViews>
  <sheetFormatPr defaultColWidth="9.42578125" defaultRowHeight="15" x14ac:dyDescent="0.25"/>
  <cols>
    <col min="1" max="2" width="1" customWidth="1"/>
    <col min="3" max="3" width="0.42578125" customWidth="1"/>
    <col min="4" max="4" width="41.85546875" bestFit="1" customWidth="1"/>
    <col min="5" max="5" width="13.85546875" style="485" customWidth="1"/>
    <col min="6" max="6" width="13.85546875" customWidth="1"/>
    <col min="7" max="7" width="1" customWidth="1"/>
    <col min="8" max="8" width="13.85546875" style="485" customWidth="1"/>
    <col min="9" max="9" width="13.85546875" customWidth="1"/>
    <col min="10" max="11" width="1" customWidth="1"/>
    <col min="12" max="12" width="73.42578125" bestFit="1" customWidth="1"/>
    <col min="13" max="14" width="1" customWidth="1"/>
    <col min="16" max="16" width="12.5703125" bestFit="1" customWidth="1"/>
    <col min="17" max="17" width="10.85546875" bestFit="1" customWidth="1"/>
    <col min="18" max="18" width="11.42578125" bestFit="1" customWidth="1"/>
    <col min="19" max="19" width="15.42578125" bestFit="1" customWidth="1"/>
    <col min="20" max="21" width="11.140625" bestFit="1" customWidth="1"/>
    <col min="22" max="23" width="14.42578125" bestFit="1" customWidth="1"/>
    <col min="25" max="32" width="18" customWidth="1"/>
  </cols>
  <sheetData>
    <row r="1" spans="1:32" s="23" customFormat="1" ht="5.0999999999999996" customHeight="1" x14ac:dyDescent="0.25">
      <c r="E1" s="472"/>
      <c r="F1" s="505"/>
      <c r="H1" s="472"/>
    </row>
    <row r="2" spans="1:32" s="23" customFormat="1" ht="5.0999999999999996" customHeight="1" x14ac:dyDescent="0.25">
      <c r="C2" s="802"/>
      <c r="D2" s="803"/>
      <c r="E2" s="804"/>
      <c r="F2" s="805"/>
      <c r="G2" s="803"/>
      <c r="H2" s="804"/>
      <c r="I2" s="803"/>
      <c r="J2" s="803"/>
      <c r="K2" s="803"/>
      <c r="L2" s="803"/>
      <c r="M2" s="806"/>
    </row>
    <row r="3" spans="1:32" s="23" customFormat="1" ht="24" customHeight="1" thickBot="1" x14ac:dyDescent="0.35">
      <c r="B3" s="24">
        <v>0</v>
      </c>
      <c r="C3" s="807" t="s">
        <v>220</v>
      </c>
      <c r="D3" s="4"/>
      <c r="E3" s="10"/>
      <c r="F3" s="10"/>
      <c r="G3" s="10"/>
      <c r="H3" s="10"/>
      <c r="I3" s="10"/>
      <c r="J3" s="10"/>
      <c r="K3" s="10"/>
      <c r="L3" s="10"/>
      <c r="M3" s="808" t="str">
        <f>'Exec Summ'!$F$6</f>
        <v>Hudson View Park</v>
      </c>
      <c r="N3" s="11"/>
      <c r="O3" s="285">
        <f>'P&amp;Ls Summary'!AA3</f>
        <v>0</v>
      </c>
      <c r="P3" s="25"/>
      <c r="Q3" s="25"/>
      <c r="R3" s="25"/>
      <c r="S3" s="26"/>
      <c r="T3" s="26"/>
      <c r="U3" s="26"/>
    </row>
    <row r="4" spans="1:32" s="28" customFormat="1" ht="22.35" customHeight="1" thickTop="1" x14ac:dyDescent="0.3">
      <c r="A4" s="27"/>
      <c r="B4" s="27"/>
      <c r="C4" s="809"/>
      <c r="D4" s="810"/>
      <c r="E4" s="473"/>
      <c r="F4" s="473"/>
      <c r="G4" s="473"/>
      <c r="H4" s="473"/>
      <c r="I4" s="473"/>
      <c r="J4" s="473"/>
      <c r="K4" s="473"/>
      <c r="L4" s="473"/>
      <c r="M4" s="811"/>
      <c r="N4" s="29"/>
      <c r="P4" s="33"/>
      <c r="Q4" s="34"/>
      <c r="R4" s="35"/>
      <c r="S4" s="25"/>
      <c r="T4" s="25"/>
      <c r="U4" s="25"/>
    </row>
    <row r="5" spans="1:32" s="38" customFormat="1" ht="21" x14ac:dyDescent="0.4">
      <c r="A5" s="36"/>
      <c r="B5" s="36"/>
      <c r="C5" s="812"/>
      <c r="D5" s="517"/>
      <c r="E5" s="519" t="s">
        <v>239</v>
      </c>
      <c r="F5" s="520"/>
      <c r="G5" s="813"/>
      <c r="H5" s="519" t="str">
        <f>'P&amp;Ls Summary'!U5</f>
        <v>STABILIZED</v>
      </c>
      <c r="I5" s="520"/>
      <c r="J5" s="813"/>
      <c r="K5" s="814"/>
      <c r="L5" s="523" t="s">
        <v>221</v>
      </c>
      <c r="M5" s="815"/>
      <c r="P5" s="831" t="s">
        <v>1770</v>
      </c>
      <c r="Q5" s="832"/>
      <c r="R5" s="832"/>
      <c r="S5" s="832"/>
      <c r="T5" s="832"/>
      <c r="U5" s="832"/>
      <c r="V5" s="832"/>
      <c r="W5" s="833"/>
      <c r="Y5" s="1007" t="s">
        <v>1837</v>
      </c>
      <c r="Z5" s="832"/>
      <c r="AA5" s="832"/>
      <c r="AB5" s="832"/>
      <c r="AC5" s="832"/>
      <c r="AD5" s="832"/>
      <c r="AE5" s="832"/>
      <c r="AF5" s="833"/>
    </row>
    <row r="6" spans="1:32" s="38" customFormat="1" ht="21" x14ac:dyDescent="0.4">
      <c r="A6" s="36"/>
      <c r="B6" s="36"/>
      <c r="C6" s="816"/>
      <c r="D6" s="517"/>
      <c r="E6" s="521" t="s">
        <v>223</v>
      </c>
      <c r="F6" s="522" t="s">
        <v>222</v>
      </c>
      <c r="G6" s="813"/>
      <c r="H6" s="521" t="s">
        <v>223</v>
      </c>
      <c r="I6" s="522" t="s">
        <v>222</v>
      </c>
      <c r="J6" s="813"/>
      <c r="K6" s="814"/>
      <c r="L6" s="524"/>
      <c r="M6" s="815"/>
      <c r="P6" s="834" t="s">
        <v>54</v>
      </c>
      <c r="Q6" s="652" t="s">
        <v>57</v>
      </c>
      <c r="R6" s="652" t="s">
        <v>1763</v>
      </c>
      <c r="S6" s="652" t="s">
        <v>1781</v>
      </c>
      <c r="T6" s="652" t="s">
        <v>1782</v>
      </c>
      <c r="U6" s="652" t="s">
        <v>1783</v>
      </c>
      <c r="V6" s="652" t="s">
        <v>1784</v>
      </c>
      <c r="W6" s="835" t="s">
        <v>157</v>
      </c>
      <c r="Y6" s="1008" t="s">
        <v>53</v>
      </c>
      <c r="Z6" s="1009" t="s">
        <v>45</v>
      </c>
      <c r="AA6" s="1009" t="s">
        <v>1781</v>
      </c>
      <c r="AB6" s="1009" t="s">
        <v>1832</v>
      </c>
      <c r="AC6" s="1009" t="s">
        <v>170</v>
      </c>
      <c r="AD6" s="1009" t="s">
        <v>1833</v>
      </c>
      <c r="AE6" s="1009" t="s">
        <v>1784</v>
      </c>
      <c r="AF6" s="1010" t="s">
        <v>157</v>
      </c>
    </row>
    <row r="7" spans="1:32" s="38" customFormat="1" ht="15" customHeight="1" x14ac:dyDescent="0.25">
      <c r="A7" s="36"/>
      <c r="B7" s="36"/>
      <c r="C7" s="817"/>
      <c r="D7" s="36"/>
      <c r="E7" s="474"/>
      <c r="F7" s="206"/>
      <c r="G7" s="813"/>
      <c r="H7" s="474"/>
      <c r="I7" s="206"/>
      <c r="J7" s="813"/>
      <c r="K7" s="813"/>
      <c r="L7" s="209"/>
      <c r="M7" s="815"/>
      <c r="P7" s="836" t="s">
        <v>237</v>
      </c>
      <c r="Q7" s="837">
        <f>'Exec Summ'!E30</f>
        <v>0</v>
      </c>
      <c r="R7" s="799" t="e">
        <f>Q7/$Q$12</f>
        <v>#DIV/0!</v>
      </c>
      <c r="S7" s="845" t="e">
        <f>'Exec Summ'!G30</f>
        <v>#DIV/0!</v>
      </c>
      <c r="T7" s="846">
        <f>'Exec Summ'!H30</f>
        <v>0</v>
      </c>
      <c r="U7" s="846">
        <f>'Exec Summ'!I30</f>
        <v>0</v>
      </c>
      <c r="V7" s="847" t="e">
        <f>'Exec Summ'!J30</f>
        <v>#DIV/0!</v>
      </c>
      <c r="W7" s="848" t="e">
        <f>'Exec Summ'!K30</f>
        <v>#DIV/0!</v>
      </c>
      <c r="Y7" s="1011"/>
      <c r="Z7" s="1012"/>
      <c r="AA7" s="684"/>
      <c r="AB7" s="1013"/>
      <c r="AC7" s="1014"/>
      <c r="AD7" s="1014"/>
      <c r="AE7" s="1015"/>
      <c r="AF7" s="1016"/>
    </row>
    <row r="8" spans="1:32" s="44" customFormat="1" ht="15" customHeight="1" x14ac:dyDescent="0.3">
      <c r="A8" s="43"/>
      <c r="B8" s="43"/>
      <c r="C8" s="818"/>
      <c r="D8" s="45" t="s">
        <v>50</v>
      </c>
      <c r="E8" s="475"/>
      <c r="F8" s="207"/>
      <c r="G8" s="819"/>
      <c r="H8" s="475"/>
      <c r="I8" s="512"/>
      <c r="J8" s="819"/>
      <c r="K8" s="819"/>
      <c r="L8" s="210"/>
      <c r="M8" s="820"/>
      <c r="P8" s="838" t="s">
        <v>1764</v>
      </c>
      <c r="Q8" s="839">
        <f>'Exec Summ'!E31</f>
        <v>0</v>
      </c>
      <c r="R8" s="800" t="e">
        <f t="shared" ref="R8:R11" si="0">Q8/$Q$12</f>
        <v>#DIV/0!</v>
      </c>
      <c r="S8" s="849" t="e">
        <f>'Exec Summ'!G31</f>
        <v>#DIV/0!</v>
      </c>
      <c r="T8" s="850">
        <f>'Exec Summ'!H31</f>
        <v>0</v>
      </c>
      <c r="U8" s="850">
        <f>'Exec Summ'!I31</f>
        <v>0</v>
      </c>
      <c r="V8" s="851" t="e">
        <f>'Exec Summ'!J31</f>
        <v>#DIV/0!</v>
      </c>
      <c r="W8" s="852" t="e">
        <f>'Exec Summ'!K31</f>
        <v>#DIV/0!</v>
      </c>
      <c r="Y8" s="838"/>
      <c r="Z8" s="1017"/>
      <c r="AA8" s="686"/>
      <c r="AB8" s="1018"/>
      <c r="AC8" s="1019"/>
      <c r="AD8" s="1019"/>
      <c r="AE8" s="1020"/>
      <c r="AF8" s="1021"/>
    </row>
    <row r="9" spans="1:32" s="44" customFormat="1" ht="15" customHeight="1" x14ac:dyDescent="0.3">
      <c r="A9" s="43"/>
      <c r="B9" s="43"/>
      <c r="C9" s="818"/>
      <c r="D9" s="49" t="s">
        <v>48</v>
      </c>
      <c r="E9" s="476" t="e">
        <f t="shared" ref="E9:E10" si="1">F9/$O$3</f>
        <v>#DIV/0!</v>
      </c>
      <c r="F9" s="465" t="e">
        <f>INDEX('P&amp;Ls Summary'!$S$8:$S$40,MATCH('External UW'!D9,'P&amp;Ls Summary'!$D$8:$D$40,0))</f>
        <v>#DIV/0!</v>
      </c>
      <c r="G9" s="819"/>
      <c r="H9" s="476" t="e">
        <f t="shared" ref="H9:H22" si="2">I9/$O$3</f>
        <v>#DIV/0!</v>
      </c>
      <c r="I9" s="465" t="e">
        <f>INDEX('P&amp;Ls Summary'!$V$8:$V$40,MATCH('External UW'!D9,'P&amp;Ls Summary'!$D$8:$D$40,0))</f>
        <v>#DIV/0!</v>
      </c>
      <c r="J9" s="819"/>
      <c r="K9" s="819"/>
      <c r="L9" s="211" t="str">
        <f>INDEX('P&amp;Ls Summary'!$X$8:$X$40,MATCH('External UW'!D9,'P&amp;Ls Summary'!$D$8:$D$40,0))</f>
        <v>See Unit Mix</v>
      </c>
      <c r="M9" s="820"/>
      <c r="P9" s="836" t="s">
        <v>1765</v>
      </c>
      <c r="Q9" s="837">
        <f>'Exec Summ'!E32</f>
        <v>0</v>
      </c>
      <c r="R9" s="799" t="e">
        <f t="shared" si="0"/>
        <v>#DIV/0!</v>
      </c>
      <c r="S9" s="845" t="e">
        <f>'Exec Summ'!G32</f>
        <v>#DIV/0!</v>
      </c>
      <c r="T9" s="846">
        <f>'Exec Summ'!H32</f>
        <v>0</v>
      </c>
      <c r="U9" s="846">
        <f>'Exec Summ'!I32</f>
        <v>0</v>
      </c>
      <c r="V9" s="847" t="e">
        <f>'Exec Summ'!J32</f>
        <v>#DIV/0!</v>
      </c>
      <c r="W9" s="848" t="e">
        <f>'Exec Summ'!K32</f>
        <v>#DIV/0!</v>
      </c>
      <c r="Y9" s="836"/>
      <c r="Z9" s="1012"/>
      <c r="AA9" s="684"/>
      <c r="AB9" s="1013"/>
      <c r="AC9" s="1014"/>
      <c r="AD9" s="1014"/>
      <c r="AE9" s="1015"/>
      <c r="AF9" s="1016"/>
    </row>
    <row r="10" spans="1:32" s="44" customFormat="1" ht="15" customHeight="1" x14ac:dyDescent="0.3">
      <c r="A10" s="43"/>
      <c r="B10" s="43"/>
      <c r="C10" s="821"/>
      <c r="D10" s="49" t="s">
        <v>224</v>
      </c>
      <c r="E10" s="477" t="e">
        <f t="shared" si="1"/>
        <v>#DIV/0!</v>
      </c>
      <c r="F10" s="464" t="e">
        <f>INDEX('P&amp;Ls Summary'!$S$8:$S$40,MATCH('External UW'!D10,'P&amp;Ls Summary'!$D$8:$D$40,0))</f>
        <v>#DIV/0!</v>
      </c>
      <c r="G10" s="819"/>
      <c r="H10" s="477" t="e">
        <f t="shared" si="2"/>
        <v>#DIV/0!</v>
      </c>
      <c r="I10" s="464" t="e">
        <f>INDEX('P&amp;Ls Summary'!$V$8:$V$40,MATCH('External UW'!D10,'P&amp;Ls Summary'!$D$8:$D$40,0))</f>
        <v>#DIV/0!</v>
      </c>
      <c r="J10" s="819"/>
      <c r="K10" s="819"/>
      <c r="L10" s="212" t="str">
        <f>INDEX('P&amp;Ls Summary'!$X$8:$X$40,MATCH('External UW'!D10,'P&amp;Ls Summary'!$D$8:$D$40,0))</f>
        <v>Market Rents Less Gross Rents</v>
      </c>
      <c r="M10" s="820"/>
      <c r="O10" s="449"/>
      <c r="P10" s="838" t="s">
        <v>1766</v>
      </c>
      <c r="Q10" s="839">
        <f>'Exec Summ'!E33</f>
        <v>0</v>
      </c>
      <c r="R10" s="800" t="e">
        <f t="shared" si="0"/>
        <v>#DIV/0!</v>
      </c>
      <c r="S10" s="849" t="e">
        <f>'Exec Summ'!G33</f>
        <v>#DIV/0!</v>
      </c>
      <c r="T10" s="850">
        <f>'Exec Summ'!H33</f>
        <v>0</v>
      </c>
      <c r="U10" s="850">
        <f>'Exec Summ'!I33</f>
        <v>0</v>
      </c>
      <c r="V10" s="851" t="e">
        <f>'Exec Summ'!J33</f>
        <v>#DIV/0!</v>
      </c>
      <c r="W10" s="853" t="e">
        <f>'Exec Summ'!K33</f>
        <v>#DIV/0!</v>
      </c>
      <c r="Y10" s="838"/>
      <c r="Z10" s="1017"/>
      <c r="AA10" s="686"/>
      <c r="AB10" s="1018"/>
      <c r="AC10" s="1019"/>
      <c r="AD10" s="1019"/>
      <c r="AE10" s="1020"/>
      <c r="AF10" s="1022"/>
    </row>
    <row r="11" spans="1:32" s="44" customFormat="1" ht="15" customHeight="1" x14ac:dyDescent="0.3">
      <c r="A11" s="43"/>
      <c r="B11" s="43"/>
      <c r="C11" s="821"/>
      <c r="D11" s="486" t="s">
        <v>225</v>
      </c>
      <c r="E11" s="478" t="e">
        <f t="shared" ref="E11:E22" si="3">F11/$O$3</f>
        <v>#DIV/0!</v>
      </c>
      <c r="F11" s="471" t="e">
        <f>SUM(F9:F10)</f>
        <v>#DIV/0!</v>
      </c>
      <c r="G11" s="819"/>
      <c r="H11" s="478" t="e">
        <f t="shared" si="2"/>
        <v>#DIV/0!</v>
      </c>
      <c r="I11" s="471" t="e">
        <f>SUM(I9:I10)</f>
        <v>#DIV/0!</v>
      </c>
      <c r="J11" s="819"/>
      <c r="K11" s="819"/>
      <c r="L11" s="211"/>
      <c r="M11" s="820"/>
      <c r="O11" s="449"/>
      <c r="P11" s="836" t="s">
        <v>1767</v>
      </c>
      <c r="Q11" s="837">
        <f>'Exec Summ'!E34</f>
        <v>0</v>
      </c>
      <c r="R11" s="799" t="e">
        <f t="shared" si="0"/>
        <v>#DIV/0!</v>
      </c>
      <c r="S11" s="845" t="e">
        <f>'Exec Summ'!G34</f>
        <v>#DIV/0!</v>
      </c>
      <c r="T11" s="846">
        <f>'Exec Summ'!H34</f>
        <v>0</v>
      </c>
      <c r="U11" s="846">
        <f>'Exec Summ'!I34</f>
        <v>0</v>
      </c>
      <c r="V11" s="847" t="e">
        <f>'Exec Summ'!J34</f>
        <v>#DIV/0!</v>
      </c>
      <c r="W11" s="848" t="e">
        <f>'Exec Summ'!K34</f>
        <v>#DIV/0!</v>
      </c>
      <c r="Y11" s="836"/>
      <c r="Z11" s="1012"/>
      <c r="AA11" s="684"/>
      <c r="AB11" s="1013"/>
      <c r="AC11" s="1014"/>
      <c r="AD11" s="1014"/>
      <c r="AE11" s="1015"/>
      <c r="AF11" s="1016"/>
    </row>
    <row r="12" spans="1:32" s="44" customFormat="1" ht="15" customHeight="1" x14ac:dyDescent="0.3">
      <c r="A12" s="43"/>
      <c r="B12" s="43"/>
      <c r="C12" s="821"/>
      <c r="D12" s="49" t="s">
        <v>217</v>
      </c>
      <c r="E12" s="477" t="e">
        <f t="shared" si="3"/>
        <v>#DIV/0!</v>
      </c>
      <c r="F12" s="464">
        <f>INDEX('P&amp;Ls Summary'!$S$8:$S$40,MATCH('External UW'!D12,'P&amp;Ls Summary'!$D$8:$D$40,0))</f>
        <v>0</v>
      </c>
      <c r="G12" s="819"/>
      <c r="H12" s="477" t="e">
        <f t="shared" si="2"/>
        <v>#DIV/0!</v>
      </c>
      <c r="I12" s="464" t="e">
        <f>INDEX('P&amp;Ls Summary'!$V$8:$V$40,MATCH('External UW'!D12,'P&amp;Ls Summary'!$D$8:$D$40,0))</f>
        <v>#DIV/0!</v>
      </c>
      <c r="J12" s="819"/>
      <c r="K12" s="819"/>
      <c r="L12" s="212" t="str">
        <f>INDEX('P&amp;Ls Summary'!$X$8:$X$40,MATCH('External UW'!D12,'P&amp;Ls Summary'!$D$8:$D$40,0))</f>
        <v>3.0% of Gross Rental Income</v>
      </c>
      <c r="M12" s="820"/>
      <c r="O12" s="449"/>
      <c r="P12" s="840" t="s">
        <v>21</v>
      </c>
      <c r="Q12" s="841">
        <f>SUM(Q7:Q11)</f>
        <v>0</v>
      </c>
      <c r="R12" s="801" t="e">
        <f>SUM(R7:R11)</f>
        <v>#DIV/0!</v>
      </c>
      <c r="S12" s="854" t="e">
        <f>SUMPRODUCT(S7:S11,$Q$7:$Q$11)</f>
        <v>#DIV/0!</v>
      </c>
      <c r="T12" s="690"/>
      <c r="U12" s="690"/>
      <c r="V12" s="855" t="e">
        <f>'Exec Summ'!J35</f>
        <v>#DIV/0!</v>
      </c>
      <c r="W12" s="856" t="e">
        <f t="shared" ref="W12" si="4">SUMPRODUCT(W7:W11,$Q$7:$Q$11)</f>
        <v>#DIV/0!</v>
      </c>
      <c r="Y12" s="1023" t="s">
        <v>21</v>
      </c>
      <c r="Z12" s="1024"/>
      <c r="AA12" s="1025"/>
      <c r="AB12" s="1026"/>
      <c r="AC12" s="1027"/>
      <c r="AD12" s="1027"/>
      <c r="AE12" s="1028">
        <f>SUM(AE7:AE11)</f>
        <v>0</v>
      </c>
      <c r="AF12" s="1029">
        <f>SUM(AF7:AF11)</f>
        <v>0</v>
      </c>
    </row>
    <row r="13" spans="1:32" s="44" customFormat="1" ht="15" customHeight="1" x14ac:dyDescent="0.3">
      <c r="A13" s="43"/>
      <c r="B13" s="43"/>
      <c r="C13" s="821"/>
      <c r="D13" s="49" t="s">
        <v>195</v>
      </c>
      <c r="E13" s="477" t="e">
        <f t="shared" si="3"/>
        <v>#DIV/0!</v>
      </c>
      <c r="F13" s="464">
        <f>INDEX('P&amp;Ls Summary'!$S$8:$S$40,MATCH('External UW'!D13,'P&amp;Ls Summary'!$D$8:$D$40,0))</f>
        <v>0</v>
      </c>
      <c r="G13" s="819"/>
      <c r="H13" s="477" t="e">
        <f t="shared" si="2"/>
        <v>#DIV/0!</v>
      </c>
      <c r="I13" s="464" t="e">
        <f>INDEX('P&amp;Ls Summary'!$V$8:$V$40,MATCH('External UW'!D13,'P&amp;Ls Summary'!$D$8:$D$40,0))</f>
        <v>#DIV/0!</v>
      </c>
      <c r="J13" s="819"/>
      <c r="K13" s="819"/>
      <c r="L13" s="212" t="str">
        <f>INDEX('P&amp;Ls Summary'!$X$8:$X$40,MATCH('External UW'!D13,'P&amp;Ls Summary'!$D$8:$D$40,0))</f>
        <v>0.0% of Gross Rental Income</v>
      </c>
      <c r="M13" s="820"/>
      <c r="P13" s="842" t="s">
        <v>1786</v>
      </c>
      <c r="Q13" s="843"/>
      <c r="R13" s="843"/>
      <c r="S13" s="857" t="e">
        <f>SUMPRODUCT(S7:S11,$Q$7:$Q$11)/$Q$12</f>
        <v>#DIV/0!</v>
      </c>
      <c r="T13" s="844"/>
      <c r="U13" s="844"/>
      <c r="V13" s="858" t="e">
        <f>'Exec Summ'!J36</f>
        <v>#DIV/0!</v>
      </c>
      <c r="W13" s="859" t="e">
        <f>SUMPRODUCT(W7:W11,$Q$7:$Q$11)/$Q$12</f>
        <v>#DIV/0!</v>
      </c>
    </row>
    <row r="14" spans="1:32" s="44" customFormat="1" ht="15" customHeight="1" collapsed="1" x14ac:dyDescent="0.3">
      <c r="A14" s="43"/>
      <c r="B14" s="43"/>
      <c r="C14" s="821"/>
      <c r="D14" s="49" t="s">
        <v>193</v>
      </c>
      <c r="E14" s="477" t="e">
        <f t="shared" si="3"/>
        <v>#DIV/0!</v>
      </c>
      <c r="F14" s="464">
        <f>INDEX('P&amp;Ls Summary'!$S$8:$S$40,MATCH('External UW'!D14,'P&amp;Ls Summary'!$D$8:$D$40,0))</f>
        <v>0</v>
      </c>
      <c r="G14" s="819"/>
      <c r="H14" s="477" t="e">
        <f t="shared" si="2"/>
        <v>#DIV/0!</v>
      </c>
      <c r="I14" s="464" t="e">
        <f>INDEX('P&amp;Ls Summary'!$V$8:$V$40,MATCH('External UW'!D14,'P&amp;Ls Summary'!$D$8:$D$40,0))</f>
        <v>#DIV/0!</v>
      </c>
      <c r="J14" s="819"/>
      <c r="K14" s="819"/>
      <c r="L14" s="212" t="str">
        <f>INDEX('P&amp;Ls Summary'!$X$8:$X$40,MATCH('External UW'!D14,'P&amp;Ls Summary'!$D$8:$D$40,0))</f>
        <v>0.0% of Gross Rental Income</v>
      </c>
      <c r="M14" s="820"/>
    </row>
    <row r="15" spans="1:32" s="44" customFormat="1" ht="15" customHeight="1" x14ac:dyDescent="0.3">
      <c r="A15" s="43"/>
      <c r="B15" s="43"/>
      <c r="C15" s="821"/>
      <c r="D15" s="49" t="s">
        <v>36</v>
      </c>
      <c r="E15" s="477" t="e">
        <f t="shared" si="3"/>
        <v>#DIV/0!</v>
      </c>
      <c r="F15" s="464" t="e">
        <f>INDEX('P&amp;Ls Summary'!$S$8:$S$40,MATCH('External UW'!D15,'P&amp;Ls Summary'!$D$8:$D$40,0))</f>
        <v>#DIV/0!</v>
      </c>
      <c r="G15" s="819"/>
      <c r="H15" s="477" t="e">
        <f t="shared" si="2"/>
        <v>#DIV/0!</v>
      </c>
      <c r="I15" s="464" t="e">
        <f>INDEX('P&amp;Ls Summary'!$V$8:$V$40,MATCH('External UW'!D15,'P&amp;Ls Summary'!$D$8:$D$40,0))</f>
        <v>#DIV/0!</v>
      </c>
      <c r="J15" s="819"/>
      <c r="K15" s="819"/>
      <c r="L15" s="516" t="str">
        <f>INDEX('P&amp;Ls Summary'!$X$8:$X$40,MATCH('External UW'!D15,'P&amp;Ls Summary'!$D$8:$D$40,0))</f>
        <v>T12</v>
      </c>
      <c r="M15" s="820"/>
    </row>
    <row r="16" spans="1:32" s="44" customFormat="1" ht="15" customHeight="1" x14ac:dyDescent="0.3">
      <c r="A16" s="43"/>
      <c r="B16" s="43"/>
      <c r="C16" s="821"/>
      <c r="D16" s="49" t="s">
        <v>175</v>
      </c>
      <c r="E16" s="477" t="e">
        <f t="shared" si="3"/>
        <v>#DIV/0!</v>
      </c>
      <c r="F16" s="464" t="e">
        <f>INDEX('P&amp;Ls Summary'!$S$8:$S$40,MATCH('External UW'!D16,'P&amp;Ls Summary'!$D$8:$D$40,0))</f>
        <v>#DIV/0!</v>
      </c>
      <c r="G16" s="819"/>
      <c r="H16" s="477" t="e">
        <f t="shared" si="2"/>
        <v>#DIV/0!</v>
      </c>
      <c r="I16" s="464" t="e">
        <f>INDEX('P&amp;Ls Summary'!$V$8:$V$40,MATCH('External UW'!D16,'P&amp;Ls Summary'!$D$8:$D$40,0))</f>
        <v>#DIV/0!</v>
      </c>
      <c r="J16" s="819"/>
      <c r="K16" s="819"/>
      <c r="L16" s="212" t="str">
        <f>INDEX('P&amp;Ls Summary'!$X$8:$X$40,MATCH('External UW'!D16,'P&amp;Ls Summary'!$D$8:$D$40,0))</f>
        <v>T12</v>
      </c>
      <c r="M16" s="820"/>
    </row>
    <row r="17" spans="1:13" s="44" customFormat="1" ht="15" customHeight="1" x14ac:dyDescent="0.3">
      <c r="A17" s="43"/>
      <c r="B17" s="43"/>
      <c r="C17" s="821"/>
      <c r="D17" s="49" t="s">
        <v>1759</v>
      </c>
      <c r="E17" s="477" t="e">
        <f t="shared" ref="E17" si="5">F17/$O$3</f>
        <v>#DIV/0!</v>
      </c>
      <c r="F17" s="464" t="e">
        <f>INDEX('P&amp;Ls Summary'!$S$8:$S$40,MATCH('External UW'!D17,'P&amp;Ls Summary'!$D$8:$D$40,0))</f>
        <v>#DIV/0!</v>
      </c>
      <c r="G17" s="819"/>
      <c r="H17" s="477" t="e">
        <f t="shared" ref="H17" si="6">I17/$O$3</f>
        <v>#DIV/0!</v>
      </c>
      <c r="I17" s="464" t="e">
        <f>INDEX('P&amp;Ls Summary'!$V$8:$V$40,MATCH('External UW'!D17,'P&amp;Ls Summary'!$D$8:$D$40,0))</f>
        <v>#DIV/0!</v>
      </c>
      <c r="J17" s="819"/>
      <c r="K17" s="819"/>
      <c r="L17" s="212" t="str">
        <f>INDEX('P&amp;Ls Summary'!$X$8:$X$40,MATCH('External UW'!D17,'P&amp;Ls Summary'!$D$8:$D$40,0))</f>
        <v>T12</v>
      </c>
      <c r="M17" s="820"/>
    </row>
    <row r="18" spans="1:13" s="44" customFormat="1" ht="15" customHeight="1" x14ac:dyDescent="0.3">
      <c r="A18" s="43"/>
      <c r="B18" s="43"/>
      <c r="C18" s="821"/>
      <c r="D18" s="49" t="s">
        <v>194</v>
      </c>
      <c r="E18" s="477" t="e">
        <f t="shared" si="3"/>
        <v>#DIV/0!</v>
      </c>
      <c r="F18" s="464" t="e">
        <f>INDEX('P&amp;Ls Summary'!$S$8:$S$40,MATCH('External UW'!D18,'P&amp;Ls Summary'!$D$8:$D$40,0))</f>
        <v>#DIV/0!</v>
      </c>
      <c r="G18" s="819"/>
      <c r="H18" s="477" t="e">
        <f t="shared" si="2"/>
        <v>#DIV/0!</v>
      </c>
      <c r="I18" s="464" t="e">
        <f>INDEX('P&amp;Ls Summary'!$V$8:$V$40,MATCH('External UW'!D18,'P&amp;Ls Summary'!$D$8:$D$40,0))</f>
        <v>#DIV/0!</v>
      </c>
      <c r="J18" s="819"/>
      <c r="K18" s="819"/>
      <c r="L18" s="212" t="str">
        <f>INDEX('P&amp;Ls Summary'!$X$8:$X$40,MATCH('External UW'!D18,'P&amp;Ls Summary'!$D$8:$D$40,0))</f>
        <v>T12</v>
      </c>
      <c r="M18" s="820"/>
    </row>
    <row r="19" spans="1:13" s="44" customFormat="1" ht="15" customHeight="1" x14ac:dyDescent="0.3">
      <c r="A19" s="43"/>
      <c r="B19" s="43"/>
      <c r="C19" s="821"/>
      <c r="D19" s="49" t="s">
        <v>4</v>
      </c>
      <c r="E19" s="477" t="e">
        <f t="shared" ref="E19:E20" si="7">F19/$O$3</f>
        <v>#DIV/0!</v>
      </c>
      <c r="F19" s="464" t="e">
        <f>INDEX('P&amp;Ls Summary'!$S$8:$S$40,MATCH('External UW'!D19,'P&amp;Ls Summary'!$D$8:$D$40,0))</f>
        <v>#DIV/0!</v>
      </c>
      <c r="G19" s="819"/>
      <c r="H19" s="477" t="e">
        <f t="shared" ref="H19:H20" si="8">I19/$O$3</f>
        <v>#DIV/0!</v>
      </c>
      <c r="I19" s="464" t="e">
        <f>INDEX('P&amp;Ls Summary'!$V$8:$V$40,MATCH('External UW'!D19,'P&amp;Ls Summary'!$D$8:$D$40,0))</f>
        <v>#DIV/0!</v>
      </c>
      <c r="J19" s="819"/>
      <c r="K19" s="819"/>
      <c r="L19" s="212" t="str">
        <f>INDEX('P&amp;Ls Summary'!$X$8:$X$40,MATCH('External UW'!D19,'P&amp;Ls Summary'!$D$8:$D$40,0))</f>
        <v>T12</v>
      </c>
      <c r="M19" s="820"/>
    </row>
    <row r="20" spans="1:13" s="44" customFormat="1" ht="15" customHeight="1" x14ac:dyDescent="0.3">
      <c r="A20" s="43"/>
      <c r="B20" s="43"/>
      <c r="C20" s="821"/>
      <c r="D20" s="49" t="s">
        <v>1835</v>
      </c>
      <c r="E20" s="477" t="e">
        <f t="shared" si="7"/>
        <v>#DIV/0!</v>
      </c>
      <c r="F20" s="464">
        <f>INDEX('P&amp;Ls Summary'!$S$8:$S$40,MATCH('External UW'!D20,'P&amp;Ls Summary'!$D$8:$D$40,0))</f>
        <v>0</v>
      </c>
      <c r="G20" s="819"/>
      <c r="H20" s="477" t="e">
        <f t="shared" si="8"/>
        <v>#DIV/0!</v>
      </c>
      <c r="I20" s="464">
        <f>INDEX('P&amp;Ls Summary'!$V$8:$V$40,MATCH('External UW'!D20,'P&amp;Ls Summary'!$D$8:$D$40,0))</f>
        <v>0</v>
      </c>
      <c r="J20" s="819"/>
      <c r="K20" s="819"/>
      <c r="L20" s="212" t="str">
        <f>INDEX('P&amp;Ls Summary'!$X$8:$X$40,MATCH('External UW'!D20,'P&amp;Ls Summary'!$D$8:$D$40,0))</f>
        <v>See Commercial Unit Summary</v>
      </c>
      <c r="M20" s="820"/>
    </row>
    <row r="21" spans="1:13" s="44" customFormat="1" ht="15" customHeight="1" x14ac:dyDescent="0.3">
      <c r="A21" s="43"/>
      <c r="B21" s="43"/>
      <c r="C21" s="821"/>
      <c r="D21" s="52" t="s">
        <v>1836</v>
      </c>
      <c r="E21" s="477" t="e">
        <f t="shared" si="3"/>
        <v>#DIV/0!</v>
      </c>
      <c r="F21" s="464">
        <f>INDEX('P&amp;Ls Summary'!$S$8:$S$40,MATCH('External UW'!D21,'P&amp;Ls Summary'!$D$8:$D$40,0))</f>
        <v>0</v>
      </c>
      <c r="G21" s="819"/>
      <c r="H21" s="477" t="e">
        <f t="shared" si="2"/>
        <v>#DIV/0!</v>
      </c>
      <c r="I21" s="464">
        <f>INDEX('P&amp;Ls Summary'!$V$8:$V$40,MATCH('External UW'!D21,'P&amp;Ls Summary'!$D$8:$D$40,0))</f>
        <v>0</v>
      </c>
      <c r="J21" s="819"/>
      <c r="K21" s="819"/>
      <c r="L21" s="212" t="str">
        <f>INDEX('P&amp;Ls Summary'!$X$8:$X$40,MATCH('External UW'!D21,'P&amp;Ls Summary'!$D$8:$D$40,0))</f>
        <v>5.0% of Retail Income</v>
      </c>
      <c r="M21" s="820"/>
    </row>
    <row r="22" spans="1:13" s="44" customFormat="1" ht="15" customHeight="1" x14ac:dyDescent="0.3">
      <c r="A22" s="43"/>
      <c r="B22" s="43"/>
      <c r="C22" s="817"/>
      <c r="D22" s="56" t="s">
        <v>29</v>
      </c>
      <c r="E22" s="479" t="e">
        <f t="shared" si="3"/>
        <v>#DIV/0!</v>
      </c>
      <c r="F22" s="466" t="e">
        <f>SUM(F11:F21)</f>
        <v>#DIV/0!</v>
      </c>
      <c r="G22" s="819"/>
      <c r="H22" s="479" t="e">
        <f t="shared" si="2"/>
        <v>#DIV/0!</v>
      </c>
      <c r="I22" s="466" t="e">
        <f>SUM(I11:I21)</f>
        <v>#DIV/0!</v>
      </c>
      <c r="J22" s="819"/>
      <c r="K22" s="819"/>
      <c r="L22" s="213"/>
      <c r="M22" s="820"/>
    </row>
    <row r="23" spans="1:13" s="44" customFormat="1" ht="7.35" customHeight="1" x14ac:dyDescent="0.3">
      <c r="A23" s="43"/>
      <c r="B23" s="43"/>
      <c r="C23" s="821"/>
      <c r="D23" s="58"/>
      <c r="E23" s="480"/>
      <c r="F23" s="208"/>
      <c r="G23" s="819"/>
      <c r="H23" s="480"/>
      <c r="I23" s="208"/>
      <c r="J23" s="819"/>
      <c r="K23" s="819"/>
      <c r="L23" s="214"/>
      <c r="M23" s="820"/>
    </row>
    <row r="24" spans="1:13" s="44" customFormat="1" ht="15" customHeight="1" x14ac:dyDescent="0.3">
      <c r="A24" s="43"/>
      <c r="B24" s="43"/>
      <c r="C24" s="818"/>
      <c r="D24" s="60" t="s">
        <v>51</v>
      </c>
      <c r="E24" s="480"/>
      <c r="F24" s="208"/>
      <c r="G24" s="819"/>
      <c r="H24" s="480"/>
      <c r="I24" s="208"/>
      <c r="J24" s="819"/>
      <c r="K24" s="819"/>
      <c r="L24" s="214"/>
      <c r="M24" s="820"/>
    </row>
    <row r="25" spans="1:13" s="44" customFormat="1" ht="15" customHeight="1" x14ac:dyDescent="0.3">
      <c r="A25" s="43"/>
      <c r="B25" s="43"/>
      <c r="C25" s="822"/>
      <c r="D25" s="49" t="s">
        <v>52</v>
      </c>
      <c r="E25" s="476" t="e">
        <f t="shared" ref="E25:E39" si="9">F25/$O$3</f>
        <v>#DIV/0!</v>
      </c>
      <c r="F25" s="465" t="e">
        <f>INDEX('P&amp;Ls Summary'!$S$8:$S$40,MATCH('External UW'!D25,'P&amp;Ls Summary'!$D$8:$D$40,0))</f>
        <v>#DIV/0!</v>
      </c>
      <c r="G25" s="819"/>
      <c r="H25" s="476" t="e">
        <f t="shared" ref="H25:H39" si="10">I25/$O$3</f>
        <v>#DIV/0!</v>
      </c>
      <c r="I25" s="465" t="e">
        <f>INDEX('P&amp;Ls Summary'!$V$8:$V$40,MATCH('External UW'!D25,'P&amp;Ls Summary'!$D$8:$D$40,0))</f>
        <v>#DIV/0!</v>
      </c>
      <c r="J25" s="819"/>
      <c r="K25" s="819"/>
      <c r="L25" s="212" t="str">
        <f>INDEX('P&amp;Ls Summary'!$X$8:$X$40,MATCH('External UW'!D25,'P&amp;Ls Summary'!$D$8:$D$40,0))</f>
        <v>T12</v>
      </c>
      <c r="M25" s="820"/>
    </row>
    <row r="26" spans="1:13" s="44" customFormat="1" ht="15" customHeight="1" x14ac:dyDescent="0.3">
      <c r="A26" s="43"/>
      <c r="B26" s="43"/>
      <c r="C26" s="822"/>
      <c r="D26" s="49" t="s">
        <v>10</v>
      </c>
      <c r="E26" s="477" t="e">
        <f t="shared" si="9"/>
        <v>#DIV/0!</v>
      </c>
      <c r="F26" s="464" t="e">
        <f>INDEX('P&amp;Ls Summary'!$S$8:$S$40,MATCH('External UW'!D26,'P&amp;Ls Summary'!$D$8:$D$40,0))</f>
        <v>#DIV/0!</v>
      </c>
      <c r="G26" s="819"/>
      <c r="H26" s="477" t="e">
        <f t="shared" si="10"/>
        <v>#DIV/0!</v>
      </c>
      <c r="I26" s="464" t="e">
        <f>INDEX('P&amp;Ls Summary'!$V$8:$V$40,MATCH('External UW'!D26,'P&amp;Ls Summary'!$D$8:$D$40,0))</f>
        <v>#DIV/0!</v>
      </c>
      <c r="J26" s="819"/>
      <c r="K26" s="819"/>
      <c r="L26" s="212" t="str">
        <f>INDEX('P&amp;Ls Summary'!$X$8:$X$40,MATCH('External UW'!D26,'P&amp;Ls Summary'!$D$8:$D$40,0))</f>
        <v>T12</v>
      </c>
      <c r="M26" s="820"/>
    </row>
    <row r="27" spans="1:13" s="44" customFormat="1" ht="15" customHeight="1" x14ac:dyDescent="0.3">
      <c r="A27" s="43"/>
      <c r="B27" s="43"/>
      <c r="C27" s="822"/>
      <c r="D27" s="49" t="s">
        <v>1869</v>
      </c>
      <c r="E27" s="477" t="e">
        <f t="shared" ref="E27" si="11">F27/$O$3</f>
        <v>#DIV/0!</v>
      </c>
      <c r="F27" s="464" t="e">
        <f>INDEX('P&amp;Ls Summary'!$S$8:$S$40,MATCH('External UW'!D27,'P&amp;Ls Summary'!$D$8:$D$40,0))</f>
        <v>#DIV/0!</v>
      </c>
      <c r="G27" s="819"/>
      <c r="H27" s="477" t="e">
        <f t="shared" ref="H27" si="12">I27/$O$3</f>
        <v>#DIV/0!</v>
      </c>
      <c r="I27" s="464" t="e">
        <f>INDEX('P&amp;Ls Summary'!$V$8:$V$40,MATCH('External UW'!D27,'P&amp;Ls Summary'!$D$8:$D$40,0))</f>
        <v>#DIV/0!</v>
      </c>
      <c r="J27" s="819"/>
      <c r="K27" s="819"/>
      <c r="L27" s="212" t="str">
        <f>INDEX('P&amp;Ls Summary'!$X$8:$X$40,MATCH('External UW'!D27,'P&amp;Ls Summary'!$D$8:$D$40,0))</f>
        <v>T12</v>
      </c>
      <c r="M27" s="820"/>
    </row>
    <row r="28" spans="1:13" s="44" customFormat="1" ht="15" customHeight="1" x14ac:dyDescent="0.3">
      <c r="A28" s="43"/>
      <c r="B28" s="43"/>
      <c r="C28" s="822"/>
      <c r="D28" s="49" t="s">
        <v>38</v>
      </c>
      <c r="E28" s="477" t="e">
        <f t="shared" si="9"/>
        <v>#DIV/0!</v>
      </c>
      <c r="F28" s="464" t="e">
        <f>INDEX('P&amp;Ls Summary'!$S$8:$S$40,MATCH('External UW'!D28,'P&amp;Ls Summary'!$D$8:$D$40,0))</f>
        <v>#DIV/0!</v>
      </c>
      <c r="G28" s="819"/>
      <c r="H28" s="477" t="e">
        <f t="shared" si="10"/>
        <v>#DIV/0!</v>
      </c>
      <c r="I28" s="464" t="e">
        <f>INDEX('P&amp;Ls Summary'!$V$8:$V$40,MATCH('External UW'!D28,'P&amp;Ls Summary'!$D$8:$D$40,0))</f>
        <v>#DIV/0!</v>
      </c>
      <c r="J28" s="819"/>
      <c r="K28" s="819"/>
      <c r="L28" s="212" t="str">
        <f>INDEX('P&amp;Ls Summary'!$X$8:$X$40,MATCH('External UW'!D28,'P&amp;Ls Summary'!$D$8:$D$40,0))</f>
        <v>T12</v>
      </c>
      <c r="M28" s="820"/>
    </row>
    <row r="29" spans="1:13" s="44" customFormat="1" ht="15" customHeight="1" x14ac:dyDescent="0.3">
      <c r="A29" s="43"/>
      <c r="B29" s="43"/>
      <c r="C29" s="822"/>
      <c r="D29" s="49" t="s">
        <v>39</v>
      </c>
      <c r="E29" s="477" t="e">
        <f t="shared" si="9"/>
        <v>#DIV/0!</v>
      </c>
      <c r="F29" s="464" t="e">
        <f>INDEX('P&amp;Ls Summary'!$S$8:$S$40,MATCH('External UW'!D29,'P&amp;Ls Summary'!$D$8:$D$40,0))</f>
        <v>#DIV/0!</v>
      </c>
      <c r="G29" s="819"/>
      <c r="H29" s="477" t="e">
        <f t="shared" si="10"/>
        <v>#DIV/0!</v>
      </c>
      <c r="I29" s="464" t="e">
        <f>INDEX('P&amp;Ls Summary'!$V$8:$V$40,MATCH('External UW'!D29,'P&amp;Ls Summary'!$D$8:$D$40,0))</f>
        <v>#DIV/0!</v>
      </c>
      <c r="J29" s="819"/>
      <c r="K29" s="819"/>
      <c r="L29" s="212" t="str">
        <f>INDEX('P&amp;Ls Summary'!$X$8:$X$40,MATCH('External UW'!D29,'P&amp;Ls Summary'!$D$8:$D$40,0))</f>
        <v>T12</v>
      </c>
      <c r="M29" s="820"/>
    </row>
    <row r="30" spans="1:13" s="44" customFormat="1" ht="15" customHeight="1" x14ac:dyDescent="0.3">
      <c r="A30" s="43"/>
      <c r="B30" s="43"/>
      <c r="C30" s="822"/>
      <c r="D30" s="49" t="s">
        <v>40</v>
      </c>
      <c r="E30" s="477" t="e">
        <f t="shared" si="9"/>
        <v>#DIV/0!</v>
      </c>
      <c r="F30" s="464" t="e">
        <f>INDEX('P&amp;Ls Summary'!$S$8:$S$40,MATCH('External UW'!D30,'P&amp;Ls Summary'!$D$8:$D$40,0))</f>
        <v>#DIV/0!</v>
      </c>
      <c r="G30" s="819"/>
      <c r="H30" s="477" t="e">
        <f t="shared" si="10"/>
        <v>#DIV/0!</v>
      </c>
      <c r="I30" s="464" t="e">
        <f>INDEX('P&amp;Ls Summary'!$V$8:$V$40,MATCH('External UW'!D30,'P&amp;Ls Summary'!$D$8:$D$40,0))</f>
        <v>#DIV/0!</v>
      </c>
      <c r="J30" s="819"/>
      <c r="K30" s="819"/>
      <c r="L30" s="212" t="str">
        <f>INDEX('P&amp;Ls Summary'!$X$8:$X$40,MATCH('External UW'!D30,'P&amp;Ls Summary'!$D$8:$D$40,0))</f>
        <v>T12</v>
      </c>
      <c r="M30" s="820"/>
    </row>
    <row r="31" spans="1:13" s="44" customFormat="1" ht="15" customHeight="1" x14ac:dyDescent="0.3">
      <c r="A31" s="43"/>
      <c r="B31" s="43"/>
      <c r="C31" s="822"/>
      <c r="D31" s="49" t="s">
        <v>41</v>
      </c>
      <c r="E31" s="477" t="e">
        <f t="shared" si="9"/>
        <v>#DIV/0!</v>
      </c>
      <c r="F31" s="464" t="e">
        <f>INDEX('P&amp;Ls Summary'!$S$8:$S$40,MATCH('External UW'!D31,'P&amp;Ls Summary'!$D$8:$D$40,0))</f>
        <v>#DIV/0!</v>
      </c>
      <c r="G31" s="819"/>
      <c r="H31" s="477" t="e">
        <f t="shared" si="10"/>
        <v>#DIV/0!</v>
      </c>
      <c r="I31" s="464" t="e">
        <f>INDEX('P&amp;Ls Summary'!$V$8:$V$40,MATCH('External UW'!D31,'P&amp;Ls Summary'!$D$8:$D$40,0))</f>
        <v>#DIV/0!</v>
      </c>
      <c r="J31" s="819"/>
      <c r="K31" s="819"/>
      <c r="L31" s="212" t="str">
        <f>INDEX('P&amp;Ls Summary'!$X$8:$X$40,MATCH('External UW'!D31,'P&amp;Ls Summary'!$D$8:$D$40,0))</f>
        <v>T12</v>
      </c>
      <c r="M31" s="820"/>
    </row>
    <row r="32" spans="1:13" s="44" customFormat="1" ht="15" customHeight="1" x14ac:dyDescent="0.3">
      <c r="A32" s="43"/>
      <c r="B32" s="43"/>
      <c r="C32" s="822"/>
      <c r="D32" s="49" t="s">
        <v>9</v>
      </c>
      <c r="E32" s="477" t="e">
        <f t="shared" si="9"/>
        <v>#DIV/0!</v>
      </c>
      <c r="F32" s="464" t="e">
        <f>INDEX('P&amp;Ls Summary'!$S$8:$S$40,MATCH('External UW'!D32,'P&amp;Ls Summary'!$D$8:$D$40,0))</f>
        <v>#DIV/0!</v>
      </c>
      <c r="G32" s="819"/>
      <c r="H32" s="477" t="e">
        <f t="shared" si="10"/>
        <v>#DIV/0!</v>
      </c>
      <c r="I32" s="464" t="e">
        <f>INDEX('P&amp;Ls Summary'!$V$8:$V$40,MATCH('External UW'!D32,'P&amp;Ls Summary'!$D$8:$D$40,0))</f>
        <v>#DIV/0!</v>
      </c>
      <c r="J32" s="819"/>
      <c r="K32" s="819"/>
      <c r="L32" s="212" t="str">
        <f>INDEX('P&amp;Ls Summary'!$X$8:$X$40,MATCH('External UW'!D32,'P&amp;Ls Summary'!$D$8:$D$40,0))</f>
        <v>T12</v>
      </c>
      <c r="M32" s="820"/>
    </row>
    <row r="33" spans="1:13" s="44" customFormat="1" ht="15" customHeight="1" x14ac:dyDescent="0.3">
      <c r="A33" s="43"/>
      <c r="B33" s="43"/>
      <c r="C33" s="822"/>
      <c r="D33" s="49" t="s">
        <v>7</v>
      </c>
      <c r="E33" s="477" t="e">
        <f t="shared" si="9"/>
        <v>#DIV/0!</v>
      </c>
      <c r="F33" s="464" t="e">
        <f>INDEX('P&amp;Ls Summary'!$S$8:$S$40,MATCH('External UW'!D33,'P&amp;Ls Summary'!$D$8:$D$40,0))</f>
        <v>#DIV/0!</v>
      </c>
      <c r="G33" s="819"/>
      <c r="H33" s="477" t="e">
        <f t="shared" si="10"/>
        <v>#DIV/0!</v>
      </c>
      <c r="I33" s="464" t="e">
        <f>INDEX('P&amp;Ls Summary'!$V$8:$V$40,MATCH('External UW'!D33,'P&amp;Ls Summary'!$D$8:$D$40,0))</f>
        <v>#DIV/0!</v>
      </c>
      <c r="J33" s="819"/>
      <c r="K33" s="819"/>
      <c r="L33" s="212" t="str">
        <f>INDEX('P&amp;Ls Summary'!$X$8:$X$40,MATCH('External UW'!D33,'P&amp;Ls Summary'!$D$8:$D$40,0))</f>
        <v>T12</v>
      </c>
      <c r="M33" s="820"/>
    </row>
    <row r="34" spans="1:13" s="44" customFormat="1" ht="15" customHeight="1" x14ac:dyDescent="0.3">
      <c r="A34" s="43"/>
      <c r="B34" s="43"/>
      <c r="C34" s="822"/>
      <c r="D34" s="49" t="s">
        <v>202</v>
      </c>
      <c r="E34" s="477" t="e">
        <f t="shared" si="9"/>
        <v>#DIV/0!</v>
      </c>
      <c r="F34" s="464" t="e">
        <f>INDEX('P&amp;Ls Summary'!$S$8:$S$40,MATCH('External UW'!D34,'P&amp;Ls Summary'!$D$8:$D$40,0))</f>
        <v>#DIV/0!</v>
      </c>
      <c r="G34" s="819"/>
      <c r="H34" s="477" t="e">
        <f t="shared" si="10"/>
        <v>#DIV/0!</v>
      </c>
      <c r="I34" s="464" t="e">
        <f>INDEX('P&amp;Ls Summary'!$V$8:$V$40,MATCH('External UW'!D34,'P&amp;Ls Summary'!$D$8:$D$40,0))</f>
        <v>#DIV/0!</v>
      </c>
      <c r="J34" s="819"/>
      <c r="K34" s="819"/>
      <c r="L34" s="212" t="str">
        <f>INDEX('P&amp;Ls Summary'!$X$8:$X$40,MATCH('External UW'!D34,'P&amp;Ls Summary'!$D$8:$D$40,0))</f>
        <v>T12</v>
      </c>
      <c r="M34" s="820"/>
    </row>
    <row r="35" spans="1:13" s="44" customFormat="1" ht="15" customHeight="1" x14ac:dyDescent="0.3">
      <c r="A35" s="43"/>
      <c r="B35" s="43"/>
      <c r="C35" s="822"/>
      <c r="D35" s="49" t="s">
        <v>37</v>
      </c>
      <c r="E35" s="477" t="e">
        <f t="shared" si="9"/>
        <v>#DIV/0!</v>
      </c>
      <c r="F35" s="464" t="e">
        <f>INDEX('P&amp;Ls Summary'!$S$8:$S$40,MATCH('External UW'!D35,'P&amp;Ls Summary'!$D$8:$D$40,0))</f>
        <v>#DIV/0!</v>
      </c>
      <c r="G35" s="819"/>
      <c r="H35" s="477" t="e">
        <f t="shared" si="10"/>
        <v>#DIV/0!</v>
      </c>
      <c r="I35" s="464" t="e">
        <f>INDEX('P&amp;Ls Summary'!$V$8:$V$40,MATCH('External UW'!D35,'P&amp;Ls Summary'!$D$8:$D$40,0))</f>
        <v>#DIV/0!</v>
      </c>
      <c r="J35" s="819"/>
      <c r="K35" s="819"/>
      <c r="L35" s="212" t="str">
        <f>INDEX('P&amp;Ls Summary'!$X$8:$X$40,MATCH('External UW'!D35,'P&amp;Ls Summary'!$D$8:$D$40,0))</f>
        <v>T12</v>
      </c>
      <c r="M35" s="820"/>
    </row>
    <row r="36" spans="1:13" s="44" customFormat="1" ht="15" customHeight="1" x14ac:dyDescent="0.3">
      <c r="A36" s="43"/>
      <c r="B36" s="43"/>
      <c r="C36" s="822"/>
      <c r="D36" s="49" t="s">
        <v>8</v>
      </c>
      <c r="E36" s="477" t="e">
        <f t="shared" si="9"/>
        <v>#DIV/0!</v>
      </c>
      <c r="F36" s="464" t="e">
        <f>INDEX('P&amp;Ls Summary'!$S$8:$S$40,MATCH('External UW'!D36,'P&amp;Ls Summary'!$D$8:$D$40,0))</f>
        <v>#DIV/0!</v>
      </c>
      <c r="G36" s="819"/>
      <c r="H36" s="477" t="e">
        <f t="shared" si="10"/>
        <v>#DIV/0!</v>
      </c>
      <c r="I36" s="464" t="e">
        <f>INDEX('P&amp;Ls Summary'!$V$8:$V$40,MATCH('External UW'!D36,'P&amp;Ls Summary'!$D$8:$D$40,0))</f>
        <v>#DIV/0!</v>
      </c>
      <c r="J36" s="819"/>
      <c r="K36" s="819"/>
      <c r="L36" s="212" t="str">
        <f>INDEX('P&amp;Ls Summary'!$X$8:$X$40,MATCH('External UW'!D36,'P&amp;Ls Summary'!$D$8:$D$40,0))</f>
        <v>3.0% of EGI</v>
      </c>
      <c r="M36" s="820"/>
    </row>
    <row r="37" spans="1:13" s="44" customFormat="1" ht="18" customHeight="1" x14ac:dyDescent="0.3">
      <c r="A37" s="43" t="s">
        <v>42</v>
      </c>
      <c r="B37" s="43" t="s">
        <v>80</v>
      </c>
      <c r="C37" s="823"/>
      <c r="D37" s="49" t="s">
        <v>42</v>
      </c>
      <c r="E37" s="477" t="e">
        <f t="shared" si="9"/>
        <v>#DIV/0!</v>
      </c>
      <c r="F37" s="464" t="e">
        <f>INDEX('P&amp;Ls Summary'!$S$8:$S$40,MATCH('External UW'!D37,'P&amp;Ls Summary'!$D$8:$D$40,0))</f>
        <v>#DIV/0!</v>
      </c>
      <c r="G37" s="819"/>
      <c r="H37" s="477" t="e">
        <f t="shared" si="10"/>
        <v>#DIV/0!</v>
      </c>
      <c r="I37" s="464" t="e">
        <f>INDEX('P&amp;Ls Summary'!$V$8:$V$40,MATCH('External UW'!D37,'P&amp;Ls Summary'!$D$8:$D$40,0))</f>
        <v>#DIV/0!</v>
      </c>
      <c r="J37" s="819"/>
      <c r="K37" s="819"/>
      <c r="L37" s="212" t="str">
        <f>INDEX('P&amp;Ls Summary'!$X$8:$X$40,MATCH('External UW'!D37,'P&amp;Ls Summary'!$D$8:$D$40,0))</f>
        <v>T12</v>
      </c>
      <c r="M37" s="820"/>
    </row>
    <row r="38" spans="1:13" s="44" customFormat="1" ht="15" customHeight="1" x14ac:dyDescent="0.3">
      <c r="A38" s="43"/>
      <c r="B38" s="43"/>
      <c r="C38" s="822"/>
      <c r="D38" s="56" t="s">
        <v>5</v>
      </c>
      <c r="E38" s="479" t="e">
        <f t="shared" si="9"/>
        <v>#DIV/0!</v>
      </c>
      <c r="F38" s="466" t="e">
        <f>SUM(F25:F37)</f>
        <v>#DIV/0!</v>
      </c>
      <c r="G38" s="819"/>
      <c r="H38" s="479" t="e">
        <f t="shared" si="10"/>
        <v>#DIV/0!</v>
      </c>
      <c r="I38" s="466" t="e">
        <f>SUM(I25:I37)</f>
        <v>#DIV/0!</v>
      </c>
      <c r="J38" s="819"/>
      <c r="K38" s="819"/>
      <c r="L38" s="57"/>
      <c r="M38" s="820"/>
    </row>
    <row r="39" spans="1:13" s="44" customFormat="1" ht="15" customHeight="1" x14ac:dyDescent="0.3">
      <c r="A39" s="43"/>
      <c r="B39" s="43"/>
      <c r="C39" s="824"/>
      <c r="D39" s="65" t="s">
        <v>6</v>
      </c>
      <c r="E39" s="481" t="e">
        <f t="shared" si="9"/>
        <v>#DIV/0!</v>
      </c>
      <c r="F39" s="467" t="e">
        <f>F22-F38</f>
        <v>#DIV/0!</v>
      </c>
      <c r="G39" s="819"/>
      <c r="H39" s="481" t="e">
        <f t="shared" si="10"/>
        <v>#DIV/0!</v>
      </c>
      <c r="I39" s="467" t="e">
        <f>I22-I38</f>
        <v>#DIV/0!</v>
      </c>
      <c r="J39" s="819"/>
      <c r="K39" s="819"/>
      <c r="L39" s="66"/>
      <c r="M39" s="820"/>
    </row>
    <row r="40" spans="1:13" s="28" customFormat="1" ht="7.35" customHeight="1" x14ac:dyDescent="0.25">
      <c r="A40" s="27"/>
      <c r="B40" s="27"/>
      <c r="C40" s="825"/>
      <c r="D40" s="826"/>
      <c r="E40" s="827"/>
      <c r="F40" s="828"/>
      <c r="G40" s="829"/>
      <c r="H40" s="827"/>
      <c r="I40" s="828"/>
      <c r="J40" s="829"/>
      <c r="K40" s="829"/>
      <c r="L40" s="828"/>
      <c r="M40" s="830"/>
    </row>
  </sheetData>
  <dataValidations disablePrompts="1" count="1">
    <dataValidation type="list" allowBlank="1" showInputMessage="1" showErrorMessage="1" sqref="R4" xr:uid="{2629A556-F83B-4728-A3E3-8E0E1461899E}">
      <formula1>"T12, Normal"</formula1>
    </dataValidation>
  </dataValidations>
  <pageMargins left="0.3" right="0.3" top="0.2" bottom="0.2" header="0.3" footer="0.3"/>
  <pageSetup scale="7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EEC-5EBB-4CF4-8BB5-F59FA511157A}">
  <sheetPr codeName="Sheet36"/>
  <dimension ref="A1"/>
  <sheetViews>
    <sheetView zoomScale="85" zoomScaleNormal="85" workbookViewId="0"/>
  </sheetViews>
  <sheetFormatPr defaultColWidth="10.42578125" defaultRowHeight="14.25" x14ac:dyDescent="0.2"/>
  <cols>
    <col min="1" max="1" width="10.42578125" style="7"/>
    <col min="2" max="2" width="31.42578125" style="7" bestFit="1" customWidth="1"/>
    <col min="3" max="16384" width="10.42578125" style="7"/>
  </cols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2411-6818-4F69-BB6A-47D77D1FCBA8}">
  <sheetPr codeName="Sheet41">
    <outlinePr summaryBelow="0"/>
    <pageSetUpPr autoPageBreaks="0"/>
  </sheetPr>
  <dimension ref="A1:O528"/>
  <sheetViews>
    <sheetView showGridLines="0" zoomScale="85" zoomScaleNormal="85" workbookViewId="0"/>
  </sheetViews>
  <sheetFormatPr defaultColWidth="9.85546875" defaultRowHeight="15" x14ac:dyDescent="0.25"/>
  <cols>
    <col min="1" max="2" width="18.85546875" bestFit="1" customWidth="1"/>
    <col min="3" max="3" width="38.85546875" bestFit="1" customWidth="1"/>
    <col min="4" max="4" width="43.140625" bestFit="1" customWidth="1"/>
    <col min="5" max="5" width="82.5703125" bestFit="1" customWidth="1"/>
    <col min="6" max="6" width="17.42578125" bestFit="1" customWidth="1"/>
    <col min="7" max="7" width="18" bestFit="1" customWidth="1"/>
    <col min="8" max="8" width="45.140625" bestFit="1" customWidth="1"/>
    <col min="9" max="9" width="49.85546875" bestFit="1" customWidth="1"/>
    <col min="10" max="10" width="24.140625" bestFit="1" customWidth="1"/>
    <col min="11" max="11" width="39.140625" bestFit="1" customWidth="1"/>
    <col min="12" max="12" width="30.140625" bestFit="1" customWidth="1"/>
    <col min="13" max="13" width="24.140625" bestFit="1" customWidth="1"/>
    <col min="14" max="14" width="28.140625" bestFit="1" customWidth="1"/>
    <col min="15" max="15" width="23.85546875" bestFit="1" customWidth="1"/>
  </cols>
  <sheetData>
    <row r="1" spans="1:15" ht="23.25" x14ac:dyDescent="0.35">
      <c r="A1" s="603"/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ht="15" customHeight="1" x14ac:dyDescent="0.25">
      <c r="A2" s="644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</row>
    <row r="3" spans="1:15" x14ac:dyDescent="0.25">
      <c r="A3" s="644"/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</row>
    <row r="4" spans="1:15" ht="16.5" customHeight="1" x14ac:dyDescent="0.25">
      <c r="A4" s="645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</row>
    <row r="5" spans="1:15" ht="16.5" customHeight="1" x14ac:dyDescent="0.25">
      <c r="A5" s="646"/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</row>
    <row r="6" spans="1:15" ht="16.5" x14ac:dyDescent="0.25">
      <c r="A6" s="645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</row>
    <row r="7" spans="1:15" ht="16.5" x14ac:dyDescent="0.25">
      <c r="A7" s="645"/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</row>
    <row r="8" spans="1:15" ht="16.5" customHeight="1" x14ac:dyDescent="0.25">
      <c r="A8" s="645"/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</row>
    <row r="9" spans="1:15" ht="16.5" x14ac:dyDescent="0.25">
      <c r="A9" s="645"/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</row>
    <row r="10" spans="1:15" ht="16.5" customHeight="1" x14ac:dyDescent="0.25">
      <c r="A10" s="645"/>
      <c r="B10" s="631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</row>
    <row r="11" spans="1:15" ht="16.5" customHeight="1" x14ac:dyDescent="0.25">
      <c r="A11" s="645"/>
      <c r="B11" s="631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</row>
    <row r="12" spans="1:15" ht="16.5" x14ac:dyDescent="0.25">
      <c r="A12" s="645"/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</row>
    <row r="13" spans="1:15" x14ac:dyDescent="0.25">
      <c r="A13" s="629"/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29"/>
      <c r="N13" s="629"/>
      <c r="O13" s="629"/>
    </row>
    <row r="14" spans="1:15" ht="16.5" x14ac:dyDescent="0.25">
      <c r="A14" s="587"/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587"/>
      <c r="O14" s="587"/>
    </row>
    <row r="15" spans="1:15" ht="15.75" x14ac:dyDescent="0.25">
      <c r="A15" s="630"/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0"/>
      <c r="N15" s="630"/>
      <c r="O15" s="630"/>
    </row>
    <row r="16" spans="1:15" ht="15.75" x14ac:dyDescent="0.25">
      <c r="A16" s="588"/>
      <c r="B16" s="588"/>
      <c r="C16" s="588"/>
      <c r="D16" s="589"/>
      <c r="E16" s="588"/>
      <c r="F16" s="588"/>
      <c r="G16" s="590"/>
      <c r="H16" s="588"/>
      <c r="I16" s="591"/>
      <c r="J16" s="591"/>
      <c r="K16" s="591"/>
      <c r="L16" s="591"/>
      <c r="M16" s="588"/>
      <c r="N16" s="589"/>
      <c r="O16" s="589"/>
    </row>
    <row r="17" spans="1:15" ht="15.75" x14ac:dyDescent="0.25">
      <c r="A17" s="588"/>
      <c r="B17" s="588"/>
      <c r="C17" s="588"/>
      <c r="D17" s="589"/>
      <c r="E17" s="588"/>
      <c r="F17" s="588"/>
      <c r="G17" s="590"/>
      <c r="H17" s="588"/>
      <c r="I17" s="591"/>
      <c r="J17" s="591"/>
      <c r="K17" s="591"/>
      <c r="L17" s="591"/>
      <c r="M17" s="588"/>
      <c r="N17" s="589"/>
      <c r="O17" s="589"/>
    </row>
    <row r="18" spans="1:15" ht="15.75" x14ac:dyDescent="0.25">
      <c r="A18" s="588"/>
      <c r="B18" s="588"/>
      <c r="C18" s="588"/>
      <c r="D18" s="589"/>
      <c r="E18" s="588"/>
      <c r="F18" s="588"/>
      <c r="G18" s="590"/>
      <c r="H18" s="588"/>
      <c r="I18" s="591"/>
      <c r="J18" s="591"/>
      <c r="K18" s="591"/>
      <c r="L18" s="591"/>
      <c r="M18" s="588"/>
      <c r="N18" s="589"/>
      <c r="O18" s="589"/>
    </row>
    <row r="19" spans="1:15" ht="15.75" x14ac:dyDescent="0.25">
      <c r="A19" s="588"/>
      <c r="B19" s="588"/>
      <c r="C19" s="588"/>
      <c r="D19" s="589"/>
      <c r="E19" s="588"/>
      <c r="F19" s="588"/>
      <c r="G19" s="590"/>
      <c r="H19" s="588"/>
      <c r="I19" s="591"/>
      <c r="J19" s="591"/>
      <c r="K19" s="591"/>
      <c r="L19" s="591"/>
      <c r="M19" s="588"/>
      <c r="N19" s="589"/>
      <c r="O19" s="589"/>
    </row>
    <row r="20" spans="1:15" ht="15.75" x14ac:dyDescent="0.25">
      <c r="A20" s="588"/>
      <c r="B20" s="588"/>
      <c r="C20" s="588"/>
      <c r="D20" s="589"/>
      <c r="E20" s="588"/>
      <c r="F20" s="588"/>
      <c r="G20" s="590"/>
      <c r="H20" s="598"/>
      <c r="I20" s="591"/>
      <c r="J20" s="591"/>
      <c r="K20" s="591"/>
      <c r="L20" s="591"/>
      <c r="M20" s="588"/>
      <c r="N20" s="589"/>
      <c r="O20" s="589"/>
    </row>
    <row r="21" spans="1:15" ht="15.75" x14ac:dyDescent="0.25">
      <c r="A21" s="588"/>
      <c r="B21" s="588"/>
      <c r="C21" s="588"/>
      <c r="D21" s="589"/>
      <c r="E21" s="588"/>
      <c r="F21" s="588"/>
      <c r="G21" s="590"/>
      <c r="H21" s="588"/>
      <c r="I21" s="591"/>
      <c r="J21" s="591"/>
      <c r="K21" s="591"/>
      <c r="L21" s="591"/>
      <c r="M21" s="588"/>
      <c r="N21" s="589"/>
      <c r="O21" s="589"/>
    </row>
    <row r="22" spans="1:15" ht="15.75" x14ac:dyDescent="0.25">
      <c r="A22" s="588"/>
      <c r="B22" s="588"/>
      <c r="C22" s="588"/>
      <c r="D22" s="589"/>
      <c r="E22" s="588"/>
      <c r="F22" s="588"/>
      <c r="G22" s="590"/>
      <c r="H22" s="588"/>
      <c r="I22" s="591"/>
      <c r="J22" s="591"/>
      <c r="K22" s="591"/>
      <c r="L22" s="591"/>
      <c r="M22" s="588"/>
      <c r="N22" s="589"/>
      <c r="O22" s="589"/>
    </row>
    <row r="23" spans="1:15" ht="15.75" x14ac:dyDescent="0.25">
      <c r="A23" s="588"/>
      <c r="B23" s="588"/>
      <c r="C23" s="588"/>
      <c r="D23" s="589"/>
      <c r="E23" s="588"/>
      <c r="F23" s="588"/>
      <c r="G23" s="590"/>
      <c r="H23" s="588"/>
      <c r="I23" s="591"/>
      <c r="J23" s="591"/>
      <c r="K23" s="591"/>
      <c r="L23" s="591"/>
      <c r="M23" s="588"/>
      <c r="N23" s="589"/>
      <c r="O23" s="589"/>
    </row>
    <row r="24" spans="1:15" ht="15.75" x14ac:dyDescent="0.25">
      <c r="A24" s="588"/>
      <c r="B24" s="588"/>
      <c r="C24" s="588"/>
      <c r="D24" s="589"/>
      <c r="E24" s="588"/>
      <c r="F24" s="588"/>
      <c r="G24" s="590"/>
      <c r="H24" s="588"/>
      <c r="I24" s="591"/>
      <c r="J24" s="591"/>
      <c r="K24" s="591"/>
      <c r="L24" s="591"/>
      <c r="M24" s="588"/>
      <c r="N24" s="589"/>
      <c r="O24" s="589"/>
    </row>
    <row r="25" spans="1:15" ht="15.75" x14ac:dyDescent="0.25">
      <c r="A25" s="588"/>
      <c r="B25" s="588"/>
      <c r="C25" s="588"/>
      <c r="D25" s="589"/>
      <c r="E25" s="588"/>
      <c r="F25" s="588"/>
      <c r="G25" s="590"/>
      <c r="H25" s="588"/>
      <c r="I25" s="591"/>
      <c r="J25" s="591"/>
      <c r="K25" s="591"/>
      <c r="L25" s="591"/>
      <c r="M25" s="588"/>
      <c r="N25" s="589"/>
      <c r="O25" s="589"/>
    </row>
    <row r="26" spans="1:15" ht="15.75" x14ac:dyDescent="0.25">
      <c r="A26" s="588"/>
      <c r="B26" s="588"/>
      <c r="C26" s="588"/>
      <c r="D26" s="589"/>
      <c r="E26" s="588"/>
      <c r="F26" s="588"/>
      <c r="G26" s="590"/>
      <c r="H26" s="588"/>
      <c r="I26" s="591"/>
      <c r="J26" s="591"/>
      <c r="K26" s="591"/>
      <c r="L26" s="591"/>
      <c r="M26" s="588"/>
      <c r="N26" s="589"/>
      <c r="O26" s="589"/>
    </row>
    <row r="27" spans="1:15" ht="15.75" x14ac:dyDescent="0.25">
      <c r="A27" s="588"/>
      <c r="B27" s="588"/>
      <c r="C27" s="588"/>
      <c r="D27" s="589"/>
      <c r="E27" s="588"/>
      <c r="F27" s="588"/>
      <c r="G27" s="590"/>
      <c r="H27" s="588"/>
      <c r="I27" s="591"/>
      <c r="J27" s="591"/>
      <c r="K27" s="591"/>
      <c r="L27" s="591"/>
      <c r="M27" s="588"/>
      <c r="N27" s="589"/>
      <c r="O27" s="589"/>
    </row>
    <row r="28" spans="1:15" ht="15.75" x14ac:dyDescent="0.25">
      <c r="A28" s="588"/>
      <c r="B28" s="588"/>
      <c r="C28" s="588"/>
      <c r="D28" s="589"/>
      <c r="E28" s="588"/>
      <c r="F28" s="588"/>
      <c r="G28" s="590"/>
      <c r="H28" s="588"/>
      <c r="I28" s="591"/>
      <c r="J28" s="591"/>
      <c r="K28" s="591"/>
      <c r="L28" s="591"/>
      <c r="M28" s="588"/>
      <c r="N28" s="589"/>
      <c r="O28" s="589"/>
    </row>
    <row r="29" spans="1:15" ht="15.75" x14ac:dyDescent="0.25">
      <c r="A29" s="588"/>
      <c r="B29" s="588"/>
      <c r="C29" s="588"/>
      <c r="D29" s="589"/>
      <c r="E29" s="588"/>
      <c r="F29" s="588"/>
      <c r="G29" s="590"/>
      <c r="H29" s="588"/>
      <c r="I29" s="591"/>
      <c r="J29" s="591"/>
      <c r="K29" s="591"/>
      <c r="L29" s="591"/>
      <c r="M29" s="588"/>
      <c r="N29" s="589"/>
      <c r="O29" s="589"/>
    </row>
    <row r="30" spans="1:15" ht="15.75" x14ac:dyDescent="0.25">
      <c r="A30" s="588"/>
      <c r="B30" s="588"/>
      <c r="C30" s="588"/>
      <c r="D30" s="589"/>
      <c r="E30" s="588"/>
      <c r="F30" s="588"/>
      <c r="G30" s="590"/>
      <c r="H30" s="588"/>
      <c r="I30" s="591"/>
      <c r="J30" s="591"/>
      <c r="K30" s="591"/>
      <c r="L30" s="591"/>
      <c r="M30" s="588"/>
      <c r="N30" s="589"/>
      <c r="O30" s="589"/>
    </row>
    <row r="31" spans="1:15" ht="15.75" x14ac:dyDescent="0.25">
      <c r="A31" s="588"/>
      <c r="B31" s="588"/>
      <c r="C31" s="588"/>
      <c r="D31" s="589"/>
      <c r="E31" s="588"/>
      <c r="F31" s="588"/>
      <c r="G31" s="590"/>
      <c r="H31" s="588"/>
      <c r="I31" s="591"/>
      <c r="J31" s="591"/>
      <c r="K31" s="591"/>
      <c r="L31" s="591"/>
      <c r="M31" s="588"/>
      <c r="N31" s="589"/>
      <c r="O31" s="589"/>
    </row>
    <row r="32" spans="1:15" ht="15.75" x14ac:dyDescent="0.25">
      <c r="A32" s="588"/>
      <c r="B32" s="588"/>
      <c r="C32" s="588"/>
      <c r="D32" s="589"/>
      <c r="E32" s="588"/>
      <c r="F32" s="588"/>
      <c r="G32" s="590"/>
      <c r="H32" s="588"/>
      <c r="I32" s="591"/>
      <c r="J32" s="591"/>
      <c r="K32" s="591"/>
      <c r="L32" s="591"/>
      <c r="M32" s="588"/>
      <c r="N32" s="589"/>
      <c r="O32" s="589"/>
    </row>
    <row r="33" spans="1:15" ht="15.75" x14ac:dyDescent="0.25">
      <c r="A33" s="588"/>
      <c r="B33" s="588"/>
      <c r="C33" s="588"/>
      <c r="D33" s="589"/>
      <c r="E33" s="588"/>
      <c r="F33" s="588"/>
      <c r="G33" s="590"/>
      <c r="H33" s="598"/>
      <c r="I33" s="591"/>
      <c r="J33" s="591"/>
      <c r="K33" s="591"/>
      <c r="L33" s="591"/>
      <c r="M33" s="588"/>
      <c r="N33" s="589"/>
      <c r="O33" s="589"/>
    </row>
    <row r="34" spans="1:15" ht="15.75" x14ac:dyDescent="0.25">
      <c r="A34" s="588"/>
      <c r="B34" s="588"/>
      <c r="C34" s="588"/>
      <c r="D34" s="589"/>
      <c r="E34" s="588"/>
      <c r="F34" s="588"/>
      <c r="G34" s="590"/>
      <c r="H34" s="588"/>
      <c r="I34" s="591"/>
      <c r="J34" s="591"/>
      <c r="K34" s="591"/>
      <c r="L34" s="591"/>
      <c r="M34" s="588"/>
      <c r="N34" s="589"/>
      <c r="O34" s="589"/>
    </row>
    <row r="35" spans="1:15" ht="15.75" x14ac:dyDescent="0.25">
      <c r="A35" s="588"/>
      <c r="B35" s="588"/>
      <c r="C35" s="588"/>
      <c r="D35" s="589"/>
      <c r="E35" s="588"/>
      <c r="F35" s="588"/>
      <c r="G35" s="590"/>
      <c r="H35" s="588"/>
      <c r="I35" s="591"/>
      <c r="J35" s="591"/>
      <c r="K35" s="591"/>
      <c r="L35" s="591"/>
      <c r="M35" s="588"/>
      <c r="N35" s="589"/>
      <c r="O35" s="589"/>
    </row>
    <row r="36" spans="1:15" ht="15.75" x14ac:dyDescent="0.25">
      <c r="A36" s="588"/>
      <c r="B36" s="588"/>
      <c r="C36" s="588"/>
      <c r="D36" s="589"/>
      <c r="E36" s="588"/>
      <c r="F36" s="588"/>
      <c r="G36" s="590"/>
      <c r="H36" s="588"/>
      <c r="I36" s="591"/>
      <c r="J36" s="591"/>
      <c r="K36" s="591"/>
      <c r="L36" s="591"/>
      <c r="M36" s="588"/>
      <c r="N36" s="589"/>
      <c r="O36" s="589"/>
    </row>
    <row r="37" spans="1:15" ht="15.75" x14ac:dyDescent="0.25">
      <c r="A37" s="588"/>
      <c r="B37" s="588"/>
      <c r="C37" s="588"/>
      <c r="D37" s="589"/>
      <c r="E37" s="588"/>
      <c r="F37" s="588"/>
      <c r="G37" s="590"/>
      <c r="H37" s="588"/>
      <c r="I37" s="591"/>
      <c r="J37" s="591"/>
      <c r="K37" s="591"/>
      <c r="L37" s="591"/>
      <c r="M37" s="588"/>
      <c r="N37" s="589"/>
      <c r="O37" s="589"/>
    </row>
    <row r="38" spans="1:15" ht="15.75" x14ac:dyDescent="0.25">
      <c r="A38" s="588"/>
      <c r="B38" s="588"/>
      <c r="C38" s="588"/>
      <c r="D38" s="589"/>
      <c r="E38" s="588"/>
      <c r="F38" s="588"/>
      <c r="G38" s="590"/>
      <c r="H38" s="588"/>
      <c r="I38" s="591"/>
      <c r="J38" s="591"/>
      <c r="K38" s="591"/>
      <c r="L38" s="591"/>
      <c r="M38" s="588"/>
      <c r="N38" s="589"/>
      <c r="O38" s="589"/>
    </row>
    <row r="39" spans="1:15" ht="15.75" x14ac:dyDescent="0.25">
      <c r="A39" s="588"/>
      <c r="B39" s="588"/>
      <c r="C39" s="588"/>
      <c r="D39" s="589"/>
      <c r="E39" s="588"/>
      <c r="F39" s="588"/>
      <c r="G39" s="590"/>
      <c r="H39" s="588"/>
      <c r="I39" s="591"/>
      <c r="J39" s="591"/>
      <c r="K39" s="591"/>
      <c r="L39" s="591"/>
      <c r="M39" s="588"/>
      <c r="N39" s="589"/>
      <c r="O39" s="589"/>
    </row>
    <row r="40" spans="1:15" ht="15.75" x14ac:dyDescent="0.25">
      <c r="A40" s="588"/>
      <c r="B40" s="588"/>
      <c r="C40" s="588"/>
      <c r="D40" s="589"/>
      <c r="E40" s="588"/>
      <c r="F40" s="588"/>
      <c r="G40" s="590"/>
      <c r="H40" s="588"/>
      <c r="I40" s="591"/>
      <c r="J40" s="591"/>
      <c r="K40" s="591"/>
      <c r="L40" s="591"/>
      <c r="M40" s="588"/>
      <c r="N40" s="589"/>
      <c r="O40" s="589"/>
    </row>
    <row r="41" spans="1:15" ht="15.75" x14ac:dyDescent="0.25">
      <c r="A41" s="588"/>
      <c r="B41" s="588"/>
      <c r="C41" s="588"/>
      <c r="D41" s="589"/>
      <c r="E41" s="588"/>
      <c r="F41" s="588"/>
      <c r="G41" s="590"/>
      <c r="H41" s="588"/>
      <c r="I41" s="591"/>
      <c r="J41" s="591"/>
      <c r="K41" s="591"/>
      <c r="L41" s="591"/>
      <c r="M41" s="588"/>
      <c r="N41" s="589"/>
      <c r="O41" s="589"/>
    </row>
    <row r="42" spans="1:15" ht="15.75" x14ac:dyDescent="0.25">
      <c r="A42" s="588"/>
      <c r="B42" s="588"/>
      <c r="C42" s="588"/>
      <c r="D42" s="589"/>
      <c r="E42" s="588"/>
      <c r="F42" s="588"/>
      <c r="G42" s="590"/>
      <c r="H42" s="588"/>
      <c r="I42" s="591"/>
      <c r="J42" s="591"/>
      <c r="K42" s="591"/>
      <c r="L42" s="591"/>
      <c r="M42" s="588"/>
      <c r="N42" s="589"/>
      <c r="O42" s="589"/>
    </row>
    <row r="43" spans="1:15" ht="15.75" x14ac:dyDescent="0.25">
      <c r="A43" s="588"/>
      <c r="B43" s="588"/>
      <c r="C43" s="588"/>
      <c r="D43" s="589"/>
      <c r="E43" s="588"/>
      <c r="F43" s="588"/>
      <c r="G43" s="590"/>
      <c r="H43" s="588"/>
      <c r="I43" s="591"/>
      <c r="J43" s="591"/>
      <c r="K43" s="591"/>
      <c r="L43" s="591"/>
      <c r="M43" s="588"/>
      <c r="N43" s="589"/>
      <c r="O43" s="589"/>
    </row>
    <row r="44" spans="1:15" ht="15.75" x14ac:dyDescent="0.25">
      <c r="A44" s="588"/>
      <c r="B44" s="588"/>
      <c r="C44" s="588"/>
      <c r="D44" s="589"/>
      <c r="E44" s="588"/>
      <c r="F44" s="588"/>
      <c r="G44" s="590"/>
      <c r="H44" s="588"/>
      <c r="I44" s="591"/>
      <c r="J44" s="591"/>
      <c r="K44" s="591"/>
      <c r="L44" s="591"/>
      <c r="M44" s="588"/>
      <c r="N44" s="589"/>
      <c r="O44" s="589"/>
    </row>
    <row r="45" spans="1:15" ht="15.75" x14ac:dyDescent="0.25">
      <c r="A45" s="588"/>
      <c r="B45" s="588"/>
      <c r="C45" s="588"/>
      <c r="D45" s="589"/>
      <c r="E45" s="588"/>
      <c r="F45" s="588"/>
      <c r="G45" s="590"/>
      <c r="H45" s="588"/>
      <c r="I45" s="591"/>
      <c r="J45" s="591"/>
      <c r="K45" s="591"/>
      <c r="L45" s="591"/>
      <c r="M45" s="588"/>
      <c r="N45" s="589"/>
      <c r="O45" s="589"/>
    </row>
    <row r="46" spans="1:15" ht="15.75" x14ac:dyDescent="0.25">
      <c r="A46" s="588"/>
      <c r="B46" s="588"/>
      <c r="C46" s="588"/>
      <c r="D46" s="589"/>
      <c r="E46" s="588"/>
      <c r="F46" s="588"/>
      <c r="G46" s="590"/>
      <c r="H46" s="588"/>
      <c r="I46" s="591"/>
      <c r="J46" s="591"/>
      <c r="K46" s="591"/>
      <c r="L46" s="591"/>
      <c r="M46" s="588"/>
      <c r="N46" s="589"/>
      <c r="O46" s="589"/>
    </row>
    <row r="47" spans="1:15" ht="15.75" x14ac:dyDescent="0.25">
      <c r="A47" s="588"/>
      <c r="B47" s="588"/>
      <c r="C47" s="588"/>
      <c r="D47" s="589"/>
      <c r="E47" s="588"/>
      <c r="F47" s="588"/>
      <c r="G47" s="590"/>
      <c r="H47" s="588"/>
      <c r="I47" s="591"/>
      <c r="J47" s="591"/>
      <c r="K47" s="591"/>
      <c r="L47" s="591"/>
      <c r="M47" s="588"/>
      <c r="N47" s="589"/>
      <c r="O47" s="589"/>
    </row>
    <row r="48" spans="1:15" ht="15.75" x14ac:dyDescent="0.25">
      <c r="A48" s="588"/>
      <c r="B48" s="588"/>
      <c r="C48" s="588"/>
      <c r="D48" s="589"/>
      <c r="E48" s="588"/>
      <c r="F48" s="588"/>
      <c r="G48" s="590"/>
      <c r="H48" s="588"/>
      <c r="I48" s="591"/>
      <c r="J48" s="591"/>
      <c r="K48" s="591"/>
      <c r="L48" s="591"/>
      <c r="M48" s="588"/>
      <c r="N48" s="589"/>
      <c r="O48" s="589"/>
    </row>
    <row r="49" spans="1:15" ht="15.75" x14ac:dyDescent="0.25">
      <c r="A49" s="588"/>
      <c r="B49" s="588"/>
      <c r="C49" s="588"/>
      <c r="D49" s="589"/>
      <c r="E49" s="588"/>
      <c r="F49" s="588"/>
      <c r="G49" s="590"/>
      <c r="H49" s="588"/>
      <c r="I49" s="591"/>
      <c r="J49" s="591"/>
      <c r="K49" s="591"/>
      <c r="L49" s="591"/>
      <c r="M49" s="588"/>
      <c r="N49" s="589"/>
      <c r="O49" s="589"/>
    </row>
    <row r="50" spans="1:15" ht="15.75" x14ac:dyDescent="0.25">
      <c r="A50" s="588"/>
      <c r="B50" s="588"/>
      <c r="C50" s="588"/>
      <c r="D50" s="589"/>
      <c r="E50" s="588"/>
      <c r="F50" s="588"/>
      <c r="G50" s="590"/>
      <c r="H50" s="588"/>
      <c r="I50" s="591"/>
      <c r="J50" s="591"/>
      <c r="K50" s="591"/>
      <c r="L50" s="591"/>
      <c r="M50" s="588"/>
      <c r="N50" s="589"/>
      <c r="O50" s="589"/>
    </row>
    <row r="51" spans="1:15" ht="15.75" x14ac:dyDescent="0.25">
      <c r="A51" s="588"/>
      <c r="B51" s="588"/>
      <c r="C51" s="588"/>
      <c r="D51" s="589"/>
      <c r="E51" s="588"/>
      <c r="F51" s="588"/>
      <c r="G51" s="590"/>
      <c r="H51" s="588"/>
      <c r="I51" s="591"/>
      <c r="J51" s="591"/>
      <c r="K51" s="591"/>
      <c r="L51" s="591"/>
      <c r="M51" s="588"/>
      <c r="N51" s="589"/>
      <c r="O51" s="589"/>
    </row>
    <row r="52" spans="1:15" ht="15.75" x14ac:dyDescent="0.25">
      <c r="A52" s="588"/>
      <c r="B52" s="588"/>
      <c r="C52" s="588"/>
      <c r="D52" s="589"/>
      <c r="E52" s="588"/>
      <c r="F52" s="588"/>
      <c r="G52" s="590"/>
      <c r="H52" s="588"/>
      <c r="I52" s="591"/>
      <c r="J52" s="591"/>
      <c r="K52" s="591"/>
      <c r="L52" s="591"/>
      <c r="M52" s="588"/>
      <c r="N52" s="589"/>
      <c r="O52" s="589"/>
    </row>
    <row r="53" spans="1:15" ht="15.75" x14ac:dyDescent="0.25">
      <c r="A53" s="588"/>
      <c r="B53" s="588"/>
      <c r="C53" s="588"/>
      <c r="D53" s="589"/>
      <c r="E53" s="588"/>
      <c r="F53" s="588"/>
      <c r="G53" s="590"/>
      <c r="H53" s="588"/>
      <c r="I53" s="591"/>
      <c r="J53" s="591"/>
      <c r="K53" s="591"/>
      <c r="L53" s="591"/>
      <c r="M53" s="588"/>
      <c r="N53" s="589"/>
      <c r="O53" s="589"/>
    </row>
    <row r="54" spans="1:15" ht="15.75" x14ac:dyDescent="0.25">
      <c r="A54" s="588"/>
      <c r="B54" s="588"/>
      <c r="C54" s="588"/>
      <c r="D54" s="589"/>
      <c r="E54" s="588"/>
      <c r="F54" s="588"/>
      <c r="G54" s="590"/>
      <c r="H54" s="588"/>
      <c r="I54" s="591"/>
      <c r="J54" s="591"/>
      <c r="K54" s="591"/>
      <c r="L54" s="591"/>
      <c r="M54" s="588"/>
      <c r="N54" s="589"/>
      <c r="O54" s="589"/>
    </row>
    <row r="55" spans="1:15" ht="15.75" x14ac:dyDescent="0.25">
      <c r="A55" s="588"/>
      <c r="B55" s="588"/>
      <c r="C55" s="588"/>
      <c r="D55" s="589"/>
      <c r="E55" s="588"/>
      <c r="F55" s="588"/>
      <c r="G55" s="590"/>
      <c r="H55" s="588"/>
      <c r="I55" s="591"/>
      <c r="J55" s="591"/>
      <c r="K55" s="591"/>
      <c r="L55" s="591"/>
      <c r="M55" s="588"/>
      <c r="N55" s="589"/>
      <c r="O55" s="589"/>
    </row>
    <row r="56" spans="1:15" ht="15.75" x14ac:dyDescent="0.25">
      <c r="A56" s="588"/>
      <c r="B56" s="588"/>
      <c r="C56" s="588"/>
      <c r="D56" s="589"/>
      <c r="E56" s="588"/>
      <c r="F56" s="588"/>
      <c r="G56" s="590"/>
      <c r="H56" s="588"/>
      <c r="I56" s="591"/>
      <c r="J56" s="591"/>
      <c r="K56" s="591"/>
      <c r="L56" s="591"/>
      <c r="M56" s="588"/>
      <c r="N56" s="589"/>
      <c r="O56" s="589"/>
    </row>
    <row r="57" spans="1:15" ht="15.75" x14ac:dyDescent="0.25">
      <c r="A57" s="588"/>
      <c r="B57" s="588"/>
      <c r="C57" s="588"/>
      <c r="D57" s="589"/>
      <c r="E57" s="588"/>
      <c r="F57" s="588"/>
      <c r="G57" s="590"/>
      <c r="H57" s="588"/>
      <c r="I57" s="591"/>
      <c r="J57" s="591"/>
      <c r="K57" s="591"/>
      <c r="L57" s="591"/>
      <c r="M57" s="588"/>
      <c r="N57" s="589"/>
      <c r="O57" s="589"/>
    </row>
    <row r="58" spans="1:15" ht="15.75" x14ac:dyDescent="0.25">
      <c r="A58" s="588"/>
      <c r="B58" s="588"/>
      <c r="C58" s="588"/>
      <c r="D58" s="589"/>
      <c r="E58" s="588"/>
      <c r="F58" s="588"/>
      <c r="G58" s="590"/>
      <c r="H58" s="588"/>
      <c r="I58" s="591"/>
      <c r="J58" s="591"/>
      <c r="K58" s="591"/>
      <c r="L58" s="591"/>
      <c r="M58" s="588"/>
      <c r="N58" s="589"/>
      <c r="O58" s="589"/>
    </row>
    <row r="59" spans="1:15" ht="15.75" x14ac:dyDescent="0.25">
      <c r="A59" s="588"/>
      <c r="B59" s="588"/>
      <c r="C59" s="588"/>
      <c r="D59" s="589"/>
      <c r="E59" s="588"/>
      <c r="F59" s="588"/>
      <c r="G59" s="590"/>
      <c r="H59" s="588"/>
      <c r="I59" s="591"/>
      <c r="J59" s="591"/>
      <c r="K59" s="591"/>
      <c r="L59" s="591"/>
      <c r="M59" s="588"/>
      <c r="N59" s="589"/>
      <c r="O59" s="589"/>
    </row>
    <row r="60" spans="1:15" ht="15.75" x14ac:dyDescent="0.25">
      <c r="A60" s="588"/>
      <c r="B60" s="588"/>
      <c r="C60" s="588"/>
      <c r="D60" s="589"/>
      <c r="E60" s="588"/>
      <c r="F60" s="588"/>
      <c r="G60" s="590"/>
      <c r="H60" s="588"/>
      <c r="I60" s="591"/>
      <c r="J60" s="591"/>
      <c r="K60" s="591"/>
      <c r="L60" s="591"/>
      <c r="M60" s="588"/>
      <c r="N60" s="589"/>
      <c r="O60" s="589"/>
    </row>
    <row r="61" spans="1:15" ht="15.75" x14ac:dyDescent="0.25">
      <c r="A61" s="588"/>
      <c r="B61" s="588"/>
      <c r="C61" s="588"/>
      <c r="D61" s="589"/>
      <c r="E61" s="588"/>
      <c r="F61" s="588"/>
      <c r="G61" s="590"/>
      <c r="H61" s="588"/>
      <c r="I61" s="591"/>
      <c r="J61" s="591"/>
      <c r="K61" s="591"/>
      <c r="L61" s="591"/>
      <c r="M61" s="588"/>
      <c r="N61" s="589"/>
      <c r="O61" s="589"/>
    </row>
    <row r="62" spans="1:15" ht="15.75" x14ac:dyDescent="0.25">
      <c r="A62" s="588"/>
      <c r="B62" s="588"/>
      <c r="C62" s="588"/>
      <c r="D62" s="589"/>
      <c r="E62" s="588"/>
      <c r="F62" s="588"/>
      <c r="G62" s="590"/>
      <c r="H62" s="588"/>
      <c r="I62" s="591"/>
      <c r="J62" s="591"/>
      <c r="K62" s="591"/>
      <c r="L62" s="591"/>
      <c r="M62" s="588"/>
      <c r="N62" s="589"/>
      <c r="O62" s="589"/>
    </row>
    <row r="63" spans="1:15" ht="15.75" x14ac:dyDescent="0.25">
      <c r="A63" s="588"/>
      <c r="B63" s="588"/>
      <c r="C63" s="588"/>
      <c r="D63" s="589"/>
      <c r="E63" s="588"/>
      <c r="F63" s="588"/>
      <c r="G63" s="590"/>
      <c r="H63" s="588"/>
      <c r="I63" s="591"/>
      <c r="J63" s="591"/>
      <c r="K63" s="591"/>
      <c r="L63" s="591"/>
      <c r="M63" s="588"/>
      <c r="N63" s="589"/>
      <c r="O63" s="589"/>
    </row>
    <row r="64" spans="1:15" ht="15.75" x14ac:dyDescent="0.25">
      <c r="A64" s="588"/>
      <c r="B64" s="588"/>
      <c r="C64" s="588"/>
      <c r="D64" s="589"/>
      <c r="E64" s="588"/>
      <c r="F64" s="588"/>
      <c r="G64" s="590"/>
      <c r="H64" s="588"/>
      <c r="I64" s="591"/>
      <c r="J64" s="591"/>
      <c r="K64" s="591"/>
      <c r="L64" s="591"/>
      <c r="M64" s="588"/>
      <c r="N64" s="589"/>
      <c r="O64" s="589"/>
    </row>
    <row r="65" spans="1:15" ht="15.75" x14ac:dyDescent="0.25">
      <c r="A65" s="588"/>
      <c r="B65" s="588"/>
      <c r="C65" s="588"/>
      <c r="D65" s="589"/>
      <c r="E65" s="588"/>
      <c r="F65" s="588"/>
      <c r="G65" s="590"/>
      <c r="H65" s="588"/>
      <c r="I65" s="591"/>
      <c r="J65" s="591"/>
      <c r="K65" s="591"/>
      <c r="L65" s="591"/>
      <c r="M65" s="588"/>
      <c r="N65" s="589"/>
      <c r="O65" s="589"/>
    </row>
    <row r="66" spans="1:15" ht="15.75" x14ac:dyDescent="0.25">
      <c r="A66" s="588"/>
      <c r="B66" s="588"/>
      <c r="C66" s="588"/>
      <c r="D66" s="589"/>
      <c r="E66" s="588"/>
      <c r="F66" s="588"/>
      <c r="G66" s="590"/>
      <c r="H66" s="588"/>
      <c r="I66" s="591"/>
      <c r="J66" s="591"/>
      <c r="K66" s="591"/>
      <c r="L66" s="591"/>
      <c r="M66" s="588"/>
      <c r="N66" s="589"/>
      <c r="O66" s="589"/>
    </row>
    <row r="67" spans="1:15" ht="15.75" x14ac:dyDescent="0.25">
      <c r="A67" s="588"/>
      <c r="B67" s="588"/>
      <c r="C67" s="588"/>
      <c r="D67" s="589"/>
      <c r="E67" s="588"/>
      <c r="F67" s="588"/>
      <c r="G67" s="590"/>
      <c r="H67" s="588"/>
      <c r="I67" s="591"/>
      <c r="J67" s="591"/>
      <c r="K67" s="591"/>
      <c r="L67" s="591"/>
      <c r="M67" s="588"/>
      <c r="N67" s="589"/>
      <c r="O67" s="589"/>
    </row>
    <row r="68" spans="1:15" ht="15.75" x14ac:dyDescent="0.25">
      <c r="A68" s="588"/>
      <c r="B68" s="588"/>
      <c r="C68" s="588"/>
      <c r="D68" s="589"/>
      <c r="E68" s="588"/>
      <c r="F68" s="588"/>
      <c r="G68" s="590"/>
      <c r="H68" s="588"/>
      <c r="I68" s="591"/>
      <c r="J68" s="591"/>
      <c r="K68" s="591"/>
      <c r="L68" s="591"/>
      <c r="M68" s="588"/>
      <c r="N68" s="589"/>
      <c r="O68" s="589"/>
    </row>
    <row r="69" spans="1:15" ht="15.75" x14ac:dyDescent="0.25">
      <c r="A69" s="588"/>
      <c r="B69" s="588"/>
      <c r="C69" s="588"/>
      <c r="D69" s="589"/>
      <c r="E69" s="588"/>
      <c r="F69" s="588"/>
      <c r="G69" s="590"/>
      <c r="H69" s="588"/>
      <c r="I69" s="591"/>
      <c r="J69" s="591"/>
      <c r="K69" s="591"/>
      <c r="L69" s="591"/>
      <c r="M69" s="588"/>
      <c r="N69" s="589"/>
      <c r="O69" s="589"/>
    </row>
    <row r="70" spans="1:15" ht="15.75" x14ac:dyDescent="0.25">
      <c r="A70" s="588"/>
      <c r="B70" s="588"/>
      <c r="C70" s="588"/>
      <c r="D70" s="589"/>
      <c r="E70" s="588"/>
      <c r="F70" s="588"/>
      <c r="G70" s="590"/>
      <c r="H70" s="588"/>
      <c r="I70" s="591"/>
      <c r="J70" s="591"/>
      <c r="K70" s="591"/>
      <c r="L70" s="591"/>
      <c r="M70" s="588"/>
      <c r="N70" s="589"/>
      <c r="O70" s="589"/>
    </row>
    <row r="71" spans="1:15" ht="15.75" x14ac:dyDescent="0.25">
      <c r="A71" s="588"/>
      <c r="B71" s="588"/>
      <c r="C71" s="588"/>
      <c r="D71" s="589"/>
      <c r="E71" s="588"/>
      <c r="F71" s="588"/>
      <c r="G71" s="590"/>
      <c r="H71" s="588"/>
      <c r="I71" s="591"/>
      <c r="J71" s="591"/>
      <c r="K71" s="591"/>
      <c r="L71" s="591"/>
      <c r="M71" s="588"/>
      <c r="N71" s="589"/>
      <c r="O71" s="589"/>
    </row>
    <row r="72" spans="1:15" ht="15.75" x14ac:dyDescent="0.25">
      <c r="A72" s="588"/>
      <c r="B72" s="588"/>
      <c r="C72" s="588"/>
      <c r="D72" s="589"/>
      <c r="E72" s="588"/>
      <c r="F72" s="588"/>
      <c r="G72" s="590"/>
      <c r="H72" s="588"/>
      <c r="I72" s="591"/>
      <c r="J72" s="591"/>
      <c r="K72" s="591"/>
      <c r="L72" s="591"/>
      <c r="M72" s="588"/>
      <c r="N72" s="589"/>
      <c r="O72" s="589"/>
    </row>
    <row r="73" spans="1:15" ht="15.75" x14ac:dyDescent="0.25">
      <c r="A73" s="588"/>
      <c r="B73" s="588"/>
      <c r="C73" s="588"/>
      <c r="D73" s="589"/>
      <c r="E73" s="588"/>
      <c r="F73" s="588"/>
      <c r="G73" s="590"/>
      <c r="H73" s="588"/>
      <c r="I73" s="591"/>
      <c r="J73" s="591"/>
      <c r="K73" s="591"/>
      <c r="L73" s="591"/>
      <c r="M73" s="588"/>
      <c r="N73" s="589"/>
      <c r="O73" s="589"/>
    </row>
    <row r="74" spans="1:15" ht="15.75" x14ac:dyDescent="0.25">
      <c r="A74" s="588"/>
      <c r="B74" s="588"/>
      <c r="C74" s="588"/>
      <c r="D74" s="589"/>
      <c r="E74" s="588"/>
      <c r="F74" s="588"/>
      <c r="G74" s="590"/>
      <c r="H74" s="588"/>
      <c r="I74" s="591"/>
      <c r="J74" s="591"/>
      <c r="K74" s="591"/>
      <c r="L74" s="591"/>
      <c r="M74" s="588"/>
      <c r="N74" s="589"/>
      <c r="O74" s="589"/>
    </row>
    <row r="75" spans="1:15" ht="15.75" x14ac:dyDescent="0.25">
      <c r="A75" s="588"/>
      <c r="B75" s="588"/>
      <c r="C75" s="588"/>
      <c r="D75" s="589"/>
      <c r="E75" s="588"/>
      <c r="F75" s="588"/>
      <c r="G75" s="590"/>
      <c r="H75" s="588"/>
      <c r="I75" s="591"/>
      <c r="J75" s="591"/>
      <c r="K75" s="591"/>
      <c r="L75" s="591"/>
      <c r="M75" s="588"/>
      <c r="N75" s="589"/>
      <c r="O75" s="589"/>
    </row>
    <row r="76" spans="1:15" ht="15.75" x14ac:dyDescent="0.25">
      <c r="A76" s="588"/>
      <c r="B76" s="588"/>
      <c r="C76" s="588"/>
      <c r="D76" s="589"/>
      <c r="E76" s="588"/>
      <c r="F76" s="588"/>
      <c r="G76" s="590"/>
      <c r="H76" s="588"/>
      <c r="I76" s="591"/>
      <c r="J76" s="591"/>
      <c r="K76" s="591"/>
      <c r="L76" s="591"/>
      <c r="M76" s="588"/>
      <c r="N76" s="589"/>
      <c r="O76" s="589"/>
    </row>
    <row r="77" spans="1:15" ht="15.75" x14ac:dyDescent="0.25">
      <c r="A77" s="588"/>
      <c r="B77" s="588"/>
      <c r="C77" s="588"/>
      <c r="D77" s="589"/>
      <c r="E77" s="588"/>
      <c r="F77" s="588"/>
      <c r="G77" s="590"/>
      <c r="H77" s="588"/>
      <c r="I77" s="591"/>
      <c r="J77" s="591"/>
      <c r="K77" s="591"/>
      <c r="L77" s="591"/>
      <c r="M77" s="588"/>
      <c r="N77" s="589"/>
      <c r="O77" s="589"/>
    </row>
    <row r="78" spans="1:15" ht="15.75" x14ac:dyDescent="0.25">
      <c r="A78" s="588"/>
      <c r="B78" s="588"/>
      <c r="C78" s="588"/>
      <c r="D78" s="589"/>
      <c r="E78" s="588"/>
      <c r="F78" s="588"/>
      <c r="G78" s="590"/>
      <c r="H78" s="588"/>
      <c r="I78" s="591"/>
      <c r="J78" s="591"/>
      <c r="K78" s="591"/>
      <c r="L78" s="591"/>
      <c r="M78" s="588"/>
      <c r="N78" s="589"/>
      <c r="O78" s="589"/>
    </row>
    <row r="79" spans="1:15" ht="15.75" x14ac:dyDescent="0.25">
      <c r="A79" s="588"/>
      <c r="B79" s="588"/>
      <c r="C79" s="588"/>
      <c r="D79" s="589"/>
      <c r="E79" s="588"/>
      <c r="F79" s="588"/>
      <c r="G79" s="590"/>
      <c r="H79" s="588"/>
      <c r="I79" s="591"/>
      <c r="J79" s="591"/>
      <c r="K79" s="591"/>
      <c r="L79" s="591"/>
      <c r="M79" s="588"/>
      <c r="N79" s="589"/>
      <c r="O79" s="589"/>
    </row>
    <row r="80" spans="1:15" ht="15.75" x14ac:dyDescent="0.25">
      <c r="A80" s="588"/>
      <c r="B80" s="588"/>
      <c r="C80" s="588"/>
      <c r="D80" s="589"/>
      <c r="E80" s="588"/>
      <c r="F80" s="588"/>
      <c r="G80" s="590"/>
      <c r="H80" s="588"/>
      <c r="I80" s="591"/>
      <c r="J80" s="591"/>
      <c r="K80" s="591"/>
      <c r="L80" s="591"/>
      <c r="M80" s="588"/>
      <c r="N80" s="589"/>
      <c r="O80" s="589"/>
    </row>
    <row r="81" spans="1:15" ht="15.75" x14ac:dyDescent="0.25">
      <c r="A81" s="588"/>
      <c r="B81" s="588"/>
      <c r="C81" s="588"/>
      <c r="D81" s="589"/>
      <c r="E81" s="588"/>
      <c r="F81" s="588"/>
      <c r="G81" s="590"/>
      <c r="H81" s="588"/>
      <c r="I81" s="591"/>
      <c r="J81" s="591"/>
      <c r="K81" s="591"/>
      <c r="L81" s="591"/>
      <c r="M81" s="588"/>
      <c r="N81" s="589"/>
      <c r="O81" s="589"/>
    </row>
    <row r="82" spans="1:15" ht="15.75" x14ac:dyDescent="0.25">
      <c r="A82" s="588"/>
      <c r="B82" s="588"/>
      <c r="C82" s="588"/>
      <c r="D82" s="589"/>
      <c r="E82" s="588"/>
      <c r="F82" s="588"/>
      <c r="G82" s="590"/>
      <c r="H82" s="588"/>
      <c r="I82" s="591"/>
      <c r="J82" s="591"/>
      <c r="K82" s="591"/>
      <c r="L82" s="591"/>
      <c r="M82" s="588"/>
      <c r="N82" s="589"/>
      <c r="O82" s="589"/>
    </row>
    <row r="83" spans="1:15" ht="15.75" x14ac:dyDescent="0.25">
      <c r="A83" s="588"/>
      <c r="B83" s="588"/>
      <c r="C83" s="588"/>
      <c r="D83" s="589"/>
      <c r="E83" s="588"/>
      <c r="F83" s="588"/>
      <c r="G83" s="590"/>
      <c r="H83" s="588"/>
      <c r="I83" s="591"/>
      <c r="J83" s="591"/>
      <c r="K83" s="591"/>
      <c r="L83" s="591"/>
      <c r="M83" s="588"/>
      <c r="N83" s="589"/>
      <c r="O83" s="589"/>
    </row>
    <row r="84" spans="1:15" ht="15.75" x14ac:dyDescent="0.25">
      <c r="A84" s="588"/>
      <c r="B84" s="588"/>
      <c r="C84" s="588"/>
      <c r="D84" s="589"/>
      <c r="E84" s="588"/>
      <c r="F84" s="588"/>
      <c r="G84" s="590"/>
      <c r="H84" s="588"/>
      <c r="I84" s="591"/>
      <c r="J84" s="591"/>
      <c r="K84" s="591"/>
      <c r="L84" s="591"/>
      <c r="M84" s="588"/>
      <c r="N84" s="589"/>
      <c r="O84" s="589"/>
    </row>
    <row r="85" spans="1:15" ht="15.75" x14ac:dyDescent="0.25">
      <c r="A85" s="588"/>
      <c r="B85" s="588"/>
      <c r="C85" s="588"/>
      <c r="D85" s="589"/>
      <c r="E85" s="588"/>
      <c r="F85" s="588"/>
      <c r="G85" s="590"/>
      <c r="H85" s="588"/>
      <c r="I85" s="591"/>
      <c r="J85" s="591"/>
      <c r="K85" s="591"/>
      <c r="L85" s="591"/>
      <c r="M85" s="588"/>
      <c r="N85" s="589"/>
      <c r="O85" s="589"/>
    </row>
    <row r="86" spans="1:15" ht="15.75" x14ac:dyDescent="0.25">
      <c r="A86" s="588"/>
      <c r="B86" s="588"/>
      <c r="C86" s="588"/>
      <c r="D86" s="589"/>
      <c r="E86" s="588"/>
      <c r="F86" s="588"/>
      <c r="G86" s="590"/>
      <c r="H86" s="588"/>
      <c r="I86" s="591"/>
      <c r="J86" s="591"/>
      <c r="K86" s="591"/>
      <c r="L86" s="591"/>
      <c r="M86" s="588"/>
      <c r="N86" s="589"/>
      <c r="O86" s="589"/>
    </row>
    <row r="87" spans="1:15" ht="15.75" x14ac:dyDescent="0.25">
      <c r="A87" s="588"/>
      <c r="B87" s="588"/>
      <c r="C87" s="588"/>
      <c r="D87" s="589"/>
      <c r="E87" s="588"/>
      <c r="F87" s="588"/>
      <c r="G87" s="590"/>
      <c r="H87" s="588"/>
      <c r="I87" s="591"/>
      <c r="J87" s="591"/>
      <c r="K87" s="591"/>
      <c r="L87" s="591"/>
      <c r="M87" s="588"/>
      <c r="N87" s="589"/>
      <c r="O87" s="589"/>
    </row>
    <row r="88" spans="1:15" ht="15.75" x14ac:dyDescent="0.25">
      <c r="A88" s="588"/>
      <c r="B88" s="588"/>
      <c r="C88" s="588"/>
      <c r="D88" s="589"/>
      <c r="E88" s="588"/>
      <c r="F88" s="588"/>
      <c r="G88" s="590"/>
      <c r="H88" s="588"/>
      <c r="I88" s="591"/>
      <c r="J88" s="591"/>
      <c r="K88" s="591"/>
      <c r="L88" s="591"/>
      <c r="M88" s="588"/>
      <c r="N88" s="589"/>
      <c r="O88" s="589"/>
    </row>
    <row r="89" spans="1:15" ht="15.75" x14ac:dyDescent="0.25">
      <c r="A89" s="588"/>
      <c r="B89" s="588"/>
      <c r="C89" s="588"/>
      <c r="D89" s="589"/>
      <c r="E89" s="588"/>
      <c r="F89" s="588"/>
      <c r="G89" s="590"/>
      <c r="H89" s="598"/>
      <c r="I89" s="591"/>
      <c r="J89" s="591"/>
      <c r="K89" s="591"/>
      <c r="L89" s="591"/>
      <c r="M89" s="588"/>
      <c r="N89" s="589"/>
      <c r="O89" s="589"/>
    </row>
    <row r="90" spans="1:15" ht="15.75" x14ac:dyDescent="0.25">
      <c r="A90" s="588"/>
      <c r="B90" s="588"/>
      <c r="C90" s="588"/>
      <c r="D90" s="589"/>
      <c r="E90" s="588"/>
      <c r="F90" s="588"/>
      <c r="G90" s="590"/>
      <c r="H90" s="588"/>
      <c r="I90" s="591"/>
      <c r="J90" s="591"/>
      <c r="K90" s="591"/>
      <c r="L90" s="591"/>
      <c r="M90" s="588"/>
      <c r="N90" s="589"/>
      <c r="O90" s="589"/>
    </row>
    <row r="91" spans="1:15" ht="15.75" x14ac:dyDescent="0.25">
      <c r="A91" s="588"/>
      <c r="B91" s="588"/>
      <c r="C91" s="588"/>
      <c r="D91" s="589"/>
      <c r="E91" s="588"/>
      <c r="F91" s="588"/>
      <c r="G91" s="590"/>
      <c r="H91" s="588"/>
      <c r="I91" s="591"/>
      <c r="J91" s="591"/>
      <c r="K91" s="591"/>
      <c r="L91" s="591"/>
      <c r="M91" s="588"/>
      <c r="N91" s="589"/>
      <c r="O91" s="589"/>
    </row>
    <row r="92" spans="1:15" ht="15.75" x14ac:dyDescent="0.25">
      <c r="A92" s="588"/>
      <c r="B92" s="588"/>
      <c r="C92" s="588"/>
      <c r="D92" s="589"/>
      <c r="E92" s="588"/>
      <c r="F92" s="588"/>
      <c r="G92" s="590"/>
      <c r="H92" s="588"/>
      <c r="I92" s="591"/>
      <c r="J92" s="591"/>
      <c r="K92" s="591"/>
      <c r="L92" s="591"/>
      <c r="M92" s="588"/>
      <c r="N92" s="589"/>
      <c r="O92" s="589"/>
    </row>
    <row r="93" spans="1:15" ht="15.75" x14ac:dyDescent="0.25">
      <c r="A93" s="588"/>
      <c r="B93" s="588"/>
      <c r="C93" s="588"/>
      <c r="D93" s="589"/>
      <c r="E93" s="588"/>
      <c r="F93" s="588"/>
      <c r="G93" s="590"/>
      <c r="H93" s="588"/>
      <c r="I93" s="591"/>
      <c r="J93" s="591"/>
      <c r="K93" s="591"/>
      <c r="L93" s="591"/>
      <c r="M93" s="588"/>
      <c r="N93" s="589"/>
      <c r="O93" s="589"/>
    </row>
    <row r="94" spans="1:15" ht="15.75" x14ac:dyDescent="0.25">
      <c r="A94" s="588"/>
      <c r="B94" s="588"/>
      <c r="C94" s="588"/>
      <c r="D94" s="589"/>
      <c r="E94" s="588"/>
      <c r="F94" s="588"/>
      <c r="G94" s="590"/>
      <c r="H94" s="588"/>
      <c r="I94" s="591"/>
      <c r="J94" s="591"/>
      <c r="K94" s="591"/>
      <c r="L94" s="591"/>
      <c r="M94" s="588"/>
      <c r="N94" s="589"/>
      <c r="O94" s="589"/>
    </row>
    <row r="95" spans="1:15" ht="15.75" x14ac:dyDescent="0.25">
      <c r="A95" s="588"/>
      <c r="B95" s="588"/>
      <c r="C95" s="588"/>
      <c r="D95" s="589"/>
      <c r="E95" s="588"/>
      <c r="F95" s="588"/>
      <c r="G95" s="590"/>
      <c r="H95" s="588"/>
      <c r="I95" s="591"/>
      <c r="J95" s="591"/>
      <c r="K95" s="591"/>
      <c r="L95" s="591"/>
      <c r="M95" s="588"/>
      <c r="N95" s="589"/>
      <c r="O95" s="589"/>
    </row>
    <row r="96" spans="1:15" ht="15.75" x14ac:dyDescent="0.25">
      <c r="A96" s="588"/>
      <c r="B96" s="588"/>
      <c r="C96" s="588"/>
      <c r="D96" s="589"/>
      <c r="E96" s="588"/>
      <c r="F96" s="588"/>
      <c r="G96" s="590"/>
      <c r="H96" s="588"/>
      <c r="I96" s="591"/>
      <c r="J96" s="591"/>
      <c r="K96" s="591"/>
      <c r="L96" s="591"/>
      <c r="M96" s="588"/>
      <c r="N96" s="589"/>
      <c r="O96" s="589"/>
    </row>
    <row r="97" spans="1:15" ht="15.75" x14ac:dyDescent="0.25">
      <c r="A97" s="588"/>
      <c r="B97" s="588"/>
      <c r="C97" s="588"/>
      <c r="D97" s="589"/>
      <c r="E97" s="588"/>
      <c r="F97" s="588"/>
      <c r="G97" s="590"/>
      <c r="H97" s="588"/>
      <c r="I97" s="591"/>
      <c r="J97" s="591"/>
      <c r="K97" s="591"/>
      <c r="L97" s="591"/>
      <c r="M97" s="588"/>
      <c r="N97" s="589"/>
      <c r="O97" s="589"/>
    </row>
    <row r="98" spans="1:15" ht="15.75" x14ac:dyDescent="0.25">
      <c r="A98" s="588"/>
      <c r="B98" s="588"/>
      <c r="C98" s="588"/>
      <c r="D98" s="589"/>
      <c r="E98" s="588"/>
      <c r="F98" s="588"/>
      <c r="G98" s="590"/>
      <c r="H98" s="588"/>
      <c r="I98" s="591"/>
      <c r="J98" s="591"/>
      <c r="K98" s="591"/>
      <c r="L98" s="591"/>
      <c r="M98" s="588"/>
      <c r="N98" s="589"/>
      <c r="O98" s="589"/>
    </row>
    <row r="99" spans="1:15" ht="15.75" x14ac:dyDescent="0.25">
      <c r="A99" s="588"/>
      <c r="B99" s="588"/>
      <c r="C99" s="588"/>
      <c r="D99" s="589"/>
      <c r="E99" s="588"/>
      <c r="F99" s="588"/>
      <c r="G99" s="590"/>
      <c r="H99" s="588"/>
      <c r="I99" s="591"/>
      <c r="J99" s="591"/>
      <c r="K99" s="591"/>
      <c r="L99" s="591"/>
      <c r="M99" s="588"/>
      <c r="N99" s="589"/>
      <c r="O99" s="589"/>
    </row>
    <row r="100" spans="1:15" ht="15.75" x14ac:dyDescent="0.25">
      <c r="A100" s="588"/>
      <c r="B100" s="588"/>
      <c r="C100" s="588"/>
      <c r="D100" s="589"/>
      <c r="E100" s="588"/>
      <c r="F100" s="588"/>
      <c r="G100" s="590"/>
      <c r="H100" s="588"/>
      <c r="I100" s="591"/>
      <c r="J100" s="591"/>
      <c r="K100" s="591"/>
      <c r="L100" s="591"/>
      <c r="M100" s="588"/>
      <c r="N100" s="589"/>
      <c r="O100" s="589"/>
    </row>
    <row r="101" spans="1:15" ht="15.75" x14ac:dyDescent="0.25">
      <c r="A101" s="588"/>
      <c r="B101" s="588"/>
      <c r="C101" s="588"/>
      <c r="D101" s="589"/>
      <c r="E101" s="588"/>
      <c r="F101" s="588"/>
      <c r="G101" s="590"/>
      <c r="H101" s="588"/>
      <c r="I101" s="591"/>
      <c r="J101" s="591"/>
      <c r="K101" s="591"/>
      <c r="L101" s="591"/>
      <c r="M101" s="588"/>
      <c r="N101" s="589"/>
      <c r="O101" s="589"/>
    </row>
    <row r="102" spans="1:15" ht="15.75" x14ac:dyDescent="0.25">
      <c r="A102" s="588"/>
      <c r="B102" s="588"/>
      <c r="C102" s="588"/>
      <c r="D102" s="589"/>
      <c r="E102" s="588"/>
      <c r="F102" s="588"/>
      <c r="G102" s="590"/>
      <c r="H102" s="588"/>
      <c r="I102" s="591"/>
      <c r="J102" s="591"/>
      <c r="K102" s="591"/>
      <c r="L102" s="591"/>
      <c r="M102" s="588"/>
      <c r="N102" s="589"/>
      <c r="O102" s="589"/>
    </row>
    <row r="103" spans="1:15" ht="15.75" x14ac:dyDescent="0.25">
      <c r="A103" s="588"/>
      <c r="B103" s="588"/>
      <c r="C103" s="588"/>
      <c r="D103" s="589"/>
      <c r="E103" s="588"/>
      <c r="F103" s="588"/>
      <c r="G103" s="590"/>
      <c r="H103" s="588"/>
      <c r="I103" s="591"/>
      <c r="J103" s="591"/>
      <c r="K103" s="591"/>
      <c r="L103" s="591"/>
      <c r="M103" s="588"/>
      <c r="N103" s="589"/>
      <c r="O103" s="589"/>
    </row>
    <row r="104" spans="1:15" ht="15.75" x14ac:dyDescent="0.25">
      <c r="A104" s="588"/>
      <c r="B104" s="588"/>
      <c r="C104" s="588"/>
      <c r="D104" s="589"/>
      <c r="E104" s="588"/>
      <c r="F104" s="588"/>
      <c r="G104" s="590"/>
      <c r="H104" s="588"/>
      <c r="I104" s="591"/>
      <c r="J104" s="591"/>
      <c r="K104" s="591"/>
      <c r="L104" s="591"/>
      <c r="M104" s="588"/>
      <c r="N104" s="589"/>
      <c r="O104" s="589"/>
    </row>
    <row r="105" spans="1:15" ht="15.75" x14ac:dyDescent="0.25">
      <c r="A105" s="588"/>
      <c r="B105" s="588"/>
      <c r="C105" s="588"/>
      <c r="D105" s="589"/>
      <c r="E105" s="588"/>
      <c r="F105" s="588"/>
      <c r="G105" s="590"/>
      <c r="H105" s="588"/>
      <c r="I105" s="591"/>
      <c r="J105" s="591"/>
      <c r="K105" s="591"/>
      <c r="L105" s="591"/>
      <c r="M105" s="588"/>
      <c r="N105" s="589"/>
      <c r="O105" s="589"/>
    </row>
    <row r="106" spans="1:15" ht="15.75" x14ac:dyDescent="0.25">
      <c r="A106" s="588"/>
      <c r="B106" s="588"/>
      <c r="C106" s="588"/>
      <c r="D106" s="589"/>
      <c r="E106" s="588"/>
      <c r="F106" s="588"/>
      <c r="G106" s="590"/>
      <c r="H106" s="588"/>
      <c r="I106" s="591"/>
      <c r="J106" s="591"/>
      <c r="K106" s="591"/>
      <c r="L106" s="591"/>
      <c r="M106" s="588"/>
      <c r="N106" s="589"/>
      <c r="O106" s="589"/>
    </row>
    <row r="107" spans="1:15" ht="15.75" x14ac:dyDescent="0.25">
      <c r="A107" s="588"/>
      <c r="B107" s="588"/>
      <c r="C107" s="588"/>
      <c r="D107" s="589"/>
      <c r="E107" s="588"/>
      <c r="F107" s="588"/>
      <c r="G107" s="590"/>
      <c r="H107" s="588"/>
      <c r="I107" s="591"/>
      <c r="J107" s="591"/>
      <c r="K107" s="591"/>
      <c r="L107" s="591"/>
      <c r="M107" s="588"/>
      <c r="N107" s="589"/>
      <c r="O107" s="589"/>
    </row>
    <row r="108" spans="1:15" ht="15.75" x14ac:dyDescent="0.25">
      <c r="A108" s="588"/>
      <c r="B108" s="588"/>
      <c r="C108" s="588"/>
      <c r="D108" s="589"/>
      <c r="E108" s="588"/>
      <c r="F108" s="588"/>
      <c r="G108" s="590"/>
      <c r="H108" s="588"/>
      <c r="I108" s="591"/>
      <c r="J108" s="591"/>
      <c r="K108" s="591"/>
      <c r="L108" s="591"/>
      <c r="M108" s="588"/>
      <c r="N108" s="589"/>
      <c r="O108" s="589"/>
    </row>
    <row r="109" spans="1:15" ht="15.75" x14ac:dyDescent="0.25">
      <c r="A109" s="588"/>
      <c r="B109" s="588"/>
      <c r="C109" s="588"/>
      <c r="D109" s="589"/>
      <c r="E109" s="588"/>
      <c r="F109" s="588"/>
      <c r="G109" s="590"/>
      <c r="H109" s="588"/>
      <c r="I109" s="591"/>
      <c r="J109" s="591"/>
      <c r="K109" s="591"/>
      <c r="L109" s="591"/>
      <c r="M109" s="588"/>
      <c r="N109" s="589"/>
      <c r="O109" s="589"/>
    </row>
    <row r="110" spans="1:15" ht="15.75" x14ac:dyDescent="0.25">
      <c r="A110" s="588"/>
      <c r="B110" s="588"/>
      <c r="C110" s="588"/>
      <c r="D110" s="589"/>
      <c r="E110" s="588"/>
      <c r="F110" s="588"/>
      <c r="G110" s="590"/>
      <c r="H110" s="588"/>
      <c r="I110" s="591"/>
      <c r="J110" s="591"/>
      <c r="K110" s="591"/>
      <c r="L110" s="591"/>
      <c r="M110" s="588"/>
      <c r="N110" s="589"/>
      <c r="O110" s="589"/>
    </row>
    <row r="111" spans="1:15" ht="15.75" x14ac:dyDescent="0.25">
      <c r="A111" s="588"/>
      <c r="B111" s="588"/>
      <c r="C111" s="588"/>
      <c r="D111" s="589"/>
      <c r="E111" s="588"/>
      <c r="F111" s="588"/>
      <c r="G111" s="590"/>
      <c r="H111" s="588"/>
      <c r="I111" s="591"/>
      <c r="J111" s="591"/>
      <c r="K111" s="591"/>
      <c r="L111" s="591"/>
      <c r="M111" s="588"/>
      <c r="N111" s="589"/>
      <c r="O111" s="589"/>
    </row>
    <row r="112" spans="1:15" ht="15.75" x14ac:dyDescent="0.25">
      <c r="A112" s="588"/>
      <c r="B112" s="588"/>
      <c r="C112" s="588"/>
      <c r="D112" s="589"/>
      <c r="E112" s="588"/>
      <c r="F112" s="588"/>
      <c r="G112" s="590"/>
      <c r="H112" s="588"/>
      <c r="I112" s="591"/>
      <c r="J112" s="591"/>
      <c r="K112" s="591"/>
      <c r="L112" s="591"/>
      <c r="M112" s="588"/>
      <c r="N112" s="589"/>
      <c r="O112" s="589"/>
    </row>
    <row r="113" spans="1:15" ht="15.75" x14ac:dyDescent="0.25">
      <c r="A113" s="588"/>
      <c r="B113" s="588"/>
      <c r="C113" s="588"/>
      <c r="D113" s="589"/>
      <c r="E113" s="588"/>
      <c r="F113" s="588"/>
      <c r="G113" s="590"/>
      <c r="H113" s="588"/>
      <c r="I113" s="591"/>
      <c r="J113" s="591"/>
      <c r="K113" s="591"/>
      <c r="L113" s="591"/>
      <c r="M113" s="588"/>
      <c r="N113" s="589"/>
      <c r="O113" s="589"/>
    </row>
    <row r="114" spans="1:15" ht="15.75" x14ac:dyDescent="0.25">
      <c r="A114" s="588"/>
      <c r="B114" s="588"/>
      <c r="C114" s="588"/>
      <c r="D114" s="589"/>
      <c r="E114" s="588"/>
      <c r="F114" s="588"/>
      <c r="G114" s="590"/>
      <c r="H114" s="588"/>
      <c r="I114" s="591"/>
      <c r="J114" s="591"/>
      <c r="K114" s="591"/>
      <c r="L114" s="591"/>
      <c r="M114" s="588"/>
      <c r="N114" s="589"/>
      <c r="O114" s="589"/>
    </row>
    <row r="115" spans="1:15" ht="15.75" x14ac:dyDescent="0.25">
      <c r="A115" s="588"/>
      <c r="B115" s="588"/>
      <c r="C115" s="588"/>
      <c r="D115" s="589"/>
      <c r="E115" s="588"/>
      <c r="F115" s="588"/>
      <c r="G115" s="590"/>
      <c r="H115" s="588"/>
      <c r="I115" s="591"/>
      <c r="J115" s="591"/>
      <c r="K115" s="591"/>
      <c r="L115" s="591"/>
      <c r="M115" s="588"/>
      <c r="N115" s="589"/>
      <c r="O115" s="589"/>
    </row>
    <row r="116" spans="1:15" ht="15.75" x14ac:dyDescent="0.25">
      <c r="A116" s="588"/>
      <c r="B116" s="588"/>
      <c r="C116" s="588"/>
      <c r="D116" s="589"/>
      <c r="E116" s="588"/>
      <c r="F116" s="588"/>
      <c r="G116" s="590"/>
      <c r="H116" s="588"/>
      <c r="I116" s="591"/>
      <c r="J116" s="591"/>
      <c r="K116" s="591"/>
      <c r="L116" s="591"/>
      <c r="M116" s="588"/>
      <c r="N116" s="589"/>
      <c r="O116" s="589"/>
    </row>
    <row r="117" spans="1:15" ht="15.75" x14ac:dyDescent="0.25">
      <c r="A117" s="588"/>
      <c r="B117" s="588"/>
      <c r="C117" s="588"/>
      <c r="D117" s="589"/>
      <c r="E117" s="588"/>
      <c r="F117" s="588"/>
      <c r="G117" s="590"/>
      <c r="H117" s="588"/>
      <c r="I117" s="591"/>
      <c r="J117" s="591"/>
      <c r="K117" s="591"/>
      <c r="L117" s="591"/>
      <c r="M117" s="588"/>
      <c r="N117" s="589"/>
      <c r="O117" s="589"/>
    </row>
    <row r="118" spans="1:15" ht="15.75" x14ac:dyDescent="0.25">
      <c r="A118" s="588"/>
      <c r="B118" s="588"/>
      <c r="C118" s="588"/>
      <c r="D118" s="589"/>
      <c r="E118" s="588"/>
      <c r="F118" s="588"/>
      <c r="G118" s="590"/>
      <c r="H118" s="588"/>
      <c r="I118" s="591"/>
      <c r="J118" s="591"/>
      <c r="K118" s="591"/>
      <c r="L118" s="591"/>
      <c r="M118" s="588"/>
      <c r="N118" s="589"/>
      <c r="O118" s="589"/>
    </row>
    <row r="119" spans="1:15" ht="15.75" x14ac:dyDescent="0.25">
      <c r="A119" s="588"/>
      <c r="B119" s="588"/>
      <c r="C119" s="588"/>
      <c r="D119" s="589"/>
      <c r="E119" s="588"/>
      <c r="F119" s="588"/>
      <c r="G119" s="590"/>
      <c r="H119" s="588"/>
      <c r="I119" s="591"/>
      <c r="J119" s="591"/>
      <c r="K119" s="591"/>
      <c r="L119" s="591"/>
      <c r="M119" s="588"/>
      <c r="N119" s="589"/>
      <c r="O119" s="589"/>
    </row>
    <row r="120" spans="1:15" ht="15.75" x14ac:dyDescent="0.25">
      <c r="A120" s="588"/>
      <c r="B120" s="588"/>
      <c r="C120" s="588"/>
      <c r="D120" s="589"/>
      <c r="E120" s="588"/>
      <c r="F120" s="588"/>
      <c r="G120" s="590"/>
      <c r="H120" s="588"/>
      <c r="I120" s="591"/>
      <c r="J120" s="591"/>
      <c r="K120" s="591"/>
      <c r="L120" s="591"/>
      <c r="M120" s="588"/>
      <c r="N120" s="589"/>
      <c r="O120" s="589"/>
    </row>
    <row r="121" spans="1:15" ht="15.75" x14ac:dyDescent="0.25">
      <c r="A121" s="588"/>
      <c r="B121" s="588"/>
      <c r="C121" s="588"/>
      <c r="D121" s="589"/>
      <c r="E121" s="588"/>
      <c r="F121" s="588"/>
      <c r="G121" s="590"/>
      <c r="H121" s="588"/>
      <c r="I121" s="591"/>
      <c r="J121" s="591"/>
      <c r="K121" s="591"/>
      <c r="L121" s="591"/>
      <c r="M121" s="588"/>
      <c r="N121" s="589"/>
      <c r="O121" s="589"/>
    </row>
    <row r="122" spans="1:15" ht="15.75" x14ac:dyDescent="0.25">
      <c r="A122" s="588"/>
      <c r="B122" s="588"/>
      <c r="C122" s="588"/>
      <c r="D122" s="589"/>
      <c r="E122" s="588"/>
      <c r="F122" s="588"/>
      <c r="G122" s="590"/>
      <c r="H122" s="588"/>
      <c r="I122" s="591"/>
      <c r="J122" s="591"/>
      <c r="K122" s="591"/>
      <c r="L122" s="591"/>
      <c r="M122" s="588"/>
      <c r="N122" s="589"/>
      <c r="O122" s="589"/>
    </row>
    <row r="123" spans="1:15" ht="15.75" x14ac:dyDescent="0.25">
      <c r="A123" s="588"/>
      <c r="B123" s="588"/>
      <c r="C123" s="588"/>
      <c r="D123" s="589"/>
      <c r="E123" s="588"/>
      <c r="F123" s="588"/>
      <c r="G123" s="590"/>
      <c r="H123" s="588"/>
      <c r="I123" s="591"/>
      <c r="J123" s="591"/>
      <c r="K123" s="591"/>
      <c r="L123" s="591"/>
      <c r="M123" s="588"/>
      <c r="N123" s="589"/>
      <c r="O123" s="589"/>
    </row>
    <row r="124" spans="1:15" ht="15.75" x14ac:dyDescent="0.25">
      <c r="A124" s="588"/>
      <c r="B124" s="588"/>
      <c r="C124" s="588"/>
      <c r="D124" s="589"/>
      <c r="E124" s="588"/>
      <c r="F124" s="588"/>
      <c r="G124" s="590"/>
      <c r="H124" s="588"/>
      <c r="I124" s="591"/>
      <c r="J124" s="591"/>
      <c r="K124" s="591"/>
      <c r="L124" s="591"/>
      <c r="M124" s="588"/>
      <c r="N124" s="589"/>
      <c r="O124" s="589"/>
    </row>
    <row r="125" spans="1:15" ht="15.75" x14ac:dyDescent="0.25">
      <c r="A125" s="588"/>
      <c r="B125" s="588"/>
      <c r="C125" s="588"/>
      <c r="D125" s="589"/>
      <c r="E125" s="588"/>
      <c r="F125" s="588"/>
      <c r="G125" s="590"/>
      <c r="H125" s="588"/>
      <c r="I125" s="591"/>
      <c r="J125" s="591"/>
      <c r="K125" s="591"/>
      <c r="L125" s="591"/>
      <c r="M125" s="588"/>
      <c r="N125" s="589"/>
      <c r="O125" s="589"/>
    </row>
    <row r="126" spans="1:15" ht="15.75" x14ac:dyDescent="0.25">
      <c r="A126" s="588"/>
      <c r="B126" s="588"/>
      <c r="C126" s="588"/>
      <c r="D126" s="589"/>
      <c r="E126" s="588"/>
      <c r="F126" s="588"/>
      <c r="G126" s="590"/>
      <c r="H126" s="588"/>
      <c r="I126" s="591"/>
      <c r="J126" s="591"/>
      <c r="K126" s="591"/>
      <c r="L126" s="591"/>
      <c r="M126" s="588"/>
      <c r="N126" s="589"/>
      <c r="O126" s="589"/>
    </row>
    <row r="127" spans="1:15" ht="15.75" x14ac:dyDescent="0.25">
      <c r="A127" s="588"/>
      <c r="B127" s="588"/>
      <c r="C127" s="588"/>
      <c r="D127" s="589"/>
      <c r="E127" s="588"/>
      <c r="F127" s="588"/>
      <c r="G127" s="590"/>
      <c r="H127" s="588"/>
      <c r="I127" s="591"/>
      <c r="J127" s="591"/>
      <c r="K127" s="591"/>
      <c r="L127" s="591"/>
      <c r="M127" s="588"/>
      <c r="N127" s="589"/>
      <c r="O127" s="589"/>
    </row>
    <row r="128" spans="1:15" ht="15.75" x14ac:dyDescent="0.25">
      <c r="A128" s="588"/>
      <c r="B128" s="588"/>
      <c r="C128" s="588"/>
      <c r="D128" s="589"/>
      <c r="E128" s="588"/>
      <c r="F128" s="588"/>
      <c r="G128" s="590"/>
      <c r="H128" s="588"/>
      <c r="I128" s="591"/>
      <c r="J128" s="591"/>
      <c r="K128" s="591"/>
      <c r="L128" s="591"/>
      <c r="M128" s="588"/>
      <c r="N128" s="589"/>
      <c r="O128" s="589"/>
    </row>
    <row r="129" spans="1:15" ht="15.75" x14ac:dyDescent="0.25">
      <c r="A129" s="588"/>
      <c r="B129" s="588"/>
      <c r="C129" s="588"/>
      <c r="D129" s="589"/>
      <c r="E129" s="588"/>
      <c r="F129" s="588"/>
      <c r="G129" s="590"/>
      <c r="H129" s="588"/>
      <c r="I129" s="591"/>
      <c r="J129" s="591"/>
      <c r="K129" s="591"/>
      <c r="L129" s="591"/>
      <c r="M129" s="588"/>
      <c r="N129" s="589"/>
      <c r="O129" s="589"/>
    </row>
    <row r="130" spans="1:15" ht="15.75" x14ac:dyDescent="0.25">
      <c r="A130" s="588"/>
      <c r="B130" s="588"/>
      <c r="C130" s="588"/>
      <c r="D130" s="589"/>
      <c r="E130" s="588"/>
      <c r="F130" s="588"/>
      <c r="G130" s="590"/>
      <c r="H130" s="588"/>
      <c r="I130" s="591"/>
      <c r="J130" s="591"/>
      <c r="K130" s="591"/>
      <c r="L130" s="591"/>
      <c r="M130" s="588"/>
      <c r="N130" s="589"/>
      <c r="O130" s="589"/>
    </row>
    <row r="131" spans="1:15" ht="15.75" x14ac:dyDescent="0.25">
      <c r="A131" s="588"/>
      <c r="B131" s="588"/>
      <c r="C131" s="588"/>
      <c r="D131" s="589"/>
      <c r="E131" s="588"/>
      <c r="F131" s="588"/>
      <c r="G131" s="590"/>
      <c r="H131" s="588"/>
      <c r="I131" s="591"/>
      <c r="J131" s="591"/>
      <c r="K131" s="591"/>
      <c r="L131" s="591"/>
      <c r="M131" s="588"/>
      <c r="N131" s="589"/>
      <c r="O131" s="589"/>
    </row>
    <row r="132" spans="1:15" ht="15.75" x14ac:dyDescent="0.25">
      <c r="A132" s="588"/>
      <c r="B132" s="588"/>
      <c r="C132" s="588"/>
      <c r="D132" s="589"/>
      <c r="E132" s="588"/>
      <c r="F132" s="588"/>
      <c r="G132" s="590"/>
      <c r="H132" s="588"/>
      <c r="I132" s="591"/>
      <c r="J132" s="591"/>
      <c r="K132" s="591"/>
      <c r="L132" s="591"/>
      <c r="M132" s="588"/>
      <c r="N132" s="589"/>
      <c r="O132" s="589"/>
    </row>
    <row r="133" spans="1:15" ht="15.75" x14ac:dyDescent="0.25">
      <c r="A133" s="588"/>
      <c r="B133" s="588"/>
      <c r="C133" s="588"/>
      <c r="D133" s="589"/>
      <c r="E133" s="588"/>
      <c r="F133" s="588"/>
      <c r="G133" s="590"/>
      <c r="H133" s="588"/>
      <c r="I133" s="591"/>
      <c r="J133" s="591"/>
      <c r="K133" s="591"/>
      <c r="L133" s="591"/>
      <c r="M133" s="588"/>
      <c r="N133" s="589"/>
      <c r="O133" s="589"/>
    </row>
    <row r="134" spans="1:15" ht="15.75" x14ac:dyDescent="0.25">
      <c r="A134" s="588"/>
      <c r="B134" s="588"/>
      <c r="C134" s="588"/>
      <c r="D134" s="589"/>
      <c r="E134" s="588"/>
      <c r="F134" s="588"/>
      <c r="G134" s="590"/>
      <c r="H134" s="588"/>
      <c r="I134" s="591"/>
      <c r="J134" s="591"/>
      <c r="K134" s="591"/>
      <c r="L134" s="591"/>
      <c r="M134" s="588"/>
      <c r="N134" s="589"/>
      <c r="O134" s="589"/>
    </row>
    <row r="135" spans="1:15" ht="15.75" x14ac:dyDescent="0.25">
      <c r="A135" s="588"/>
      <c r="B135" s="588"/>
      <c r="C135" s="588"/>
      <c r="D135" s="589"/>
      <c r="E135" s="588"/>
      <c r="F135" s="588"/>
      <c r="G135" s="590"/>
      <c r="H135" s="588"/>
      <c r="I135" s="591"/>
      <c r="J135" s="591"/>
      <c r="K135" s="591"/>
      <c r="L135" s="591"/>
      <c r="M135" s="588"/>
      <c r="N135" s="589"/>
      <c r="O135" s="589"/>
    </row>
    <row r="136" spans="1:15" ht="15.75" x14ac:dyDescent="0.25">
      <c r="A136" s="588"/>
      <c r="B136" s="588"/>
      <c r="C136" s="588"/>
      <c r="D136" s="589"/>
      <c r="E136" s="588"/>
      <c r="F136" s="588"/>
      <c r="G136" s="590"/>
      <c r="H136" s="588"/>
      <c r="I136" s="591"/>
      <c r="J136" s="591"/>
      <c r="K136" s="591"/>
      <c r="L136" s="591"/>
      <c r="M136" s="588"/>
      <c r="N136" s="589"/>
      <c r="O136" s="589"/>
    </row>
    <row r="137" spans="1:15" ht="15.75" x14ac:dyDescent="0.25">
      <c r="A137" s="588"/>
      <c r="B137" s="588"/>
      <c r="C137" s="588"/>
      <c r="D137" s="589"/>
      <c r="E137" s="588"/>
      <c r="F137" s="588"/>
      <c r="G137" s="590"/>
      <c r="H137" s="588"/>
      <c r="I137" s="591"/>
      <c r="J137" s="591"/>
      <c r="K137" s="591"/>
      <c r="L137" s="591"/>
      <c r="M137" s="588"/>
      <c r="N137" s="589"/>
      <c r="O137" s="589"/>
    </row>
    <row r="138" spans="1:15" ht="15.75" x14ac:dyDescent="0.25">
      <c r="A138" s="588"/>
      <c r="B138" s="588"/>
      <c r="C138" s="588"/>
      <c r="D138" s="589"/>
      <c r="E138" s="588"/>
      <c r="F138" s="588"/>
      <c r="G138" s="590"/>
      <c r="H138" s="588"/>
      <c r="I138" s="591"/>
      <c r="J138" s="591"/>
      <c r="K138" s="591"/>
      <c r="L138" s="591"/>
      <c r="M138" s="588"/>
      <c r="N138" s="589"/>
      <c r="O138" s="589"/>
    </row>
    <row r="139" spans="1:15" ht="15.75" x14ac:dyDescent="0.25">
      <c r="A139" s="588"/>
      <c r="B139" s="588"/>
      <c r="C139" s="588"/>
      <c r="D139" s="589"/>
      <c r="E139" s="588"/>
      <c r="F139" s="588"/>
      <c r="G139" s="590"/>
      <c r="H139" s="588"/>
      <c r="I139" s="591"/>
      <c r="J139" s="591"/>
      <c r="K139" s="591"/>
      <c r="L139" s="591"/>
      <c r="M139" s="588"/>
      <c r="N139" s="589"/>
      <c r="O139" s="589"/>
    </row>
    <row r="140" spans="1:15" ht="15.75" x14ac:dyDescent="0.25">
      <c r="A140" s="588"/>
      <c r="B140" s="588"/>
      <c r="C140" s="588"/>
      <c r="D140" s="589"/>
      <c r="E140" s="588"/>
      <c r="F140" s="588"/>
      <c r="G140" s="590"/>
      <c r="H140" s="588"/>
      <c r="I140" s="591"/>
      <c r="J140" s="591"/>
      <c r="K140" s="591"/>
      <c r="L140" s="591"/>
      <c r="M140" s="588"/>
      <c r="N140" s="589"/>
      <c r="O140" s="589"/>
    </row>
    <row r="141" spans="1:15" ht="15.75" x14ac:dyDescent="0.25">
      <c r="A141" s="588"/>
      <c r="B141" s="588"/>
      <c r="C141" s="588"/>
      <c r="D141" s="589"/>
      <c r="E141" s="588"/>
      <c r="F141" s="588"/>
      <c r="G141" s="590"/>
      <c r="H141" s="588"/>
      <c r="I141" s="591"/>
      <c r="J141" s="591"/>
      <c r="K141" s="591"/>
      <c r="L141" s="591"/>
      <c r="M141" s="588"/>
      <c r="N141" s="589"/>
      <c r="O141" s="589"/>
    </row>
    <row r="142" spans="1:15" ht="15.75" x14ac:dyDescent="0.25">
      <c r="A142" s="588"/>
      <c r="B142" s="588"/>
      <c r="C142" s="588"/>
      <c r="D142" s="589"/>
      <c r="E142" s="588"/>
      <c r="F142" s="588"/>
      <c r="G142" s="590"/>
      <c r="H142" s="588"/>
      <c r="I142" s="591"/>
      <c r="J142" s="591"/>
      <c r="K142" s="591"/>
      <c r="L142" s="591"/>
      <c r="M142" s="588"/>
      <c r="N142" s="589"/>
      <c r="O142" s="589"/>
    </row>
    <row r="143" spans="1:15" ht="15.75" x14ac:dyDescent="0.25">
      <c r="A143" s="588"/>
      <c r="B143" s="588"/>
      <c r="C143" s="588"/>
      <c r="D143" s="589"/>
      <c r="E143" s="588"/>
      <c r="F143" s="588"/>
      <c r="G143" s="590"/>
      <c r="H143" s="588"/>
      <c r="I143" s="591"/>
      <c r="J143" s="591"/>
      <c r="K143" s="591"/>
      <c r="L143" s="591"/>
      <c r="M143" s="588"/>
      <c r="N143" s="589"/>
      <c r="O143" s="589"/>
    </row>
    <row r="144" spans="1:15" ht="15.75" x14ac:dyDescent="0.25">
      <c r="A144" s="588"/>
      <c r="B144" s="588"/>
      <c r="C144" s="588"/>
      <c r="D144" s="589"/>
      <c r="E144" s="588"/>
      <c r="F144" s="588"/>
      <c r="G144" s="590"/>
      <c r="H144" s="588"/>
      <c r="I144" s="591"/>
      <c r="J144" s="591"/>
      <c r="K144" s="591"/>
      <c r="L144" s="591"/>
      <c r="M144" s="588"/>
      <c r="N144" s="589"/>
      <c r="O144" s="589"/>
    </row>
    <row r="145" spans="1:15" ht="15.75" x14ac:dyDescent="0.25">
      <c r="A145" s="588"/>
      <c r="B145" s="588"/>
      <c r="C145" s="588"/>
      <c r="D145" s="589"/>
      <c r="E145" s="588"/>
      <c r="F145" s="588"/>
      <c r="G145" s="590"/>
      <c r="H145" s="588"/>
      <c r="I145" s="591"/>
      <c r="J145" s="591"/>
      <c r="K145" s="591"/>
      <c r="L145" s="591"/>
      <c r="M145" s="588"/>
      <c r="N145" s="589"/>
      <c r="O145" s="589"/>
    </row>
    <row r="146" spans="1:15" ht="15.75" x14ac:dyDescent="0.25">
      <c r="A146" s="588"/>
      <c r="B146" s="588"/>
      <c r="C146" s="588"/>
      <c r="D146" s="589"/>
      <c r="E146" s="588"/>
      <c r="F146" s="588"/>
      <c r="G146" s="590"/>
      <c r="H146" s="588"/>
      <c r="I146" s="591"/>
      <c r="J146" s="591"/>
      <c r="K146" s="591"/>
      <c r="L146" s="591"/>
      <c r="M146" s="588"/>
      <c r="N146" s="589"/>
      <c r="O146" s="589"/>
    </row>
    <row r="147" spans="1:15" ht="15.75" x14ac:dyDescent="0.25">
      <c r="A147" s="588"/>
      <c r="B147" s="588"/>
      <c r="C147" s="588"/>
      <c r="D147" s="589"/>
      <c r="E147" s="588"/>
      <c r="F147" s="588"/>
      <c r="G147" s="590"/>
      <c r="H147" s="588"/>
      <c r="I147" s="591"/>
      <c r="J147" s="591"/>
      <c r="K147" s="591"/>
      <c r="L147" s="591"/>
      <c r="M147" s="588"/>
      <c r="N147" s="589"/>
      <c r="O147" s="589"/>
    </row>
    <row r="148" spans="1:15" ht="15.75" x14ac:dyDescent="0.25">
      <c r="A148" s="588"/>
      <c r="B148" s="588"/>
      <c r="C148" s="588"/>
      <c r="D148" s="589"/>
      <c r="E148" s="588"/>
      <c r="F148" s="588"/>
      <c r="G148" s="590"/>
      <c r="H148" s="588"/>
      <c r="I148" s="591"/>
      <c r="J148" s="591"/>
      <c r="K148" s="591"/>
      <c r="L148" s="591"/>
      <c r="M148" s="588"/>
      <c r="N148" s="589"/>
      <c r="O148" s="589"/>
    </row>
    <row r="149" spans="1:15" ht="15.75" x14ac:dyDescent="0.25">
      <c r="A149" s="588"/>
      <c r="B149" s="588"/>
      <c r="C149" s="588"/>
      <c r="D149" s="589"/>
      <c r="E149" s="588"/>
      <c r="F149" s="588"/>
      <c r="G149" s="590"/>
      <c r="H149" s="588"/>
      <c r="I149" s="591"/>
      <c r="J149" s="591"/>
      <c r="K149" s="591"/>
      <c r="L149" s="591"/>
      <c r="M149" s="588"/>
      <c r="N149" s="589"/>
      <c r="O149" s="589"/>
    </row>
    <row r="150" spans="1:15" ht="15.75" x14ac:dyDescent="0.25">
      <c r="A150" s="588"/>
      <c r="B150" s="588"/>
      <c r="C150" s="588"/>
      <c r="D150" s="589"/>
      <c r="E150" s="588"/>
      <c r="F150" s="588"/>
      <c r="G150" s="590"/>
      <c r="H150" s="588"/>
      <c r="I150" s="591"/>
      <c r="J150" s="591"/>
      <c r="K150" s="591"/>
      <c r="L150" s="591"/>
      <c r="M150" s="588"/>
      <c r="N150" s="589"/>
      <c r="O150" s="589"/>
    </row>
    <row r="151" spans="1:15" ht="15.75" x14ac:dyDescent="0.25">
      <c r="A151" s="588"/>
      <c r="B151" s="588"/>
      <c r="C151" s="588"/>
      <c r="D151" s="589"/>
      <c r="E151" s="588"/>
      <c r="F151" s="588"/>
      <c r="G151" s="590"/>
      <c r="H151" s="588"/>
      <c r="I151" s="591"/>
      <c r="J151" s="591"/>
      <c r="K151" s="591"/>
      <c r="L151" s="591"/>
      <c r="M151" s="588"/>
      <c r="N151" s="589"/>
      <c r="O151" s="589"/>
    </row>
    <row r="152" spans="1:15" ht="15.75" x14ac:dyDescent="0.25">
      <c r="A152" s="588"/>
      <c r="B152" s="588"/>
      <c r="C152" s="588"/>
      <c r="D152" s="589"/>
      <c r="E152" s="588"/>
      <c r="F152" s="588"/>
      <c r="G152" s="590"/>
      <c r="H152" s="588"/>
      <c r="I152" s="591"/>
      <c r="J152" s="591"/>
      <c r="K152" s="591"/>
      <c r="L152" s="591"/>
      <c r="M152" s="588"/>
      <c r="N152" s="589"/>
      <c r="O152" s="589"/>
    </row>
    <row r="153" spans="1:15" ht="15.75" x14ac:dyDescent="0.25">
      <c r="A153" s="588"/>
      <c r="B153" s="588"/>
      <c r="C153" s="588"/>
      <c r="D153" s="589"/>
      <c r="E153" s="588"/>
      <c r="F153" s="588"/>
      <c r="G153" s="590"/>
      <c r="H153" s="588"/>
      <c r="I153" s="591"/>
      <c r="J153" s="591"/>
      <c r="K153" s="591"/>
      <c r="L153" s="591"/>
      <c r="M153" s="588"/>
      <c r="N153" s="589"/>
      <c r="O153" s="589"/>
    </row>
    <row r="154" spans="1:15" ht="15.75" x14ac:dyDescent="0.25">
      <c r="A154" s="588"/>
      <c r="B154" s="588"/>
      <c r="C154" s="588"/>
      <c r="D154" s="589"/>
      <c r="E154" s="588"/>
      <c r="F154" s="588"/>
      <c r="G154" s="590"/>
      <c r="H154" s="588"/>
      <c r="I154" s="591"/>
      <c r="J154" s="591"/>
      <c r="K154" s="591"/>
      <c r="L154" s="591"/>
      <c r="M154" s="588"/>
      <c r="N154" s="589"/>
      <c r="O154" s="589"/>
    </row>
    <row r="155" spans="1:15" ht="15.75" x14ac:dyDescent="0.25">
      <c r="A155" s="588"/>
      <c r="B155" s="588"/>
      <c r="C155" s="588"/>
      <c r="D155" s="589"/>
      <c r="E155" s="588"/>
      <c r="F155" s="588"/>
      <c r="G155" s="590"/>
      <c r="H155" s="588"/>
      <c r="I155" s="591"/>
      <c r="J155" s="591"/>
      <c r="K155" s="591"/>
      <c r="L155" s="591"/>
      <c r="M155" s="588"/>
      <c r="N155" s="589"/>
      <c r="O155" s="589"/>
    </row>
    <row r="156" spans="1:15" ht="15.75" x14ac:dyDescent="0.25">
      <c r="A156" s="588"/>
      <c r="B156" s="588"/>
      <c r="C156" s="588"/>
      <c r="D156" s="589"/>
      <c r="E156" s="588"/>
      <c r="F156" s="588"/>
      <c r="G156" s="590"/>
      <c r="H156" s="588"/>
      <c r="I156" s="591"/>
      <c r="J156" s="591"/>
      <c r="K156" s="591"/>
      <c r="L156" s="591"/>
      <c r="M156" s="588"/>
      <c r="N156" s="589"/>
      <c r="O156" s="589"/>
    </row>
    <row r="157" spans="1:15" ht="15.75" x14ac:dyDescent="0.25">
      <c r="A157" s="588"/>
      <c r="B157" s="588"/>
      <c r="C157" s="588"/>
      <c r="D157" s="589"/>
      <c r="E157" s="588"/>
      <c r="F157" s="588"/>
      <c r="G157" s="590"/>
      <c r="H157" s="588"/>
      <c r="I157" s="591"/>
      <c r="J157" s="591"/>
      <c r="K157" s="591"/>
      <c r="L157" s="591"/>
      <c r="M157" s="588"/>
      <c r="N157" s="589"/>
      <c r="O157" s="589"/>
    </row>
    <row r="158" spans="1:15" ht="15.75" x14ac:dyDescent="0.25">
      <c r="A158" s="588"/>
      <c r="B158" s="588"/>
      <c r="C158" s="588"/>
      <c r="D158" s="589"/>
      <c r="E158" s="588"/>
      <c r="F158" s="588"/>
      <c r="G158" s="590"/>
      <c r="H158" s="588"/>
      <c r="I158" s="591"/>
      <c r="J158" s="591"/>
      <c r="K158" s="591"/>
      <c r="L158" s="591"/>
      <c r="M158" s="588"/>
      <c r="N158" s="589"/>
      <c r="O158" s="589"/>
    </row>
    <row r="159" spans="1:15" ht="15.75" x14ac:dyDescent="0.25">
      <c r="A159" s="588"/>
      <c r="B159" s="588"/>
      <c r="C159" s="588"/>
      <c r="D159" s="589"/>
      <c r="E159" s="588"/>
      <c r="F159" s="588"/>
      <c r="G159" s="590"/>
      <c r="H159" s="588"/>
      <c r="I159" s="591"/>
      <c r="J159" s="591"/>
      <c r="K159" s="591"/>
      <c r="L159" s="591"/>
      <c r="M159" s="588"/>
      <c r="N159" s="589"/>
      <c r="O159" s="589"/>
    </row>
    <row r="160" spans="1:15" ht="15.75" x14ac:dyDescent="0.25">
      <c r="A160" s="588"/>
      <c r="B160" s="588"/>
      <c r="C160" s="588"/>
      <c r="D160" s="589"/>
      <c r="E160" s="588"/>
      <c r="F160" s="588"/>
      <c r="G160" s="590"/>
      <c r="H160" s="588"/>
      <c r="I160" s="591"/>
      <c r="J160" s="591"/>
      <c r="K160" s="591"/>
      <c r="L160" s="591"/>
      <c r="M160" s="588"/>
      <c r="N160" s="589"/>
      <c r="O160" s="589"/>
    </row>
    <row r="161" spans="1:15" ht="15.75" x14ac:dyDescent="0.25">
      <c r="A161" s="588"/>
      <c r="B161" s="588"/>
      <c r="C161" s="588"/>
      <c r="D161" s="589"/>
      <c r="E161" s="588"/>
      <c r="F161" s="588"/>
      <c r="G161" s="590"/>
      <c r="H161" s="588"/>
      <c r="I161" s="591"/>
      <c r="J161" s="591"/>
      <c r="K161" s="591"/>
      <c r="L161" s="591"/>
      <c r="M161" s="588"/>
      <c r="N161" s="589"/>
      <c r="O161" s="589"/>
    </row>
    <row r="162" spans="1:15" ht="15.75" x14ac:dyDescent="0.25">
      <c r="A162" s="588"/>
      <c r="B162" s="588"/>
      <c r="C162" s="588"/>
      <c r="D162" s="589"/>
      <c r="E162" s="588"/>
      <c r="F162" s="588"/>
      <c r="G162" s="590"/>
      <c r="H162" s="588"/>
      <c r="I162" s="591"/>
      <c r="J162" s="591"/>
      <c r="K162" s="591"/>
      <c r="L162" s="591"/>
      <c r="M162" s="588"/>
      <c r="N162" s="589"/>
      <c r="O162" s="589"/>
    </row>
    <row r="163" spans="1:15" ht="15.75" x14ac:dyDescent="0.25">
      <c r="A163" s="588"/>
      <c r="B163" s="588"/>
      <c r="C163" s="588"/>
      <c r="D163" s="589"/>
      <c r="E163" s="588"/>
      <c r="F163" s="588"/>
      <c r="G163" s="590"/>
      <c r="H163" s="588"/>
      <c r="I163" s="591"/>
      <c r="J163" s="591"/>
      <c r="K163" s="591"/>
      <c r="L163" s="591"/>
      <c r="M163" s="588"/>
      <c r="N163" s="589"/>
      <c r="O163" s="589"/>
    </row>
    <row r="164" spans="1:15" ht="15.75" x14ac:dyDescent="0.25">
      <c r="A164" s="588"/>
      <c r="B164" s="588"/>
      <c r="C164" s="588"/>
      <c r="D164" s="589"/>
      <c r="E164" s="588"/>
      <c r="F164" s="588"/>
      <c r="G164" s="590"/>
      <c r="H164" s="588"/>
      <c r="I164" s="591"/>
      <c r="J164" s="591"/>
      <c r="K164" s="591"/>
      <c r="L164" s="591"/>
      <c r="M164" s="588"/>
      <c r="N164" s="589"/>
      <c r="O164" s="589"/>
    </row>
    <row r="165" spans="1:15" ht="15.75" x14ac:dyDescent="0.25">
      <c r="A165" s="588"/>
      <c r="B165" s="588"/>
      <c r="C165" s="588"/>
      <c r="D165" s="589"/>
      <c r="E165" s="588"/>
      <c r="F165" s="588"/>
      <c r="G165" s="590"/>
      <c r="H165" s="588"/>
      <c r="I165" s="591"/>
      <c r="J165" s="591"/>
      <c r="K165" s="591"/>
      <c r="L165" s="591"/>
      <c r="M165" s="588"/>
      <c r="N165" s="589"/>
      <c r="O165" s="589"/>
    </row>
    <row r="166" spans="1:15" ht="15.75" x14ac:dyDescent="0.25">
      <c r="A166" s="588"/>
      <c r="B166" s="588"/>
      <c r="C166" s="588"/>
      <c r="D166" s="589"/>
      <c r="E166" s="588"/>
      <c r="F166" s="588"/>
      <c r="G166" s="590"/>
      <c r="H166" s="588"/>
      <c r="I166" s="591"/>
      <c r="J166" s="591"/>
      <c r="K166" s="591"/>
      <c r="L166" s="591"/>
      <c r="M166" s="588"/>
      <c r="N166" s="589"/>
      <c r="O166" s="589"/>
    </row>
    <row r="167" spans="1:15" ht="15.75" x14ac:dyDescent="0.25">
      <c r="A167" s="588"/>
      <c r="B167" s="588"/>
      <c r="C167" s="588"/>
      <c r="D167" s="589"/>
      <c r="E167" s="588"/>
      <c r="F167" s="588"/>
      <c r="G167" s="590"/>
      <c r="H167" s="588"/>
      <c r="I167" s="591"/>
      <c r="J167" s="591"/>
      <c r="K167" s="591"/>
      <c r="L167" s="591"/>
      <c r="M167" s="588"/>
      <c r="N167" s="589"/>
      <c r="O167" s="589"/>
    </row>
    <row r="168" spans="1:15" ht="15.75" x14ac:dyDescent="0.25">
      <c r="A168" s="588"/>
      <c r="B168" s="588"/>
      <c r="C168" s="588"/>
      <c r="D168" s="589"/>
      <c r="E168" s="588"/>
      <c r="F168" s="588"/>
      <c r="G168" s="590"/>
      <c r="H168" s="588"/>
      <c r="I168" s="591"/>
      <c r="J168" s="591"/>
      <c r="K168" s="591"/>
      <c r="L168" s="591"/>
      <c r="M168" s="588"/>
      <c r="N168" s="589"/>
      <c r="O168" s="589"/>
    </row>
    <row r="169" spans="1:15" ht="15.75" x14ac:dyDescent="0.25">
      <c r="A169" s="588"/>
      <c r="B169" s="588"/>
      <c r="C169" s="588"/>
      <c r="D169" s="589"/>
      <c r="E169" s="588"/>
      <c r="F169" s="588"/>
      <c r="G169" s="590"/>
      <c r="H169" s="588"/>
      <c r="I169" s="591"/>
      <c r="J169" s="591"/>
      <c r="K169" s="591"/>
      <c r="L169" s="591"/>
      <c r="M169" s="588"/>
      <c r="N169" s="589"/>
      <c r="O169" s="589"/>
    </row>
    <row r="170" spans="1:15" ht="15.75" x14ac:dyDescent="0.25">
      <c r="A170" s="588"/>
      <c r="B170" s="588"/>
      <c r="C170" s="588"/>
      <c r="D170" s="589"/>
      <c r="E170" s="588"/>
      <c r="F170" s="588"/>
      <c r="G170" s="590"/>
      <c r="H170" s="588"/>
      <c r="I170" s="591"/>
      <c r="J170" s="591"/>
      <c r="K170" s="591"/>
      <c r="L170" s="591"/>
      <c r="M170" s="588"/>
      <c r="N170" s="589"/>
      <c r="O170" s="589"/>
    </row>
    <row r="171" spans="1:15" ht="15.75" x14ac:dyDescent="0.25">
      <c r="A171" s="588"/>
      <c r="B171" s="588"/>
      <c r="C171" s="588"/>
      <c r="D171" s="589"/>
      <c r="E171" s="588"/>
      <c r="F171" s="588"/>
      <c r="G171" s="590"/>
      <c r="H171" s="588"/>
      <c r="I171" s="591"/>
      <c r="J171" s="591"/>
      <c r="K171" s="591"/>
      <c r="L171" s="591"/>
      <c r="M171" s="588"/>
      <c r="N171" s="589"/>
      <c r="O171" s="589"/>
    </row>
    <row r="172" spans="1:15" ht="15.75" x14ac:dyDescent="0.25">
      <c r="A172" s="588"/>
      <c r="B172" s="588"/>
      <c r="C172" s="588"/>
      <c r="D172" s="589"/>
      <c r="E172" s="588"/>
      <c r="F172" s="588"/>
      <c r="G172" s="590"/>
      <c r="H172" s="588"/>
      <c r="I172" s="591"/>
      <c r="J172" s="591"/>
      <c r="K172" s="591"/>
      <c r="L172" s="591"/>
      <c r="M172" s="588"/>
      <c r="N172" s="589"/>
      <c r="O172" s="589"/>
    </row>
    <row r="173" spans="1:15" ht="15.75" x14ac:dyDescent="0.25">
      <c r="A173" s="588"/>
      <c r="B173" s="588"/>
      <c r="C173" s="588"/>
      <c r="D173" s="589"/>
      <c r="E173" s="588"/>
      <c r="F173" s="588"/>
      <c r="G173" s="590"/>
      <c r="H173" s="588"/>
      <c r="I173" s="591"/>
      <c r="J173" s="591"/>
      <c r="K173" s="591"/>
      <c r="L173" s="591"/>
      <c r="M173" s="588"/>
      <c r="N173" s="589"/>
      <c r="O173" s="589"/>
    </row>
    <row r="174" spans="1:15" ht="15.75" x14ac:dyDescent="0.25">
      <c r="A174" s="588"/>
      <c r="B174" s="588"/>
      <c r="C174" s="588"/>
      <c r="D174" s="589"/>
      <c r="E174" s="588"/>
      <c r="F174" s="588"/>
      <c r="G174" s="590"/>
      <c r="H174" s="588"/>
      <c r="I174" s="591"/>
      <c r="J174" s="591"/>
      <c r="K174" s="591"/>
      <c r="L174" s="591"/>
      <c r="M174" s="588"/>
      <c r="N174" s="589"/>
      <c r="O174" s="589"/>
    </row>
    <row r="175" spans="1:15" ht="15.75" x14ac:dyDescent="0.25">
      <c r="A175" s="588"/>
      <c r="B175" s="588"/>
      <c r="C175" s="588"/>
      <c r="D175" s="589"/>
      <c r="E175" s="588"/>
      <c r="F175" s="588"/>
      <c r="G175" s="590"/>
      <c r="H175" s="588"/>
      <c r="I175" s="591"/>
      <c r="J175" s="591"/>
      <c r="K175" s="591"/>
      <c r="L175" s="591"/>
      <c r="M175" s="588"/>
      <c r="N175" s="589"/>
      <c r="O175" s="589"/>
    </row>
    <row r="176" spans="1:15" ht="15.75" x14ac:dyDescent="0.25">
      <c r="A176" s="588"/>
      <c r="B176" s="588"/>
      <c r="C176" s="588"/>
      <c r="D176" s="589"/>
      <c r="E176" s="588"/>
      <c r="F176" s="588"/>
      <c r="G176" s="590"/>
      <c r="H176" s="588"/>
      <c r="I176" s="591"/>
      <c r="J176" s="591"/>
      <c r="K176" s="591"/>
      <c r="L176" s="591"/>
      <c r="M176" s="588"/>
      <c r="N176" s="589"/>
      <c r="O176" s="589"/>
    </row>
    <row r="177" spans="1:15" ht="15.75" x14ac:dyDescent="0.25">
      <c r="A177" s="588"/>
      <c r="B177" s="588"/>
      <c r="C177" s="588"/>
      <c r="D177" s="589"/>
      <c r="E177" s="588"/>
      <c r="F177" s="588"/>
      <c r="G177" s="590"/>
      <c r="H177" s="588"/>
      <c r="I177" s="591"/>
      <c r="J177" s="591"/>
      <c r="K177" s="591"/>
      <c r="L177" s="591"/>
      <c r="M177" s="588"/>
      <c r="N177" s="589"/>
      <c r="O177" s="589"/>
    </row>
    <row r="178" spans="1:15" ht="15.75" x14ac:dyDescent="0.25">
      <c r="A178" s="588"/>
      <c r="B178" s="588"/>
      <c r="C178" s="588"/>
      <c r="D178" s="589"/>
      <c r="E178" s="588"/>
      <c r="F178" s="588"/>
      <c r="G178" s="590"/>
      <c r="H178" s="588"/>
      <c r="I178" s="591"/>
      <c r="J178" s="591"/>
      <c r="K178" s="591"/>
      <c r="L178" s="591"/>
      <c r="M178" s="588"/>
      <c r="N178" s="589"/>
      <c r="O178" s="589"/>
    </row>
    <row r="179" spans="1:15" ht="15.75" x14ac:dyDescent="0.25">
      <c r="A179" s="588"/>
      <c r="B179" s="588"/>
      <c r="C179" s="588"/>
      <c r="D179" s="589"/>
      <c r="E179" s="588"/>
      <c r="F179" s="588"/>
      <c r="G179" s="590"/>
      <c r="H179" s="588"/>
      <c r="I179" s="591"/>
      <c r="J179" s="591"/>
      <c r="K179" s="591"/>
      <c r="L179" s="591"/>
      <c r="M179" s="588"/>
      <c r="N179" s="589"/>
      <c r="O179" s="589"/>
    </row>
    <row r="180" spans="1:15" ht="15.75" x14ac:dyDescent="0.25">
      <c r="A180" s="588"/>
      <c r="B180" s="588"/>
      <c r="C180" s="588"/>
      <c r="D180" s="589"/>
      <c r="E180" s="588"/>
      <c r="F180" s="588"/>
      <c r="G180" s="590"/>
      <c r="H180" s="588"/>
      <c r="I180" s="591"/>
      <c r="J180" s="591"/>
      <c r="K180" s="591"/>
      <c r="L180" s="591"/>
      <c r="M180" s="588"/>
      <c r="N180" s="589"/>
      <c r="O180" s="589"/>
    </row>
    <row r="181" spans="1:15" ht="15.75" x14ac:dyDescent="0.25">
      <c r="A181" s="588"/>
      <c r="B181" s="588"/>
      <c r="C181" s="588"/>
      <c r="D181" s="589"/>
      <c r="E181" s="588"/>
      <c r="F181" s="588"/>
      <c r="G181" s="590"/>
      <c r="H181" s="588"/>
      <c r="I181" s="591"/>
      <c r="J181" s="591"/>
      <c r="K181" s="591"/>
      <c r="L181" s="591"/>
      <c r="M181" s="588"/>
      <c r="N181" s="589"/>
      <c r="O181" s="589"/>
    </row>
    <row r="182" spans="1:15" ht="15.75" x14ac:dyDescent="0.25">
      <c r="A182" s="588"/>
      <c r="B182" s="588"/>
      <c r="C182" s="588"/>
      <c r="D182" s="589"/>
      <c r="E182" s="588"/>
      <c r="F182" s="588"/>
      <c r="G182" s="590"/>
      <c r="H182" s="588"/>
      <c r="I182" s="591"/>
      <c r="J182" s="591"/>
      <c r="K182" s="591"/>
      <c r="L182" s="591"/>
      <c r="M182" s="588"/>
      <c r="N182" s="589"/>
      <c r="O182" s="589"/>
    </row>
    <row r="183" spans="1:15" ht="15.75" x14ac:dyDescent="0.25">
      <c r="A183" s="588"/>
      <c r="B183" s="588"/>
      <c r="C183" s="588"/>
      <c r="D183" s="589"/>
      <c r="E183" s="588"/>
      <c r="F183" s="588"/>
      <c r="G183" s="590"/>
      <c r="H183" s="588"/>
      <c r="I183" s="591"/>
      <c r="J183" s="591"/>
      <c r="K183" s="591"/>
      <c r="L183" s="591"/>
      <c r="M183" s="588"/>
      <c r="N183" s="589"/>
      <c r="O183" s="589"/>
    </row>
    <row r="184" spans="1:15" ht="15.75" x14ac:dyDescent="0.25">
      <c r="A184" s="588"/>
      <c r="B184" s="588"/>
      <c r="C184" s="588"/>
      <c r="D184" s="589"/>
      <c r="E184" s="588"/>
      <c r="F184" s="588"/>
      <c r="G184" s="590"/>
      <c r="H184" s="588"/>
      <c r="I184" s="591"/>
      <c r="J184" s="591"/>
      <c r="K184" s="591"/>
      <c r="L184" s="591"/>
      <c r="M184" s="588"/>
      <c r="N184" s="589"/>
      <c r="O184" s="589"/>
    </row>
    <row r="185" spans="1:15" ht="15.75" x14ac:dyDescent="0.25">
      <c r="A185" s="588"/>
      <c r="B185" s="588"/>
      <c r="C185" s="588"/>
      <c r="D185" s="589"/>
      <c r="E185" s="588"/>
      <c r="F185" s="588"/>
      <c r="G185" s="590"/>
      <c r="H185" s="588"/>
      <c r="I185" s="591"/>
      <c r="J185" s="591"/>
      <c r="K185" s="591"/>
      <c r="L185" s="591"/>
      <c r="M185" s="588"/>
      <c r="N185" s="589"/>
      <c r="O185" s="589"/>
    </row>
    <row r="186" spans="1:15" ht="15.75" x14ac:dyDescent="0.25">
      <c r="A186" s="588"/>
      <c r="B186" s="588"/>
      <c r="C186" s="588"/>
      <c r="D186" s="589"/>
      <c r="E186" s="588"/>
      <c r="F186" s="588"/>
      <c r="G186" s="590"/>
      <c r="H186" s="588"/>
      <c r="I186" s="591"/>
      <c r="J186" s="591"/>
      <c r="K186" s="591"/>
      <c r="L186" s="591"/>
      <c r="M186" s="588"/>
      <c r="N186" s="589"/>
      <c r="O186" s="589"/>
    </row>
    <row r="187" spans="1:15" ht="15.75" x14ac:dyDescent="0.25">
      <c r="A187" s="588"/>
      <c r="B187" s="588"/>
      <c r="C187" s="588"/>
      <c r="D187" s="589"/>
      <c r="E187" s="588"/>
      <c r="F187" s="588"/>
      <c r="G187" s="590"/>
      <c r="H187" s="588"/>
      <c r="I187" s="591"/>
      <c r="J187" s="591"/>
      <c r="K187" s="591"/>
      <c r="L187" s="591"/>
      <c r="M187" s="588"/>
      <c r="N187" s="589"/>
      <c r="O187" s="589"/>
    </row>
    <row r="188" spans="1:15" ht="15.75" x14ac:dyDescent="0.25">
      <c r="A188" s="588"/>
      <c r="B188" s="588"/>
      <c r="C188" s="588"/>
      <c r="D188" s="589"/>
      <c r="E188" s="588"/>
      <c r="F188" s="588"/>
      <c r="G188" s="590"/>
      <c r="H188" s="588"/>
      <c r="I188" s="591"/>
      <c r="J188" s="591"/>
      <c r="K188" s="591"/>
      <c r="L188" s="591"/>
      <c r="M188" s="588"/>
      <c r="N188" s="589"/>
      <c r="O188" s="589"/>
    </row>
    <row r="189" spans="1:15" ht="15.75" x14ac:dyDescent="0.25">
      <c r="A189" s="588"/>
      <c r="B189" s="588"/>
      <c r="C189" s="588"/>
      <c r="D189" s="589"/>
      <c r="E189" s="588"/>
      <c r="F189" s="588"/>
      <c r="G189" s="590"/>
      <c r="H189" s="588"/>
      <c r="I189" s="591"/>
      <c r="J189" s="591"/>
      <c r="K189" s="591"/>
      <c r="L189" s="591"/>
      <c r="M189" s="588"/>
      <c r="N189" s="589"/>
      <c r="O189" s="589"/>
    </row>
    <row r="190" spans="1:15" ht="15.75" x14ac:dyDescent="0.25">
      <c r="A190" s="588"/>
      <c r="B190" s="588"/>
      <c r="C190" s="588"/>
      <c r="D190" s="589"/>
      <c r="E190" s="588"/>
      <c r="F190" s="588"/>
      <c r="G190" s="590"/>
      <c r="H190" s="588"/>
      <c r="I190" s="591"/>
      <c r="J190" s="591"/>
      <c r="K190" s="591"/>
      <c r="L190" s="591"/>
      <c r="M190" s="588"/>
      <c r="N190" s="589"/>
      <c r="O190" s="589"/>
    </row>
    <row r="191" spans="1:15" ht="15.75" x14ac:dyDescent="0.25">
      <c r="A191" s="588"/>
      <c r="B191" s="588"/>
      <c r="C191" s="588"/>
      <c r="D191" s="589"/>
      <c r="E191" s="588"/>
      <c r="F191" s="588"/>
      <c r="G191" s="590"/>
      <c r="H191" s="588"/>
      <c r="I191" s="591"/>
      <c r="J191" s="591"/>
      <c r="K191" s="591"/>
      <c r="L191" s="591"/>
      <c r="M191" s="588"/>
      <c r="N191" s="589"/>
      <c r="O191" s="589"/>
    </row>
    <row r="192" spans="1:15" ht="15.75" x14ac:dyDescent="0.25">
      <c r="A192" s="588"/>
      <c r="B192" s="588"/>
      <c r="C192" s="588"/>
      <c r="D192" s="589"/>
      <c r="E192" s="588"/>
      <c r="F192" s="588"/>
      <c r="G192" s="590"/>
      <c r="H192" s="588"/>
      <c r="I192" s="591"/>
      <c r="J192" s="591"/>
      <c r="K192" s="591"/>
      <c r="L192" s="591"/>
      <c r="M192" s="588"/>
      <c r="N192" s="589"/>
      <c r="O192" s="589"/>
    </row>
    <row r="193" spans="1:15" ht="15.75" x14ac:dyDescent="0.25">
      <c r="A193" s="588"/>
      <c r="B193" s="588"/>
      <c r="C193" s="588"/>
      <c r="D193" s="589"/>
      <c r="E193" s="588"/>
      <c r="F193" s="588"/>
      <c r="G193" s="590"/>
      <c r="H193" s="588"/>
      <c r="I193" s="591"/>
      <c r="J193" s="591"/>
      <c r="K193" s="591"/>
      <c r="L193" s="591"/>
      <c r="M193" s="588"/>
      <c r="N193" s="589"/>
      <c r="O193" s="589"/>
    </row>
    <row r="194" spans="1:15" ht="15.75" x14ac:dyDescent="0.25">
      <c r="A194" s="588"/>
      <c r="B194" s="588"/>
      <c r="C194" s="588"/>
      <c r="D194" s="589"/>
      <c r="E194" s="588"/>
      <c r="F194" s="588"/>
      <c r="G194" s="590"/>
      <c r="H194" s="588"/>
      <c r="I194" s="591"/>
      <c r="J194" s="591"/>
      <c r="K194" s="591"/>
      <c r="L194" s="591"/>
      <c r="M194" s="588"/>
      <c r="N194" s="589"/>
      <c r="O194" s="589"/>
    </row>
    <row r="195" spans="1:15" ht="15.75" x14ac:dyDescent="0.25">
      <c r="A195" s="588"/>
      <c r="B195" s="588"/>
      <c r="C195" s="588"/>
      <c r="D195" s="589"/>
      <c r="E195" s="588"/>
      <c r="F195" s="588"/>
      <c r="G195" s="590"/>
      <c r="H195" s="588"/>
      <c r="I195" s="591"/>
      <c r="J195" s="591"/>
      <c r="K195" s="591"/>
      <c r="L195" s="591"/>
      <c r="M195" s="588"/>
      <c r="N195" s="589"/>
      <c r="O195" s="589"/>
    </row>
    <row r="196" spans="1:15" ht="15.75" x14ac:dyDescent="0.25">
      <c r="A196" s="588"/>
      <c r="B196" s="588"/>
      <c r="C196" s="588"/>
      <c r="D196" s="589"/>
      <c r="E196" s="588"/>
      <c r="F196" s="588"/>
      <c r="G196" s="590"/>
      <c r="H196" s="588"/>
      <c r="I196" s="591"/>
      <c r="J196" s="591"/>
      <c r="K196" s="591"/>
      <c r="L196" s="591"/>
      <c r="M196" s="588"/>
      <c r="N196" s="589"/>
      <c r="O196" s="589"/>
    </row>
    <row r="197" spans="1:15" ht="15.75" x14ac:dyDescent="0.25">
      <c r="A197" s="588"/>
      <c r="B197" s="588"/>
      <c r="C197" s="588"/>
      <c r="D197" s="589"/>
      <c r="E197" s="588"/>
      <c r="F197" s="588"/>
      <c r="G197" s="590"/>
      <c r="H197" s="588"/>
      <c r="I197" s="591"/>
      <c r="J197" s="591"/>
      <c r="K197" s="591"/>
      <c r="L197" s="591"/>
      <c r="M197" s="588"/>
      <c r="N197" s="589"/>
      <c r="O197" s="589"/>
    </row>
    <row r="198" spans="1:15" ht="15.75" x14ac:dyDescent="0.25">
      <c r="A198" s="588"/>
      <c r="B198" s="588"/>
      <c r="C198" s="588"/>
      <c r="D198" s="589"/>
      <c r="E198" s="588"/>
      <c r="F198" s="588"/>
      <c r="G198" s="590"/>
      <c r="H198" s="588"/>
      <c r="I198" s="591"/>
      <c r="J198" s="591"/>
      <c r="K198" s="591"/>
      <c r="L198" s="591"/>
      <c r="M198" s="588"/>
      <c r="N198" s="589"/>
      <c r="O198" s="589"/>
    </row>
    <row r="199" spans="1:15" ht="15.75" x14ac:dyDescent="0.25">
      <c r="A199" s="588"/>
      <c r="B199" s="588"/>
      <c r="C199" s="588"/>
      <c r="D199" s="589"/>
      <c r="E199" s="588"/>
      <c r="F199" s="588"/>
      <c r="G199" s="590"/>
      <c r="H199" s="588"/>
      <c r="I199" s="591"/>
      <c r="J199" s="591"/>
      <c r="K199" s="591"/>
      <c r="L199" s="591"/>
      <c r="M199" s="588"/>
      <c r="N199" s="589"/>
      <c r="O199" s="589"/>
    </row>
    <row r="200" spans="1:15" ht="15.75" x14ac:dyDescent="0.25">
      <c r="A200" s="588"/>
      <c r="B200" s="588"/>
      <c r="C200" s="588"/>
      <c r="D200" s="589"/>
      <c r="E200" s="588"/>
      <c r="F200" s="588"/>
      <c r="G200" s="590"/>
      <c r="H200" s="588"/>
      <c r="I200" s="591"/>
      <c r="J200" s="591"/>
      <c r="K200" s="591"/>
      <c r="L200" s="591"/>
      <c r="M200" s="588"/>
      <c r="N200" s="589"/>
      <c r="O200" s="589"/>
    </row>
    <row r="201" spans="1:15" ht="15.75" x14ac:dyDescent="0.25">
      <c r="A201" s="588"/>
      <c r="B201" s="588"/>
      <c r="C201" s="588"/>
      <c r="D201" s="589"/>
      <c r="E201" s="588"/>
      <c r="F201" s="588"/>
      <c r="G201" s="590"/>
      <c r="H201" s="588"/>
      <c r="I201" s="591"/>
      <c r="J201" s="591"/>
      <c r="K201" s="591"/>
      <c r="L201" s="591"/>
      <c r="M201" s="588"/>
      <c r="N201" s="589"/>
      <c r="O201" s="589"/>
    </row>
    <row r="202" spans="1:15" ht="15.75" x14ac:dyDescent="0.25">
      <c r="A202" s="588"/>
      <c r="B202" s="588"/>
      <c r="C202" s="588"/>
      <c r="D202" s="589"/>
      <c r="E202" s="588"/>
      <c r="F202" s="588"/>
      <c r="G202" s="590"/>
      <c r="H202" s="588"/>
      <c r="I202" s="591"/>
      <c r="J202" s="591"/>
      <c r="K202" s="591"/>
      <c r="L202" s="591"/>
      <c r="M202" s="588"/>
      <c r="N202" s="589"/>
      <c r="O202" s="589"/>
    </row>
    <row r="203" spans="1:15" ht="15.75" x14ac:dyDescent="0.25">
      <c r="A203" s="588"/>
      <c r="B203" s="588"/>
      <c r="C203" s="588"/>
      <c r="D203" s="589"/>
      <c r="E203" s="588"/>
      <c r="F203" s="588"/>
      <c r="G203" s="590"/>
      <c r="H203" s="588"/>
      <c r="I203" s="591"/>
      <c r="J203" s="591"/>
      <c r="K203" s="591"/>
      <c r="L203" s="591"/>
      <c r="M203" s="588"/>
      <c r="N203" s="589"/>
      <c r="O203" s="589"/>
    </row>
    <row r="204" spans="1:15" ht="15.75" x14ac:dyDescent="0.25">
      <c r="A204" s="588"/>
      <c r="B204" s="588"/>
      <c r="C204" s="588"/>
      <c r="D204" s="589"/>
      <c r="E204" s="588"/>
      <c r="F204" s="588"/>
      <c r="G204" s="590"/>
      <c r="H204" s="588"/>
      <c r="I204" s="591"/>
      <c r="J204" s="591"/>
      <c r="K204" s="591"/>
      <c r="L204" s="591"/>
      <c r="M204" s="588"/>
      <c r="N204" s="589"/>
      <c r="O204" s="589"/>
    </row>
    <row r="205" spans="1:15" ht="15.75" x14ac:dyDescent="0.25">
      <c r="A205" s="588"/>
      <c r="B205" s="588"/>
      <c r="C205" s="588"/>
      <c r="D205" s="589"/>
      <c r="E205" s="588"/>
      <c r="F205" s="588"/>
      <c r="G205" s="590"/>
      <c r="H205" s="588"/>
      <c r="I205" s="591"/>
      <c r="J205" s="591"/>
      <c r="K205" s="591"/>
      <c r="L205" s="591"/>
      <c r="M205" s="588"/>
      <c r="N205" s="589"/>
      <c r="O205" s="589"/>
    </row>
    <row r="206" spans="1:15" ht="15.75" x14ac:dyDescent="0.25">
      <c r="A206" s="588"/>
      <c r="B206" s="588"/>
      <c r="C206" s="588"/>
      <c r="D206" s="589"/>
      <c r="E206" s="588"/>
      <c r="F206" s="588"/>
      <c r="G206" s="590"/>
      <c r="H206" s="588"/>
      <c r="I206" s="591"/>
      <c r="J206" s="591"/>
      <c r="K206" s="591"/>
      <c r="L206" s="591"/>
      <c r="M206" s="588"/>
      <c r="N206" s="589"/>
      <c r="O206" s="589"/>
    </row>
    <row r="207" spans="1:15" ht="15.75" x14ac:dyDescent="0.25">
      <c r="A207" s="588"/>
      <c r="B207" s="588"/>
      <c r="C207" s="588"/>
      <c r="D207" s="589"/>
      <c r="E207" s="588"/>
      <c r="F207" s="588"/>
      <c r="G207" s="590"/>
      <c r="H207" s="588"/>
      <c r="I207" s="591"/>
      <c r="J207" s="591"/>
      <c r="K207" s="591"/>
      <c r="L207" s="591"/>
      <c r="M207" s="588"/>
      <c r="N207" s="589"/>
      <c r="O207" s="589"/>
    </row>
    <row r="208" spans="1:15" ht="15.75" x14ac:dyDescent="0.25">
      <c r="A208" s="588"/>
      <c r="B208" s="588"/>
      <c r="C208" s="588"/>
      <c r="D208" s="589"/>
      <c r="E208" s="588"/>
      <c r="F208" s="588"/>
      <c r="G208" s="590"/>
      <c r="H208" s="588"/>
      <c r="I208" s="591"/>
      <c r="J208" s="591"/>
      <c r="K208" s="591"/>
      <c r="L208" s="591"/>
      <c r="M208" s="588"/>
      <c r="N208" s="589"/>
      <c r="O208" s="589"/>
    </row>
    <row r="209" spans="1:15" ht="15.75" x14ac:dyDescent="0.25">
      <c r="A209" s="588"/>
      <c r="B209" s="588"/>
      <c r="C209" s="588"/>
      <c r="D209" s="589"/>
      <c r="E209" s="588"/>
      <c r="F209" s="588"/>
      <c r="G209" s="590"/>
      <c r="H209" s="588"/>
      <c r="I209" s="591"/>
      <c r="J209" s="591"/>
      <c r="K209" s="591"/>
      <c r="L209" s="591"/>
      <c r="M209" s="588"/>
      <c r="N209" s="589"/>
      <c r="O209" s="589"/>
    </row>
    <row r="210" spans="1:15" ht="15.75" x14ac:dyDescent="0.25">
      <c r="A210" s="588"/>
      <c r="B210" s="588"/>
      <c r="C210" s="588"/>
      <c r="D210" s="589"/>
      <c r="E210" s="588"/>
      <c r="F210" s="588"/>
      <c r="G210" s="590"/>
      <c r="H210" s="588"/>
      <c r="I210" s="591"/>
      <c r="J210" s="591"/>
      <c r="K210" s="591"/>
      <c r="L210" s="591"/>
      <c r="M210" s="588"/>
      <c r="N210" s="589"/>
      <c r="O210" s="589"/>
    </row>
    <row r="211" spans="1:15" ht="15.75" x14ac:dyDescent="0.25">
      <c r="A211" s="588"/>
      <c r="B211" s="588"/>
      <c r="C211" s="588"/>
      <c r="D211" s="589"/>
      <c r="E211" s="588"/>
      <c r="F211" s="588"/>
      <c r="G211" s="590"/>
      <c r="H211" s="588"/>
      <c r="I211" s="591"/>
      <c r="J211" s="591"/>
      <c r="K211" s="591"/>
      <c r="L211" s="591"/>
      <c r="M211" s="588"/>
      <c r="N211" s="589"/>
      <c r="O211" s="589"/>
    </row>
    <row r="212" spans="1:15" ht="15.75" x14ac:dyDescent="0.25">
      <c r="A212" s="588"/>
      <c r="B212" s="588"/>
      <c r="C212" s="588"/>
      <c r="D212" s="589"/>
      <c r="E212" s="588"/>
      <c r="F212" s="588"/>
      <c r="G212" s="590"/>
      <c r="H212" s="588"/>
      <c r="I212" s="591"/>
      <c r="J212" s="591"/>
      <c r="K212" s="591"/>
      <c r="L212" s="591"/>
      <c r="M212" s="588"/>
      <c r="N212" s="589"/>
      <c r="O212" s="589"/>
    </row>
    <row r="213" spans="1:15" ht="15.75" x14ac:dyDescent="0.25">
      <c r="A213" s="588"/>
      <c r="B213" s="588"/>
      <c r="C213" s="588"/>
      <c r="D213" s="589"/>
      <c r="E213" s="588"/>
      <c r="F213" s="588"/>
      <c r="G213" s="590"/>
      <c r="H213" s="588"/>
      <c r="I213" s="591"/>
      <c r="J213" s="591"/>
      <c r="K213" s="591"/>
      <c r="L213" s="591"/>
      <c r="M213" s="588"/>
      <c r="N213" s="589"/>
      <c r="O213" s="589"/>
    </row>
    <row r="214" spans="1:15" ht="15.75" x14ac:dyDescent="0.25">
      <c r="A214" s="588"/>
      <c r="B214" s="588"/>
      <c r="C214" s="588"/>
      <c r="D214" s="589"/>
      <c r="E214" s="588"/>
      <c r="F214" s="588"/>
      <c r="G214" s="590"/>
      <c r="H214" s="588"/>
      <c r="I214" s="591"/>
      <c r="J214" s="591"/>
      <c r="K214" s="591"/>
      <c r="L214" s="591"/>
      <c r="M214" s="588"/>
      <c r="N214" s="589"/>
      <c r="O214" s="589"/>
    </row>
    <row r="215" spans="1:15" ht="15.75" x14ac:dyDescent="0.25">
      <c r="A215" s="588"/>
      <c r="B215" s="588"/>
      <c r="C215" s="588"/>
      <c r="D215" s="589"/>
      <c r="E215" s="588"/>
      <c r="F215" s="588"/>
      <c r="G215" s="590"/>
      <c r="H215" s="588"/>
      <c r="I215" s="591"/>
      <c r="J215" s="591"/>
      <c r="K215" s="591"/>
      <c r="L215" s="591"/>
      <c r="M215" s="588"/>
      <c r="N215" s="589"/>
      <c r="O215" s="589"/>
    </row>
    <row r="216" spans="1:15" ht="15.75" x14ac:dyDescent="0.25">
      <c r="A216" s="588"/>
      <c r="B216" s="588"/>
      <c r="C216" s="588"/>
      <c r="D216" s="589"/>
      <c r="E216" s="588"/>
      <c r="F216" s="588"/>
      <c r="G216" s="590"/>
      <c r="H216" s="588"/>
      <c r="I216" s="591"/>
      <c r="J216" s="591"/>
      <c r="K216" s="591"/>
      <c r="L216" s="591"/>
      <c r="M216" s="588"/>
      <c r="N216" s="589"/>
      <c r="O216" s="589"/>
    </row>
    <row r="217" spans="1:15" ht="15.75" x14ac:dyDescent="0.25">
      <c r="A217" s="588"/>
      <c r="B217" s="588"/>
      <c r="C217" s="588"/>
      <c r="D217" s="589"/>
      <c r="E217" s="588"/>
      <c r="F217" s="588"/>
      <c r="G217" s="590"/>
      <c r="H217" s="588"/>
      <c r="I217" s="591"/>
      <c r="J217" s="591"/>
      <c r="K217" s="591"/>
      <c r="L217" s="591"/>
      <c r="M217" s="588"/>
      <c r="N217" s="589"/>
      <c r="O217" s="589"/>
    </row>
    <row r="218" spans="1:15" ht="15.75" x14ac:dyDescent="0.25">
      <c r="A218" s="588"/>
      <c r="B218" s="588"/>
      <c r="C218" s="588"/>
      <c r="D218" s="589"/>
      <c r="E218" s="588"/>
      <c r="F218" s="588"/>
      <c r="G218" s="590"/>
      <c r="H218" s="598"/>
      <c r="I218" s="591"/>
      <c r="J218" s="591"/>
      <c r="K218" s="591"/>
      <c r="L218" s="591"/>
      <c r="M218" s="588"/>
      <c r="N218" s="589"/>
      <c r="O218" s="589"/>
    </row>
    <row r="219" spans="1:15" ht="15.75" x14ac:dyDescent="0.25">
      <c r="A219" s="588"/>
      <c r="B219" s="588"/>
      <c r="C219" s="588"/>
      <c r="D219" s="589"/>
      <c r="E219" s="588"/>
      <c r="F219" s="588"/>
      <c r="G219" s="590"/>
      <c r="H219" s="598"/>
      <c r="I219" s="591"/>
      <c r="J219" s="591"/>
      <c r="K219" s="591"/>
      <c r="L219" s="591"/>
      <c r="M219" s="588"/>
      <c r="N219" s="589"/>
      <c r="O219" s="589"/>
    </row>
    <row r="220" spans="1:15" ht="15.75" x14ac:dyDescent="0.25">
      <c r="A220" s="588"/>
      <c r="B220" s="588"/>
      <c r="C220" s="588"/>
      <c r="D220" s="589"/>
      <c r="E220" s="588"/>
      <c r="F220" s="588"/>
      <c r="G220" s="590"/>
      <c r="H220" s="588"/>
      <c r="I220" s="591"/>
      <c r="J220" s="591"/>
      <c r="K220" s="591"/>
      <c r="L220" s="591"/>
      <c r="M220" s="588"/>
      <c r="N220" s="589"/>
      <c r="O220" s="589"/>
    </row>
    <row r="221" spans="1:15" ht="15.75" x14ac:dyDescent="0.25">
      <c r="A221" s="588"/>
      <c r="B221" s="588"/>
      <c r="C221" s="588"/>
      <c r="D221" s="589"/>
      <c r="E221" s="588"/>
      <c r="F221" s="588"/>
      <c r="G221" s="590"/>
      <c r="H221" s="588"/>
      <c r="I221" s="591"/>
      <c r="J221" s="591"/>
      <c r="K221" s="591"/>
      <c r="L221" s="591"/>
      <c r="M221" s="588"/>
      <c r="N221" s="589"/>
      <c r="O221" s="589"/>
    </row>
    <row r="222" spans="1:15" ht="15.75" x14ac:dyDescent="0.25">
      <c r="A222" s="588"/>
      <c r="B222" s="588"/>
      <c r="C222" s="588"/>
      <c r="D222" s="589"/>
      <c r="E222" s="588"/>
      <c r="F222" s="588"/>
      <c r="G222" s="590"/>
      <c r="H222" s="588"/>
      <c r="I222" s="591"/>
      <c r="J222" s="591"/>
      <c r="K222" s="591"/>
      <c r="L222" s="591"/>
      <c r="M222" s="588"/>
      <c r="N222" s="589"/>
      <c r="O222" s="589"/>
    </row>
    <row r="223" spans="1:15" ht="15.75" x14ac:dyDescent="0.25">
      <c r="A223" s="588"/>
      <c r="B223" s="588"/>
      <c r="C223" s="588"/>
      <c r="D223" s="589"/>
      <c r="E223" s="588"/>
      <c r="F223" s="588"/>
      <c r="G223" s="590"/>
      <c r="H223" s="588"/>
      <c r="I223" s="591"/>
      <c r="J223" s="591"/>
      <c r="K223" s="591"/>
      <c r="L223" s="591"/>
      <c r="M223" s="588"/>
      <c r="N223" s="589"/>
      <c r="O223" s="589"/>
    </row>
    <row r="224" spans="1:15" ht="15.75" x14ac:dyDescent="0.25">
      <c r="A224" s="588"/>
      <c r="B224" s="588"/>
      <c r="C224" s="588"/>
      <c r="D224" s="589"/>
      <c r="E224" s="588"/>
      <c r="F224" s="588"/>
      <c r="G224" s="590"/>
      <c r="H224" s="588"/>
      <c r="I224" s="591"/>
      <c r="J224" s="591"/>
      <c r="K224" s="591"/>
      <c r="L224" s="591"/>
      <c r="M224" s="588"/>
      <c r="N224" s="589"/>
      <c r="O224" s="589"/>
    </row>
    <row r="225" spans="1:15" ht="15.75" x14ac:dyDescent="0.25">
      <c r="A225" s="588"/>
      <c r="B225" s="588"/>
      <c r="C225" s="588"/>
      <c r="D225" s="589"/>
      <c r="E225" s="588"/>
      <c r="F225" s="588"/>
      <c r="G225" s="590"/>
      <c r="H225" s="588"/>
      <c r="I225" s="591"/>
      <c r="J225" s="591"/>
      <c r="K225" s="591"/>
      <c r="L225" s="591"/>
      <c r="M225" s="588"/>
      <c r="N225" s="589"/>
      <c r="O225" s="589"/>
    </row>
    <row r="226" spans="1:15" ht="15.75" x14ac:dyDescent="0.25">
      <c r="A226" s="588"/>
      <c r="B226" s="588"/>
      <c r="C226" s="588"/>
      <c r="D226" s="589"/>
      <c r="E226" s="588"/>
      <c r="F226" s="588"/>
      <c r="G226" s="590"/>
      <c r="H226" s="588"/>
      <c r="I226" s="591"/>
      <c r="J226" s="591"/>
      <c r="K226" s="591"/>
      <c r="L226" s="591"/>
      <c r="M226" s="588"/>
      <c r="N226" s="589"/>
      <c r="O226" s="589"/>
    </row>
    <row r="227" spans="1:15" ht="15.75" x14ac:dyDescent="0.25">
      <c r="A227" s="588"/>
      <c r="B227" s="588"/>
      <c r="C227" s="588"/>
      <c r="D227" s="589"/>
      <c r="E227" s="588"/>
      <c r="F227" s="588"/>
      <c r="G227" s="590"/>
      <c r="H227" s="588"/>
      <c r="I227" s="591"/>
      <c r="J227" s="591"/>
      <c r="K227" s="591"/>
      <c r="L227" s="591"/>
      <c r="M227" s="588"/>
      <c r="N227" s="589"/>
      <c r="O227" s="589"/>
    </row>
    <row r="228" spans="1:15" ht="15.75" x14ac:dyDescent="0.25">
      <c r="A228" s="588"/>
      <c r="B228" s="588"/>
      <c r="C228" s="588"/>
      <c r="D228" s="589"/>
      <c r="E228" s="588"/>
      <c r="F228" s="588"/>
      <c r="G228" s="590"/>
      <c r="H228" s="588"/>
      <c r="I228" s="591"/>
      <c r="J228" s="591"/>
      <c r="K228" s="591"/>
      <c r="L228" s="591"/>
      <c r="M228" s="588"/>
      <c r="N228" s="589"/>
      <c r="O228" s="589"/>
    </row>
    <row r="229" spans="1:15" ht="15.75" x14ac:dyDescent="0.25">
      <c r="A229" s="588"/>
      <c r="B229" s="588"/>
      <c r="C229" s="588"/>
      <c r="D229" s="589"/>
      <c r="E229" s="588"/>
      <c r="F229" s="588"/>
      <c r="G229" s="590"/>
      <c r="H229" s="588"/>
      <c r="I229" s="591"/>
      <c r="J229" s="591"/>
      <c r="K229" s="591"/>
      <c r="L229" s="591"/>
      <c r="M229" s="588"/>
      <c r="N229" s="589"/>
      <c r="O229" s="589"/>
    </row>
    <row r="230" spans="1:15" ht="15.75" x14ac:dyDescent="0.25">
      <c r="A230" s="588"/>
      <c r="B230" s="588"/>
      <c r="C230" s="588"/>
      <c r="D230" s="589"/>
      <c r="E230" s="588"/>
      <c r="F230" s="588"/>
      <c r="G230" s="590"/>
      <c r="H230" s="588"/>
      <c r="I230" s="591"/>
      <c r="J230" s="591"/>
      <c r="K230" s="591"/>
      <c r="L230" s="591"/>
      <c r="M230" s="588"/>
      <c r="N230" s="589"/>
      <c r="O230" s="589"/>
    </row>
    <row r="231" spans="1:15" ht="15.75" x14ac:dyDescent="0.25">
      <c r="A231" s="588"/>
      <c r="B231" s="588"/>
      <c r="C231" s="588"/>
      <c r="D231" s="589"/>
      <c r="E231" s="588"/>
      <c r="F231" s="588"/>
      <c r="G231" s="590"/>
      <c r="H231" s="588"/>
      <c r="I231" s="591"/>
      <c r="J231" s="591"/>
      <c r="K231" s="591"/>
      <c r="L231" s="591"/>
      <c r="M231" s="588"/>
      <c r="N231" s="589"/>
      <c r="O231" s="589"/>
    </row>
    <row r="232" spans="1:15" ht="15.75" x14ac:dyDescent="0.25">
      <c r="A232" s="588"/>
      <c r="B232" s="588"/>
      <c r="C232" s="588"/>
      <c r="D232" s="589"/>
      <c r="E232" s="588"/>
      <c r="F232" s="588"/>
      <c r="G232" s="590"/>
      <c r="H232" s="588"/>
      <c r="I232" s="591"/>
      <c r="J232" s="591"/>
      <c r="K232" s="591"/>
      <c r="L232" s="591"/>
      <c r="M232" s="588"/>
      <c r="N232" s="589"/>
      <c r="O232" s="589"/>
    </row>
    <row r="233" spans="1:15" ht="15.75" x14ac:dyDescent="0.25">
      <c r="A233" s="588"/>
      <c r="B233" s="588"/>
      <c r="C233" s="588"/>
      <c r="D233" s="589"/>
      <c r="E233" s="588"/>
      <c r="F233" s="588"/>
      <c r="G233" s="590"/>
      <c r="H233" s="588"/>
      <c r="I233" s="591"/>
      <c r="J233" s="591"/>
      <c r="K233" s="591"/>
      <c r="L233" s="591"/>
      <c r="M233" s="588"/>
      <c r="N233" s="589"/>
      <c r="O233" s="589"/>
    </row>
    <row r="234" spans="1:15" ht="15.75" x14ac:dyDescent="0.25">
      <c r="A234" s="588"/>
      <c r="B234" s="588"/>
      <c r="C234" s="588"/>
      <c r="D234" s="589"/>
      <c r="E234" s="588"/>
      <c r="F234" s="588"/>
      <c r="G234" s="590"/>
      <c r="H234" s="588"/>
      <c r="I234" s="591"/>
      <c r="J234" s="591"/>
      <c r="K234" s="591"/>
      <c r="L234" s="591"/>
      <c r="M234" s="588"/>
      <c r="N234" s="589"/>
      <c r="O234" s="589"/>
    </row>
    <row r="235" spans="1:15" ht="15.75" x14ac:dyDescent="0.25">
      <c r="A235" s="588"/>
      <c r="B235" s="588"/>
      <c r="C235" s="588"/>
      <c r="D235" s="589"/>
      <c r="E235" s="588"/>
      <c r="F235" s="588"/>
      <c r="G235" s="590"/>
      <c r="H235" s="588"/>
      <c r="I235" s="591"/>
      <c r="J235" s="591"/>
      <c r="K235" s="591"/>
      <c r="L235" s="591"/>
      <c r="M235" s="588"/>
      <c r="N235" s="589"/>
      <c r="O235" s="589"/>
    </row>
    <row r="236" spans="1:15" ht="15.75" x14ac:dyDescent="0.25">
      <c r="A236" s="588"/>
      <c r="B236" s="588"/>
      <c r="C236" s="588"/>
      <c r="D236" s="589"/>
      <c r="E236" s="588"/>
      <c r="F236" s="588"/>
      <c r="G236" s="590"/>
      <c r="H236" s="588"/>
      <c r="I236" s="591"/>
      <c r="J236" s="591"/>
      <c r="K236" s="591"/>
      <c r="L236" s="591"/>
      <c r="M236" s="588"/>
      <c r="N236" s="589"/>
      <c r="O236" s="589"/>
    </row>
    <row r="237" spans="1:15" ht="15.75" x14ac:dyDescent="0.25">
      <c r="A237" s="588"/>
      <c r="B237" s="588"/>
      <c r="C237" s="588"/>
      <c r="D237" s="589"/>
      <c r="E237" s="588"/>
      <c r="F237" s="588"/>
      <c r="G237" s="590"/>
      <c r="H237" s="588"/>
      <c r="I237" s="591"/>
      <c r="J237" s="591"/>
      <c r="K237" s="591"/>
      <c r="L237" s="591"/>
      <c r="M237" s="588"/>
      <c r="N237" s="589"/>
      <c r="O237" s="589"/>
    </row>
    <row r="238" spans="1:15" ht="15.75" x14ac:dyDescent="0.25">
      <c r="A238" s="588"/>
      <c r="B238" s="588"/>
      <c r="C238" s="588"/>
      <c r="D238" s="589"/>
      <c r="E238" s="588"/>
      <c r="F238" s="588"/>
      <c r="G238" s="590"/>
      <c r="H238" s="588"/>
      <c r="I238" s="591"/>
      <c r="J238" s="591"/>
      <c r="K238" s="591"/>
      <c r="L238" s="591"/>
      <c r="M238" s="588"/>
      <c r="N238" s="589"/>
      <c r="O238" s="589"/>
    </row>
    <row r="239" spans="1:15" ht="15.75" x14ac:dyDescent="0.25">
      <c r="A239" s="588"/>
      <c r="B239" s="588"/>
      <c r="C239" s="588"/>
      <c r="D239" s="589"/>
      <c r="E239" s="588"/>
      <c r="F239" s="588"/>
      <c r="G239" s="590"/>
      <c r="H239" s="588"/>
      <c r="I239" s="591"/>
      <c r="J239" s="591"/>
      <c r="K239" s="591"/>
      <c r="L239" s="591"/>
      <c r="M239" s="588"/>
      <c r="N239" s="589"/>
      <c r="O239" s="589"/>
    </row>
    <row r="240" spans="1:15" ht="15.75" x14ac:dyDescent="0.25">
      <c r="A240" s="588"/>
      <c r="B240" s="588"/>
      <c r="C240" s="588"/>
      <c r="D240" s="589"/>
      <c r="E240" s="588"/>
      <c r="F240" s="588"/>
      <c r="G240" s="590"/>
      <c r="H240" s="588"/>
      <c r="I240" s="591"/>
      <c r="J240" s="591"/>
      <c r="K240" s="591"/>
      <c r="L240" s="591"/>
      <c r="M240" s="588"/>
      <c r="N240" s="589"/>
      <c r="O240" s="589"/>
    </row>
    <row r="241" spans="1:15" ht="15.75" x14ac:dyDescent="0.25">
      <c r="A241" s="588"/>
      <c r="B241" s="588"/>
      <c r="C241" s="588"/>
      <c r="D241" s="589"/>
      <c r="E241" s="588"/>
      <c r="F241" s="588"/>
      <c r="G241" s="590"/>
      <c r="H241" s="588"/>
      <c r="I241" s="591"/>
      <c r="J241" s="591"/>
      <c r="K241" s="591"/>
      <c r="L241" s="591"/>
      <c r="M241" s="588"/>
      <c r="N241" s="589"/>
      <c r="O241" s="589"/>
    </row>
    <row r="242" spans="1:15" ht="15.75" x14ac:dyDescent="0.25">
      <c r="A242" s="588"/>
      <c r="B242" s="588"/>
      <c r="C242" s="588"/>
      <c r="D242" s="589"/>
      <c r="E242" s="588"/>
      <c r="F242" s="588"/>
      <c r="G242" s="590"/>
      <c r="H242" s="588"/>
      <c r="I242" s="591"/>
      <c r="J242" s="591"/>
      <c r="K242" s="591"/>
      <c r="L242" s="591"/>
      <c r="M242" s="588"/>
      <c r="N242" s="589"/>
      <c r="O242" s="589"/>
    </row>
    <row r="243" spans="1:15" ht="15.75" x14ac:dyDescent="0.25">
      <c r="A243" s="588"/>
      <c r="B243" s="588"/>
      <c r="C243" s="588"/>
      <c r="D243" s="589"/>
      <c r="E243" s="588"/>
      <c r="F243" s="588"/>
      <c r="G243" s="590"/>
      <c r="H243" s="588"/>
      <c r="I243" s="591"/>
      <c r="J243" s="591"/>
      <c r="K243" s="591"/>
      <c r="L243" s="591"/>
      <c r="M243" s="588"/>
      <c r="N243" s="589"/>
      <c r="O243" s="589"/>
    </row>
    <row r="244" spans="1:15" ht="15.75" x14ac:dyDescent="0.25">
      <c r="A244" s="588"/>
      <c r="B244" s="588"/>
      <c r="C244" s="588"/>
      <c r="D244" s="589"/>
      <c r="E244" s="588"/>
      <c r="F244" s="588"/>
      <c r="G244" s="590"/>
      <c r="H244" s="588"/>
      <c r="I244" s="591"/>
      <c r="J244" s="591"/>
      <c r="K244" s="591"/>
      <c r="L244" s="591"/>
      <c r="M244" s="588"/>
      <c r="N244" s="589"/>
      <c r="O244" s="589"/>
    </row>
    <row r="245" spans="1:15" ht="15.75" x14ac:dyDescent="0.25">
      <c r="A245" s="588"/>
      <c r="B245" s="588"/>
      <c r="C245" s="588"/>
      <c r="D245" s="589"/>
      <c r="E245" s="588"/>
      <c r="F245" s="588"/>
      <c r="G245" s="590"/>
      <c r="H245" s="588"/>
      <c r="I245" s="591"/>
      <c r="J245" s="591"/>
      <c r="K245" s="591"/>
      <c r="L245" s="591"/>
      <c r="M245" s="588"/>
      <c r="N245" s="589"/>
      <c r="O245" s="589"/>
    </row>
    <row r="246" spans="1:15" ht="15.75" x14ac:dyDescent="0.25">
      <c r="A246" s="588"/>
      <c r="B246" s="588"/>
      <c r="C246" s="588"/>
      <c r="D246" s="589"/>
      <c r="E246" s="588"/>
      <c r="F246" s="588"/>
      <c r="G246" s="590"/>
      <c r="H246" s="588"/>
      <c r="I246" s="591"/>
      <c r="J246" s="591"/>
      <c r="K246" s="591"/>
      <c r="L246" s="591"/>
      <c r="M246" s="588"/>
      <c r="N246" s="589"/>
      <c r="O246" s="589"/>
    </row>
    <row r="247" spans="1:15" ht="15.75" x14ac:dyDescent="0.25">
      <c r="A247" s="588"/>
      <c r="B247" s="588"/>
      <c r="C247" s="588"/>
      <c r="D247" s="589"/>
      <c r="E247" s="588"/>
      <c r="F247" s="588"/>
      <c r="G247" s="590"/>
      <c r="H247" s="588"/>
      <c r="I247" s="591"/>
      <c r="J247" s="591"/>
      <c r="K247" s="591"/>
      <c r="L247" s="591"/>
      <c r="M247" s="588"/>
      <c r="N247" s="589"/>
      <c r="O247" s="589"/>
    </row>
    <row r="248" spans="1:15" ht="15.75" x14ac:dyDescent="0.25">
      <c r="A248" s="588"/>
      <c r="B248" s="588"/>
      <c r="C248" s="588"/>
      <c r="D248" s="589"/>
      <c r="E248" s="588"/>
      <c r="F248" s="588"/>
      <c r="G248" s="590"/>
      <c r="H248" s="588"/>
      <c r="I248" s="591"/>
      <c r="J248" s="591"/>
      <c r="K248" s="591"/>
      <c r="L248" s="591"/>
      <c r="M248" s="588"/>
      <c r="N248" s="589"/>
      <c r="O248" s="589"/>
    </row>
    <row r="249" spans="1:15" ht="15.75" x14ac:dyDescent="0.25">
      <c r="A249" s="588"/>
      <c r="B249" s="588"/>
      <c r="C249" s="588"/>
      <c r="D249" s="589"/>
      <c r="E249" s="588"/>
      <c r="F249" s="588"/>
      <c r="G249" s="590"/>
      <c r="H249" s="588"/>
      <c r="I249" s="591"/>
      <c r="J249" s="591"/>
      <c r="K249" s="591"/>
      <c r="L249" s="591"/>
      <c r="M249" s="588"/>
      <c r="N249" s="589"/>
      <c r="O249" s="589"/>
    </row>
    <row r="250" spans="1:15" ht="15.75" x14ac:dyDescent="0.25">
      <c r="A250" s="588"/>
      <c r="B250" s="588"/>
      <c r="C250" s="588"/>
      <c r="D250" s="589"/>
      <c r="E250" s="588"/>
      <c r="F250" s="588"/>
      <c r="G250" s="590"/>
      <c r="H250" s="588"/>
      <c r="I250" s="591"/>
      <c r="J250" s="591"/>
      <c r="K250" s="591"/>
      <c r="L250" s="591"/>
      <c r="M250" s="588"/>
      <c r="N250" s="589"/>
      <c r="O250" s="589"/>
    </row>
    <row r="251" spans="1:15" ht="15.75" x14ac:dyDescent="0.25">
      <c r="A251" s="588"/>
      <c r="B251" s="588"/>
      <c r="C251" s="588"/>
      <c r="D251" s="589"/>
      <c r="E251" s="588"/>
      <c r="F251" s="588"/>
      <c r="G251" s="590"/>
      <c r="H251" s="588"/>
      <c r="I251" s="591"/>
      <c r="J251" s="591"/>
      <c r="K251" s="591"/>
      <c r="L251" s="591"/>
      <c r="M251" s="588"/>
      <c r="N251" s="589"/>
      <c r="O251" s="589"/>
    </row>
    <row r="252" spans="1:15" ht="15.75" x14ac:dyDescent="0.25">
      <c r="A252" s="588"/>
      <c r="B252" s="588"/>
      <c r="C252" s="588"/>
      <c r="D252" s="589"/>
      <c r="E252" s="588"/>
      <c r="F252" s="588"/>
      <c r="G252" s="590"/>
      <c r="H252" s="588"/>
      <c r="I252" s="591"/>
      <c r="J252" s="591"/>
      <c r="K252" s="591"/>
      <c r="L252" s="591"/>
      <c r="M252" s="588"/>
      <c r="N252" s="589"/>
      <c r="O252" s="589"/>
    </row>
    <row r="253" spans="1:15" ht="15.75" x14ac:dyDescent="0.25">
      <c r="A253" s="588"/>
      <c r="B253" s="588"/>
      <c r="C253" s="588"/>
      <c r="D253" s="589"/>
      <c r="E253" s="588"/>
      <c r="F253" s="588"/>
      <c r="G253" s="590"/>
      <c r="H253" s="588"/>
      <c r="I253" s="591"/>
      <c r="J253" s="591"/>
      <c r="K253" s="591"/>
      <c r="L253" s="591"/>
      <c r="M253" s="588"/>
      <c r="N253" s="589"/>
      <c r="O253" s="589"/>
    </row>
    <row r="254" spans="1:15" ht="15.75" x14ac:dyDescent="0.25">
      <c r="A254" s="588"/>
      <c r="B254" s="588"/>
      <c r="C254" s="588"/>
      <c r="D254" s="589"/>
      <c r="E254" s="588"/>
      <c r="F254" s="588"/>
      <c r="G254" s="590"/>
      <c r="H254" s="588"/>
      <c r="I254" s="591"/>
      <c r="J254" s="591"/>
      <c r="K254" s="591"/>
      <c r="L254" s="591"/>
      <c r="M254" s="588"/>
      <c r="N254" s="589"/>
      <c r="O254" s="589"/>
    </row>
    <row r="255" spans="1:15" ht="15.75" x14ac:dyDescent="0.25">
      <c r="A255" s="588"/>
      <c r="B255" s="588"/>
      <c r="C255" s="588"/>
      <c r="D255" s="589"/>
      <c r="E255" s="588"/>
      <c r="F255" s="588"/>
      <c r="G255" s="590"/>
      <c r="H255" s="588"/>
      <c r="I255" s="591"/>
      <c r="J255" s="591"/>
      <c r="K255" s="591"/>
      <c r="L255" s="591"/>
      <c r="M255" s="588"/>
      <c r="N255" s="589"/>
      <c r="O255" s="589"/>
    </row>
    <row r="256" spans="1:15" ht="15.75" x14ac:dyDescent="0.25">
      <c r="A256" s="588"/>
      <c r="B256" s="588"/>
      <c r="C256" s="588"/>
      <c r="D256" s="589"/>
      <c r="E256" s="588"/>
      <c r="F256" s="588"/>
      <c r="G256" s="590"/>
      <c r="H256" s="588"/>
      <c r="I256" s="591"/>
      <c r="J256" s="591"/>
      <c r="K256" s="591"/>
      <c r="L256" s="591"/>
      <c r="M256" s="588"/>
      <c r="N256" s="589"/>
      <c r="O256" s="589"/>
    </row>
    <row r="257" spans="1:15" ht="15.75" x14ac:dyDescent="0.25">
      <c r="A257" s="588"/>
      <c r="B257" s="588"/>
      <c r="C257" s="588"/>
      <c r="D257" s="589"/>
      <c r="E257" s="588"/>
      <c r="F257" s="588"/>
      <c r="G257" s="590"/>
      <c r="H257" s="588"/>
      <c r="I257" s="591"/>
      <c r="J257" s="591"/>
      <c r="K257" s="591"/>
      <c r="L257" s="591"/>
      <c r="M257" s="588"/>
      <c r="N257" s="589"/>
      <c r="O257" s="589"/>
    </row>
    <row r="258" spans="1:15" ht="15.75" x14ac:dyDescent="0.25">
      <c r="A258" s="588"/>
      <c r="B258" s="588"/>
      <c r="C258" s="588"/>
      <c r="D258" s="589"/>
      <c r="E258" s="588"/>
      <c r="F258" s="588"/>
      <c r="G258" s="590"/>
      <c r="H258" s="588"/>
      <c r="I258" s="591"/>
      <c r="J258" s="591"/>
      <c r="K258" s="591"/>
      <c r="L258" s="591"/>
      <c r="M258" s="588"/>
      <c r="N258" s="589"/>
      <c r="O258" s="589"/>
    </row>
    <row r="259" spans="1:15" ht="15.75" x14ac:dyDescent="0.25">
      <c r="A259" s="588"/>
      <c r="B259" s="588"/>
      <c r="C259" s="588"/>
      <c r="D259" s="589"/>
      <c r="E259" s="588"/>
      <c r="F259" s="588"/>
      <c r="G259" s="590"/>
      <c r="H259" s="588"/>
      <c r="I259" s="591"/>
      <c r="J259" s="591"/>
      <c r="K259" s="591"/>
      <c r="L259" s="591"/>
      <c r="M259" s="588"/>
      <c r="N259" s="589"/>
      <c r="O259" s="589"/>
    </row>
    <row r="260" spans="1:15" ht="15.75" x14ac:dyDescent="0.25">
      <c r="A260" s="588"/>
      <c r="B260" s="588"/>
      <c r="C260" s="588"/>
      <c r="D260" s="589"/>
      <c r="E260" s="588"/>
      <c r="F260" s="588"/>
      <c r="G260" s="590"/>
      <c r="H260" s="588"/>
      <c r="I260" s="591"/>
      <c r="J260" s="591"/>
      <c r="K260" s="591"/>
      <c r="L260" s="591"/>
      <c r="M260" s="588"/>
      <c r="N260" s="589"/>
      <c r="O260" s="589"/>
    </row>
    <row r="261" spans="1:15" ht="15.75" x14ac:dyDescent="0.25">
      <c r="A261" s="588"/>
      <c r="B261" s="588"/>
      <c r="C261" s="588"/>
      <c r="D261" s="589"/>
      <c r="E261" s="588"/>
      <c r="F261" s="588"/>
      <c r="G261" s="590"/>
      <c r="H261" s="588"/>
      <c r="I261" s="591"/>
      <c r="J261" s="591"/>
      <c r="K261" s="591"/>
      <c r="L261" s="591"/>
      <c r="M261" s="588"/>
      <c r="N261" s="589"/>
      <c r="O261" s="589"/>
    </row>
    <row r="262" spans="1:15" ht="15.75" x14ac:dyDescent="0.25">
      <c r="A262" s="588"/>
      <c r="B262" s="588"/>
      <c r="C262" s="588"/>
      <c r="D262" s="589"/>
      <c r="E262" s="588"/>
      <c r="F262" s="588"/>
      <c r="G262" s="590"/>
      <c r="H262" s="588"/>
      <c r="I262" s="591"/>
      <c r="J262" s="591"/>
      <c r="K262" s="591"/>
      <c r="L262" s="591"/>
      <c r="M262" s="588"/>
      <c r="N262" s="589"/>
      <c r="O262" s="589"/>
    </row>
    <row r="263" spans="1:15" ht="15.75" x14ac:dyDescent="0.25">
      <c r="A263" s="588"/>
      <c r="B263" s="588"/>
      <c r="C263" s="588"/>
      <c r="D263" s="589"/>
      <c r="E263" s="588"/>
      <c r="F263" s="588"/>
      <c r="G263" s="590"/>
      <c r="H263" s="588"/>
      <c r="I263" s="591"/>
      <c r="J263" s="591"/>
      <c r="K263" s="591"/>
      <c r="L263" s="591"/>
      <c r="M263" s="588"/>
      <c r="N263" s="589"/>
      <c r="O263" s="589"/>
    </row>
    <row r="264" spans="1:15" ht="15.75" x14ac:dyDescent="0.25">
      <c r="A264" s="588"/>
      <c r="B264" s="588"/>
      <c r="C264" s="588"/>
      <c r="D264" s="589"/>
      <c r="E264" s="588"/>
      <c r="F264" s="588"/>
      <c r="G264" s="590"/>
      <c r="H264" s="588"/>
      <c r="I264" s="591"/>
      <c r="J264" s="591"/>
      <c r="K264" s="591"/>
      <c r="L264" s="591"/>
      <c r="M264" s="588"/>
      <c r="N264" s="589"/>
      <c r="O264" s="589"/>
    </row>
    <row r="265" spans="1:15" ht="15.75" x14ac:dyDescent="0.25">
      <c r="A265" s="588"/>
      <c r="B265" s="588"/>
      <c r="C265" s="588"/>
      <c r="D265" s="589"/>
      <c r="E265" s="588"/>
      <c r="F265" s="588"/>
      <c r="G265" s="590"/>
      <c r="H265" s="588"/>
      <c r="I265" s="591"/>
      <c r="J265" s="591"/>
      <c r="K265" s="591"/>
      <c r="L265" s="591"/>
      <c r="M265" s="588"/>
      <c r="N265" s="589"/>
      <c r="O265" s="589"/>
    </row>
    <row r="266" spans="1:15" ht="15.75" x14ac:dyDescent="0.25">
      <c r="A266" s="588"/>
      <c r="B266" s="588"/>
      <c r="C266" s="588"/>
      <c r="D266" s="589"/>
      <c r="E266" s="588"/>
      <c r="F266" s="588"/>
      <c r="G266" s="590"/>
      <c r="H266" s="588"/>
      <c r="I266" s="591"/>
      <c r="J266" s="591"/>
      <c r="K266" s="591"/>
      <c r="L266" s="591"/>
      <c r="M266" s="588"/>
      <c r="N266" s="589"/>
      <c r="O266" s="589"/>
    </row>
    <row r="267" spans="1:15" ht="15.75" x14ac:dyDescent="0.25">
      <c r="A267" s="588"/>
      <c r="B267" s="588"/>
      <c r="C267" s="588"/>
      <c r="D267" s="589"/>
      <c r="E267" s="588"/>
      <c r="F267" s="588"/>
      <c r="G267" s="590"/>
      <c r="H267" s="588"/>
      <c r="I267" s="591"/>
      <c r="J267" s="591"/>
      <c r="K267" s="591"/>
      <c r="L267" s="591"/>
      <c r="M267" s="588"/>
      <c r="N267" s="589"/>
      <c r="O267" s="589"/>
    </row>
    <row r="268" spans="1:15" ht="15.75" x14ac:dyDescent="0.25">
      <c r="A268" s="588"/>
      <c r="B268" s="588"/>
      <c r="C268" s="588"/>
      <c r="D268" s="589"/>
      <c r="E268" s="588"/>
      <c r="F268" s="588"/>
      <c r="G268" s="590"/>
      <c r="H268" s="588"/>
      <c r="I268" s="591"/>
      <c r="J268" s="591"/>
      <c r="K268" s="591"/>
      <c r="L268" s="591"/>
      <c r="M268" s="588"/>
      <c r="N268" s="589"/>
      <c r="O268" s="589"/>
    </row>
    <row r="269" spans="1:15" ht="15.75" x14ac:dyDescent="0.25">
      <c r="A269" s="588"/>
      <c r="B269" s="588"/>
      <c r="C269" s="588"/>
      <c r="D269" s="589"/>
      <c r="E269" s="588"/>
      <c r="F269" s="588"/>
      <c r="G269" s="590"/>
      <c r="H269" s="588"/>
      <c r="I269" s="591"/>
      <c r="J269" s="591"/>
      <c r="K269" s="591"/>
      <c r="L269" s="591"/>
      <c r="M269" s="588"/>
      <c r="N269" s="589"/>
      <c r="O269" s="589"/>
    </row>
    <row r="270" spans="1:15" ht="15.75" x14ac:dyDescent="0.25">
      <c r="A270" s="588"/>
      <c r="B270" s="588"/>
      <c r="C270" s="588"/>
      <c r="D270" s="589"/>
      <c r="E270" s="588"/>
      <c r="F270" s="588"/>
      <c r="G270" s="590"/>
      <c r="H270" s="588"/>
      <c r="I270" s="591"/>
      <c r="J270" s="591"/>
      <c r="K270" s="591"/>
      <c r="L270" s="591"/>
      <c r="M270" s="588"/>
      <c r="N270" s="589"/>
      <c r="O270" s="589"/>
    </row>
    <row r="271" spans="1:15" ht="15.75" x14ac:dyDescent="0.25">
      <c r="A271" s="588"/>
      <c r="B271" s="588"/>
      <c r="C271" s="588"/>
      <c r="D271" s="589"/>
      <c r="E271" s="588"/>
      <c r="F271" s="588"/>
      <c r="G271" s="590"/>
      <c r="H271" s="588"/>
      <c r="I271" s="591"/>
      <c r="J271" s="591"/>
      <c r="K271" s="591"/>
      <c r="L271" s="591"/>
      <c r="M271" s="588"/>
      <c r="N271" s="589"/>
      <c r="O271" s="589"/>
    </row>
    <row r="272" spans="1:15" ht="15.75" x14ac:dyDescent="0.25">
      <c r="A272" s="588"/>
      <c r="B272" s="588"/>
      <c r="C272" s="588"/>
      <c r="D272" s="589"/>
      <c r="E272" s="588"/>
      <c r="F272" s="588"/>
      <c r="G272" s="590"/>
      <c r="H272" s="588"/>
      <c r="I272" s="591"/>
      <c r="J272" s="591"/>
      <c r="K272" s="591"/>
      <c r="L272" s="591"/>
      <c r="M272" s="588"/>
      <c r="N272" s="589"/>
      <c r="O272" s="589"/>
    </row>
    <row r="273" spans="1:15" ht="15.75" x14ac:dyDescent="0.25">
      <c r="A273" s="588"/>
      <c r="B273" s="588"/>
      <c r="C273" s="588"/>
      <c r="D273" s="589"/>
      <c r="E273" s="588"/>
      <c r="F273" s="588"/>
      <c r="G273" s="590"/>
      <c r="H273" s="588"/>
      <c r="I273" s="591"/>
      <c r="J273" s="591"/>
      <c r="K273" s="591"/>
      <c r="L273" s="591"/>
      <c r="M273" s="588"/>
      <c r="N273" s="589"/>
      <c r="O273" s="589"/>
    </row>
    <row r="274" spans="1:15" ht="15.75" x14ac:dyDescent="0.25">
      <c r="A274" s="588"/>
      <c r="B274" s="588"/>
      <c r="C274" s="588"/>
      <c r="D274" s="589"/>
      <c r="E274" s="588"/>
      <c r="F274" s="588"/>
      <c r="G274" s="590"/>
      <c r="H274" s="598"/>
      <c r="I274" s="591"/>
      <c r="J274" s="591"/>
      <c r="K274" s="591"/>
      <c r="L274" s="591"/>
      <c r="M274" s="588"/>
      <c r="N274" s="589"/>
      <c r="O274" s="589"/>
    </row>
    <row r="275" spans="1:15" ht="15.75" x14ac:dyDescent="0.25">
      <c r="A275" s="588"/>
      <c r="B275" s="588"/>
      <c r="C275" s="588"/>
      <c r="D275" s="589"/>
      <c r="E275" s="588"/>
      <c r="F275" s="588"/>
      <c r="G275" s="590"/>
      <c r="H275" s="588"/>
      <c r="I275" s="591"/>
      <c r="J275" s="591"/>
      <c r="K275" s="591"/>
      <c r="L275" s="591"/>
      <c r="M275" s="588"/>
      <c r="N275" s="589"/>
      <c r="O275" s="589"/>
    </row>
    <row r="276" spans="1:15" ht="15.75" x14ac:dyDescent="0.25">
      <c r="A276" s="588"/>
      <c r="B276" s="588"/>
      <c r="C276" s="588"/>
      <c r="D276" s="589"/>
      <c r="E276" s="588"/>
      <c r="F276" s="588"/>
      <c r="G276" s="590"/>
      <c r="H276" s="588"/>
      <c r="I276" s="591"/>
      <c r="J276" s="591"/>
      <c r="K276" s="591"/>
      <c r="L276" s="591"/>
      <c r="M276" s="588"/>
      <c r="N276" s="589"/>
      <c r="O276" s="589"/>
    </row>
    <row r="277" spans="1:15" ht="15.75" x14ac:dyDescent="0.25">
      <c r="A277" s="588"/>
      <c r="B277" s="588"/>
      <c r="C277" s="588"/>
      <c r="D277" s="589"/>
      <c r="E277" s="588"/>
      <c r="F277" s="588"/>
      <c r="G277" s="590"/>
      <c r="H277" s="588"/>
      <c r="I277" s="591"/>
      <c r="J277" s="591"/>
      <c r="K277" s="591"/>
      <c r="L277" s="591"/>
      <c r="M277" s="588"/>
      <c r="N277" s="589"/>
      <c r="O277" s="589"/>
    </row>
    <row r="278" spans="1:15" ht="15.75" x14ac:dyDescent="0.25">
      <c r="A278" s="588"/>
      <c r="B278" s="588"/>
      <c r="C278" s="588"/>
      <c r="D278" s="589"/>
      <c r="E278" s="588"/>
      <c r="F278" s="588"/>
      <c r="G278" s="590"/>
      <c r="H278" s="588"/>
      <c r="I278" s="591"/>
      <c r="J278" s="591"/>
      <c r="K278" s="591"/>
      <c r="L278" s="591"/>
      <c r="M278" s="588"/>
      <c r="N278" s="589"/>
      <c r="O278" s="589"/>
    </row>
    <row r="279" spans="1:15" ht="15.75" x14ac:dyDescent="0.25">
      <c r="A279" s="588"/>
      <c r="B279" s="588"/>
      <c r="C279" s="588"/>
      <c r="D279" s="589"/>
      <c r="E279" s="588"/>
      <c r="F279" s="588"/>
      <c r="G279" s="590"/>
      <c r="H279" s="588"/>
      <c r="I279" s="591"/>
      <c r="J279" s="591"/>
      <c r="K279" s="591"/>
      <c r="L279" s="591"/>
      <c r="M279" s="588"/>
      <c r="N279" s="589"/>
      <c r="O279" s="589"/>
    </row>
    <row r="280" spans="1:15" ht="15.75" x14ac:dyDescent="0.25">
      <c r="A280" s="588"/>
      <c r="B280" s="588"/>
      <c r="C280" s="588"/>
      <c r="D280" s="589"/>
      <c r="E280" s="588"/>
      <c r="F280" s="588"/>
      <c r="G280" s="590"/>
      <c r="H280" s="588"/>
      <c r="I280" s="591"/>
      <c r="J280" s="591"/>
      <c r="K280" s="591"/>
      <c r="L280" s="591"/>
      <c r="M280" s="588"/>
      <c r="N280" s="589"/>
      <c r="O280" s="589"/>
    </row>
    <row r="281" spans="1:15" ht="15.75" x14ac:dyDescent="0.25">
      <c r="A281" s="588"/>
      <c r="B281" s="588"/>
      <c r="C281" s="588"/>
      <c r="D281" s="589"/>
      <c r="E281" s="588"/>
      <c r="F281" s="588"/>
      <c r="G281" s="590"/>
      <c r="H281" s="588"/>
      <c r="I281" s="591"/>
      <c r="J281" s="591"/>
      <c r="K281" s="591"/>
      <c r="L281" s="591"/>
      <c r="M281" s="588"/>
      <c r="N281" s="589"/>
      <c r="O281" s="589"/>
    </row>
    <row r="282" spans="1:15" ht="15.75" x14ac:dyDescent="0.25">
      <c r="A282" s="588"/>
      <c r="B282" s="588"/>
      <c r="C282" s="588"/>
      <c r="D282" s="589"/>
      <c r="E282" s="588"/>
      <c r="F282" s="588"/>
      <c r="G282" s="590"/>
      <c r="H282" s="588"/>
      <c r="I282" s="591"/>
      <c r="J282" s="591"/>
      <c r="K282" s="591"/>
      <c r="L282" s="591"/>
      <c r="M282" s="588"/>
      <c r="N282" s="589"/>
      <c r="O282" s="589"/>
    </row>
    <row r="283" spans="1:15" ht="15.75" x14ac:dyDescent="0.25">
      <c r="A283" s="588"/>
      <c r="B283" s="588"/>
      <c r="C283" s="588"/>
      <c r="D283" s="589"/>
      <c r="E283" s="588"/>
      <c r="F283" s="588"/>
      <c r="G283" s="590"/>
      <c r="H283" s="588"/>
      <c r="I283" s="591"/>
      <c r="J283" s="591"/>
      <c r="K283" s="591"/>
      <c r="L283" s="591"/>
      <c r="M283" s="588"/>
      <c r="N283" s="589"/>
      <c r="O283" s="589"/>
    </row>
    <row r="284" spans="1:15" ht="15.75" x14ac:dyDescent="0.25">
      <c r="A284" s="588"/>
      <c r="B284" s="588"/>
      <c r="C284" s="588"/>
      <c r="D284" s="589"/>
      <c r="E284" s="588"/>
      <c r="F284" s="588"/>
      <c r="G284" s="590"/>
      <c r="H284" s="588"/>
      <c r="I284" s="591"/>
      <c r="J284" s="591"/>
      <c r="K284" s="591"/>
      <c r="L284" s="591"/>
      <c r="M284" s="588"/>
      <c r="N284" s="589"/>
      <c r="O284" s="589"/>
    </row>
    <row r="285" spans="1:15" ht="15.75" x14ac:dyDescent="0.25">
      <c r="A285" s="588"/>
      <c r="B285" s="588"/>
      <c r="C285" s="588"/>
      <c r="D285" s="589"/>
      <c r="E285" s="588"/>
      <c r="F285" s="588"/>
      <c r="G285" s="590"/>
      <c r="H285" s="588"/>
      <c r="I285" s="591"/>
      <c r="J285" s="591"/>
      <c r="K285" s="591"/>
      <c r="L285" s="591"/>
      <c r="M285" s="588"/>
      <c r="N285" s="589"/>
      <c r="O285" s="589"/>
    </row>
    <row r="286" spans="1:15" ht="15.75" x14ac:dyDescent="0.25">
      <c r="A286" s="588"/>
      <c r="B286" s="588"/>
      <c r="C286" s="588"/>
      <c r="D286" s="589"/>
      <c r="E286" s="588"/>
      <c r="F286" s="588"/>
      <c r="G286" s="590"/>
      <c r="H286" s="588"/>
      <c r="I286" s="591"/>
      <c r="J286" s="591"/>
      <c r="K286" s="591"/>
      <c r="L286" s="591"/>
      <c r="M286" s="588"/>
      <c r="N286" s="589"/>
      <c r="O286" s="589"/>
    </row>
    <row r="287" spans="1:15" ht="15.75" x14ac:dyDescent="0.25">
      <c r="A287" s="588"/>
      <c r="B287" s="588"/>
      <c r="C287" s="588"/>
      <c r="D287" s="589"/>
      <c r="E287" s="588"/>
      <c r="F287" s="588"/>
      <c r="G287" s="590"/>
      <c r="H287" s="588"/>
      <c r="I287" s="591"/>
      <c r="J287" s="591"/>
      <c r="K287" s="591"/>
      <c r="L287" s="591"/>
      <c r="M287" s="588"/>
      <c r="N287" s="589"/>
      <c r="O287" s="589"/>
    </row>
    <row r="288" spans="1:15" ht="15.75" x14ac:dyDescent="0.25">
      <c r="A288" s="588"/>
      <c r="B288" s="588"/>
      <c r="C288" s="588"/>
      <c r="D288" s="589"/>
      <c r="E288" s="588"/>
      <c r="F288" s="588"/>
      <c r="G288" s="590"/>
      <c r="H288" s="588"/>
      <c r="I288" s="591"/>
      <c r="J288" s="591"/>
      <c r="K288" s="591"/>
      <c r="L288" s="591"/>
      <c r="M288" s="588"/>
      <c r="N288" s="589"/>
      <c r="O288" s="589"/>
    </row>
    <row r="289" spans="1:15" ht="15.75" x14ac:dyDescent="0.25">
      <c r="A289" s="588"/>
      <c r="B289" s="588"/>
      <c r="C289" s="588"/>
      <c r="D289" s="589"/>
      <c r="E289" s="588"/>
      <c r="F289" s="588"/>
      <c r="G289" s="590"/>
      <c r="H289" s="588"/>
      <c r="I289" s="591"/>
      <c r="J289" s="591"/>
      <c r="K289" s="591"/>
      <c r="L289" s="591"/>
      <c r="M289" s="588"/>
      <c r="N289" s="589"/>
      <c r="O289" s="589"/>
    </row>
    <row r="290" spans="1:15" ht="15.75" x14ac:dyDescent="0.25">
      <c r="A290" s="588"/>
      <c r="B290" s="588"/>
      <c r="C290" s="588"/>
      <c r="D290" s="589"/>
      <c r="E290" s="588"/>
      <c r="F290" s="588"/>
      <c r="G290" s="590"/>
      <c r="H290" s="588"/>
      <c r="I290" s="591"/>
      <c r="J290" s="591"/>
      <c r="K290" s="591"/>
      <c r="L290" s="591"/>
      <c r="M290" s="588"/>
      <c r="N290" s="589"/>
      <c r="O290" s="589"/>
    </row>
    <row r="291" spans="1:15" ht="15.75" x14ac:dyDescent="0.25">
      <c r="A291" s="588"/>
      <c r="B291" s="588"/>
      <c r="C291" s="588"/>
      <c r="D291" s="589"/>
      <c r="E291" s="588"/>
      <c r="F291" s="588"/>
      <c r="G291" s="590"/>
      <c r="H291" s="588"/>
      <c r="I291" s="591"/>
      <c r="J291" s="591"/>
      <c r="K291" s="591"/>
      <c r="L291" s="591"/>
      <c r="M291" s="588"/>
      <c r="N291" s="589"/>
      <c r="O291" s="589"/>
    </row>
    <row r="292" spans="1:15" ht="15.75" x14ac:dyDescent="0.25">
      <c r="A292" s="588"/>
      <c r="B292" s="588"/>
      <c r="C292" s="588"/>
      <c r="D292" s="589"/>
      <c r="E292" s="588"/>
      <c r="F292" s="588"/>
      <c r="G292" s="590"/>
      <c r="H292" s="588"/>
      <c r="I292" s="591"/>
      <c r="J292" s="591"/>
      <c r="K292" s="591"/>
      <c r="L292" s="591"/>
      <c r="M292" s="588"/>
      <c r="N292" s="589"/>
      <c r="O292" s="589"/>
    </row>
    <row r="293" spans="1:15" ht="15.75" x14ac:dyDescent="0.25">
      <c r="A293" s="588"/>
      <c r="B293" s="588"/>
      <c r="C293" s="588"/>
      <c r="D293" s="589"/>
      <c r="E293" s="588"/>
      <c r="F293" s="588"/>
      <c r="G293" s="590"/>
      <c r="H293" s="588"/>
      <c r="I293" s="591"/>
      <c r="J293" s="591"/>
      <c r="K293" s="591"/>
      <c r="L293" s="591"/>
      <c r="M293" s="588"/>
      <c r="N293" s="589"/>
      <c r="O293" s="589"/>
    </row>
    <row r="294" spans="1:15" ht="15.75" x14ac:dyDescent="0.25">
      <c r="A294" s="588"/>
      <c r="B294" s="588"/>
      <c r="C294" s="588"/>
      <c r="D294" s="589"/>
      <c r="E294" s="588"/>
      <c r="F294" s="588"/>
      <c r="G294" s="590"/>
      <c r="H294" s="588"/>
      <c r="I294" s="591"/>
      <c r="J294" s="591"/>
      <c r="K294" s="591"/>
      <c r="L294" s="591"/>
      <c r="M294" s="588"/>
      <c r="N294" s="589"/>
      <c r="O294" s="589"/>
    </row>
    <row r="295" spans="1:15" ht="15.75" x14ac:dyDescent="0.25">
      <c r="A295" s="588"/>
      <c r="B295" s="588"/>
      <c r="C295" s="588"/>
      <c r="D295" s="589"/>
      <c r="E295" s="588"/>
      <c r="F295" s="588"/>
      <c r="G295" s="590"/>
      <c r="H295" s="588"/>
      <c r="I295" s="591"/>
      <c r="J295" s="591"/>
      <c r="K295" s="591"/>
      <c r="L295" s="591"/>
      <c r="M295" s="588"/>
      <c r="N295" s="589"/>
      <c r="O295" s="589"/>
    </row>
    <row r="296" spans="1:15" ht="15.75" x14ac:dyDescent="0.25">
      <c r="A296" s="588"/>
      <c r="B296" s="588"/>
      <c r="C296" s="588"/>
      <c r="D296" s="589"/>
      <c r="E296" s="588"/>
      <c r="F296" s="588"/>
      <c r="G296" s="590"/>
      <c r="H296" s="588"/>
      <c r="I296" s="591"/>
      <c r="J296" s="591"/>
      <c r="K296" s="591"/>
      <c r="L296" s="591"/>
      <c r="M296" s="588"/>
      <c r="N296" s="589"/>
      <c r="O296" s="589"/>
    </row>
    <row r="297" spans="1:15" ht="15.75" x14ac:dyDescent="0.25">
      <c r="A297" s="588"/>
      <c r="B297" s="588"/>
      <c r="C297" s="588"/>
      <c r="D297" s="589"/>
      <c r="E297" s="588"/>
      <c r="F297" s="588"/>
      <c r="G297" s="590"/>
      <c r="H297" s="588"/>
      <c r="I297" s="591"/>
      <c r="J297" s="591"/>
      <c r="K297" s="591"/>
      <c r="L297" s="591"/>
      <c r="M297" s="588"/>
      <c r="N297" s="589"/>
      <c r="O297" s="589"/>
    </row>
    <row r="298" spans="1:15" ht="15.75" x14ac:dyDescent="0.25">
      <c r="A298" s="588"/>
      <c r="B298" s="588"/>
      <c r="C298" s="588"/>
      <c r="D298" s="589"/>
      <c r="E298" s="588"/>
      <c r="F298" s="588"/>
      <c r="G298" s="590"/>
      <c r="H298" s="588"/>
      <c r="I298" s="591"/>
      <c r="J298" s="591"/>
      <c r="K298" s="591"/>
      <c r="L298" s="591"/>
      <c r="M298" s="588"/>
      <c r="N298" s="589"/>
      <c r="O298" s="589"/>
    </row>
    <row r="299" spans="1:15" ht="15.75" x14ac:dyDescent="0.25">
      <c r="A299" s="588"/>
      <c r="B299" s="588"/>
      <c r="C299" s="588"/>
      <c r="D299" s="589"/>
      <c r="E299" s="588"/>
      <c r="F299" s="588"/>
      <c r="G299" s="590"/>
      <c r="H299" s="588"/>
      <c r="I299" s="591"/>
      <c r="J299" s="591"/>
      <c r="K299" s="591"/>
      <c r="L299" s="591"/>
      <c r="M299" s="588"/>
      <c r="N299" s="589"/>
      <c r="O299" s="589"/>
    </row>
    <row r="300" spans="1:15" ht="15.75" x14ac:dyDescent="0.25">
      <c r="A300" s="588"/>
      <c r="B300" s="588"/>
      <c r="C300" s="588"/>
      <c r="D300" s="589"/>
      <c r="E300" s="588"/>
      <c r="F300" s="588"/>
      <c r="G300" s="590"/>
      <c r="H300" s="588"/>
      <c r="I300" s="591"/>
      <c r="J300" s="591"/>
      <c r="K300" s="591"/>
      <c r="L300" s="591"/>
      <c r="M300" s="588"/>
      <c r="N300" s="589"/>
      <c r="O300" s="589"/>
    </row>
    <row r="301" spans="1:15" ht="15.75" x14ac:dyDescent="0.25">
      <c r="A301" s="588"/>
      <c r="B301" s="588"/>
      <c r="C301" s="588"/>
      <c r="D301" s="589"/>
      <c r="E301" s="588"/>
      <c r="F301" s="588"/>
      <c r="G301" s="590"/>
      <c r="H301" s="588"/>
      <c r="I301" s="591"/>
      <c r="J301" s="591"/>
      <c r="K301" s="591"/>
      <c r="L301" s="591"/>
      <c r="M301" s="588"/>
      <c r="N301" s="589"/>
      <c r="O301" s="589"/>
    </row>
    <row r="302" spans="1:15" ht="15.75" x14ac:dyDescent="0.25">
      <c r="A302" s="588"/>
      <c r="B302" s="588"/>
      <c r="C302" s="588"/>
      <c r="D302" s="589"/>
      <c r="E302" s="588"/>
      <c r="F302" s="588"/>
      <c r="G302" s="590"/>
      <c r="H302" s="588"/>
      <c r="I302" s="591"/>
      <c r="J302" s="591"/>
      <c r="K302" s="591"/>
      <c r="L302" s="591"/>
      <c r="M302" s="588"/>
      <c r="N302" s="589"/>
      <c r="O302" s="589"/>
    </row>
    <row r="303" spans="1:15" ht="15.75" x14ac:dyDescent="0.25">
      <c r="A303" s="588"/>
      <c r="B303" s="588"/>
      <c r="C303" s="588"/>
      <c r="D303" s="589"/>
      <c r="E303" s="588"/>
      <c r="F303" s="588"/>
      <c r="G303" s="590"/>
      <c r="H303" s="588"/>
      <c r="I303" s="591"/>
      <c r="J303" s="591"/>
      <c r="K303" s="591"/>
      <c r="L303" s="591"/>
      <c r="M303" s="588"/>
      <c r="N303" s="589"/>
      <c r="O303" s="589"/>
    </row>
    <row r="304" spans="1:15" ht="15.75" x14ac:dyDescent="0.25">
      <c r="A304" s="588"/>
      <c r="B304" s="588"/>
      <c r="C304" s="588"/>
      <c r="D304" s="589"/>
      <c r="E304" s="588"/>
      <c r="F304" s="588"/>
      <c r="G304" s="590"/>
      <c r="H304" s="588"/>
      <c r="I304" s="591"/>
      <c r="J304" s="591"/>
      <c r="K304" s="591"/>
      <c r="L304" s="591"/>
      <c r="M304" s="588"/>
      <c r="N304" s="589"/>
      <c r="O304" s="589"/>
    </row>
    <row r="305" spans="1:15" ht="15.75" x14ac:dyDescent="0.25">
      <c r="A305" s="588"/>
      <c r="B305" s="588"/>
      <c r="C305" s="588"/>
      <c r="D305" s="589"/>
      <c r="E305" s="588"/>
      <c r="F305" s="588"/>
      <c r="G305" s="590"/>
      <c r="H305" s="588"/>
      <c r="I305" s="591"/>
      <c r="J305" s="591"/>
      <c r="K305" s="591"/>
      <c r="L305" s="591"/>
      <c r="M305" s="588"/>
      <c r="N305" s="589"/>
      <c r="O305" s="589"/>
    </row>
    <row r="306" spans="1:15" ht="15.75" x14ac:dyDescent="0.25">
      <c r="A306" s="588"/>
      <c r="B306" s="588"/>
      <c r="C306" s="588"/>
      <c r="D306" s="589"/>
      <c r="E306" s="588"/>
      <c r="F306" s="588"/>
      <c r="G306" s="590"/>
      <c r="H306" s="588"/>
      <c r="I306" s="591"/>
      <c r="J306" s="591"/>
      <c r="K306" s="591"/>
      <c r="L306" s="591"/>
      <c r="M306" s="588"/>
      <c r="N306" s="589"/>
      <c r="O306" s="589"/>
    </row>
    <row r="307" spans="1:15" ht="15.75" x14ac:dyDescent="0.25">
      <c r="A307" s="588"/>
      <c r="B307" s="588"/>
      <c r="C307" s="588"/>
      <c r="D307" s="589"/>
      <c r="E307" s="588"/>
      <c r="F307" s="588"/>
      <c r="G307" s="590"/>
      <c r="H307" s="588"/>
      <c r="I307" s="591"/>
      <c r="J307" s="591"/>
      <c r="K307" s="591"/>
      <c r="L307" s="591"/>
      <c r="M307" s="588"/>
      <c r="N307" s="589"/>
      <c r="O307" s="589"/>
    </row>
    <row r="308" spans="1:15" ht="15.75" x14ac:dyDescent="0.25">
      <c r="A308" s="588"/>
      <c r="B308" s="588"/>
      <c r="C308" s="588"/>
      <c r="D308" s="589"/>
      <c r="E308" s="588"/>
      <c r="F308" s="588"/>
      <c r="G308" s="590"/>
      <c r="H308" s="588"/>
      <c r="I308" s="591"/>
      <c r="J308" s="591"/>
      <c r="K308" s="591"/>
      <c r="L308" s="591"/>
      <c r="M308" s="588"/>
      <c r="N308" s="589"/>
      <c r="O308" s="589"/>
    </row>
    <row r="309" spans="1:15" ht="15.75" x14ac:dyDescent="0.25">
      <c r="A309" s="588"/>
      <c r="B309" s="588"/>
      <c r="C309" s="588"/>
      <c r="D309" s="589"/>
      <c r="E309" s="588"/>
      <c r="F309" s="588"/>
      <c r="G309" s="590"/>
      <c r="H309" s="588"/>
      <c r="I309" s="591"/>
      <c r="J309" s="591"/>
      <c r="K309" s="591"/>
      <c r="L309" s="591"/>
      <c r="M309" s="588"/>
      <c r="N309" s="589"/>
      <c r="O309" s="589"/>
    </row>
    <row r="310" spans="1:15" ht="15.75" x14ac:dyDescent="0.25">
      <c r="A310" s="588"/>
      <c r="B310" s="588"/>
      <c r="C310" s="588"/>
      <c r="D310" s="589"/>
      <c r="E310" s="588"/>
      <c r="F310" s="588"/>
      <c r="G310" s="590"/>
      <c r="H310" s="588"/>
      <c r="I310" s="591"/>
      <c r="J310" s="591"/>
      <c r="K310" s="591"/>
      <c r="L310" s="591"/>
      <c r="M310" s="588"/>
      <c r="N310" s="589"/>
      <c r="O310" s="589"/>
    </row>
    <row r="311" spans="1:15" ht="15.75" x14ac:dyDescent="0.25">
      <c r="A311" s="588"/>
      <c r="B311" s="588"/>
      <c r="C311" s="588"/>
      <c r="D311" s="589"/>
      <c r="E311" s="588"/>
      <c r="F311" s="588"/>
      <c r="G311" s="590"/>
      <c r="H311" s="588"/>
      <c r="I311" s="591"/>
      <c r="J311" s="591"/>
      <c r="K311" s="591"/>
      <c r="L311" s="591"/>
      <c r="M311" s="588"/>
      <c r="N311" s="589"/>
      <c r="O311" s="589"/>
    </row>
    <row r="312" spans="1:15" ht="15.75" x14ac:dyDescent="0.25">
      <c r="A312" s="588"/>
      <c r="B312" s="588"/>
      <c r="C312" s="588"/>
      <c r="D312" s="589"/>
      <c r="E312" s="588"/>
      <c r="F312" s="588"/>
      <c r="G312" s="590"/>
      <c r="H312" s="588"/>
      <c r="I312" s="591"/>
      <c r="J312" s="591"/>
      <c r="K312" s="591"/>
      <c r="L312" s="591"/>
      <c r="M312" s="588"/>
      <c r="N312" s="589"/>
      <c r="O312" s="589"/>
    </row>
    <row r="313" spans="1:15" ht="15.75" x14ac:dyDescent="0.25">
      <c r="A313" s="588"/>
      <c r="B313" s="588"/>
      <c r="C313" s="588"/>
      <c r="D313" s="589"/>
      <c r="E313" s="588"/>
      <c r="F313" s="588"/>
      <c r="G313" s="590"/>
      <c r="H313" s="588"/>
      <c r="I313" s="591"/>
      <c r="J313" s="591"/>
      <c r="K313" s="591"/>
      <c r="L313" s="591"/>
      <c r="M313" s="588"/>
      <c r="N313" s="589"/>
      <c r="O313" s="589"/>
    </row>
    <row r="314" spans="1:15" ht="15.75" x14ac:dyDescent="0.25">
      <c r="A314" s="588"/>
      <c r="B314" s="588"/>
      <c r="C314" s="588"/>
      <c r="D314" s="589"/>
      <c r="E314" s="588"/>
      <c r="F314" s="588"/>
      <c r="G314" s="590"/>
      <c r="H314" s="588"/>
      <c r="I314" s="591"/>
      <c r="J314" s="591"/>
      <c r="K314" s="591"/>
      <c r="L314" s="591"/>
      <c r="M314" s="588"/>
      <c r="N314" s="589"/>
      <c r="O314" s="589"/>
    </row>
    <row r="315" spans="1:15" ht="15.75" x14ac:dyDescent="0.25">
      <c r="A315" s="588"/>
      <c r="B315" s="588"/>
      <c r="C315" s="588"/>
      <c r="D315" s="589"/>
      <c r="E315" s="588"/>
      <c r="F315" s="588"/>
      <c r="G315" s="590"/>
      <c r="H315" s="588"/>
      <c r="I315" s="591"/>
      <c r="J315" s="591"/>
      <c r="K315" s="591"/>
      <c r="L315" s="591"/>
      <c r="M315" s="588"/>
      <c r="N315" s="589"/>
      <c r="O315" s="589"/>
    </row>
    <row r="316" spans="1:15" ht="15.75" x14ac:dyDescent="0.25">
      <c r="A316" s="588"/>
      <c r="B316" s="588"/>
      <c r="C316" s="588"/>
      <c r="D316" s="589"/>
      <c r="E316" s="588"/>
      <c r="F316" s="588"/>
      <c r="G316" s="590"/>
      <c r="H316" s="588"/>
      <c r="I316" s="591"/>
      <c r="J316" s="591"/>
      <c r="K316" s="591"/>
      <c r="L316" s="591"/>
      <c r="M316" s="588"/>
      <c r="N316" s="589"/>
      <c r="O316" s="589"/>
    </row>
    <row r="317" spans="1:15" ht="15.75" x14ac:dyDescent="0.25">
      <c r="A317" s="588"/>
      <c r="B317" s="588"/>
      <c r="C317" s="588"/>
      <c r="D317" s="589"/>
      <c r="E317" s="588"/>
      <c r="F317" s="588"/>
      <c r="G317" s="590"/>
      <c r="H317" s="588"/>
      <c r="I317" s="591"/>
      <c r="J317" s="591"/>
      <c r="K317" s="591"/>
      <c r="L317" s="591"/>
      <c r="M317" s="588"/>
      <c r="N317" s="589"/>
      <c r="O317" s="589"/>
    </row>
    <row r="318" spans="1:15" ht="15.75" x14ac:dyDescent="0.25">
      <c r="A318" s="588"/>
      <c r="B318" s="588"/>
      <c r="C318" s="588"/>
      <c r="D318" s="589"/>
      <c r="E318" s="588"/>
      <c r="F318" s="588"/>
      <c r="G318" s="590"/>
      <c r="H318" s="588"/>
      <c r="I318" s="591"/>
      <c r="J318" s="591"/>
      <c r="K318" s="591"/>
      <c r="L318" s="591"/>
      <c r="M318" s="588"/>
      <c r="N318" s="589"/>
      <c r="O318" s="589"/>
    </row>
    <row r="319" spans="1:15" ht="15.75" x14ac:dyDescent="0.25">
      <c r="A319" s="588"/>
      <c r="B319" s="588"/>
      <c r="C319" s="588"/>
      <c r="D319" s="589"/>
      <c r="E319" s="588"/>
      <c r="F319" s="588"/>
      <c r="G319" s="590"/>
      <c r="H319" s="588"/>
      <c r="I319" s="591"/>
      <c r="J319" s="591"/>
      <c r="K319" s="591"/>
      <c r="L319" s="591"/>
      <c r="M319" s="588"/>
      <c r="N319" s="589"/>
      <c r="O319" s="589"/>
    </row>
    <row r="320" spans="1:15" ht="15.75" x14ac:dyDescent="0.25">
      <c r="A320" s="588"/>
      <c r="B320" s="588"/>
      <c r="C320" s="588"/>
      <c r="D320" s="589"/>
      <c r="E320" s="588"/>
      <c r="F320" s="588"/>
      <c r="G320" s="590"/>
      <c r="H320" s="588"/>
      <c r="I320" s="591"/>
      <c r="J320" s="591"/>
      <c r="K320" s="591"/>
      <c r="L320" s="591"/>
      <c r="M320" s="588"/>
      <c r="N320" s="589"/>
      <c r="O320" s="589"/>
    </row>
    <row r="321" spans="1:15" ht="15.75" x14ac:dyDescent="0.25">
      <c r="A321" s="588"/>
      <c r="B321" s="588"/>
      <c r="C321" s="588"/>
      <c r="D321" s="589"/>
      <c r="E321" s="588"/>
      <c r="F321" s="588"/>
      <c r="G321" s="590"/>
      <c r="H321" s="588"/>
      <c r="I321" s="591"/>
      <c r="J321" s="591"/>
      <c r="K321" s="591"/>
      <c r="L321" s="591"/>
      <c r="M321" s="588"/>
      <c r="N321" s="589"/>
      <c r="O321" s="589"/>
    </row>
    <row r="322" spans="1:15" ht="15.75" x14ac:dyDescent="0.25">
      <c r="A322" s="588"/>
      <c r="B322" s="588"/>
      <c r="C322" s="588"/>
      <c r="D322" s="589"/>
      <c r="E322" s="588"/>
      <c r="F322" s="588"/>
      <c r="G322" s="590"/>
      <c r="H322" s="588"/>
      <c r="I322" s="591"/>
      <c r="J322" s="591"/>
      <c r="K322" s="591"/>
      <c r="L322" s="591"/>
      <c r="M322" s="588"/>
      <c r="N322" s="589"/>
      <c r="O322" s="589"/>
    </row>
    <row r="323" spans="1:15" ht="15.75" x14ac:dyDescent="0.25">
      <c r="A323" s="588"/>
      <c r="B323" s="588"/>
      <c r="C323" s="588"/>
      <c r="D323" s="589"/>
      <c r="E323" s="588"/>
      <c r="F323" s="588"/>
      <c r="G323" s="590"/>
      <c r="H323" s="588"/>
      <c r="I323" s="591"/>
      <c r="J323" s="591"/>
      <c r="K323" s="591"/>
      <c r="L323" s="591"/>
      <c r="M323" s="588"/>
      <c r="N323" s="589"/>
      <c r="O323" s="589"/>
    </row>
    <row r="324" spans="1:15" ht="15.75" x14ac:dyDescent="0.25">
      <c r="A324" s="588"/>
      <c r="B324" s="588"/>
      <c r="C324" s="588"/>
      <c r="D324" s="589"/>
      <c r="E324" s="588"/>
      <c r="F324" s="588"/>
      <c r="G324" s="590"/>
      <c r="H324" s="588"/>
      <c r="I324" s="591"/>
      <c r="J324" s="591"/>
      <c r="K324" s="591"/>
      <c r="L324" s="591"/>
      <c r="M324" s="588"/>
      <c r="N324" s="589"/>
      <c r="O324" s="589"/>
    </row>
    <row r="325" spans="1:15" ht="15.75" x14ac:dyDescent="0.25">
      <c r="A325" s="588"/>
      <c r="B325" s="588"/>
      <c r="C325" s="588"/>
      <c r="D325" s="589"/>
      <c r="E325" s="588"/>
      <c r="F325" s="588"/>
      <c r="G325" s="590"/>
      <c r="H325" s="588"/>
      <c r="I325" s="591"/>
      <c r="J325" s="591"/>
      <c r="K325" s="591"/>
      <c r="L325" s="591"/>
      <c r="M325" s="588"/>
      <c r="N325" s="589"/>
      <c r="O325" s="589"/>
    </row>
    <row r="326" spans="1:15" ht="15.75" x14ac:dyDescent="0.25">
      <c r="A326" s="588"/>
      <c r="B326" s="588"/>
      <c r="C326" s="588"/>
      <c r="D326" s="589"/>
      <c r="E326" s="588"/>
      <c r="F326" s="588"/>
      <c r="G326" s="590"/>
      <c r="H326" s="588"/>
      <c r="I326" s="591"/>
      <c r="J326" s="591"/>
      <c r="K326" s="591"/>
      <c r="L326" s="591"/>
      <c r="M326" s="588"/>
      <c r="N326" s="589"/>
      <c r="O326" s="589"/>
    </row>
    <row r="327" spans="1:15" ht="15.75" x14ac:dyDescent="0.25">
      <c r="A327" s="588"/>
      <c r="B327" s="588"/>
      <c r="C327" s="588"/>
      <c r="D327" s="589"/>
      <c r="E327" s="588"/>
      <c r="F327" s="588"/>
      <c r="G327" s="590"/>
      <c r="H327" s="588"/>
      <c r="I327" s="591"/>
      <c r="J327" s="591"/>
      <c r="K327" s="591"/>
      <c r="L327" s="591"/>
      <c r="M327" s="588"/>
      <c r="N327" s="589"/>
      <c r="O327" s="589"/>
    </row>
    <row r="328" spans="1:15" ht="15.75" x14ac:dyDescent="0.25">
      <c r="A328" s="588"/>
      <c r="B328" s="588"/>
      <c r="C328" s="588"/>
      <c r="D328" s="589"/>
      <c r="E328" s="588"/>
      <c r="F328" s="588"/>
      <c r="G328" s="590"/>
      <c r="H328" s="588"/>
      <c r="I328" s="591"/>
      <c r="J328" s="591"/>
      <c r="K328" s="591"/>
      <c r="L328" s="591"/>
      <c r="M328" s="588"/>
      <c r="N328" s="589"/>
      <c r="O328" s="589"/>
    </row>
    <row r="329" spans="1:15" ht="15.75" x14ac:dyDescent="0.25">
      <c r="A329" s="588"/>
      <c r="B329" s="588"/>
      <c r="C329" s="588"/>
      <c r="D329" s="589"/>
      <c r="E329" s="588"/>
      <c r="F329" s="588"/>
      <c r="G329" s="590"/>
      <c r="H329" s="588"/>
      <c r="I329" s="591"/>
      <c r="J329" s="591"/>
      <c r="K329" s="591"/>
      <c r="L329" s="591"/>
      <c r="M329" s="588"/>
      <c r="N329" s="589"/>
      <c r="O329" s="589"/>
    </row>
    <row r="330" spans="1:15" ht="15.75" x14ac:dyDescent="0.25">
      <c r="A330" s="588"/>
      <c r="B330" s="588"/>
      <c r="C330" s="588"/>
      <c r="D330" s="589"/>
      <c r="E330" s="588"/>
      <c r="F330" s="588"/>
      <c r="G330" s="590"/>
      <c r="H330" s="588"/>
      <c r="I330" s="591"/>
      <c r="J330" s="591"/>
      <c r="K330" s="591"/>
      <c r="L330" s="591"/>
      <c r="M330" s="588"/>
      <c r="N330" s="589"/>
      <c r="O330" s="589"/>
    </row>
    <row r="331" spans="1:15" ht="15.75" x14ac:dyDescent="0.25">
      <c r="A331" s="588"/>
      <c r="B331" s="588"/>
      <c r="C331" s="588"/>
      <c r="D331" s="589"/>
      <c r="E331" s="588"/>
      <c r="F331" s="588"/>
      <c r="G331" s="590"/>
      <c r="H331" s="588"/>
      <c r="I331" s="591"/>
      <c r="J331" s="591"/>
      <c r="K331" s="591"/>
      <c r="L331" s="591"/>
      <c r="M331" s="588"/>
      <c r="N331" s="589"/>
      <c r="O331" s="589"/>
    </row>
    <row r="332" spans="1:15" ht="15.75" x14ac:dyDescent="0.25">
      <c r="A332" s="588"/>
      <c r="B332" s="588"/>
      <c r="C332" s="588"/>
      <c r="D332" s="589"/>
      <c r="E332" s="588"/>
      <c r="F332" s="588"/>
      <c r="G332" s="590"/>
      <c r="H332" s="588"/>
      <c r="I332" s="591"/>
      <c r="J332" s="591"/>
      <c r="K332" s="591"/>
      <c r="L332" s="591"/>
      <c r="M332" s="588"/>
      <c r="N332" s="589"/>
      <c r="O332" s="589"/>
    </row>
    <row r="333" spans="1:15" ht="15.75" x14ac:dyDescent="0.25">
      <c r="A333" s="588"/>
      <c r="B333" s="588"/>
      <c r="C333" s="588"/>
      <c r="D333" s="589"/>
      <c r="E333" s="588"/>
      <c r="F333" s="588"/>
      <c r="G333" s="590"/>
      <c r="H333" s="588"/>
      <c r="I333" s="591"/>
      <c r="J333" s="591"/>
      <c r="K333" s="591"/>
      <c r="L333" s="591"/>
      <c r="M333" s="588"/>
      <c r="N333" s="589"/>
      <c r="O333" s="589"/>
    </row>
    <row r="334" spans="1:15" ht="15.75" x14ac:dyDescent="0.25">
      <c r="A334" s="588"/>
      <c r="B334" s="588"/>
      <c r="C334" s="588"/>
      <c r="D334" s="589"/>
      <c r="E334" s="588"/>
      <c r="F334" s="588"/>
      <c r="G334" s="590"/>
      <c r="H334" s="588"/>
      <c r="I334" s="591"/>
      <c r="J334" s="591"/>
      <c r="K334" s="591"/>
      <c r="L334" s="591"/>
      <c r="M334" s="588"/>
      <c r="N334" s="589"/>
      <c r="O334" s="589"/>
    </row>
    <row r="335" spans="1:15" ht="15.75" x14ac:dyDescent="0.25">
      <c r="A335" s="588"/>
      <c r="B335" s="588"/>
      <c r="C335" s="588"/>
      <c r="D335" s="589"/>
      <c r="E335" s="588"/>
      <c r="F335" s="588"/>
      <c r="G335" s="590"/>
      <c r="H335" s="588"/>
      <c r="I335" s="591"/>
      <c r="J335" s="591"/>
      <c r="K335" s="591"/>
      <c r="L335" s="591"/>
      <c r="M335" s="588"/>
      <c r="N335" s="589"/>
      <c r="O335" s="589"/>
    </row>
    <row r="336" spans="1:15" ht="15.75" x14ac:dyDescent="0.25">
      <c r="A336" s="588"/>
      <c r="B336" s="588"/>
      <c r="C336" s="588"/>
      <c r="D336" s="589"/>
      <c r="E336" s="588"/>
      <c r="F336" s="588"/>
      <c r="G336" s="590"/>
      <c r="H336" s="588"/>
      <c r="I336" s="591"/>
      <c r="J336" s="591"/>
      <c r="K336" s="591"/>
      <c r="L336" s="591"/>
      <c r="M336" s="588"/>
      <c r="N336" s="589"/>
      <c r="O336" s="589"/>
    </row>
    <row r="337" spans="1:15" ht="15.75" x14ac:dyDescent="0.25">
      <c r="A337" s="588"/>
      <c r="B337" s="588"/>
      <c r="C337" s="588"/>
      <c r="D337" s="589"/>
      <c r="E337" s="588"/>
      <c r="F337" s="588"/>
      <c r="G337" s="590"/>
      <c r="H337" s="588"/>
      <c r="I337" s="591"/>
      <c r="J337" s="591"/>
      <c r="K337" s="591"/>
      <c r="L337" s="591"/>
      <c r="M337" s="588"/>
      <c r="N337" s="589"/>
      <c r="O337" s="589"/>
    </row>
    <row r="338" spans="1:15" ht="15.75" x14ac:dyDescent="0.25">
      <c r="A338" s="588"/>
      <c r="B338" s="588"/>
      <c r="C338" s="588"/>
      <c r="D338" s="589"/>
      <c r="E338" s="588"/>
      <c r="F338" s="588"/>
      <c r="G338" s="590"/>
      <c r="H338" s="588"/>
      <c r="I338" s="591"/>
      <c r="J338" s="591"/>
      <c r="K338" s="591"/>
      <c r="L338" s="591"/>
      <c r="M338" s="588"/>
      <c r="N338" s="589"/>
      <c r="O338" s="589"/>
    </row>
    <row r="339" spans="1:15" ht="15.75" x14ac:dyDescent="0.25">
      <c r="A339" s="588"/>
      <c r="B339" s="588"/>
      <c r="C339" s="588"/>
      <c r="D339" s="589"/>
      <c r="E339" s="588"/>
      <c r="F339" s="588"/>
      <c r="G339" s="590"/>
      <c r="H339" s="588"/>
      <c r="I339" s="591"/>
      <c r="J339" s="591"/>
      <c r="K339" s="591"/>
      <c r="L339" s="591"/>
      <c r="M339" s="588"/>
      <c r="N339" s="589"/>
      <c r="O339" s="589"/>
    </row>
    <row r="340" spans="1:15" ht="15.75" x14ac:dyDescent="0.25">
      <c r="A340" s="588"/>
      <c r="B340" s="588"/>
      <c r="C340" s="588"/>
      <c r="D340" s="589"/>
      <c r="E340" s="588"/>
      <c r="F340" s="588"/>
      <c r="G340" s="590"/>
      <c r="H340" s="588"/>
      <c r="I340" s="591"/>
      <c r="J340" s="591"/>
      <c r="K340" s="591"/>
      <c r="L340" s="591"/>
      <c r="M340" s="588"/>
      <c r="N340" s="589"/>
      <c r="O340" s="589"/>
    </row>
    <row r="341" spans="1:15" ht="15.75" x14ac:dyDescent="0.25">
      <c r="A341" s="588"/>
      <c r="B341" s="588"/>
      <c r="C341" s="588"/>
      <c r="D341" s="589"/>
      <c r="E341" s="588"/>
      <c r="F341" s="588"/>
      <c r="G341" s="590"/>
      <c r="H341" s="588"/>
      <c r="I341" s="591"/>
      <c r="J341" s="591"/>
      <c r="K341" s="591"/>
      <c r="L341" s="591"/>
      <c r="M341" s="588"/>
      <c r="N341" s="589"/>
      <c r="O341" s="589"/>
    </row>
    <row r="342" spans="1:15" ht="15.75" x14ac:dyDescent="0.25">
      <c r="A342" s="588"/>
      <c r="B342" s="588"/>
      <c r="C342" s="588"/>
      <c r="D342" s="589"/>
      <c r="E342" s="588"/>
      <c r="F342" s="588"/>
      <c r="G342" s="590"/>
      <c r="H342" s="588"/>
      <c r="I342" s="591"/>
      <c r="J342" s="591"/>
      <c r="K342" s="591"/>
      <c r="L342" s="591"/>
      <c r="M342" s="588"/>
      <c r="N342" s="589"/>
      <c r="O342" s="589"/>
    </row>
    <row r="343" spans="1:15" ht="15.75" x14ac:dyDescent="0.25">
      <c r="A343" s="588"/>
      <c r="B343" s="588"/>
      <c r="C343" s="588"/>
      <c r="D343" s="589"/>
      <c r="E343" s="588"/>
      <c r="F343" s="588"/>
      <c r="G343" s="590"/>
      <c r="H343" s="588"/>
      <c r="I343" s="591"/>
      <c r="J343" s="591"/>
      <c r="K343" s="591"/>
      <c r="L343" s="591"/>
      <c r="M343" s="588"/>
      <c r="N343" s="589"/>
      <c r="O343" s="589"/>
    </row>
    <row r="344" spans="1:15" ht="15.75" x14ac:dyDescent="0.25">
      <c r="A344" s="588"/>
      <c r="B344" s="588"/>
      <c r="C344" s="588"/>
      <c r="D344" s="589"/>
      <c r="E344" s="588"/>
      <c r="F344" s="588"/>
      <c r="G344" s="590"/>
      <c r="H344" s="588"/>
      <c r="I344" s="591"/>
      <c r="J344" s="591"/>
      <c r="K344" s="591"/>
      <c r="L344" s="591"/>
      <c r="M344" s="588"/>
      <c r="N344" s="589"/>
      <c r="O344" s="589"/>
    </row>
    <row r="345" spans="1:15" ht="15.75" x14ac:dyDescent="0.25">
      <c r="A345" s="588"/>
      <c r="B345" s="588"/>
      <c r="C345" s="588"/>
      <c r="D345" s="589"/>
      <c r="E345" s="588"/>
      <c r="F345" s="588"/>
      <c r="G345" s="590"/>
      <c r="H345" s="588"/>
      <c r="I345" s="591"/>
      <c r="J345" s="591"/>
      <c r="K345" s="591"/>
      <c r="L345" s="591"/>
      <c r="M345" s="588"/>
      <c r="N345" s="589"/>
      <c r="O345" s="589"/>
    </row>
    <row r="346" spans="1:15" ht="15.75" x14ac:dyDescent="0.25">
      <c r="A346" s="588"/>
      <c r="B346" s="588"/>
      <c r="C346" s="588"/>
      <c r="D346" s="589"/>
      <c r="E346" s="588"/>
      <c r="F346" s="588"/>
      <c r="G346" s="590"/>
      <c r="H346" s="588"/>
      <c r="I346" s="591"/>
      <c r="J346" s="591"/>
      <c r="K346" s="591"/>
      <c r="L346" s="591"/>
      <c r="M346" s="588"/>
      <c r="N346" s="589"/>
      <c r="O346" s="589"/>
    </row>
    <row r="347" spans="1:15" ht="15.75" x14ac:dyDescent="0.25">
      <c r="A347" s="588"/>
      <c r="B347" s="588"/>
      <c r="C347" s="588"/>
      <c r="D347" s="589"/>
      <c r="E347" s="588"/>
      <c r="F347" s="588"/>
      <c r="G347" s="590"/>
      <c r="H347" s="588"/>
      <c r="I347" s="591"/>
      <c r="J347" s="591"/>
      <c r="K347" s="591"/>
      <c r="L347" s="591"/>
      <c r="M347" s="588"/>
      <c r="N347" s="589"/>
      <c r="O347" s="589"/>
    </row>
    <row r="348" spans="1:15" ht="15.75" x14ac:dyDescent="0.25">
      <c r="A348" s="588"/>
      <c r="B348" s="588"/>
      <c r="C348" s="588"/>
      <c r="D348" s="589"/>
      <c r="E348" s="588"/>
      <c r="F348" s="588"/>
      <c r="G348" s="590"/>
      <c r="H348" s="588"/>
      <c r="I348" s="591"/>
      <c r="J348" s="591"/>
      <c r="K348" s="591"/>
      <c r="L348" s="591"/>
      <c r="M348" s="588"/>
      <c r="N348" s="589"/>
      <c r="O348" s="589"/>
    </row>
    <row r="349" spans="1:15" ht="15.75" x14ac:dyDescent="0.25">
      <c r="A349" s="588"/>
      <c r="B349" s="588"/>
      <c r="C349" s="588"/>
      <c r="D349" s="589"/>
      <c r="E349" s="588"/>
      <c r="F349" s="588"/>
      <c r="G349" s="590"/>
      <c r="H349" s="588"/>
      <c r="I349" s="591"/>
      <c r="J349" s="591"/>
      <c r="K349" s="591"/>
      <c r="L349" s="591"/>
      <c r="M349" s="588"/>
      <c r="N349" s="589"/>
      <c r="O349" s="589"/>
    </row>
    <row r="350" spans="1:15" ht="15.75" x14ac:dyDescent="0.25">
      <c r="A350" s="588"/>
      <c r="B350" s="588"/>
      <c r="C350" s="588"/>
      <c r="D350" s="589"/>
      <c r="E350" s="588"/>
      <c r="F350" s="588"/>
      <c r="G350" s="590"/>
      <c r="H350" s="588"/>
      <c r="I350" s="591"/>
      <c r="J350" s="591"/>
      <c r="K350" s="591"/>
      <c r="L350" s="591"/>
      <c r="M350" s="588"/>
      <c r="N350" s="589"/>
      <c r="O350" s="589"/>
    </row>
    <row r="351" spans="1:15" ht="15.75" x14ac:dyDescent="0.25">
      <c r="A351" s="588"/>
      <c r="B351" s="588"/>
      <c r="C351" s="588"/>
      <c r="D351" s="589"/>
      <c r="E351" s="588"/>
      <c r="F351" s="588"/>
      <c r="G351" s="590"/>
      <c r="H351" s="588"/>
      <c r="I351" s="591"/>
      <c r="J351" s="591"/>
      <c r="K351" s="591"/>
      <c r="L351" s="591"/>
      <c r="M351" s="588"/>
      <c r="N351" s="589"/>
      <c r="O351" s="589"/>
    </row>
    <row r="352" spans="1:15" ht="15.75" x14ac:dyDescent="0.25">
      <c r="A352" s="588"/>
      <c r="B352" s="588"/>
      <c r="C352" s="588"/>
      <c r="D352" s="589"/>
      <c r="E352" s="588"/>
      <c r="F352" s="588"/>
      <c r="G352" s="590"/>
      <c r="H352" s="588"/>
      <c r="I352" s="591"/>
      <c r="J352" s="591"/>
      <c r="K352" s="591"/>
      <c r="L352" s="591"/>
      <c r="M352" s="588"/>
      <c r="N352" s="589"/>
      <c r="O352" s="589"/>
    </row>
    <row r="353" spans="1:15" ht="15.75" x14ac:dyDescent="0.25">
      <c r="A353" s="588"/>
      <c r="B353" s="588"/>
      <c r="C353" s="588"/>
      <c r="D353" s="589"/>
      <c r="E353" s="588"/>
      <c r="F353" s="588"/>
      <c r="G353" s="590"/>
      <c r="H353" s="588"/>
      <c r="I353" s="591"/>
      <c r="J353" s="591"/>
      <c r="K353" s="591"/>
      <c r="L353" s="591"/>
      <c r="M353" s="588"/>
      <c r="N353" s="589"/>
      <c r="O353" s="589"/>
    </row>
    <row r="354" spans="1:15" ht="15.75" x14ac:dyDescent="0.25">
      <c r="A354" s="588"/>
      <c r="B354" s="588"/>
      <c r="C354" s="588"/>
      <c r="D354" s="589"/>
      <c r="E354" s="588"/>
      <c r="F354" s="588"/>
      <c r="G354" s="590"/>
      <c r="H354" s="588"/>
      <c r="I354" s="591"/>
      <c r="J354" s="591"/>
      <c r="K354" s="591"/>
      <c r="L354" s="591"/>
      <c r="M354" s="588"/>
      <c r="N354" s="589"/>
      <c r="O354" s="589"/>
    </row>
    <row r="355" spans="1:15" ht="15.75" x14ac:dyDescent="0.25">
      <c r="A355" s="588"/>
      <c r="B355" s="588"/>
      <c r="C355" s="588"/>
      <c r="D355" s="589"/>
      <c r="E355" s="588"/>
      <c r="F355" s="588"/>
      <c r="G355" s="590"/>
      <c r="H355" s="588"/>
      <c r="I355" s="591"/>
      <c r="J355" s="591"/>
      <c r="K355" s="591"/>
      <c r="L355" s="591"/>
      <c r="M355" s="588"/>
      <c r="N355" s="589"/>
      <c r="O355" s="589"/>
    </row>
    <row r="356" spans="1:15" ht="15.75" x14ac:dyDescent="0.25">
      <c r="A356" s="588"/>
      <c r="B356" s="588"/>
      <c r="C356" s="588"/>
      <c r="D356" s="589"/>
      <c r="E356" s="588"/>
      <c r="F356" s="588"/>
      <c r="G356" s="590"/>
      <c r="H356" s="588"/>
      <c r="I356" s="591"/>
      <c r="J356" s="591"/>
      <c r="K356" s="591"/>
      <c r="L356" s="591"/>
      <c r="M356" s="588"/>
      <c r="N356" s="589"/>
      <c r="O356" s="589"/>
    </row>
    <row r="357" spans="1:15" ht="15.75" x14ac:dyDescent="0.25">
      <c r="A357" s="588"/>
      <c r="B357" s="588"/>
      <c r="C357" s="588"/>
      <c r="D357" s="589"/>
      <c r="E357" s="588"/>
      <c r="F357" s="588"/>
      <c r="G357" s="590"/>
      <c r="H357" s="588"/>
      <c r="I357" s="591"/>
      <c r="J357" s="591"/>
      <c r="K357" s="591"/>
      <c r="L357" s="591"/>
      <c r="M357" s="588"/>
      <c r="N357" s="589"/>
      <c r="O357" s="589"/>
    </row>
    <row r="358" spans="1:15" ht="15.75" x14ac:dyDescent="0.25">
      <c r="A358" s="588"/>
      <c r="B358" s="588"/>
      <c r="C358" s="588"/>
      <c r="D358" s="589"/>
      <c r="E358" s="588"/>
      <c r="F358" s="588"/>
      <c r="G358" s="590"/>
      <c r="H358" s="588"/>
      <c r="I358" s="591"/>
      <c r="J358" s="591"/>
      <c r="K358" s="591"/>
      <c r="L358" s="591"/>
      <c r="M358" s="588"/>
      <c r="N358" s="589"/>
      <c r="O358" s="589"/>
    </row>
    <row r="359" spans="1:15" ht="15.75" x14ac:dyDescent="0.25">
      <c r="A359" s="588"/>
      <c r="B359" s="588"/>
      <c r="C359" s="588"/>
      <c r="D359" s="589"/>
      <c r="E359" s="588"/>
      <c r="F359" s="588"/>
      <c r="G359" s="590"/>
      <c r="H359" s="588"/>
      <c r="I359" s="591"/>
      <c r="J359" s="591"/>
      <c r="K359" s="591"/>
      <c r="L359" s="591"/>
      <c r="M359" s="588"/>
      <c r="N359" s="589"/>
      <c r="O359" s="589"/>
    </row>
    <row r="360" spans="1:15" ht="15.75" x14ac:dyDescent="0.25">
      <c r="A360" s="588"/>
      <c r="B360" s="588"/>
      <c r="C360" s="588"/>
      <c r="D360" s="589"/>
      <c r="E360" s="588"/>
      <c r="F360" s="588"/>
      <c r="G360" s="590"/>
      <c r="H360" s="588"/>
      <c r="I360" s="591"/>
      <c r="J360" s="591"/>
      <c r="K360" s="591"/>
      <c r="L360" s="591"/>
      <c r="M360" s="588"/>
      <c r="N360" s="589"/>
      <c r="O360" s="589"/>
    </row>
    <row r="361" spans="1:15" ht="15.75" x14ac:dyDescent="0.25">
      <c r="A361" s="588"/>
      <c r="B361" s="588"/>
      <c r="C361" s="588"/>
      <c r="D361" s="589"/>
      <c r="E361" s="588"/>
      <c r="F361" s="588"/>
      <c r="G361" s="590"/>
      <c r="H361" s="588"/>
      <c r="I361" s="591"/>
      <c r="J361" s="591"/>
      <c r="K361" s="591"/>
      <c r="L361" s="591"/>
      <c r="M361" s="588"/>
      <c r="N361" s="589"/>
      <c r="O361" s="589"/>
    </row>
    <row r="362" spans="1:15" ht="15.75" x14ac:dyDescent="0.25">
      <c r="A362" s="588"/>
      <c r="B362" s="588"/>
      <c r="C362" s="588"/>
      <c r="D362" s="589"/>
      <c r="E362" s="588"/>
      <c r="F362" s="588"/>
      <c r="G362" s="590"/>
      <c r="H362" s="588"/>
      <c r="I362" s="591"/>
      <c r="J362" s="591"/>
      <c r="K362" s="591"/>
      <c r="L362" s="591"/>
      <c r="M362" s="588"/>
      <c r="N362" s="589"/>
      <c r="O362" s="589"/>
    </row>
    <row r="363" spans="1:15" ht="15.75" x14ac:dyDescent="0.25">
      <c r="A363" s="588"/>
      <c r="B363" s="588"/>
      <c r="C363" s="588"/>
      <c r="D363" s="589"/>
      <c r="E363" s="588"/>
      <c r="F363" s="588"/>
      <c r="G363" s="590"/>
      <c r="H363" s="588"/>
      <c r="I363" s="591"/>
      <c r="J363" s="591"/>
      <c r="K363" s="591"/>
      <c r="L363" s="591"/>
      <c r="M363" s="588"/>
      <c r="N363" s="589"/>
      <c r="O363" s="589"/>
    </row>
    <row r="364" spans="1:15" ht="15.75" x14ac:dyDescent="0.25">
      <c r="A364" s="588"/>
      <c r="B364" s="588"/>
      <c r="C364" s="588"/>
      <c r="D364" s="589"/>
      <c r="E364" s="588"/>
      <c r="F364" s="588"/>
      <c r="G364" s="590"/>
      <c r="H364" s="588"/>
      <c r="I364" s="591"/>
      <c r="J364" s="591"/>
      <c r="K364" s="591"/>
      <c r="L364" s="591"/>
      <c r="M364" s="588"/>
      <c r="N364" s="589"/>
      <c r="O364" s="589"/>
    </row>
    <row r="365" spans="1:15" ht="15.75" x14ac:dyDescent="0.25">
      <c r="A365" s="588"/>
      <c r="B365" s="588"/>
      <c r="C365" s="588"/>
      <c r="D365" s="589"/>
      <c r="E365" s="588"/>
      <c r="F365" s="588"/>
      <c r="G365" s="590"/>
      <c r="H365" s="588"/>
      <c r="I365" s="591"/>
      <c r="J365" s="591"/>
      <c r="K365" s="591"/>
      <c r="L365" s="591"/>
      <c r="M365" s="588"/>
      <c r="N365" s="589"/>
      <c r="O365" s="589"/>
    </row>
    <row r="366" spans="1:15" ht="15.75" x14ac:dyDescent="0.25">
      <c r="A366" s="588"/>
      <c r="B366" s="588"/>
      <c r="C366" s="588"/>
      <c r="D366" s="589"/>
      <c r="E366" s="588"/>
      <c r="F366" s="588"/>
      <c r="G366" s="590"/>
      <c r="H366" s="588"/>
      <c r="I366" s="591"/>
      <c r="J366" s="591"/>
      <c r="K366" s="591"/>
      <c r="L366" s="591"/>
      <c r="M366" s="588"/>
      <c r="N366" s="589"/>
      <c r="O366" s="589"/>
    </row>
    <row r="367" spans="1:15" ht="15.75" x14ac:dyDescent="0.25">
      <c r="A367" s="588"/>
      <c r="B367" s="588"/>
      <c r="C367" s="588"/>
      <c r="D367" s="589"/>
      <c r="E367" s="588"/>
      <c r="F367" s="588"/>
      <c r="G367" s="590"/>
      <c r="H367" s="588"/>
      <c r="I367" s="591"/>
      <c r="J367" s="591"/>
      <c r="K367" s="591"/>
      <c r="L367" s="591"/>
      <c r="M367" s="588"/>
      <c r="N367" s="589"/>
      <c r="O367" s="589"/>
    </row>
    <row r="368" spans="1:15" ht="15.75" x14ac:dyDescent="0.25">
      <c r="A368" s="588"/>
      <c r="B368" s="588"/>
      <c r="C368" s="588"/>
      <c r="D368" s="589"/>
      <c r="E368" s="588"/>
      <c r="F368" s="588"/>
      <c r="G368" s="590"/>
      <c r="H368" s="588"/>
      <c r="I368" s="591"/>
      <c r="J368" s="591"/>
      <c r="K368" s="591"/>
      <c r="L368" s="591"/>
      <c r="M368" s="588"/>
      <c r="N368" s="589"/>
      <c r="O368" s="589"/>
    </row>
    <row r="369" spans="1:15" ht="15.75" x14ac:dyDescent="0.25">
      <c r="A369" s="588"/>
      <c r="B369" s="588"/>
      <c r="C369" s="588"/>
      <c r="D369" s="589"/>
      <c r="E369" s="588"/>
      <c r="F369" s="588"/>
      <c r="G369" s="590"/>
      <c r="H369" s="588"/>
      <c r="I369" s="591"/>
      <c r="J369" s="591"/>
      <c r="K369" s="591"/>
      <c r="L369" s="591"/>
      <c r="M369" s="588"/>
      <c r="N369" s="589"/>
      <c r="O369" s="589"/>
    </row>
    <row r="370" spans="1:15" ht="15.75" x14ac:dyDescent="0.25">
      <c r="A370" s="588"/>
      <c r="B370" s="588"/>
      <c r="C370" s="588"/>
      <c r="D370" s="589"/>
      <c r="E370" s="588"/>
      <c r="F370" s="588"/>
      <c r="G370" s="590"/>
      <c r="H370" s="588"/>
      <c r="I370" s="591"/>
      <c r="J370" s="591"/>
      <c r="K370" s="591"/>
      <c r="L370" s="591"/>
      <c r="M370" s="588"/>
      <c r="N370" s="589"/>
      <c r="O370" s="589"/>
    </row>
    <row r="371" spans="1:15" ht="15.75" x14ac:dyDescent="0.25">
      <c r="A371" s="588"/>
      <c r="B371" s="588"/>
      <c r="C371" s="588"/>
      <c r="D371" s="589"/>
      <c r="E371" s="588"/>
      <c r="F371" s="588"/>
      <c r="G371" s="590"/>
      <c r="H371" s="588"/>
      <c r="I371" s="591"/>
      <c r="J371" s="591"/>
      <c r="K371" s="591"/>
      <c r="L371" s="591"/>
      <c r="M371" s="588"/>
      <c r="N371" s="589"/>
      <c r="O371" s="589"/>
    </row>
    <row r="372" spans="1:15" ht="15.75" x14ac:dyDescent="0.25">
      <c r="A372" s="588"/>
      <c r="B372" s="588"/>
      <c r="C372" s="588"/>
      <c r="D372" s="589"/>
      <c r="E372" s="588"/>
      <c r="F372" s="588"/>
      <c r="G372" s="590"/>
      <c r="H372" s="588"/>
      <c r="I372" s="591"/>
      <c r="J372" s="591"/>
      <c r="K372" s="591"/>
      <c r="L372" s="591"/>
      <c r="M372" s="588"/>
      <c r="N372" s="589"/>
      <c r="O372" s="589"/>
    </row>
    <row r="373" spans="1:15" ht="15.75" x14ac:dyDescent="0.25">
      <c r="A373" s="588"/>
      <c r="B373" s="588"/>
      <c r="C373" s="588"/>
      <c r="D373" s="589"/>
      <c r="E373" s="588"/>
      <c r="F373" s="588"/>
      <c r="G373" s="590"/>
      <c r="H373" s="588"/>
      <c r="I373" s="591"/>
      <c r="J373" s="591"/>
      <c r="K373" s="591"/>
      <c r="L373" s="591"/>
      <c r="M373" s="588"/>
      <c r="N373" s="589"/>
      <c r="O373" s="589"/>
    </row>
    <row r="374" spans="1:15" ht="15.75" x14ac:dyDescent="0.25">
      <c r="A374" s="588"/>
      <c r="B374" s="588"/>
      <c r="C374" s="588"/>
      <c r="D374" s="589"/>
      <c r="E374" s="588"/>
      <c r="F374" s="588"/>
      <c r="G374" s="590"/>
      <c r="H374" s="588"/>
      <c r="I374" s="591"/>
      <c r="J374" s="591"/>
      <c r="K374" s="591"/>
      <c r="L374" s="591"/>
      <c r="M374" s="588"/>
      <c r="N374" s="589"/>
      <c r="O374" s="589"/>
    </row>
    <row r="375" spans="1:15" ht="15.75" x14ac:dyDescent="0.25">
      <c r="A375" s="588"/>
      <c r="B375" s="588"/>
      <c r="C375" s="588"/>
      <c r="D375" s="589"/>
      <c r="E375" s="588"/>
      <c r="F375" s="588"/>
      <c r="G375" s="590"/>
      <c r="H375" s="588"/>
      <c r="I375" s="591"/>
      <c r="J375" s="591"/>
      <c r="K375" s="591"/>
      <c r="L375" s="591"/>
      <c r="M375" s="588"/>
      <c r="N375" s="589"/>
      <c r="O375" s="589"/>
    </row>
    <row r="376" spans="1:15" ht="15.75" x14ac:dyDescent="0.25">
      <c r="A376" s="588"/>
      <c r="B376" s="588"/>
      <c r="C376" s="588"/>
      <c r="D376" s="589"/>
      <c r="E376" s="588"/>
      <c r="F376" s="588"/>
      <c r="G376" s="590"/>
      <c r="H376" s="588"/>
      <c r="I376" s="591"/>
      <c r="J376" s="591"/>
      <c r="K376" s="591"/>
      <c r="L376" s="591"/>
      <c r="M376" s="588"/>
      <c r="N376" s="589"/>
      <c r="O376" s="589"/>
    </row>
    <row r="377" spans="1:15" ht="15.75" x14ac:dyDescent="0.25">
      <c r="A377" s="588"/>
      <c r="B377" s="588"/>
      <c r="C377" s="588"/>
      <c r="D377" s="589"/>
      <c r="E377" s="588"/>
      <c r="F377" s="588"/>
      <c r="G377" s="590"/>
      <c r="H377" s="588"/>
      <c r="I377" s="591"/>
      <c r="J377" s="591"/>
      <c r="K377" s="591"/>
      <c r="L377" s="591"/>
      <c r="M377" s="588"/>
      <c r="N377" s="589"/>
      <c r="O377" s="589"/>
    </row>
    <row r="378" spans="1:15" ht="15.75" x14ac:dyDescent="0.25">
      <c r="A378" s="588"/>
      <c r="B378" s="588"/>
      <c r="C378" s="588"/>
      <c r="D378" s="589"/>
      <c r="E378" s="588"/>
      <c r="F378" s="588"/>
      <c r="G378" s="590"/>
      <c r="H378" s="588"/>
      <c r="I378" s="591"/>
      <c r="J378" s="591"/>
      <c r="K378" s="591"/>
      <c r="L378" s="591"/>
      <c r="M378" s="588"/>
      <c r="N378" s="589"/>
      <c r="O378" s="589"/>
    </row>
    <row r="379" spans="1:15" ht="15.75" x14ac:dyDescent="0.25">
      <c r="A379" s="588"/>
      <c r="B379" s="588"/>
      <c r="C379" s="588"/>
      <c r="D379" s="589"/>
      <c r="E379" s="588"/>
      <c r="F379" s="588"/>
      <c r="G379" s="590"/>
      <c r="H379" s="588"/>
      <c r="I379" s="591"/>
      <c r="J379" s="591"/>
      <c r="K379" s="591"/>
      <c r="L379" s="591"/>
      <c r="M379" s="588"/>
      <c r="N379" s="589"/>
      <c r="O379" s="589"/>
    </row>
    <row r="380" spans="1:15" ht="15.75" x14ac:dyDescent="0.25">
      <c r="A380" s="588"/>
      <c r="B380" s="588"/>
      <c r="C380" s="588"/>
      <c r="D380" s="589"/>
      <c r="E380" s="588"/>
      <c r="F380" s="588"/>
      <c r="G380" s="590"/>
      <c r="H380" s="588"/>
      <c r="I380" s="591"/>
      <c r="J380" s="591"/>
      <c r="K380" s="591"/>
      <c r="L380" s="591"/>
      <c r="M380" s="588"/>
      <c r="N380" s="589"/>
      <c r="O380" s="589"/>
    </row>
    <row r="381" spans="1:15" ht="15.75" x14ac:dyDescent="0.25">
      <c r="A381" s="588"/>
      <c r="B381" s="588"/>
      <c r="C381" s="588"/>
      <c r="D381" s="589"/>
      <c r="E381" s="588"/>
      <c r="F381" s="588"/>
      <c r="G381" s="590"/>
      <c r="H381" s="598"/>
      <c r="I381" s="591"/>
      <c r="J381" s="591"/>
      <c r="K381" s="591"/>
      <c r="L381" s="591"/>
      <c r="M381" s="588"/>
      <c r="N381" s="589"/>
      <c r="O381" s="589"/>
    </row>
    <row r="382" spans="1:15" ht="15.75" x14ac:dyDescent="0.25">
      <c r="A382" s="588"/>
      <c r="B382" s="588"/>
      <c r="C382" s="588"/>
      <c r="D382" s="589"/>
      <c r="E382" s="588"/>
      <c r="F382" s="588"/>
      <c r="G382" s="590"/>
      <c r="H382" s="588"/>
      <c r="I382" s="591"/>
      <c r="J382" s="591"/>
      <c r="K382" s="591"/>
      <c r="L382" s="591"/>
      <c r="M382" s="588"/>
      <c r="N382" s="589"/>
      <c r="O382" s="589"/>
    </row>
    <row r="383" spans="1:15" ht="15.75" x14ac:dyDescent="0.25">
      <c r="A383" s="588"/>
      <c r="B383" s="588"/>
      <c r="C383" s="588"/>
      <c r="D383" s="589"/>
      <c r="E383" s="588"/>
      <c r="F383" s="588"/>
      <c r="G383" s="590"/>
      <c r="H383" s="588"/>
      <c r="I383" s="591"/>
      <c r="J383" s="591"/>
      <c r="K383" s="591"/>
      <c r="L383" s="591"/>
      <c r="M383" s="588"/>
      <c r="N383" s="589"/>
      <c r="O383" s="589"/>
    </row>
    <row r="384" spans="1:15" ht="15.75" x14ac:dyDescent="0.25">
      <c r="A384" s="588"/>
      <c r="B384" s="588"/>
      <c r="C384" s="588"/>
      <c r="D384" s="589"/>
      <c r="E384" s="588"/>
      <c r="F384" s="588"/>
      <c r="G384" s="590"/>
      <c r="H384" s="588"/>
      <c r="I384" s="591"/>
      <c r="J384" s="591"/>
      <c r="K384" s="591"/>
      <c r="L384" s="591"/>
      <c r="M384" s="588"/>
      <c r="N384" s="589"/>
      <c r="O384" s="589"/>
    </row>
    <row r="385" spans="1:15" ht="15.75" x14ac:dyDescent="0.25">
      <c r="A385" s="588"/>
      <c r="B385" s="588"/>
      <c r="C385" s="588"/>
      <c r="D385" s="589"/>
      <c r="E385" s="588"/>
      <c r="F385" s="588"/>
      <c r="G385" s="590"/>
      <c r="H385" s="588"/>
      <c r="I385" s="591"/>
      <c r="J385" s="591"/>
      <c r="K385" s="591"/>
      <c r="L385" s="591"/>
      <c r="M385" s="588"/>
      <c r="N385" s="589"/>
      <c r="O385" s="589"/>
    </row>
    <row r="386" spans="1:15" ht="15.75" x14ac:dyDescent="0.25">
      <c r="A386" s="588"/>
      <c r="B386" s="588"/>
      <c r="C386" s="588"/>
      <c r="D386" s="589"/>
      <c r="E386" s="588"/>
      <c r="F386" s="588"/>
      <c r="G386" s="590"/>
      <c r="H386" s="588"/>
      <c r="I386" s="591"/>
      <c r="J386" s="591"/>
      <c r="K386" s="591"/>
      <c r="L386" s="591"/>
      <c r="M386" s="588"/>
      <c r="N386" s="589"/>
      <c r="O386" s="589"/>
    </row>
    <row r="387" spans="1:15" ht="15.75" x14ac:dyDescent="0.25">
      <c r="A387" s="588"/>
      <c r="B387" s="588"/>
      <c r="C387" s="588"/>
      <c r="D387" s="589"/>
      <c r="E387" s="588"/>
      <c r="F387" s="588"/>
      <c r="G387" s="590"/>
      <c r="H387" s="588"/>
      <c r="I387" s="591"/>
      <c r="J387" s="591"/>
      <c r="K387" s="591"/>
      <c r="L387" s="591"/>
      <c r="M387" s="588"/>
      <c r="N387" s="589"/>
      <c r="O387" s="589"/>
    </row>
    <row r="388" spans="1:15" ht="15.75" x14ac:dyDescent="0.25">
      <c r="A388" s="588"/>
      <c r="B388" s="588"/>
      <c r="C388" s="588"/>
      <c r="D388" s="589"/>
      <c r="E388" s="588"/>
      <c r="F388" s="588"/>
      <c r="G388" s="590"/>
      <c r="H388" s="588"/>
      <c r="I388" s="591"/>
      <c r="J388" s="591"/>
      <c r="K388" s="591"/>
      <c r="L388" s="591"/>
      <c r="M388" s="588"/>
      <c r="N388" s="589"/>
      <c r="O388" s="589"/>
    </row>
    <row r="389" spans="1:15" ht="15.75" x14ac:dyDescent="0.25">
      <c r="A389" s="588"/>
      <c r="B389" s="588"/>
      <c r="C389" s="588"/>
      <c r="D389" s="589"/>
      <c r="E389" s="588"/>
      <c r="F389" s="588"/>
      <c r="G389" s="590"/>
      <c r="H389" s="588"/>
      <c r="I389" s="591"/>
      <c r="J389" s="591"/>
      <c r="K389" s="591"/>
      <c r="L389" s="591"/>
      <c r="M389" s="588"/>
      <c r="N389" s="589"/>
      <c r="O389" s="589"/>
    </row>
    <row r="390" spans="1:15" ht="15.75" x14ac:dyDescent="0.25">
      <c r="A390" s="588"/>
      <c r="B390" s="588"/>
      <c r="C390" s="588"/>
      <c r="D390" s="589"/>
      <c r="E390" s="588"/>
      <c r="F390" s="588"/>
      <c r="G390" s="590"/>
      <c r="H390" s="588"/>
      <c r="I390" s="591"/>
      <c r="J390" s="591"/>
      <c r="K390" s="591"/>
      <c r="L390" s="591"/>
      <c r="M390" s="588"/>
      <c r="N390" s="589"/>
      <c r="O390" s="589"/>
    </row>
    <row r="391" spans="1:15" ht="15.75" x14ac:dyDescent="0.25">
      <c r="A391" s="588"/>
      <c r="B391" s="588"/>
      <c r="C391" s="588"/>
      <c r="D391" s="589"/>
      <c r="E391" s="588"/>
      <c r="F391" s="588"/>
      <c r="G391" s="590"/>
      <c r="H391" s="588"/>
      <c r="I391" s="591"/>
      <c r="J391" s="591"/>
      <c r="K391" s="591"/>
      <c r="L391" s="591"/>
      <c r="M391" s="588"/>
      <c r="N391" s="589"/>
      <c r="O391" s="589"/>
    </row>
    <row r="392" spans="1:15" ht="15.75" x14ac:dyDescent="0.25">
      <c r="A392" s="588"/>
      <c r="B392" s="588"/>
      <c r="C392" s="588"/>
      <c r="D392" s="589"/>
      <c r="E392" s="588"/>
      <c r="F392" s="588"/>
      <c r="G392" s="590"/>
      <c r="H392" s="588"/>
      <c r="I392" s="591"/>
      <c r="J392" s="591"/>
      <c r="K392" s="591"/>
      <c r="L392" s="591"/>
      <c r="M392" s="588"/>
      <c r="N392" s="589"/>
      <c r="O392" s="589"/>
    </row>
    <row r="393" spans="1:15" ht="15.75" x14ac:dyDescent="0.25">
      <c r="A393" s="588"/>
      <c r="B393" s="588"/>
      <c r="C393" s="588"/>
      <c r="D393" s="589"/>
      <c r="E393" s="588"/>
      <c r="F393" s="588"/>
      <c r="G393" s="590"/>
      <c r="H393" s="588"/>
      <c r="I393" s="591"/>
      <c r="J393" s="591"/>
      <c r="K393" s="591"/>
      <c r="L393" s="591"/>
      <c r="M393" s="588"/>
      <c r="N393" s="589"/>
      <c r="O393" s="589"/>
    </row>
    <row r="394" spans="1:15" ht="15.75" x14ac:dyDescent="0.25">
      <c r="A394" s="588"/>
      <c r="B394" s="588"/>
      <c r="C394" s="588"/>
      <c r="D394" s="589"/>
      <c r="E394" s="588"/>
      <c r="F394" s="588"/>
      <c r="G394" s="590"/>
      <c r="H394" s="588"/>
      <c r="I394" s="591"/>
      <c r="J394" s="591"/>
      <c r="K394" s="591"/>
      <c r="L394" s="591"/>
      <c r="M394" s="588"/>
      <c r="N394" s="589"/>
      <c r="O394" s="589"/>
    </row>
    <row r="395" spans="1:15" ht="15.75" x14ac:dyDescent="0.25">
      <c r="A395" s="588"/>
      <c r="B395" s="588"/>
      <c r="C395" s="588"/>
      <c r="D395" s="589"/>
      <c r="E395" s="588"/>
      <c r="F395" s="588"/>
      <c r="G395" s="590"/>
      <c r="H395" s="588"/>
      <c r="I395" s="591"/>
      <c r="J395" s="591"/>
      <c r="K395" s="591"/>
      <c r="L395" s="591"/>
      <c r="M395" s="588"/>
      <c r="N395" s="589"/>
      <c r="O395" s="589"/>
    </row>
    <row r="396" spans="1:15" ht="15.75" x14ac:dyDescent="0.25">
      <c r="A396" s="588"/>
      <c r="B396" s="588"/>
      <c r="C396" s="588"/>
      <c r="D396" s="589"/>
      <c r="E396" s="588"/>
      <c r="F396" s="588"/>
      <c r="G396" s="590"/>
      <c r="H396" s="588"/>
      <c r="I396" s="591"/>
      <c r="J396" s="591"/>
      <c r="K396" s="591"/>
      <c r="L396" s="591"/>
      <c r="M396" s="588"/>
      <c r="N396" s="589"/>
      <c r="O396" s="589"/>
    </row>
    <row r="397" spans="1:15" ht="15.75" x14ac:dyDescent="0.25">
      <c r="A397" s="588"/>
      <c r="B397" s="588"/>
      <c r="C397" s="588"/>
      <c r="D397" s="589"/>
      <c r="E397" s="588"/>
      <c r="F397" s="588"/>
      <c r="G397" s="590"/>
      <c r="H397" s="588"/>
      <c r="I397" s="591"/>
      <c r="J397" s="591"/>
      <c r="K397" s="591"/>
      <c r="L397" s="591"/>
      <c r="M397" s="588"/>
      <c r="N397" s="589"/>
      <c r="O397" s="589"/>
    </row>
    <row r="398" spans="1:15" ht="15.75" x14ac:dyDescent="0.25">
      <c r="A398" s="588"/>
      <c r="B398" s="588"/>
      <c r="C398" s="588"/>
      <c r="D398" s="589"/>
      <c r="E398" s="588"/>
      <c r="F398" s="588"/>
      <c r="G398" s="590"/>
      <c r="H398" s="588"/>
      <c r="I398" s="591"/>
      <c r="J398" s="591"/>
      <c r="K398" s="591"/>
      <c r="L398" s="591"/>
      <c r="M398" s="588"/>
      <c r="N398" s="589"/>
      <c r="O398" s="589"/>
    </row>
    <row r="399" spans="1:15" ht="15.75" x14ac:dyDescent="0.25">
      <c r="A399" s="588"/>
      <c r="B399" s="588"/>
      <c r="C399" s="588"/>
      <c r="D399" s="589"/>
      <c r="E399" s="588"/>
      <c r="F399" s="588"/>
      <c r="G399" s="590"/>
      <c r="H399" s="588"/>
      <c r="I399" s="591"/>
      <c r="J399" s="591"/>
      <c r="K399" s="591"/>
      <c r="L399" s="591"/>
      <c r="M399" s="588"/>
      <c r="N399" s="589"/>
      <c r="O399" s="589"/>
    </row>
    <row r="400" spans="1:15" ht="15.75" x14ac:dyDescent="0.25">
      <c r="A400" s="588"/>
      <c r="B400" s="588"/>
      <c r="C400" s="588"/>
      <c r="D400" s="589"/>
      <c r="E400" s="588"/>
      <c r="F400" s="588"/>
      <c r="G400" s="590"/>
      <c r="H400" s="588"/>
      <c r="I400" s="591"/>
      <c r="J400" s="591"/>
      <c r="K400" s="591"/>
      <c r="L400" s="591"/>
      <c r="M400" s="588"/>
      <c r="N400" s="589"/>
      <c r="O400" s="589"/>
    </row>
    <row r="401" spans="1:15" ht="15.75" x14ac:dyDescent="0.25">
      <c r="A401" s="588"/>
      <c r="B401" s="588"/>
      <c r="C401" s="588"/>
      <c r="D401" s="589"/>
      <c r="E401" s="588"/>
      <c r="F401" s="588"/>
      <c r="G401" s="590"/>
      <c r="H401" s="588"/>
      <c r="I401" s="591"/>
      <c r="J401" s="591"/>
      <c r="K401" s="591"/>
      <c r="L401" s="591"/>
      <c r="M401" s="588"/>
      <c r="N401" s="589"/>
      <c r="O401" s="589"/>
    </row>
    <row r="402" spans="1:15" ht="15.75" x14ac:dyDescent="0.25">
      <c r="A402" s="588"/>
      <c r="B402" s="588"/>
      <c r="C402" s="588"/>
      <c r="D402" s="589"/>
      <c r="E402" s="588"/>
      <c r="F402" s="588"/>
      <c r="G402" s="590"/>
      <c r="H402" s="588"/>
      <c r="I402" s="591"/>
      <c r="J402" s="591"/>
      <c r="K402" s="591"/>
      <c r="L402" s="591"/>
      <c r="M402" s="588"/>
      <c r="N402" s="589"/>
      <c r="O402" s="589"/>
    </row>
    <row r="403" spans="1:15" ht="15.75" x14ac:dyDescent="0.25">
      <c r="A403" s="588"/>
      <c r="B403" s="588"/>
      <c r="C403" s="588"/>
      <c r="D403" s="589"/>
      <c r="E403" s="588"/>
      <c r="F403" s="588"/>
      <c r="G403" s="590"/>
      <c r="H403" s="588"/>
      <c r="I403" s="591"/>
      <c r="J403" s="591"/>
      <c r="K403" s="591"/>
      <c r="L403" s="591"/>
      <c r="M403" s="588"/>
      <c r="N403" s="589"/>
      <c r="O403" s="589"/>
    </row>
    <row r="404" spans="1:15" ht="15.75" x14ac:dyDescent="0.25">
      <c r="A404" s="588"/>
      <c r="B404" s="588"/>
      <c r="C404" s="588"/>
      <c r="D404" s="589"/>
      <c r="E404" s="588"/>
      <c r="F404" s="588"/>
      <c r="G404" s="590"/>
      <c r="H404" s="588"/>
      <c r="I404" s="591"/>
      <c r="J404" s="591"/>
      <c r="K404" s="591"/>
      <c r="L404" s="591"/>
      <c r="M404" s="588"/>
      <c r="N404" s="589"/>
      <c r="O404" s="589"/>
    </row>
    <row r="405" spans="1:15" ht="15.75" x14ac:dyDescent="0.25">
      <c r="A405" s="588"/>
      <c r="B405" s="588"/>
      <c r="C405" s="588"/>
      <c r="D405" s="589"/>
      <c r="E405" s="588"/>
      <c r="F405" s="588"/>
      <c r="G405" s="590"/>
      <c r="H405" s="588"/>
      <c r="I405" s="591"/>
      <c r="J405" s="591"/>
      <c r="K405" s="591"/>
      <c r="L405" s="591"/>
      <c r="M405" s="588"/>
      <c r="N405" s="589"/>
      <c r="O405" s="589"/>
    </row>
    <row r="406" spans="1:15" ht="15.75" x14ac:dyDescent="0.25">
      <c r="A406" s="588"/>
      <c r="B406" s="588"/>
      <c r="C406" s="588"/>
      <c r="D406" s="589"/>
      <c r="E406" s="588"/>
      <c r="F406" s="588"/>
      <c r="G406" s="590"/>
      <c r="H406" s="588"/>
      <c r="I406" s="591"/>
      <c r="J406" s="591"/>
      <c r="K406" s="591"/>
      <c r="L406" s="591"/>
      <c r="M406" s="588"/>
      <c r="N406" s="589"/>
      <c r="O406" s="589"/>
    </row>
    <row r="407" spans="1:15" ht="15.75" x14ac:dyDescent="0.25">
      <c r="A407" s="588"/>
      <c r="B407" s="588"/>
      <c r="C407" s="588"/>
      <c r="D407" s="589"/>
      <c r="E407" s="588"/>
      <c r="F407" s="588"/>
      <c r="G407" s="590"/>
      <c r="H407" s="588"/>
      <c r="I407" s="591"/>
      <c r="J407" s="591"/>
      <c r="K407" s="591"/>
      <c r="L407" s="591"/>
      <c r="M407" s="588"/>
      <c r="N407" s="589"/>
      <c r="O407" s="589"/>
    </row>
    <row r="408" spans="1:15" ht="15.75" x14ac:dyDescent="0.25">
      <c r="A408" s="588"/>
      <c r="B408" s="588"/>
      <c r="C408" s="588"/>
      <c r="D408" s="589"/>
      <c r="E408" s="588"/>
      <c r="F408" s="588"/>
      <c r="G408" s="590"/>
      <c r="H408" s="588"/>
      <c r="I408" s="591"/>
      <c r="J408" s="591"/>
      <c r="K408" s="591"/>
      <c r="L408" s="591"/>
      <c r="M408" s="588"/>
      <c r="N408" s="589"/>
      <c r="O408" s="589"/>
    </row>
    <row r="409" spans="1:15" ht="15.75" x14ac:dyDescent="0.25">
      <c r="A409" s="588"/>
      <c r="B409" s="588"/>
      <c r="C409" s="588"/>
      <c r="D409" s="589"/>
      <c r="E409" s="588"/>
      <c r="F409" s="588"/>
      <c r="G409" s="590"/>
      <c r="H409" s="588"/>
      <c r="I409" s="591"/>
      <c r="J409" s="591"/>
      <c r="K409" s="591"/>
      <c r="L409" s="591"/>
      <c r="M409" s="588"/>
      <c r="N409" s="589"/>
      <c r="O409" s="589"/>
    </row>
    <row r="410" spans="1:15" ht="15.75" x14ac:dyDescent="0.25">
      <c r="A410" s="588"/>
      <c r="B410" s="588"/>
      <c r="C410" s="588"/>
      <c r="D410" s="589"/>
      <c r="E410" s="588"/>
      <c r="F410" s="588"/>
      <c r="G410" s="590"/>
      <c r="H410" s="588"/>
      <c r="I410" s="591"/>
      <c r="J410" s="591"/>
      <c r="K410" s="591"/>
      <c r="L410" s="591"/>
      <c r="M410" s="588"/>
      <c r="N410" s="589"/>
      <c r="O410" s="589"/>
    </row>
    <row r="411" spans="1:15" ht="15.75" x14ac:dyDescent="0.25">
      <c r="A411" s="588"/>
      <c r="B411" s="588"/>
      <c r="C411" s="588"/>
      <c r="D411" s="589"/>
      <c r="E411" s="588"/>
      <c r="F411" s="588"/>
      <c r="G411" s="590"/>
      <c r="H411" s="588"/>
      <c r="I411" s="591"/>
      <c r="J411" s="591"/>
      <c r="K411" s="591"/>
      <c r="L411" s="591"/>
      <c r="M411" s="588"/>
      <c r="N411" s="589"/>
      <c r="O411" s="589"/>
    </row>
    <row r="412" spans="1:15" ht="15.75" x14ac:dyDescent="0.25">
      <c r="A412" s="588"/>
      <c r="B412" s="588"/>
      <c r="C412" s="588"/>
      <c r="D412" s="589"/>
      <c r="E412" s="588"/>
      <c r="F412" s="588"/>
      <c r="G412" s="590"/>
      <c r="H412" s="588"/>
      <c r="I412" s="591"/>
      <c r="J412" s="591"/>
      <c r="K412" s="591"/>
      <c r="L412" s="591"/>
      <c r="M412" s="588"/>
      <c r="N412" s="589"/>
      <c r="O412" s="589"/>
    </row>
    <row r="413" spans="1:15" ht="15.75" x14ac:dyDescent="0.25">
      <c r="A413" s="588"/>
      <c r="B413" s="588"/>
      <c r="C413" s="588"/>
      <c r="D413" s="589"/>
      <c r="E413" s="588"/>
      <c r="F413" s="588"/>
      <c r="G413" s="590"/>
      <c r="H413" s="588"/>
      <c r="I413" s="591"/>
      <c r="J413" s="591"/>
      <c r="K413" s="591"/>
      <c r="L413" s="591"/>
      <c r="M413" s="588"/>
      <c r="N413" s="589"/>
      <c r="O413" s="589"/>
    </row>
    <row r="414" spans="1:15" ht="15.75" x14ac:dyDescent="0.25">
      <c r="A414" s="588"/>
      <c r="B414" s="588"/>
      <c r="C414" s="588"/>
      <c r="D414" s="589"/>
      <c r="E414" s="588"/>
      <c r="F414" s="588"/>
      <c r="G414" s="590"/>
      <c r="H414" s="588"/>
      <c r="I414" s="591"/>
      <c r="J414" s="591"/>
      <c r="K414" s="591"/>
      <c r="L414" s="591"/>
      <c r="M414" s="588"/>
      <c r="N414" s="589"/>
      <c r="O414" s="589"/>
    </row>
    <row r="415" spans="1:15" ht="15.75" x14ac:dyDescent="0.25">
      <c r="A415" s="588"/>
      <c r="B415" s="588"/>
      <c r="C415" s="588"/>
      <c r="D415" s="589"/>
      <c r="E415" s="588"/>
      <c r="F415" s="588"/>
      <c r="G415" s="590"/>
      <c r="H415" s="588"/>
      <c r="I415" s="591"/>
      <c r="J415" s="591"/>
      <c r="K415" s="591"/>
      <c r="L415" s="591"/>
      <c r="M415" s="588"/>
      <c r="N415" s="589"/>
      <c r="O415" s="589"/>
    </row>
    <row r="416" spans="1:15" ht="15.75" x14ac:dyDescent="0.25">
      <c r="A416" s="588"/>
      <c r="B416" s="588"/>
      <c r="C416" s="588"/>
      <c r="D416" s="589"/>
      <c r="E416" s="588"/>
      <c r="F416" s="588"/>
      <c r="G416" s="590"/>
      <c r="H416" s="588"/>
      <c r="I416" s="591"/>
      <c r="J416" s="591"/>
      <c r="K416" s="591"/>
      <c r="L416" s="591"/>
      <c r="M416" s="588"/>
      <c r="N416" s="589"/>
      <c r="O416" s="589"/>
    </row>
    <row r="417" spans="1:15" ht="15.75" x14ac:dyDescent="0.25">
      <c r="A417" s="588"/>
      <c r="B417" s="588"/>
      <c r="C417" s="588"/>
      <c r="D417" s="589"/>
      <c r="E417" s="588"/>
      <c r="F417" s="588"/>
      <c r="G417" s="590"/>
      <c r="H417" s="588"/>
      <c r="I417" s="591"/>
      <c r="J417" s="591"/>
      <c r="K417" s="591"/>
      <c r="L417" s="591"/>
      <c r="M417" s="588"/>
      <c r="N417" s="589"/>
      <c r="O417" s="589"/>
    </row>
    <row r="418" spans="1:15" ht="15.75" x14ac:dyDescent="0.25">
      <c r="A418" s="588"/>
      <c r="B418" s="588"/>
      <c r="C418" s="588"/>
      <c r="D418" s="589"/>
      <c r="E418" s="588"/>
      <c r="F418" s="588"/>
      <c r="G418" s="590"/>
      <c r="H418" s="588"/>
      <c r="I418" s="591"/>
      <c r="J418" s="591"/>
      <c r="K418" s="591"/>
      <c r="L418" s="591"/>
      <c r="M418" s="588"/>
      <c r="N418" s="589"/>
      <c r="O418" s="589"/>
    </row>
    <row r="419" spans="1:15" ht="15.75" x14ac:dyDescent="0.25">
      <c r="A419" s="588"/>
      <c r="B419" s="588"/>
      <c r="C419" s="588"/>
      <c r="D419" s="589"/>
      <c r="E419" s="588"/>
      <c r="F419" s="588"/>
      <c r="G419" s="590"/>
      <c r="H419" s="588"/>
      <c r="I419" s="591"/>
      <c r="J419" s="591"/>
      <c r="K419" s="591"/>
      <c r="L419" s="591"/>
      <c r="M419" s="588"/>
      <c r="N419" s="589"/>
      <c r="O419" s="589"/>
    </row>
    <row r="420" spans="1:15" ht="15.75" x14ac:dyDescent="0.25">
      <c r="A420" s="588"/>
      <c r="B420" s="588"/>
      <c r="C420" s="588"/>
      <c r="D420" s="589"/>
      <c r="E420" s="588"/>
      <c r="F420" s="588"/>
      <c r="G420" s="590"/>
      <c r="H420" s="588"/>
      <c r="I420" s="591"/>
      <c r="J420" s="591"/>
      <c r="K420" s="591"/>
      <c r="L420" s="591"/>
      <c r="M420" s="588"/>
      <c r="N420" s="589"/>
      <c r="O420" s="589"/>
    </row>
    <row r="421" spans="1:15" ht="15.75" x14ac:dyDescent="0.25">
      <c r="A421" s="588"/>
      <c r="B421" s="588"/>
      <c r="C421" s="588"/>
      <c r="D421" s="589"/>
      <c r="E421" s="588"/>
      <c r="F421" s="588"/>
      <c r="G421" s="590"/>
      <c r="H421" s="588"/>
      <c r="I421" s="591"/>
      <c r="J421" s="591"/>
      <c r="K421" s="591"/>
      <c r="L421" s="591"/>
      <c r="M421" s="588"/>
      <c r="N421" s="589"/>
      <c r="O421" s="589"/>
    </row>
    <row r="422" spans="1:15" ht="15.75" x14ac:dyDescent="0.25">
      <c r="A422" s="588"/>
      <c r="B422" s="588"/>
      <c r="C422" s="588"/>
      <c r="D422" s="589"/>
      <c r="E422" s="588"/>
      <c r="F422" s="588"/>
      <c r="G422" s="590"/>
      <c r="H422" s="588"/>
      <c r="I422" s="591"/>
      <c r="J422" s="591"/>
      <c r="K422" s="591"/>
      <c r="L422" s="591"/>
      <c r="M422" s="588"/>
      <c r="N422" s="589"/>
      <c r="O422" s="589"/>
    </row>
    <row r="423" spans="1:15" ht="15.75" x14ac:dyDescent="0.25">
      <c r="A423" s="588"/>
      <c r="B423" s="588"/>
      <c r="C423" s="588"/>
      <c r="D423" s="589"/>
      <c r="E423" s="588"/>
      <c r="F423" s="588"/>
      <c r="G423" s="590"/>
      <c r="H423" s="588"/>
      <c r="I423" s="591"/>
      <c r="J423" s="591"/>
      <c r="K423" s="591"/>
      <c r="L423" s="591"/>
      <c r="M423" s="588"/>
      <c r="N423" s="589"/>
      <c r="O423" s="589"/>
    </row>
    <row r="424" spans="1:15" ht="15.75" x14ac:dyDescent="0.25">
      <c r="A424" s="588"/>
      <c r="B424" s="588"/>
      <c r="C424" s="588"/>
      <c r="D424" s="589"/>
      <c r="E424" s="588"/>
      <c r="F424" s="588"/>
      <c r="G424" s="590"/>
      <c r="H424" s="588"/>
      <c r="I424" s="591"/>
      <c r="J424" s="591"/>
      <c r="K424" s="591"/>
      <c r="L424" s="591"/>
      <c r="M424" s="588"/>
      <c r="N424" s="589"/>
      <c r="O424" s="589"/>
    </row>
    <row r="425" spans="1:15" ht="15.75" x14ac:dyDescent="0.25">
      <c r="A425" s="588"/>
      <c r="B425" s="588"/>
      <c r="C425" s="588"/>
      <c r="D425" s="589"/>
      <c r="E425" s="588"/>
      <c r="F425" s="588"/>
      <c r="G425" s="590"/>
      <c r="H425" s="588"/>
      <c r="I425" s="591"/>
      <c r="J425" s="591"/>
      <c r="K425" s="591"/>
      <c r="L425" s="591"/>
      <c r="M425" s="588"/>
      <c r="N425" s="589"/>
      <c r="O425" s="589"/>
    </row>
    <row r="426" spans="1:15" ht="15.75" x14ac:dyDescent="0.25">
      <c r="A426" s="588"/>
      <c r="B426" s="588"/>
      <c r="C426" s="588"/>
      <c r="D426" s="589"/>
      <c r="E426" s="588"/>
      <c r="F426" s="588"/>
      <c r="G426" s="590"/>
      <c r="H426" s="588"/>
      <c r="I426" s="591"/>
      <c r="J426" s="591"/>
      <c r="K426" s="591"/>
      <c r="L426" s="591"/>
      <c r="M426" s="588"/>
      <c r="N426" s="589"/>
      <c r="O426" s="589"/>
    </row>
    <row r="427" spans="1:15" ht="15.75" x14ac:dyDescent="0.25">
      <c r="A427" s="588"/>
      <c r="B427" s="588"/>
      <c r="C427" s="588"/>
      <c r="D427" s="589"/>
      <c r="E427" s="588"/>
      <c r="F427" s="588"/>
      <c r="G427" s="590"/>
      <c r="H427" s="588"/>
      <c r="I427" s="591"/>
      <c r="J427" s="591"/>
      <c r="K427" s="591"/>
      <c r="L427" s="591"/>
      <c r="M427" s="588"/>
      <c r="N427" s="589"/>
      <c r="O427" s="589"/>
    </row>
    <row r="428" spans="1:15" ht="15.75" x14ac:dyDescent="0.25">
      <c r="A428" s="588"/>
      <c r="B428" s="588"/>
      <c r="C428" s="588"/>
      <c r="D428" s="589"/>
      <c r="E428" s="588"/>
      <c r="F428" s="588"/>
      <c r="G428" s="590"/>
      <c r="H428" s="588"/>
      <c r="I428" s="591"/>
      <c r="J428" s="591"/>
      <c r="K428" s="591"/>
      <c r="L428" s="591"/>
      <c r="M428" s="588"/>
      <c r="N428" s="589"/>
      <c r="O428" s="589"/>
    </row>
    <row r="429" spans="1:15" ht="15.75" x14ac:dyDescent="0.25">
      <c r="A429" s="588"/>
      <c r="B429" s="588"/>
      <c r="C429" s="588"/>
      <c r="D429" s="589"/>
      <c r="E429" s="588"/>
      <c r="F429" s="588"/>
      <c r="G429" s="590"/>
      <c r="H429" s="588"/>
      <c r="I429" s="591"/>
      <c r="J429" s="591"/>
      <c r="K429" s="591"/>
      <c r="L429" s="591"/>
      <c r="M429" s="588"/>
      <c r="N429" s="589"/>
      <c r="O429" s="589"/>
    </row>
    <row r="430" spans="1:15" ht="15.75" x14ac:dyDescent="0.25">
      <c r="A430" s="588"/>
      <c r="B430" s="588"/>
      <c r="C430" s="588"/>
      <c r="D430" s="589"/>
      <c r="E430" s="588"/>
      <c r="F430" s="588"/>
      <c r="G430" s="590"/>
      <c r="H430" s="588"/>
      <c r="I430" s="591"/>
      <c r="J430" s="591"/>
      <c r="K430" s="591"/>
      <c r="L430" s="591"/>
      <c r="M430" s="588"/>
      <c r="N430" s="589"/>
      <c r="O430" s="589"/>
    </row>
    <row r="431" spans="1:15" ht="15.75" x14ac:dyDescent="0.25">
      <c r="A431" s="588"/>
      <c r="B431" s="588"/>
      <c r="C431" s="588"/>
      <c r="D431" s="589"/>
      <c r="E431" s="588"/>
      <c r="F431" s="588"/>
      <c r="G431" s="590"/>
      <c r="H431" s="588"/>
      <c r="I431" s="591"/>
      <c r="J431" s="591"/>
      <c r="K431" s="591"/>
      <c r="L431" s="591"/>
      <c r="M431" s="588"/>
      <c r="N431" s="589"/>
      <c r="O431" s="589"/>
    </row>
    <row r="432" spans="1:15" ht="15.75" x14ac:dyDescent="0.25">
      <c r="A432" s="588"/>
      <c r="B432" s="588"/>
      <c r="C432" s="588"/>
      <c r="D432" s="589"/>
      <c r="E432" s="588"/>
      <c r="F432" s="588"/>
      <c r="G432" s="590"/>
      <c r="H432" s="588"/>
      <c r="I432" s="591"/>
      <c r="J432" s="591"/>
      <c r="K432" s="591"/>
      <c r="L432" s="591"/>
      <c r="M432" s="588"/>
      <c r="N432" s="589"/>
      <c r="O432" s="589"/>
    </row>
    <row r="433" spans="1:15" ht="15.75" x14ac:dyDescent="0.25">
      <c r="A433" s="588"/>
      <c r="B433" s="588"/>
      <c r="C433" s="588"/>
      <c r="D433" s="589"/>
      <c r="E433" s="588"/>
      <c r="F433" s="588"/>
      <c r="G433" s="590"/>
      <c r="H433" s="598"/>
      <c r="I433" s="591"/>
      <c r="J433" s="591"/>
      <c r="K433" s="591"/>
      <c r="L433" s="591"/>
      <c r="M433" s="588"/>
      <c r="N433" s="589"/>
      <c r="O433" s="589"/>
    </row>
    <row r="434" spans="1:15" ht="15.75" x14ac:dyDescent="0.25">
      <c r="A434" s="588"/>
      <c r="B434" s="588"/>
      <c r="C434" s="588"/>
      <c r="D434" s="589"/>
      <c r="E434" s="588"/>
      <c r="F434" s="588"/>
      <c r="G434" s="590"/>
      <c r="H434" s="588"/>
      <c r="I434" s="591"/>
      <c r="J434" s="591"/>
      <c r="K434" s="591"/>
      <c r="L434" s="591"/>
      <c r="M434" s="588"/>
      <c r="N434" s="589"/>
      <c r="O434" s="589"/>
    </row>
    <row r="435" spans="1:15" ht="15.75" x14ac:dyDescent="0.25">
      <c r="A435" s="588"/>
      <c r="B435" s="588"/>
      <c r="C435" s="588"/>
      <c r="D435" s="589"/>
      <c r="E435" s="588"/>
      <c r="F435" s="588"/>
      <c r="G435" s="590"/>
      <c r="H435" s="588"/>
      <c r="I435" s="591"/>
      <c r="J435" s="591"/>
      <c r="K435" s="591"/>
      <c r="L435" s="591"/>
      <c r="M435" s="588"/>
      <c r="N435" s="589"/>
      <c r="O435" s="589"/>
    </row>
    <row r="436" spans="1:15" ht="15.75" x14ac:dyDescent="0.25">
      <c r="A436" s="588"/>
      <c r="B436" s="588"/>
      <c r="C436" s="588"/>
      <c r="D436" s="589"/>
      <c r="E436" s="588"/>
      <c r="F436" s="588"/>
      <c r="G436" s="590"/>
      <c r="H436" s="588"/>
      <c r="I436" s="591"/>
      <c r="J436" s="591"/>
      <c r="K436" s="591"/>
      <c r="L436" s="591"/>
      <c r="M436" s="588"/>
      <c r="N436" s="589"/>
      <c r="O436" s="589"/>
    </row>
    <row r="437" spans="1:15" ht="15.75" x14ac:dyDescent="0.25">
      <c r="A437" s="588"/>
      <c r="B437" s="588"/>
      <c r="C437" s="588"/>
      <c r="D437" s="589"/>
      <c r="E437" s="588"/>
      <c r="F437" s="588"/>
      <c r="G437" s="590"/>
      <c r="H437" s="588"/>
      <c r="I437" s="591"/>
      <c r="J437" s="591"/>
      <c r="K437" s="591"/>
      <c r="L437" s="591"/>
      <c r="M437" s="588"/>
      <c r="N437" s="589"/>
      <c r="O437" s="589"/>
    </row>
    <row r="438" spans="1:15" ht="15.75" x14ac:dyDescent="0.25">
      <c r="A438" s="588"/>
      <c r="B438" s="588"/>
      <c r="C438" s="588"/>
      <c r="D438" s="589"/>
      <c r="E438" s="588"/>
      <c r="F438" s="588"/>
      <c r="G438" s="590"/>
      <c r="H438" s="588"/>
      <c r="I438" s="591"/>
      <c r="J438" s="591"/>
      <c r="K438" s="591"/>
      <c r="L438" s="591"/>
      <c r="M438" s="588"/>
      <c r="N438" s="589"/>
      <c r="O438" s="589"/>
    </row>
    <row r="439" spans="1:15" ht="15.75" x14ac:dyDescent="0.25">
      <c r="A439" s="588"/>
      <c r="B439" s="588"/>
      <c r="C439" s="588"/>
      <c r="D439" s="589"/>
      <c r="E439" s="588"/>
      <c r="F439" s="588"/>
      <c r="G439" s="590"/>
      <c r="H439" s="588"/>
      <c r="I439" s="591"/>
      <c r="J439" s="591"/>
      <c r="K439" s="591"/>
      <c r="L439" s="591"/>
      <c r="M439" s="588"/>
      <c r="N439" s="589"/>
      <c r="O439" s="589"/>
    </row>
    <row r="440" spans="1:15" ht="15.75" x14ac:dyDescent="0.25">
      <c r="A440" s="588"/>
      <c r="B440" s="588"/>
      <c r="C440" s="588"/>
      <c r="D440" s="589"/>
      <c r="E440" s="588"/>
      <c r="F440" s="588"/>
      <c r="G440" s="590"/>
      <c r="H440" s="588"/>
      <c r="I440" s="591"/>
      <c r="J440" s="591"/>
      <c r="K440" s="591"/>
      <c r="L440" s="591"/>
      <c r="M440" s="588"/>
      <c r="N440" s="589"/>
      <c r="O440" s="589"/>
    </row>
    <row r="441" spans="1:15" ht="15.75" x14ac:dyDescent="0.25">
      <c r="A441" s="588"/>
      <c r="B441" s="588"/>
      <c r="C441" s="588"/>
      <c r="D441" s="589"/>
      <c r="E441" s="588"/>
      <c r="F441" s="588"/>
      <c r="G441" s="590"/>
      <c r="H441" s="588"/>
      <c r="I441" s="591"/>
      <c r="J441" s="591"/>
      <c r="K441" s="591"/>
      <c r="L441" s="591"/>
      <c r="M441" s="588"/>
      <c r="N441" s="589"/>
      <c r="O441" s="589"/>
    </row>
    <row r="442" spans="1:15" ht="15.75" x14ac:dyDescent="0.25">
      <c r="A442" s="588"/>
      <c r="B442" s="588"/>
      <c r="C442" s="588"/>
      <c r="D442" s="589"/>
      <c r="E442" s="588"/>
      <c r="F442" s="588"/>
      <c r="G442" s="590"/>
      <c r="H442" s="588"/>
      <c r="I442" s="591"/>
      <c r="J442" s="591"/>
      <c r="K442" s="591"/>
      <c r="L442" s="591"/>
      <c r="M442" s="588"/>
      <c r="N442" s="589"/>
      <c r="O442" s="589"/>
    </row>
    <row r="443" spans="1:15" ht="15.75" x14ac:dyDescent="0.25">
      <c r="A443" s="588"/>
      <c r="B443" s="588"/>
      <c r="C443" s="588"/>
      <c r="D443" s="589"/>
      <c r="E443" s="588"/>
      <c r="F443" s="588"/>
      <c r="G443" s="590"/>
      <c r="H443" s="588"/>
      <c r="I443" s="591"/>
      <c r="J443" s="591"/>
      <c r="K443" s="591"/>
      <c r="L443" s="591"/>
      <c r="M443" s="588"/>
      <c r="N443" s="589"/>
      <c r="O443" s="589"/>
    </row>
    <row r="444" spans="1:15" ht="15.75" x14ac:dyDescent="0.25">
      <c r="A444" s="588"/>
      <c r="B444" s="588"/>
      <c r="C444" s="588"/>
      <c r="D444" s="589"/>
      <c r="E444" s="588"/>
      <c r="F444" s="588"/>
      <c r="G444" s="590"/>
      <c r="H444" s="588"/>
      <c r="I444" s="591"/>
      <c r="J444" s="591"/>
      <c r="K444" s="591"/>
      <c r="L444" s="591"/>
      <c r="M444" s="588"/>
      <c r="N444" s="589"/>
      <c r="O444" s="589"/>
    </row>
    <row r="445" spans="1:15" ht="15.75" x14ac:dyDescent="0.25">
      <c r="A445" s="588"/>
      <c r="B445" s="588"/>
      <c r="C445" s="588"/>
      <c r="D445" s="589"/>
      <c r="E445" s="588"/>
      <c r="F445" s="588"/>
      <c r="G445" s="590"/>
      <c r="H445" s="588"/>
      <c r="I445" s="591"/>
      <c r="J445" s="591"/>
      <c r="K445" s="591"/>
      <c r="L445" s="591"/>
      <c r="M445" s="588"/>
      <c r="N445" s="589"/>
      <c r="O445" s="589"/>
    </row>
    <row r="446" spans="1:15" ht="15.75" x14ac:dyDescent="0.25">
      <c r="A446" s="588"/>
      <c r="B446" s="588"/>
      <c r="C446" s="588"/>
      <c r="D446" s="589"/>
      <c r="E446" s="588"/>
      <c r="F446" s="588"/>
      <c r="G446" s="590"/>
      <c r="H446" s="588"/>
      <c r="I446" s="591"/>
      <c r="J446" s="591"/>
      <c r="K446" s="591"/>
      <c r="L446" s="591"/>
      <c r="M446" s="588"/>
      <c r="N446" s="589"/>
      <c r="O446" s="589"/>
    </row>
    <row r="447" spans="1:15" ht="15.75" x14ac:dyDescent="0.25">
      <c r="A447" s="588"/>
      <c r="B447" s="588"/>
      <c r="C447" s="588"/>
      <c r="D447" s="589"/>
      <c r="E447" s="588"/>
      <c r="F447" s="588"/>
      <c r="G447" s="590"/>
      <c r="H447" s="588"/>
      <c r="I447" s="591"/>
      <c r="J447" s="591"/>
      <c r="K447" s="591"/>
      <c r="L447" s="591"/>
      <c r="M447" s="588"/>
      <c r="N447" s="589"/>
      <c r="O447" s="589"/>
    </row>
    <row r="448" spans="1:15" ht="15.75" x14ac:dyDescent="0.25">
      <c r="A448" s="588"/>
      <c r="B448" s="588"/>
      <c r="C448" s="588"/>
      <c r="D448" s="589"/>
      <c r="E448" s="588"/>
      <c r="F448" s="588"/>
      <c r="G448" s="590"/>
      <c r="H448" s="588"/>
      <c r="I448" s="591"/>
      <c r="J448" s="591"/>
      <c r="K448" s="591"/>
      <c r="L448" s="591"/>
      <c r="M448" s="588"/>
      <c r="N448" s="589"/>
      <c r="O448" s="589"/>
    </row>
    <row r="449" spans="1:15" ht="15.75" x14ac:dyDescent="0.25">
      <c r="A449" s="588"/>
      <c r="B449" s="588"/>
      <c r="C449" s="588"/>
      <c r="D449" s="589"/>
      <c r="E449" s="588"/>
      <c r="F449" s="588"/>
      <c r="G449" s="590"/>
      <c r="H449" s="588"/>
      <c r="I449" s="591"/>
      <c r="J449" s="591"/>
      <c r="K449" s="591"/>
      <c r="L449" s="591"/>
      <c r="M449" s="588"/>
      <c r="N449" s="589"/>
      <c r="O449" s="589"/>
    </row>
    <row r="450" spans="1:15" ht="15.75" x14ac:dyDescent="0.25">
      <c r="A450" s="588"/>
      <c r="B450" s="588"/>
      <c r="C450" s="588"/>
      <c r="D450" s="589"/>
      <c r="E450" s="588"/>
      <c r="F450" s="588"/>
      <c r="G450" s="590"/>
      <c r="H450" s="588"/>
      <c r="I450" s="591"/>
      <c r="J450" s="591"/>
      <c r="K450" s="591"/>
      <c r="L450" s="591"/>
      <c r="M450" s="588"/>
      <c r="N450" s="589"/>
      <c r="O450" s="589"/>
    </row>
    <row r="451" spans="1:15" ht="15.75" x14ac:dyDescent="0.25">
      <c r="A451" s="588"/>
      <c r="B451" s="588"/>
      <c r="C451" s="588"/>
      <c r="D451" s="589"/>
      <c r="E451" s="588"/>
      <c r="F451" s="588"/>
      <c r="G451" s="590"/>
      <c r="H451" s="588"/>
      <c r="I451" s="591"/>
      <c r="J451" s="591"/>
      <c r="K451" s="591"/>
      <c r="L451" s="591"/>
      <c r="M451" s="588"/>
      <c r="N451" s="589"/>
      <c r="O451" s="589"/>
    </row>
    <row r="452" spans="1:15" ht="15.75" x14ac:dyDescent="0.25">
      <c r="A452" s="588"/>
      <c r="B452" s="588"/>
      <c r="C452" s="588"/>
      <c r="D452" s="589"/>
      <c r="E452" s="588"/>
      <c r="F452" s="588"/>
      <c r="G452" s="590"/>
      <c r="H452" s="588"/>
      <c r="I452" s="591"/>
      <c r="J452" s="591"/>
      <c r="K452" s="591"/>
      <c r="L452" s="591"/>
      <c r="M452" s="588"/>
      <c r="N452" s="589"/>
      <c r="O452" s="589"/>
    </row>
    <row r="453" spans="1:15" ht="15.75" x14ac:dyDescent="0.25">
      <c r="A453" s="588"/>
      <c r="B453" s="588"/>
      <c r="C453" s="588"/>
      <c r="D453" s="589"/>
      <c r="E453" s="588"/>
      <c r="F453" s="588"/>
      <c r="G453" s="590"/>
      <c r="H453" s="588"/>
      <c r="I453" s="591"/>
      <c r="J453" s="591"/>
      <c r="K453" s="591"/>
      <c r="L453" s="591"/>
      <c r="M453" s="588"/>
      <c r="N453" s="589"/>
      <c r="O453" s="589"/>
    </row>
    <row r="454" spans="1:15" ht="15.75" x14ac:dyDescent="0.25">
      <c r="A454" s="588"/>
      <c r="B454" s="588"/>
      <c r="C454" s="588"/>
      <c r="D454" s="589"/>
      <c r="E454" s="588"/>
      <c r="F454" s="588"/>
      <c r="G454" s="590"/>
      <c r="H454" s="588"/>
      <c r="I454" s="591"/>
      <c r="J454" s="591"/>
      <c r="K454" s="591"/>
      <c r="L454" s="591"/>
      <c r="M454" s="588"/>
      <c r="N454" s="589"/>
      <c r="O454" s="589"/>
    </row>
    <row r="455" spans="1:15" ht="15.75" x14ac:dyDescent="0.25">
      <c r="A455" s="588"/>
      <c r="B455" s="588"/>
      <c r="C455" s="588"/>
      <c r="D455" s="589"/>
      <c r="E455" s="588"/>
      <c r="F455" s="588"/>
      <c r="G455" s="590"/>
      <c r="H455" s="588"/>
      <c r="I455" s="591"/>
      <c r="J455" s="591"/>
      <c r="K455" s="591"/>
      <c r="L455" s="591"/>
      <c r="M455" s="588"/>
      <c r="N455" s="589"/>
      <c r="O455" s="589"/>
    </row>
    <row r="456" spans="1:15" ht="15.75" x14ac:dyDescent="0.25">
      <c r="A456" s="588"/>
      <c r="B456" s="588"/>
      <c r="C456" s="588"/>
      <c r="D456" s="589"/>
      <c r="E456" s="588"/>
      <c r="F456" s="588"/>
      <c r="G456" s="590"/>
      <c r="H456" s="588"/>
      <c r="I456" s="591"/>
      <c r="J456" s="591"/>
      <c r="K456" s="591"/>
      <c r="L456" s="591"/>
      <c r="M456" s="588"/>
      <c r="N456" s="589"/>
      <c r="O456" s="589"/>
    </row>
    <row r="457" spans="1:15" ht="15.75" x14ac:dyDescent="0.25">
      <c r="A457" s="588"/>
      <c r="B457" s="588"/>
      <c r="C457" s="588"/>
      <c r="D457" s="589"/>
      <c r="E457" s="588"/>
      <c r="F457" s="588"/>
      <c r="G457" s="590"/>
      <c r="H457" s="588"/>
      <c r="I457" s="591"/>
      <c r="J457" s="591"/>
      <c r="K457" s="591"/>
      <c r="L457" s="591"/>
      <c r="M457" s="588"/>
      <c r="N457" s="589"/>
      <c r="O457" s="589"/>
    </row>
    <row r="458" spans="1:15" ht="15.75" x14ac:dyDescent="0.25">
      <c r="A458" s="588"/>
      <c r="B458" s="588"/>
      <c r="C458" s="588"/>
      <c r="D458" s="589"/>
      <c r="E458" s="588"/>
      <c r="F458" s="588"/>
      <c r="G458" s="590"/>
      <c r="H458" s="588"/>
      <c r="I458" s="591"/>
      <c r="J458" s="591"/>
      <c r="K458" s="591"/>
      <c r="L458" s="591"/>
      <c r="M458" s="588"/>
      <c r="N458" s="589"/>
      <c r="O458" s="589"/>
    </row>
    <row r="459" spans="1:15" ht="15.75" x14ac:dyDescent="0.25">
      <c r="A459" s="588"/>
      <c r="B459" s="588"/>
      <c r="C459" s="588"/>
      <c r="D459" s="589"/>
      <c r="E459" s="588"/>
      <c r="F459" s="588"/>
      <c r="G459" s="590"/>
      <c r="H459" s="588"/>
      <c r="I459" s="591"/>
      <c r="J459" s="591"/>
      <c r="K459" s="591"/>
      <c r="L459" s="591"/>
      <c r="M459" s="588"/>
      <c r="N459" s="589"/>
      <c r="O459" s="589"/>
    </row>
    <row r="460" spans="1:15" ht="15.75" x14ac:dyDescent="0.25">
      <c r="A460" s="588"/>
      <c r="B460" s="588"/>
      <c r="C460" s="588"/>
      <c r="D460" s="589"/>
      <c r="E460" s="588"/>
      <c r="F460" s="588"/>
      <c r="G460" s="590"/>
      <c r="H460" s="588"/>
      <c r="I460" s="591"/>
      <c r="J460" s="591"/>
      <c r="K460" s="591"/>
      <c r="L460" s="591"/>
      <c r="M460" s="588"/>
      <c r="N460" s="589"/>
      <c r="O460" s="589"/>
    </row>
    <row r="461" spans="1:15" ht="15.75" x14ac:dyDescent="0.25">
      <c r="A461" s="588"/>
      <c r="B461" s="588"/>
      <c r="C461" s="588"/>
      <c r="D461" s="589"/>
      <c r="E461" s="588"/>
      <c r="F461" s="588"/>
      <c r="G461" s="590"/>
      <c r="H461" s="588"/>
      <c r="I461" s="591"/>
      <c r="J461" s="591"/>
      <c r="K461" s="591"/>
      <c r="L461" s="591"/>
      <c r="M461" s="588"/>
      <c r="N461" s="589"/>
      <c r="O461" s="589"/>
    </row>
    <row r="462" spans="1:15" ht="15.75" x14ac:dyDescent="0.25">
      <c r="A462" s="588"/>
      <c r="B462" s="588"/>
      <c r="C462" s="588"/>
      <c r="D462" s="589"/>
      <c r="E462" s="588"/>
      <c r="F462" s="588"/>
      <c r="G462" s="590"/>
      <c r="H462" s="588"/>
      <c r="I462" s="591"/>
      <c r="J462" s="591"/>
      <c r="K462" s="591"/>
      <c r="L462" s="591"/>
      <c r="M462" s="588"/>
      <c r="N462" s="589"/>
      <c r="O462" s="589"/>
    </row>
    <row r="463" spans="1:15" ht="15.75" x14ac:dyDescent="0.25">
      <c r="A463" s="588"/>
      <c r="B463" s="588"/>
      <c r="C463" s="588"/>
      <c r="D463" s="589"/>
      <c r="E463" s="588"/>
      <c r="F463" s="588"/>
      <c r="G463" s="590"/>
      <c r="H463" s="588"/>
      <c r="I463" s="591"/>
      <c r="J463" s="591"/>
      <c r="K463" s="591"/>
      <c r="L463" s="591"/>
      <c r="M463" s="588"/>
      <c r="N463" s="589"/>
      <c r="O463" s="589"/>
    </row>
    <row r="464" spans="1:15" ht="15.75" x14ac:dyDescent="0.25">
      <c r="A464" s="588"/>
      <c r="B464" s="588"/>
      <c r="C464" s="588"/>
      <c r="D464" s="589"/>
      <c r="E464" s="588"/>
      <c r="F464" s="588"/>
      <c r="G464" s="590"/>
      <c r="H464" s="588"/>
      <c r="I464" s="591"/>
      <c r="J464" s="591"/>
      <c r="K464" s="591"/>
      <c r="L464" s="591"/>
      <c r="M464" s="588"/>
      <c r="N464" s="589"/>
      <c r="O464" s="589"/>
    </row>
    <row r="465" spans="1:15" ht="15.75" x14ac:dyDescent="0.25">
      <c r="A465" s="588"/>
      <c r="B465" s="588"/>
      <c r="C465" s="588"/>
      <c r="D465" s="589"/>
      <c r="E465" s="588"/>
      <c r="F465" s="588"/>
      <c r="G465" s="590"/>
      <c r="H465" s="588"/>
      <c r="I465" s="591"/>
      <c r="J465" s="591"/>
      <c r="K465" s="591"/>
      <c r="L465" s="591"/>
      <c r="M465" s="588"/>
      <c r="N465" s="589"/>
      <c r="O465" s="589"/>
    </row>
    <row r="466" spans="1:15" ht="15.75" x14ac:dyDescent="0.25">
      <c r="A466" s="588"/>
      <c r="B466" s="588"/>
      <c r="C466" s="588"/>
      <c r="D466" s="589"/>
      <c r="E466" s="588"/>
      <c r="F466" s="588"/>
      <c r="G466" s="590"/>
      <c r="H466" s="588"/>
      <c r="I466" s="591"/>
      <c r="J466" s="591"/>
      <c r="K466" s="591"/>
      <c r="L466" s="591"/>
      <c r="M466" s="588"/>
      <c r="N466" s="589"/>
      <c r="O466" s="589"/>
    </row>
    <row r="467" spans="1:15" ht="15.75" x14ac:dyDescent="0.25">
      <c r="A467" s="588"/>
      <c r="B467" s="588"/>
      <c r="C467" s="588"/>
      <c r="D467" s="589"/>
      <c r="E467" s="588"/>
      <c r="F467" s="588"/>
      <c r="G467" s="590"/>
      <c r="H467" s="588"/>
      <c r="I467" s="591"/>
      <c r="J467" s="591"/>
      <c r="K467" s="591"/>
      <c r="L467" s="591"/>
      <c r="M467" s="588"/>
      <c r="N467" s="589"/>
      <c r="O467" s="589"/>
    </row>
    <row r="468" spans="1:15" ht="15.75" x14ac:dyDescent="0.25">
      <c r="A468" s="588"/>
      <c r="B468" s="588"/>
      <c r="C468" s="588"/>
      <c r="D468" s="589"/>
      <c r="E468" s="588"/>
      <c r="F468" s="588"/>
      <c r="G468" s="590"/>
      <c r="H468" s="588"/>
      <c r="I468" s="591"/>
      <c r="J468" s="591"/>
      <c r="K468" s="591"/>
      <c r="L468" s="591"/>
      <c r="M468" s="588"/>
      <c r="N468" s="589"/>
      <c r="O468" s="589"/>
    </row>
    <row r="469" spans="1:15" ht="15.75" x14ac:dyDescent="0.25">
      <c r="A469" s="588"/>
      <c r="B469" s="588"/>
      <c r="C469" s="588"/>
      <c r="D469" s="589"/>
      <c r="E469" s="588"/>
      <c r="F469" s="588"/>
      <c r="G469" s="590"/>
      <c r="H469" s="598"/>
      <c r="I469" s="591"/>
      <c r="J469" s="591"/>
      <c r="K469" s="591"/>
      <c r="L469" s="591"/>
      <c r="M469" s="588"/>
      <c r="N469" s="589"/>
      <c r="O469" s="589"/>
    </row>
    <row r="470" spans="1:15" ht="15.75" x14ac:dyDescent="0.25">
      <c r="A470" s="588"/>
      <c r="B470" s="588"/>
      <c r="C470" s="588"/>
      <c r="D470" s="589"/>
      <c r="E470" s="588"/>
      <c r="F470" s="588"/>
      <c r="G470" s="590"/>
      <c r="H470" s="588"/>
      <c r="I470" s="591"/>
      <c r="J470" s="591"/>
      <c r="K470" s="591"/>
      <c r="L470" s="591"/>
      <c r="M470" s="588"/>
      <c r="N470" s="589"/>
      <c r="O470" s="589"/>
    </row>
    <row r="471" spans="1:15" ht="15.75" x14ac:dyDescent="0.25">
      <c r="A471" s="588"/>
      <c r="B471" s="588"/>
      <c r="C471" s="588"/>
      <c r="D471" s="589"/>
      <c r="E471" s="588"/>
      <c r="F471" s="588"/>
      <c r="G471" s="590"/>
      <c r="H471" s="588"/>
      <c r="I471" s="591"/>
      <c r="J471" s="591"/>
      <c r="K471" s="591"/>
      <c r="L471" s="591"/>
      <c r="M471" s="588"/>
      <c r="N471" s="589"/>
      <c r="O471" s="589"/>
    </row>
    <row r="472" spans="1:15" ht="15.75" x14ac:dyDescent="0.25">
      <c r="A472" s="588"/>
      <c r="B472" s="588"/>
      <c r="C472" s="588"/>
      <c r="D472" s="589"/>
      <c r="E472" s="588"/>
      <c r="F472" s="588"/>
      <c r="G472" s="590"/>
      <c r="H472" s="588"/>
      <c r="I472" s="591"/>
      <c r="J472" s="591"/>
      <c r="K472" s="591"/>
      <c r="L472" s="591"/>
      <c r="M472" s="588"/>
      <c r="N472" s="589"/>
      <c r="O472" s="589"/>
    </row>
    <row r="473" spans="1:15" ht="15.75" x14ac:dyDescent="0.25">
      <c r="A473" s="588"/>
      <c r="B473" s="588"/>
      <c r="C473" s="588"/>
      <c r="D473" s="589"/>
      <c r="E473" s="588"/>
      <c r="F473" s="588"/>
      <c r="G473" s="590"/>
      <c r="H473" s="588"/>
      <c r="I473" s="591"/>
      <c r="J473" s="591"/>
      <c r="K473" s="591"/>
      <c r="L473" s="591"/>
      <c r="M473" s="588"/>
      <c r="N473" s="589"/>
      <c r="O473" s="589"/>
    </row>
    <row r="474" spans="1:15" ht="15.75" x14ac:dyDescent="0.25">
      <c r="A474" s="588"/>
      <c r="B474" s="588"/>
      <c r="C474" s="588"/>
      <c r="D474" s="589"/>
      <c r="E474" s="588"/>
      <c r="F474" s="588"/>
      <c r="G474" s="590"/>
      <c r="H474" s="588"/>
      <c r="I474" s="591"/>
      <c r="J474" s="591"/>
      <c r="K474" s="591"/>
      <c r="L474" s="591"/>
      <c r="M474" s="588"/>
      <c r="N474" s="589"/>
      <c r="O474" s="589"/>
    </row>
    <row r="475" spans="1:15" ht="15.75" x14ac:dyDescent="0.25">
      <c r="A475" s="588"/>
      <c r="B475" s="588"/>
      <c r="C475" s="588"/>
      <c r="D475" s="589"/>
      <c r="E475" s="588"/>
      <c r="F475" s="588"/>
      <c r="G475" s="590"/>
      <c r="H475" s="588"/>
      <c r="I475" s="591"/>
      <c r="J475" s="591"/>
      <c r="K475" s="591"/>
      <c r="L475" s="591"/>
      <c r="M475" s="588"/>
      <c r="N475" s="589"/>
      <c r="O475" s="589"/>
    </row>
    <row r="476" spans="1:15" ht="15.75" x14ac:dyDescent="0.25">
      <c r="A476" s="588"/>
      <c r="B476" s="588"/>
      <c r="C476" s="588"/>
      <c r="D476" s="589"/>
      <c r="E476" s="588"/>
      <c r="F476" s="588"/>
      <c r="G476" s="590"/>
      <c r="H476" s="588"/>
      <c r="I476" s="591"/>
      <c r="J476" s="591"/>
      <c r="K476" s="591"/>
      <c r="L476" s="591"/>
      <c r="M476" s="588"/>
      <c r="N476" s="589"/>
      <c r="O476" s="589"/>
    </row>
    <row r="477" spans="1:15" ht="15.75" x14ac:dyDescent="0.25">
      <c r="A477" s="588"/>
      <c r="B477" s="588"/>
      <c r="C477" s="588"/>
      <c r="D477" s="589"/>
      <c r="E477" s="588"/>
      <c r="F477" s="588"/>
      <c r="G477" s="590"/>
      <c r="H477" s="588"/>
      <c r="I477" s="591"/>
      <c r="J477" s="591"/>
      <c r="K477" s="591"/>
      <c r="L477" s="591"/>
      <c r="M477" s="588"/>
      <c r="N477" s="589"/>
      <c r="O477" s="589"/>
    </row>
    <row r="478" spans="1:15" ht="15.75" x14ac:dyDescent="0.25">
      <c r="A478" s="588"/>
      <c r="B478" s="588"/>
      <c r="C478" s="588"/>
      <c r="D478" s="589"/>
      <c r="E478" s="588"/>
      <c r="F478" s="588"/>
      <c r="G478" s="590"/>
      <c r="H478" s="588"/>
      <c r="I478" s="591"/>
      <c r="J478" s="591"/>
      <c r="K478" s="591"/>
      <c r="L478" s="591"/>
      <c r="M478" s="588"/>
      <c r="N478" s="589"/>
      <c r="O478" s="589"/>
    </row>
    <row r="479" spans="1:15" ht="15.75" x14ac:dyDescent="0.25">
      <c r="A479" s="588"/>
      <c r="B479" s="588"/>
      <c r="C479" s="588"/>
      <c r="D479" s="589"/>
      <c r="E479" s="588"/>
      <c r="F479" s="588"/>
      <c r="G479" s="590"/>
      <c r="H479" s="588"/>
      <c r="I479" s="591"/>
      <c r="J479" s="591"/>
      <c r="K479" s="591"/>
      <c r="L479" s="591"/>
      <c r="M479" s="588"/>
      <c r="N479" s="589"/>
      <c r="O479" s="589"/>
    </row>
    <row r="480" spans="1:15" ht="15.75" x14ac:dyDescent="0.25">
      <c r="A480" s="588"/>
      <c r="B480" s="588"/>
      <c r="C480" s="588"/>
      <c r="D480" s="589"/>
      <c r="E480" s="588"/>
      <c r="F480" s="588"/>
      <c r="G480" s="590"/>
      <c r="H480" s="588"/>
      <c r="I480" s="591"/>
      <c r="J480" s="591"/>
      <c r="K480" s="591"/>
      <c r="L480" s="591"/>
      <c r="M480" s="588"/>
      <c r="N480" s="589"/>
      <c r="O480" s="589"/>
    </row>
    <row r="481" spans="1:15" ht="15.75" x14ac:dyDescent="0.25">
      <c r="A481" s="588"/>
      <c r="B481" s="588"/>
      <c r="C481" s="588"/>
      <c r="D481" s="589"/>
      <c r="E481" s="588"/>
      <c r="F481" s="588"/>
      <c r="G481" s="590"/>
      <c r="H481" s="588"/>
      <c r="I481" s="591"/>
      <c r="J481" s="591"/>
      <c r="K481" s="591"/>
      <c r="L481" s="591"/>
      <c r="M481" s="588"/>
      <c r="N481" s="589"/>
      <c r="O481" s="589"/>
    </row>
    <row r="482" spans="1:15" ht="15.75" x14ac:dyDescent="0.25">
      <c r="A482" s="588"/>
      <c r="B482" s="588"/>
      <c r="C482" s="588"/>
      <c r="D482" s="589"/>
      <c r="E482" s="588"/>
      <c r="F482" s="588"/>
      <c r="G482" s="590"/>
      <c r="H482" s="588"/>
      <c r="I482" s="591"/>
      <c r="J482" s="591"/>
      <c r="K482" s="591"/>
      <c r="L482" s="591"/>
      <c r="M482" s="588"/>
      <c r="N482" s="589"/>
      <c r="O482" s="589"/>
    </row>
    <row r="483" spans="1:15" ht="15.75" x14ac:dyDescent="0.25">
      <c r="A483" s="588"/>
      <c r="B483" s="588"/>
      <c r="C483" s="588"/>
      <c r="D483" s="589"/>
      <c r="E483" s="588"/>
      <c r="F483" s="588"/>
      <c r="G483" s="590"/>
      <c r="H483" s="588"/>
      <c r="I483" s="591"/>
      <c r="J483" s="591"/>
      <c r="K483" s="591"/>
      <c r="L483" s="591"/>
      <c r="M483" s="588"/>
      <c r="N483" s="589"/>
      <c r="O483" s="589"/>
    </row>
    <row r="484" spans="1:15" ht="15.75" x14ac:dyDescent="0.25">
      <c r="A484" s="588"/>
      <c r="B484" s="588"/>
      <c r="C484" s="588"/>
      <c r="D484" s="589"/>
      <c r="E484" s="588"/>
      <c r="F484" s="588"/>
      <c r="G484" s="590"/>
      <c r="H484" s="588"/>
      <c r="I484" s="591"/>
      <c r="J484" s="591"/>
      <c r="K484" s="591"/>
      <c r="L484" s="591"/>
      <c r="M484" s="588"/>
      <c r="N484" s="589"/>
      <c r="O484" s="589"/>
    </row>
    <row r="485" spans="1:15" ht="15.75" x14ac:dyDescent="0.25">
      <c r="A485" s="588"/>
      <c r="B485" s="588"/>
      <c r="C485" s="588"/>
      <c r="D485" s="589"/>
      <c r="E485" s="588"/>
      <c r="F485" s="588"/>
      <c r="G485" s="590"/>
      <c r="H485" s="588"/>
      <c r="I485" s="591"/>
      <c r="J485" s="591"/>
      <c r="K485" s="591"/>
      <c r="L485" s="591"/>
      <c r="M485" s="588"/>
      <c r="N485" s="589"/>
      <c r="O485" s="589"/>
    </row>
    <row r="486" spans="1:15" ht="15.75" x14ac:dyDescent="0.25">
      <c r="A486" s="588"/>
      <c r="B486" s="588"/>
      <c r="C486" s="588"/>
      <c r="D486" s="589"/>
      <c r="E486" s="588"/>
      <c r="F486" s="588"/>
      <c r="G486" s="590"/>
      <c r="H486" s="588"/>
      <c r="I486" s="591"/>
      <c r="J486" s="591"/>
      <c r="K486" s="591"/>
      <c r="L486" s="591"/>
      <c r="M486" s="588"/>
      <c r="N486" s="589"/>
      <c r="O486" s="589"/>
    </row>
    <row r="487" spans="1:15" ht="15.75" x14ac:dyDescent="0.25">
      <c r="A487" s="588"/>
      <c r="B487" s="588"/>
      <c r="C487" s="588"/>
      <c r="D487" s="589"/>
      <c r="E487" s="588"/>
      <c r="F487" s="588"/>
      <c r="G487" s="590"/>
      <c r="H487" s="588"/>
      <c r="I487" s="591"/>
      <c r="J487" s="591"/>
      <c r="K487" s="591"/>
      <c r="L487" s="591"/>
      <c r="M487" s="588"/>
      <c r="N487" s="589"/>
      <c r="O487" s="589"/>
    </row>
    <row r="488" spans="1:15" ht="15.75" x14ac:dyDescent="0.25">
      <c r="A488" s="588"/>
      <c r="B488" s="588"/>
      <c r="C488" s="588"/>
      <c r="D488" s="589"/>
      <c r="E488" s="588"/>
      <c r="F488" s="588"/>
      <c r="G488" s="590"/>
      <c r="H488" s="588"/>
      <c r="I488" s="591"/>
      <c r="J488" s="591"/>
      <c r="K488" s="591"/>
      <c r="L488" s="591"/>
      <c r="M488" s="588"/>
      <c r="N488" s="589"/>
      <c r="O488" s="589"/>
    </row>
    <row r="489" spans="1:15" ht="15.75" x14ac:dyDescent="0.25">
      <c r="A489" s="588"/>
      <c r="B489" s="588"/>
      <c r="C489" s="588"/>
      <c r="D489" s="589"/>
      <c r="E489" s="588"/>
      <c r="F489" s="588"/>
      <c r="G489" s="590"/>
      <c r="H489" s="588"/>
      <c r="I489" s="591"/>
      <c r="J489" s="591"/>
      <c r="K489" s="591"/>
      <c r="L489" s="591"/>
      <c r="M489" s="588"/>
      <c r="N489" s="589"/>
      <c r="O489" s="589"/>
    </row>
    <row r="490" spans="1:15" ht="15.75" x14ac:dyDescent="0.25">
      <c r="A490" s="588"/>
      <c r="B490" s="588"/>
      <c r="C490" s="588"/>
      <c r="D490" s="589"/>
      <c r="E490" s="588"/>
      <c r="F490" s="588"/>
      <c r="G490" s="590"/>
      <c r="H490" s="588"/>
      <c r="I490" s="591"/>
      <c r="J490" s="591"/>
      <c r="K490" s="591"/>
      <c r="L490" s="591"/>
      <c r="M490" s="588"/>
      <c r="N490" s="589"/>
      <c r="O490" s="589"/>
    </row>
    <row r="491" spans="1:15" ht="15.75" x14ac:dyDescent="0.25">
      <c r="A491" s="588"/>
      <c r="B491" s="588"/>
      <c r="C491" s="588"/>
      <c r="D491" s="589"/>
      <c r="E491" s="588"/>
      <c r="F491" s="588"/>
      <c r="G491" s="590"/>
      <c r="H491" s="588"/>
      <c r="I491" s="591"/>
      <c r="J491" s="591"/>
      <c r="K491" s="591"/>
      <c r="L491" s="591"/>
      <c r="M491" s="588"/>
      <c r="N491" s="589"/>
      <c r="O491" s="589"/>
    </row>
    <row r="492" spans="1:15" ht="15.75" x14ac:dyDescent="0.25">
      <c r="A492" s="588"/>
      <c r="B492" s="588"/>
      <c r="C492" s="588"/>
      <c r="D492" s="589"/>
      <c r="E492" s="588"/>
      <c r="F492" s="588"/>
      <c r="G492" s="590"/>
      <c r="H492" s="588"/>
      <c r="I492" s="591"/>
      <c r="J492" s="591"/>
      <c r="K492" s="591"/>
      <c r="L492" s="591"/>
      <c r="M492" s="588"/>
      <c r="N492" s="589"/>
      <c r="O492" s="589"/>
    </row>
    <row r="493" spans="1:15" ht="15.75" x14ac:dyDescent="0.25">
      <c r="A493" s="588"/>
      <c r="B493" s="588"/>
      <c r="C493" s="588"/>
      <c r="D493" s="589"/>
      <c r="E493" s="588"/>
      <c r="F493" s="588"/>
      <c r="G493" s="590"/>
      <c r="H493" s="588"/>
      <c r="I493" s="591"/>
      <c r="J493" s="591"/>
      <c r="K493" s="591"/>
      <c r="L493" s="591"/>
      <c r="M493" s="588"/>
      <c r="N493" s="589"/>
      <c r="O493" s="589"/>
    </row>
    <row r="494" spans="1:15" ht="15.75" x14ac:dyDescent="0.25">
      <c r="A494" s="588"/>
      <c r="B494" s="588"/>
      <c r="C494" s="588"/>
      <c r="D494" s="589"/>
      <c r="E494" s="588"/>
      <c r="F494" s="588"/>
      <c r="G494" s="590"/>
      <c r="H494" s="588"/>
      <c r="I494" s="591"/>
      <c r="J494" s="591"/>
      <c r="K494" s="591"/>
      <c r="L494" s="591"/>
      <c r="M494" s="588"/>
      <c r="N494" s="589"/>
      <c r="O494" s="589"/>
    </row>
    <row r="495" spans="1:15" ht="15.75" x14ac:dyDescent="0.25">
      <c r="A495" s="588"/>
      <c r="B495" s="588"/>
      <c r="C495" s="588"/>
      <c r="D495" s="589"/>
      <c r="E495" s="588"/>
      <c r="F495" s="588"/>
      <c r="G495" s="590"/>
      <c r="H495" s="588"/>
      <c r="I495" s="591"/>
      <c r="J495" s="591"/>
      <c r="K495" s="591"/>
      <c r="L495" s="591"/>
      <c r="M495" s="588"/>
      <c r="N495" s="589"/>
      <c r="O495" s="589"/>
    </row>
    <row r="496" spans="1:15" ht="15.75" x14ac:dyDescent="0.25">
      <c r="A496" s="588"/>
      <c r="B496" s="588"/>
      <c r="C496" s="588"/>
      <c r="D496" s="589"/>
      <c r="E496" s="588"/>
      <c r="F496" s="588"/>
      <c r="G496" s="590"/>
      <c r="H496" s="588"/>
      <c r="I496" s="591"/>
      <c r="J496" s="591"/>
      <c r="K496" s="591"/>
      <c r="L496" s="591"/>
      <c r="M496" s="588"/>
      <c r="N496" s="589"/>
      <c r="O496" s="589"/>
    </row>
    <row r="497" spans="1:15" ht="15.75" x14ac:dyDescent="0.25">
      <c r="A497" s="588"/>
      <c r="B497" s="588"/>
      <c r="C497" s="588"/>
      <c r="D497" s="589"/>
      <c r="E497" s="588"/>
      <c r="F497" s="588"/>
      <c r="G497" s="590"/>
      <c r="H497" s="598"/>
      <c r="I497" s="591"/>
      <c r="J497" s="591"/>
      <c r="K497" s="591"/>
      <c r="L497" s="591"/>
      <c r="M497" s="588"/>
      <c r="N497" s="589"/>
      <c r="O497" s="589"/>
    </row>
    <row r="498" spans="1:15" ht="15.75" x14ac:dyDescent="0.25">
      <c r="A498" s="588"/>
      <c r="B498" s="588"/>
      <c r="C498" s="588"/>
      <c r="D498" s="589"/>
      <c r="E498" s="588"/>
      <c r="F498" s="588"/>
      <c r="G498" s="590"/>
      <c r="H498" s="588"/>
      <c r="I498" s="591"/>
      <c r="J498" s="591"/>
      <c r="K498" s="591"/>
      <c r="L498" s="591"/>
      <c r="M498" s="588"/>
      <c r="N498" s="589"/>
      <c r="O498" s="589"/>
    </row>
    <row r="499" spans="1:15" ht="15.75" x14ac:dyDescent="0.25">
      <c r="A499" s="588"/>
      <c r="B499" s="588"/>
      <c r="C499" s="588"/>
      <c r="D499" s="589"/>
      <c r="E499" s="588"/>
      <c r="F499" s="588"/>
      <c r="G499" s="590"/>
      <c r="H499" s="588"/>
      <c r="I499" s="591"/>
      <c r="J499" s="591"/>
      <c r="K499" s="591"/>
      <c r="L499" s="591"/>
      <c r="M499" s="588"/>
      <c r="N499" s="589"/>
      <c r="O499" s="589"/>
    </row>
    <row r="500" spans="1:15" ht="15.75" x14ac:dyDescent="0.25">
      <c r="A500" s="588"/>
      <c r="B500" s="588"/>
      <c r="C500" s="588"/>
      <c r="D500" s="589"/>
      <c r="E500" s="588"/>
      <c r="F500" s="588"/>
      <c r="G500" s="590"/>
      <c r="H500" s="588"/>
      <c r="I500" s="591"/>
      <c r="J500" s="591"/>
      <c r="K500" s="591"/>
      <c r="L500" s="591"/>
      <c r="M500" s="588"/>
      <c r="N500" s="589"/>
      <c r="O500" s="589"/>
    </row>
    <row r="501" spans="1:15" ht="15.75" x14ac:dyDescent="0.25">
      <c r="A501" s="588"/>
      <c r="B501" s="588"/>
      <c r="C501" s="588"/>
      <c r="D501" s="589"/>
      <c r="E501" s="588"/>
      <c r="F501" s="588"/>
      <c r="G501" s="590"/>
      <c r="H501" s="588"/>
      <c r="I501" s="591"/>
      <c r="J501" s="591"/>
      <c r="K501" s="591"/>
      <c r="L501" s="591"/>
      <c r="M501" s="588"/>
      <c r="N501" s="589"/>
      <c r="O501" s="589"/>
    </row>
    <row r="502" spans="1:15" ht="15.75" x14ac:dyDescent="0.25">
      <c r="A502" s="588"/>
      <c r="B502" s="588"/>
      <c r="C502" s="588"/>
      <c r="D502" s="589"/>
      <c r="E502" s="588"/>
      <c r="F502" s="588"/>
      <c r="G502" s="590"/>
      <c r="H502" s="588"/>
      <c r="I502" s="591"/>
      <c r="J502" s="591"/>
      <c r="K502" s="591"/>
      <c r="L502" s="591"/>
      <c r="M502" s="588"/>
      <c r="N502" s="589"/>
      <c r="O502" s="589"/>
    </row>
    <row r="503" spans="1:15" ht="15.75" x14ac:dyDescent="0.25">
      <c r="A503" s="588"/>
      <c r="B503" s="588"/>
      <c r="C503" s="588"/>
      <c r="D503" s="589"/>
      <c r="E503" s="588"/>
      <c r="F503" s="588"/>
      <c r="G503" s="590"/>
      <c r="H503" s="588"/>
      <c r="I503" s="591"/>
      <c r="J503" s="591"/>
      <c r="K503" s="591"/>
      <c r="L503" s="591"/>
      <c r="M503" s="588"/>
      <c r="N503" s="589"/>
      <c r="O503" s="589"/>
    </row>
    <row r="504" spans="1:15" ht="15.75" x14ac:dyDescent="0.25">
      <c r="A504" s="588"/>
      <c r="B504" s="588"/>
      <c r="C504" s="588"/>
      <c r="D504" s="589"/>
      <c r="E504" s="588"/>
      <c r="F504" s="588"/>
      <c r="G504" s="590"/>
      <c r="H504" s="588"/>
      <c r="I504" s="591"/>
      <c r="J504" s="591"/>
      <c r="K504" s="591"/>
      <c r="L504" s="591"/>
      <c r="M504" s="588"/>
      <c r="N504" s="589"/>
      <c r="O504" s="589"/>
    </row>
    <row r="505" spans="1:15" ht="15.75" x14ac:dyDescent="0.25">
      <c r="A505" s="588"/>
      <c r="B505" s="588"/>
      <c r="C505" s="588"/>
      <c r="D505" s="589"/>
      <c r="E505" s="588"/>
      <c r="F505" s="588"/>
      <c r="G505" s="590"/>
      <c r="H505" s="588"/>
      <c r="I505" s="591"/>
      <c r="J505" s="591"/>
      <c r="K505" s="591"/>
      <c r="L505" s="591"/>
      <c r="M505" s="588"/>
      <c r="N505" s="589"/>
      <c r="O505" s="589"/>
    </row>
    <row r="506" spans="1:15" ht="15.75" x14ac:dyDescent="0.25">
      <c r="A506" s="588"/>
      <c r="B506" s="588"/>
      <c r="C506" s="588"/>
      <c r="D506" s="589"/>
      <c r="E506" s="588"/>
      <c r="F506" s="588"/>
      <c r="G506" s="590"/>
      <c r="H506" s="588"/>
      <c r="I506" s="591"/>
      <c r="J506" s="591"/>
      <c r="K506" s="591"/>
      <c r="L506" s="591"/>
      <c r="M506" s="588"/>
      <c r="N506" s="589"/>
      <c r="O506" s="589"/>
    </row>
    <row r="507" spans="1:15" ht="15.75" x14ac:dyDescent="0.25">
      <c r="A507" s="588"/>
      <c r="B507" s="588"/>
      <c r="C507" s="588"/>
      <c r="D507" s="589"/>
      <c r="E507" s="588"/>
      <c r="F507" s="588"/>
      <c r="G507" s="590"/>
      <c r="H507" s="588"/>
      <c r="I507" s="591"/>
      <c r="J507" s="591"/>
      <c r="K507" s="591"/>
      <c r="L507" s="591"/>
      <c r="M507" s="588"/>
      <c r="N507" s="589"/>
      <c r="O507" s="589"/>
    </row>
    <row r="508" spans="1:15" ht="15.75" x14ac:dyDescent="0.25">
      <c r="A508" s="588"/>
      <c r="B508" s="588"/>
      <c r="C508" s="588"/>
      <c r="D508" s="589"/>
      <c r="E508" s="588"/>
      <c r="F508" s="588"/>
      <c r="G508" s="590"/>
      <c r="H508" s="588"/>
      <c r="I508" s="591"/>
      <c r="J508" s="591"/>
      <c r="K508" s="591"/>
      <c r="L508" s="591"/>
      <c r="M508" s="588"/>
      <c r="N508" s="589"/>
      <c r="O508" s="589"/>
    </row>
    <row r="509" spans="1:15" ht="15.75" x14ac:dyDescent="0.25">
      <c r="A509" s="588"/>
      <c r="B509" s="588"/>
      <c r="C509" s="588"/>
      <c r="D509" s="589"/>
      <c r="E509" s="588"/>
      <c r="F509" s="588"/>
      <c r="G509" s="590"/>
      <c r="H509" s="588"/>
      <c r="I509" s="591"/>
      <c r="J509" s="591"/>
      <c r="K509" s="591"/>
      <c r="L509" s="591"/>
      <c r="M509" s="588"/>
      <c r="N509" s="589"/>
      <c r="O509" s="589"/>
    </row>
    <row r="510" spans="1:15" ht="15.75" x14ac:dyDescent="0.25">
      <c r="A510" s="588"/>
      <c r="B510" s="588"/>
      <c r="C510" s="588"/>
      <c r="D510" s="589"/>
      <c r="E510" s="588"/>
      <c r="F510" s="588"/>
      <c r="G510" s="590"/>
      <c r="H510" s="588"/>
      <c r="I510" s="591"/>
      <c r="J510" s="591"/>
      <c r="K510" s="591"/>
      <c r="L510" s="591"/>
      <c r="M510" s="588"/>
      <c r="N510" s="589"/>
      <c r="O510" s="589"/>
    </row>
    <row r="511" spans="1:15" ht="15.75" x14ac:dyDescent="0.25">
      <c r="A511" s="588"/>
      <c r="B511" s="588"/>
      <c r="C511" s="588"/>
      <c r="D511" s="589"/>
      <c r="E511" s="588"/>
      <c r="F511" s="588"/>
      <c r="G511" s="590"/>
      <c r="H511" s="588"/>
      <c r="I511" s="591"/>
      <c r="J511" s="591"/>
      <c r="K511" s="591"/>
      <c r="L511" s="591"/>
      <c r="M511" s="588"/>
      <c r="N511" s="589"/>
      <c r="O511" s="589"/>
    </row>
    <row r="512" spans="1:15" ht="15.75" x14ac:dyDescent="0.25">
      <c r="A512" s="588"/>
      <c r="B512" s="588"/>
      <c r="C512" s="588"/>
      <c r="D512" s="589"/>
      <c r="E512" s="588"/>
      <c r="F512" s="588"/>
      <c r="G512" s="590"/>
      <c r="H512" s="588"/>
      <c r="I512" s="591"/>
      <c r="J512" s="591"/>
      <c r="K512" s="591"/>
      <c r="L512" s="591"/>
      <c r="M512" s="588"/>
      <c r="N512" s="589"/>
      <c r="O512" s="589"/>
    </row>
    <row r="513" spans="1:15" ht="15.75" x14ac:dyDescent="0.25">
      <c r="A513" s="588"/>
      <c r="B513" s="588"/>
      <c r="C513" s="588"/>
      <c r="D513" s="589"/>
      <c r="E513" s="588"/>
      <c r="F513" s="588"/>
      <c r="G513" s="590"/>
      <c r="H513" s="588"/>
      <c r="I513" s="591"/>
      <c r="J513" s="591"/>
      <c r="K513" s="591"/>
      <c r="L513" s="591"/>
      <c r="M513" s="588"/>
      <c r="N513" s="589"/>
      <c r="O513" s="589"/>
    </row>
    <row r="514" spans="1:15" ht="15.75" x14ac:dyDescent="0.25">
      <c r="A514" s="588"/>
      <c r="B514" s="588"/>
      <c r="C514" s="588"/>
      <c r="D514" s="589"/>
      <c r="E514" s="588"/>
      <c r="F514" s="588"/>
      <c r="G514" s="590"/>
      <c r="H514" s="588"/>
      <c r="I514" s="591"/>
      <c r="J514" s="591"/>
      <c r="K514" s="591"/>
      <c r="L514" s="591"/>
      <c r="M514" s="588"/>
      <c r="N514" s="589"/>
      <c r="O514" s="589"/>
    </row>
    <row r="515" spans="1:15" ht="15.75" x14ac:dyDescent="0.25">
      <c r="A515" s="588"/>
      <c r="B515" s="588"/>
      <c r="C515" s="588"/>
      <c r="D515" s="589"/>
      <c r="E515" s="588"/>
      <c r="F515" s="588"/>
      <c r="G515" s="590"/>
      <c r="H515" s="588"/>
      <c r="I515" s="591"/>
      <c r="J515" s="591"/>
      <c r="K515" s="591"/>
      <c r="L515" s="591"/>
      <c r="M515" s="588"/>
      <c r="N515" s="589"/>
      <c r="O515" s="589"/>
    </row>
    <row r="516" spans="1:15" ht="15.75" x14ac:dyDescent="0.25">
      <c r="A516" s="588"/>
      <c r="B516" s="588"/>
      <c r="C516" s="588"/>
      <c r="D516" s="589"/>
      <c r="E516" s="588"/>
      <c r="F516" s="588"/>
      <c r="G516" s="590"/>
      <c r="H516" s="588"/>
      <c r="I516" s="591"/>
      <c r="J516" s="591"/>
      <c r="K516" s="591"/>
      <c r="L516" s="591"/>
      <c r="M516" s="588"/>
      <c r="N516" s="589"/>
      <c r="O516" s="589"/>
    </row>
    <row r="517" spans="1:15" ht="15.75" x14ac:dyDescent="0.25">
      <c r="A517" s="588"/>
      <c r="B517" s="588"/>
      <c r="C517" s="588"/>
      <c r="D517" s="589"/>
      <c r="E517" s="588"/>
      <c r="F517" s="588"/>
      <c r="G517" s="590"/>
      <c r="H517" s="588"/>
      <c r="I517" s="591"/>
      <c r="J517" s="591"/>
      <c r="K517" s="591"/>
      <c r="L517" s="591"/>
      <c r="M517" s="588"/>
      <c r="N517" s="589"/>
      <c r="O517" s="589"/>
    </row>
    <row r="518" spans="1:15" ht="15.75" x14ac:dyDescent="0.25">
      <c r="A518" s="588"/>
      <c r="B518" s="588"/>
      <c r="C518" s="588"/>
      <c r="D518" s="589"/>
      <c r="E518" s="588"/>
      <c r="F518" s="588"/>
      <c r="G518" s="590"/>
      <c r="H518" s="588"/>
      <c r="I518" s="591"/>
      <c r="J518" s="591"/>
      <c r="K518" s="591"/>
      <c r="L518" s="591"/>
      <c r="M518" s="588"/>
      <c r="N518" s="589"/>
      <c r="O518" s="589"/>
    </row>
    <row r="519" spans="1:15" ht="15.75" x14ac:dyDescent="0.25">
      <c r="A519" s="588"/>
      <c r="B519" s="588"/>
      <c r="C519" s="588"/>
      <c r="D519" s="589"/>
      <c r="E519" s="588"/>
      <c r="F519" s="588"/>
      <c r="G519" s="590"/>
      <c r="H519" s="588"/>
      <c r="I519" s="591"/>
      <c r="J519" s="591"/>
      <c r="K519" s="591"/>
      <c r="L519" s="591"/>
      <c r="M519" s="588"/>
      <c r="N519" s="589"/>
      <c r="O519" s="589"/>
    </row>
    <row r="520" spans="1:15" ht="15.75" x14ac:dyDescent="0.25">
      <c r="A520" s="588"/>
      <c r="B520" s="588"/>
      <c r="C520" s="588"/>
      <c r="D520" s="589"/>
      <c r="E520" s="588"/>
      <c r="F520" s="588"/>
      <c r="G520" s="590"/>
      <c r="H520" s="588"/>
      <c r="I520" s="591"/>
      <c r="J520" s="591"/>
      <c r="K520" s="591"/>
      <c r="L520" s="591"/>
      <c r="M520" s="588"/>
      <c r="N520" s="589"/>
      <c r="O520" s="589"/>
    </row>
    <row r="521" spans="1:15" ht="15.75" x14ac:dyDescent="0.25">
      <c r="A521" s="588"/>
      <c r="B521" s="588"/>
      <c r="C521" s="588"/>
      <c r="D521" s="589"/>
      <c r="E521" s="588"/>
      <c r="F521" s="588"/>
      <c r="G521" s="590"/>
      <c r="H521" s="588"/>
      <c r="I521" s="591"/>
      <c r="J521" s="591"/>
      <c r="K521" s="591"/>
      <c r="L521" s="591"/>
      <c r="M521" s="588"/>
      <c r="N521" s="589"/>
      <c r="O521" s="589"/>
    </row>
    <row r="522" spans="1:15" ht="15.75" x14ac:dyDescent="0.25">
      <c r="A522" s="588"/>
      <c r="B522" s="588"/>
      <c r="C522" s="588"/>
      <c r="D522" s="589"/>
      <c r="E522" s="588"/>
      <c r="F522" s="588"/>
      <c r="G522" s="590"/>
      <c r="H522" s="588"/>
      <c r="I522" s="591"/>
      <c r="J522" s="591"/>
      <c r="K522" s="591"/>
      <c r="L522" s="591"/>
      <c r="M522" s="588"/>
      <c r="N522" s="589"/>
      <c r="O522" s="589"/>
    </row>
    <row r="523" spans="1:15" ht="15.75" x14ac:dyDescent="0.25">
      <c r="A523" s="588"/>
      <c r="B523" s="588"/>
      <c r="C523" s="588"/>
      <c r="D523" s="589"/>
      <c r="E523" s="588"/>
      <c r="F523" s="588"/>
      <c r="G523" s="590"/>
      <c r="H523" s="588"/>
      <c r="I523" s="591"/>
      <c r="J523" s="591"/>
      <c r="K523" s="591"/>
      <c r="L523" s="591"/>
      <c r="M523" s="588"/>
      <c r="N523" s="589"/>
      <c r="O523" s="589"/>
    </row>
    <row r="524" spans="1:15" ht="15.75" x14ac:dyDescent="0.25">
      <c r="A524" s="592"/>
      <c r="B524" s="592"/>
      <c r="C524" s="592"/>
      <c r="D524" s="593"/>
      <c r="E524" s="592"/>
      <c r="F524" s="592"/>
      <c r="G524" s="594"/>
      <c r="H524" s="598"/>
      <c r="I524" s="595"/>
      <c r="J524" s="595"/>
      <c r="K524" s="595"/>
      <c r="L524" s="595"/>
      <c r="M524" s="592"/>
      <c r="N524" s="593"/>
      <c r="O524" s="593"/>
    </row>
    <row r="526" spans="1:15" ht="15.75" x14ac:dyDescent="0.25">
      <c r="A526" s="592"/>
      <c r="B526" s="599"/>
      <c r="C526" s="592"/>
      <c r="D526" s="593"/>
      <c r="E526" s="592"/>
      <c r="F526" s="592"/>
      <c r="G526" s="594"/>
      <c r="H526" s="592"/>
      <c r="I526" s="595"/>
      <c r="J526" s="595"/>
      <c r="K526" s="595"/>
      <c r="L526" s="595"/>
      <c r="M526" s="592"/>
      <c r="N526" s="593"/>
      <c r="O526" s="593"/>
    </row>
    <row r="527" spans="1:15" x14ac:dyDescent="0.25">
      <c r="A527" s="470"/>
      <c r="B527" s="470"/>
      <c r="G527" s="600"/>
    </row>
    <row r="528" spans="1:15" x14ac:dyDescent="0.25">
      <c r="A528" s="470"/>
      <c r="B528" s="470"/>
      <c r="G528" s="470"/>
    </row>
  </sheetData>
  <pageMargins left="0.25" right="0.25" top="0.25" bottom="0.25" header="0" footer="0"/>
  <pageSetup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A7CA-0733-48A1-85D5-73D56D7A6DB2}">
  <sheetPr codeName="Sheet4"/>
  <dimension ref="A1:O169"/>
  <sheetViews>
    <sheetView workbookViewId="0"/>
  </sheetViews>
  <sheetFormatPr defaultColWidth="9.85546875" defaultRowHeight="15" x14ac:dyDescent="0.25"/>
  <cols>
    <col min="1" max="1" width="12.5703125" customWidth="1"/>
    <col min="2" max="2" width="53.140625" customWidth="1"/>
    <col min="3" max="14" width="14.85546875" bestFit="1" customWidth="1"/>
    <col min="15" max="15" width="15.85546875" bestFit="1" customWidth="1"/>
  </cols>
  <sheetData>
    <row r="1" spans="1:15" ht="23.25" x14ac:dyDescent="0.35">
      <c r="A1" s="603" t="s">
        <v>1415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x14ac:dyDescent="0.25">
      <c r="A2" s="642" t="s">
        <v>1416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 spans="1:15" x14ac:dyDescent="0.25">
      <c r="A3" s="642"/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</row>
    <row r="4" spans="1:15" ht="16.5" x14ac:dyDescent="0.25">
      <c r="A4" s="643" t="s">
        <v>1417</v>
      </c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</row>
    <row r="5" spans="1:15" ht="16.5" x14ac:dyDescent="0.25">
      <c r="A5" s="643" t="s">
        <v>1418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</row>
    <row r="6" spans="1:15" ht="16.5" x14ac:dyDescent="0.25">
      <c r="A6" s="643" t="s">
        <v>1419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</row>
    <row r="7" spans="1:15" ht="16.5" x14ac:dyDescent="0.25">
      <c r="A7" s="643" t="s">
        <v>1420</v>
      </c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</row>
    <row r="8" spans="1:15" ht="16.5" x14ac:dyDescent="0.25">
      <c r="A8" s="643" t="s">
        <v>1421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</row>
    <row r="9" spans="1:15" ht="16.5" x14ac:dyDescent="0.25">
      <c r="A9" s="643" t="s">
        <v>1422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</row>
    <row r="10" spans="1:15" ht="16.5" x14ac:dyDescent="0.25">
      <c r="A10" s="643" t="s">
        <v>1423</v>
      </c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</row>
    <row r="11" spans="1:15" x14ac:dyDescent="0.25">
      <c r="A11" s="604"/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604"/>
      <c r="N11" s="604"/>
      <c r="O11" s="604"/>
    </row>
    <row r="12" spans="1:15" ht="16.5" x14ac:dyDescent="0.25">
      <c r="A12" s="587" t="s">
        <v>1424</v>
      </c>
      <c r="B12" s="587" t="s">
        <v>1425</v>
      </c>
      <c r="C12" s="587" t="s">
        <v>1426</v>
      </c>
      <c r="D12" s="587" t="s">
        <v>1427</v>
      </c>
      <c r="E12" s="587" t="s">
        <v>1428</v>
      </c>
      <c r="F12" s="587" t="s">
        <v>1429</v>
      </c>
      <c r="G12" s="587" t="s">
        <v>1430</v>
      </c>
      <c r="H12" s="587" t="s">
        <v>1431</v>
      </c>
      <c r="I12" s="587" t="s">
        <v>1432</v>
      </c>
      <c r="J12" s="587" t="s">
        <v>1433</v>
      </c>
      <c r="K12" s="587" t="s">
        <v>1434</v>
      </c>
      <c r="L12" s="587" t="s">
        <v>1435</v>
      </c>
      <c r="M12" s="587" t="s">
        <v>1436</v>
      </c>
      <c r="N12" s="587" t="s">
        <v>1437</v>
      </c>
      <c r="O12" s="587" t="s">
        <v>21</v>
      </c>
    </row>
    <row r="13" spans="1:15" ht="15.75" x14ac:dyDescent="0.25">
      <c r="A13" s="592"/>
      <c r="B13" s="592" t="s">
        <v>1438</v>
      </c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595"/>
      <c r="O13" s="595"/>
    </row>
    <row r="14" spans="1:15" ht="15.75" x14ac:dyDescent="0.25">
      <c r="A14" s="592"/>
      <c r="B14" s="592" t="s">
        <v>173</v>
      </c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595"/>
      <c r="O14" s="595"/>
    </row>
    <row r="15" spans="1:15" ht="15.75" x14ac:dyDescent="0.25">
      <c r="A15" s="592"/>
      <c r="B15" s="592" t="s">
        <v>1439</v>
      </c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595"/>
      <c r="O15" s="595"/>
    </row>
    <row r="16" spans="1:15" ht="15.75" x14ac:dyDescent="0.25">
      <c r="A16" s="588" t="s">
        <v>1440</v>
      </c>
      <c r="B16" s="588" t="s">
        <v>1441</v>
      </c>
      <c r="C16" s="591">
        <v>1010104.91</v>
      </c>
      <c r="D16" s="591">
        <v>1022834</v>
      </c>
      <c r="E16" s="591">
        <v>1023194.69</v>
      </c>
      <c r="F16" s="591">
        <v>1024622.55</v>
      </c>
      <c r="G16" s="591">
        <v>1028082.51</v>
      </c>
      <c r="H16" s="591">
        <v>1029615.97</v>
      </c>
      <c r="I16" s="591">
        <v>1030093.67</v>
      </c>
      <c r="J16" s="591">
        <v>1030688.38</v>
      </c>
      <c r="K16" s="591">
        <v>1031356.28</v>
      </c>
      <c r="L16" s="591">
        <v>1031931.24</v>
      </c>
      <c r="M16" s="591">
        <v>1033899.59</v>
      </c>
      <c r="N16" s="591">
        <v>1035339.66</v>
      </c>
      <c r="O16" s="591">
        <v>12331763.449999999</v>
      </c>
    </row>
    <row r="17" spans="1:15" ht="15.75" x14ac:dyDescent="0.25">
      <c r="A17" s="588" t="s">
        <v>1442</v>
      </c>
      <c r="B17" s="588" t="s">
        <v>1443</v>
      </c>
      <c r="C17" s="591">
        <v>-5125</v>
      </c>
      <c r="D17" s="591">
        <v>-5413.37</v>
      </c>
      <c r="E17" s="591">
        <v>-5621.74</v>
      </c>
      <c r="F17" s="591">
        <v>-5621.74</v>
      </c>
      <c r="G17" s="591">
        <v>-5449.62</v>
      </c>
      <c r="H17" s="591">
        <v>-5449.62</v>
      </c>
      <c r="I17" s="591">
        <v>-5449.62</v>
      </c>
      <c r="J17" s="591">
        <v>-5449.62</v>
      </c>
      <c r="K17" s="591">
        <v>-5829.62</v>
      </c>
      <c r="L17" s="591">
        <v>-5992.12</v>
      </c>
      <c r="M17" s="591">
        <v>-5992.12</v>
      </c>
      <c r="N17" s="591">
        <v>-5992.12</v>
      </c>
      <c r="O17" s="591">
        <v>-67386.31</v>
      </c>
    </row>
    <row r="18" spans="1:15" ht="15.75" x14ac:dyDescent="0.25">
      <c r="A18" s="588" t="s">
        <v>1444</v>
      </c>
      <c r="B18" s="588" t="s">
        <v>1445</v>
      </c>
      <c r="C18" s="591">
        <v>-11419.04</v>
      </c>
      <c r="D18" s="591">
        <v>-21882.15</v>
      </c>
      <c r="E18" s="591">
        <v>-24323.7</v>
      </c>
      <c r="F18" s="591">
        <v>-17876.46</v>
      </c>
      <c r="G18" s="591">
        <v>-11790.66</v>
      </c>
      <c r="H18" s="591">
        <v>-16782.89</v>
      </c>
      <c r="I18" s="591">
        <v>-17383.830000000002</v>
      </c>
      <c r="J18" s="591">
        <v>-21465.19</v>
      </c>
      <c r="K18" s="591">
        <v>-18846.93</v>
      </c>
      <c r="L18" s="591">
        <v>-14556.77</v>
      </c>
      <c r="M18" s="591">
        <v>-9042.9</v>
      </c>
      <c r="N18" s="591">
        <v>-8070.33</v>
      </c>
      <c r="O18" s="591">
        <v>-193440.85</v>
      </c>
    </row>
    <row r="19" spans="1:15" ht="15.75" x14ac:dyDescent="0.25">
      <c r="A19" s="588" t="s">
        <v>1446</v>
      </c>
      <c r="B19" s="588" t="s">
        <v>1447</v>
      </c>
      <c r="C19" s="591">
        <v>-4516.62</v>
      </c>
      <c r="D19" s="591">
        <v>-4550</v>
      </c>
      <c r="E19" s="591">
        <v>-4550</v>
      </c>
      <c r="F19" s="591">
        <v>-4550</v>
      </c>
      <c r="G19" s="591">
        <v>-4550</v>
      </c>
      <c r="H19" s="591">
        <v>-4550</v>
      </c>
      <c r="I19" s="591">
        <v>-4550</v>
      </c>
      <c r="J19" s="591">
        <v>-4550</v>
      </c>
      <c r="K19" s="591">
        <v>-4550</v>
      </c>
      <c r="L19" s="591">
        <v>-4550</v>
      </c>
      <c r="M19" s="591">
        <v>-4550</v>
      </c>
      <c r="N19" s="591">
        <v>-4550</v>
      </c>
      <c r="O19" s="591">
        <v>-54566.62</v>
      </c>
    </row>
    <row r="20" spans="1:15" ht="15.75" x14ac:dyDescent="0.25">
      <c r="A20" s="588" t="s">
        <v>1448</v>
      </c>
      <c r="B20" s="588" t="s">
        <v>1449</v>
      </c>
      <c r="C20" s="591">
        <v>-101519.25</v>
      </c>
      <c r="D20" s="591">
        <v>-103859</v>
      </c>
      <c r="E20" s="591">
        <v>-94851.64</v>
      </c>
      <c r="F20" s="591">
        <v>-87548.35</v>
      </c>
      <c r="G20" s="591">
        <v>-79842.19</v>
      </c>
      <c r="H20" s="591">
        <v>-71108.39</v>
      </c>
      <c r="I20" s="591">
        <v>-59557</v>
      </c>
      <c r="J20" s="591">
        <v>-54865.79</v>
      </c>
      <c r="K20" s="591">
        <v>-46670</v>
      </c>
      <c r="L20" s="591">
        <v>-40747.14</v>
      </c>
      <c r="M20" s="591">
        <v>-35217.980000000003</v>
      </c>
      <c r="N20" s="591">
        <v>-28667.66</v>
      </c>
      <c r="O20" s="591">
        <v>-804454.39</v>
      </c>
    </row>
    <row r="21" spans="1:15" ht="15.75" x14ac:dyDescent="0.25">
      <c r="A21" s="592"/>
      <c r="B21" s="592" t="s">
        <v>1450</v>
      </c>
      <c r="C21" s="596">
        <v>887525</v>
      </c>
      <c r="D21" s="596">
        <v>887129.48</v>
      </c>
      <c r="E21" s="596">
        <v>893847.61</v>
      </c>
      <c r="F21" s="596">
        <v>909026</v>
      </c>
      <c r="G21" s="596">
        <v>926450.04</v>
      </c>
      <c r="H21" s="596">
        <v>931725.07</v>
      </c>
      <c r="I21" s="596">
        <v>943153.22</v>
      </c>
      <c r="J21" s="596">
        <v>944357.78</v>
      </c>
      <c r="K21" s="596">
        <v>955459.73</v>
      </c>
      <c r="L21" s="596">
        <v>966085.21</v>
      </c>
      <c r="M21" s="596">
        <v>979096.59</v>
      </c>
      <c r="N21" s="596">
        <v>988059.55</v>
      </c>
      <c r="O21" s="596">
        <v>11211915.279999999</v>
      </c>
    </row>
    <row r="22" spans="1:15" ht="15.75" x14ac:dyDescent="0.25">
      <c r="A22" s="592"/>
      <c r="B22" s="592" t="s">
        <v>1451</v>
      </c>
      <c r="C22" s="595"/>
      <c r="D22" s="595"/>
      <c r="E22" s="595"/>
      <c r="F22" s="595"/>
      <c r="G22" s="595"/>
      <c r="H22" s="595"/>
      <c r="I22" s="595"/>
      <c r="J22" s="595"/>
      <c r="K22" s="595"/>
      <c r="L22" s="595"/>
      <c r="M22" s="595"/>
      <c r="N22" s="595"/>
      <c r="O22" s="595"/>
    </row>
    <row r="23" spans="1:15" ht="15.75" x14ac:dyDescent="0.25">
      <c r="A23" s="588" t="s">
        <v>1452</v>
      </c>
      <c r="B23" s="588" t="s">
        <v>1453</v>
      </c>
      <c r="C23" s="591">
        <v>225.82</v>
      </c>
      <c r="D23" s="591">
        <v>0</v>
      </c>
      <c r="E23" s="591">
        <v>0</v>
      </c>
      <c r="F23" s="591">
        <v>0</v>
      </c>
      <c r="G23" s="591">
        <v>0</v>
      </c>
      <c r="H23" s="591">
        <v>0</v>
      </c>
      <c r="I23" s="591">
        <v>0</v>
      </c>
      <c r="J23" s="591">
        <v>-951.94</v>
      </c>
      <c r="K23" s="591">
        <v>0</v>
      </c>
      <c r="L23" s="591">
        <v>0</v>
      </c>
      <c r="M23" s="591">
        <v>445.23</v>
      </c>
      <c r="N23" s="591">
        <v>0</v>
      </c>
      <c r="O23" s="591">
        <v>-280.89</v>
      </c>
    </row>
    <row r="24" spans="1:15" ht="15.75" x14ac:dyDescent="0.25">
      <c r="A24" s="588" t="s">
        <v>1454</v>
      </c>
      <c r="B24" s="588" t="s">
        <v>1455</v>
      </c>
      <c r="C24" s="591">
        <v>37772.239999999998</v>
      </c>
      <c r="D24" s="591">
        <v>36305.839999999997</v>
      </c>
      <c r="E24" s="591">
        <v>32775.480000000003</v>
      </c>
      <c r="F24" s="591">
        <v>29421.599999999999</v>
      </c>
      <c r="G24" s="591">
        <v>25511.67</v>
      </c>
      <c r="H24" s="591">
        <v>21895.96</v>
      </c>
      <c r="I24" s="591">
        <v>18430</v>
      </c>
      <c r="J24" s="591">
        <v>15673.56</v>
      </c>
      <c r="K24" s="591">
        <v>12936.78</v>
      </c>
      <c r="L24" s="591">
        <v>10537.15</v>
      </c>
      <c r="M24" s="591">
        <v>7747.1</v>
      </c>
      <c r="N24" s="591">
        <v>4608</v>
      </c>
      <c r="O24" s="591">
        <v>253615.38</v>
      </c>
    </row>
    <row r="25" spans="1:15" ht="15.75" x14ac:dyDescent="0.25">
      <c r="A25" s="588" t="s">
        <v>1456</v>
      </c>
      <c r="B25" s="588" t="s">
        <v>1457</v>
      </c>
      <c r="C25" s="591">
        <v>420</v>
      </c>
      <c r="D25" s="591">
        <v>315</v>
      </c>
      <c r="E25" s="591">
        <v>225</v>
      </c>
      <c r="F25" s="591">
        <v>420</v>
      </c>
      <c r="G25" s="591">
        <v>320</v>
      </c>
      <c r="H25" s="591">
        <v>195</v>
      </c>
      <c r="I25" s="591">
        <v>405</v>
      </c>
      <c r="J25" s="591">
        <v>225</v>
      </c>
      <c r="K25" s="591">
        <v>180</v>
      </c>
      <c r="L25" s="591">
        <v>270</v>
      </c>
      <c r="M25" s="591">
        <v>390</v>
      </c>
      <c r="N25" s="591">
        <v>195</v>
      </c>
      <c r="O25" s="591">
        <v>3560</v>
      </c>
    </row>
    <row r="26" spans="1:15" ht="15.75" x14ac:dyDescent="0.25">
      <c r="A26" s="588" t="s">
        <v>1458</v>
      </c>
      <c r="B26" s="588" t="s">
        <v>1459</v>
      </c>
      <c r="C26" s="591">
        <v>0</v>
      </c>
      <c r="D26" s="591">
        <v>210</v>
      </c>
      <c r="E26" s="591">
        <v>140</v>
      </c>
      <c r="F26" s="591">
        <v>70</v>
      </c>
      <c r="G26" s="591">
        <v>245</v>
      </c>
      <c r="H26" s="591">
        <v>35</v>
      </c>
      <c r="I26" s="591">
        <v>35</v>
      </c>
      <c r="J26" s="591">
        <v>35</v>
      </c>
      <c r="K26" s="591">
        <v>210</v>
      </c>
      <c r="L26" s="591">
        <v>105</v>
      </c>
      <c r="M26" s="591">
        <v>175</v>
      </c>
      <c r="N26" s="591">
        <v>70</v>
      </c>
      <c r="O26" s="591">
        <v>1330</v>
      </c>
    </row>
    <row r="27" spans="1:15" ht="15.75" x14ac:dyDescent="0.25">
      <c r="A27" s="588" t="s">
        <v>1460</v>
      </c>
      <c r="B27" s="588" t="s">
        <v>1461</v>
      </c>
      <c r="C27" s="591">
        <v>900</v>
      </c>
      <c r="D27" s="591">
        <v>950</v>
      </c>
      <c r="E27" s="591">
        <v>750</v>
      </c>
      <c r="F27" s="591">
        <v>1200</v>
      </c>
      <c r="G27" s="591">
        <v>1250</v>
      </c>
      <c r="H27" s="591">
        <v>1300</v>
      </c>
      <c r="I27" s="591">
        <v>1450</v>
      </c>
      <c r="J27" s="591">
        <v>950</v>
      </c>
      <c r="K27" s="591">
        <v>1350</v>
      </c>
      <c r="L27" s="591">
        <v>700</v>
      </c>
      <c r="M27" s="591">
        <v>1100</v>
      </c>
      <c r="N27" s="591">
        <v>1150</v>
      </c>
      <c r="O27" s="591">
        <v>13050</v>
      </c>
    </row>
    <row r="28" spans="1:15" ht="15.75" x14ac:dyDescent="0.25">
      <c r="A28" s="588" t="s">
        <v>1462</v>
      </c>
      <c r="B28" s="588" t="s">
        <v>1463</v>
      </c>
      <c r="C28" s="591">
        <v>4393.55</v>
      </c>
      <c r="D28" s="591">
        <v>3836.68</v>
      </c>
      <c r="E28" s="591">
        <v>3850</v>
      </c>
      <c r="F28" s="591">
        <v>4393.55</v>
      </c>
      <c r="G28" s="591">
        <v>3841.67</v>
      </c>
      <c r="H28" s="591">
        <v>4890.32</v>
      </c>
      <c r="I28" s="591">
        <v>3865</v>
      </c>
      <c r="J28" s="591">
        <v>3581.45</v>
      </c>
      <c r="K28" s="591">
        <v>3679.03</v>
      </c>
      <c r="L28" s="591">
        <v>3250</v>
      </c>
      <c r="M28" s="591">
        <v>3791.93</v>
      </c>
      <c r="N28" s="591">
        <v>3250</v>
      </c>
      <c r="O28" s="591">
        <v>46623.18</v>
      </c>
    </row>
    <row r="29" spans="1:15" ht="15.75" x14ac:dyDescent="0.25">
      <c r="A29" s="588" t="s">
        <v>1464</v>
      </c>
      <c r="B29" s="588" t="s">
        <v>1465</v>
      </c>
      <c r="C29" s="591">
        <v>3715.32</v>
      </c>
      <c r="D29" s="591">
        <v>3108.32</v>
      </c>
      <c r="E29" s="591">
        <v>3802.42</v>
      </c>
      <c r="F29" s="591">
        <v>3571.77</v>
      </c>
      <c r="G29" s="591">
        <v>3166.66</v>
      </c>
      <c r="H29" s="591">
        <v>3731.44</v>
      </c>
      <c r="I29" s="591">
        <v>3515</v>
      </c>
      <c r="J29" s="591">
        <v>3735.48</v>
      </c>
      <c r="K29" s="591">
        <v>2895.16</v>
      </c>
      <c r="L29" s="591">
        <v>3312.5</v>
      </c>
      <c r="M29" s="591">
        <v>3594.35</v>
      </c>
      <c r="N29" s="591">
        <v>3092.5</v>
      </c>
      <c r="O29" s="591">
        <v>41240.92</v>
      </c>
    </row>
    <row r="30" spans="1:15" ht="15.75" x14ac:dyDescent="0.25">
      <c r="A30" s="588" t="s">
        <v>1466</v>
      </c>
      <c r="B30" s="588" t="s">
        <v>1467</v>
      </c>
      <c r="C30" s="591">
        <v>0</v>
      </c>
      <c r="D30" s="591">
        <v>75</v>
      </c>
      <c r="E30" s="591">
        <v>175</v>
      </c>
      <c r="F30" s="591">
        <v>175</v>
      </c>
      <c r="G30" s="591">
        <v>225</v>
      </c>
      <c r="H30" s="591">
        <v>145</v>
      </c>
      <c r="I30" s="591">
        <v>125</v>
      </c>
      <c r="J30" s="591">
        <v>100</v>
      </c>
      <c r="K30" s="591">
        <v>100</v>
      </c>
      <c r="L30" s="591">
        <v>100</v>
      </c>
      <c r="M30" s="591">
        <v>225</v>
      </c>
      <c r="N30" s="591">
        <v>25</v>
      </c>
      <c r="O30" s="591">
        <v>1470</v>
      </c>
    </row>
    <row r="31" spans="1:15" ht="15.75" x14ac:dyDescent="0.25">
      <c r="A31" s="588" t="s">
        <v>1468</v>
      </c>
      <c r="B31" s="588" t="s">
        <v>1469</v>
      </c>
      <c r="C31" s="591">
        <v>0</v>
      </c>
      <c r="D31" s="591">
        <v>0</v>
      </c>
      <c r="E31" s="591">
        <v>0</v>
      </c>
      <c r="F31" s="591">
        <v>0</v>
      </c>
      <c r="G31" s="591">
        <v>0</v>
      </c>
      <c r="H31" s="591">
        <v>0</v>
      </c>
      <c r="I31" s="591">
        <v>0</v>
      </c>
      <c r="J31" s="591">
        <v>0</v>
      </c>
      <c r="K31" s="591">
        <v>0</v>
      </c>
      <c r="L31" s="591">
        <v>0</v>
      </c>
      <c r="M31" s="591">
        <v>0</v>
      </c>
      <c r="N31" s="591">
        <v>349.38</v>
      </c>
      <c r="O31" s="591">
        <v>349.38</v>
      </c>
    </row>
    <row r="32" spans="1:15" ht="15.75" x14ac:dyDescent="0.25">
      <c r="A32" s="588" t="s">
        <v>1470</v>
      </c>
      <c r="B32" s="588" t="s">
        <v>1471</v>
      </c>
      <c r="C32" s="591">
        <v>11225.77</v>
      </c>
      <c r="D32" s="591">
        <v>10073.67</v>
      </c>
      <c r="E32" s="591">
        <v>10998.91</v>
      </c>
      <c r="F32" s="591">
        <v>10386.98</v>
      </c>
      <c r="G32" s="591">
        <v>11928.3</v>
      </c>
      <c r="H32" s="591">
        <v>11559.3</v>
      </c>
      <c r="I32" s="591">
        <v>10852.35</v>
      </c>
      <c r="J32" s="591">
        <v>12165.53</v>
      </c>
      <c r="K32" s="591">
        <v>9129.57</v>
      </c>
      <c r="L32" s="591">
        <v>11600.72</v>
      </c>
      <c r="M32" s="591">
        <v>12444.38</v>
      </c>
      <c r="N32" s="591">
        <v>11033.98</v>
      </c>
      <c r="O32" s="591">
        <v>133399.46</v>
      </c>
    </row>
    <row r="33" spans="1:15" ht="15.75" x14ac:dyDescent="0.25">
      <c r="A33" s="588" t="s">
        <v>1472</v>
      </c>
      <c r="B33" s="588" t="s">
        <v>1473</v>
      </c>
      <c r="C33" s="591">
        <v>0</v>
      </c>
      <c r="D33" s="591">
        <v>0</v>
      </c>
      <c r="E33" s="591">
        <v>0</v>
      </c>
      <c r="F33" s="591">
        <v>40</v>
      </c>
      <c r="G33" s="591">
        <v>0</v>
      </c>
      <c r="H33" s="591">
        <v>0</v>
      </c>
      <c r="I33" s="591">
        <v>0</v>
      </c>
      <c r="J33" s="591">
        <v>0</v>
      </c>
      <c r="K33" s="591">
        <v>0</v>
      </c>
      <c r="L33" s="591">
        <v>0</v>
      </c>
      <c r="M33" s="591">
        <v>0</v>
      </c>
      <c r="N33" s="591">
        <v>0</v>
      </c>
      <c r="O33" s="591">
        <v>40</v>
      </c>
    </row>
    <row r="34" spans="1:15" ht="15.75" x14ac:dyDescent="0.25">
      <c r="A34" s="588" t="s">
        <v>1474</v>
      </c>
      <c r="B34" s="588" t="s">
        <v>1475</v>
      </c>
      <c r="C34" s="591">
        <v>2365.3200000000002</v>
      </c>
      <c r="D34" s="591">
        <v>2345.83</v>
      </c>
      <c r="E34" s="591">
        <v>2325</v>
      </c>
      <c r="F34" s="591">
        <v>2321.77</v>
      </c>
      <c r="G34" s="591">
        <v>2320.83</v>
      </c>
      <c r="H34" s="591">
        <v>2275.81</v>
      </c>
      <c r="I34" s="591">
        <v>2350</v>
      </c>
      <c r="J34" s="591">
        <v>2300</v>
      </c>
      <c r="K34" s="591">
        <v>2271.77</v>
      </c>
      <c r="L34" s="591">
        <v>2250</v>
      </c>
      <c r="M34" s="591">
        <v>2266.94</v>
      </c>
      <c r="N34" s="591">
        <v>2270</v>
      </c>
      <c r="O34" s="591">
        <v>27663.27</v>
      </c>
    </row>
    <row r="35" spans="1:15" ht="15.75" x14ac:dyDescent="0.25">
      <c r="A35" s="592"/>
      <c r="B35" s="592" t="s">
        <v>1476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</row>
    <row r="36" spans="1:15" ht="15.75" x14ac:dyDescent="0.25">
      <c r="A36" s="588" t="s">
        <v>1477</v>
      </c>
      <c r="B36" s="588" t="s">
        <v>1478</v>
      </c>
      <c r="C36" s="591">
        <v>0</v>
      </c>
      <c r="D36" s="591">
        <v>175</v>
      </c>
      <c r="E36" s="591">
        <v>170</v>
      </c>
      <c r="F36" s="591">
        <v>0</v>
      </c>
      <c r="G36" s="591">
        <v>0</v>
      </c>
      <c r="H36" s="591">
        <v>365</v>
      </c>
      <c r="I36" s="591">
        <v>0</v>
      </c>
      <c r="J36" s="591">
        <v>185</v>
      </c>
      <c r="K36" s="591">
        <v>0</v>
      </c>
      <c r="L36" s="591">
        <v>0</v>
      </c>
      <c r="M36" s="591">
        <v>475</v>
      </c>
      <c r="N36" s="591">
        <v>0</v>
      </c>
      <c r="O36" s="591">
        <v>1370</v>
      </c>
    </row>
    <row r="37" spans="1:15" ht="15.75" x14ac:dyDescent="0.25">
      <c r="A37" s="588" t="s">
        <v>1479</v>
      </c>
      <c r="B37" s="588" t="s">
        <v>1480</v>
      </c>
      <c r="C37" s="591">
        <v>0</v>
      </c>
      <c r="D37" s="591">
        <v>289.08</v>
      </c>
      <c r="E37" s="591">
        <v>0</v>
      </c>
      <c r="F37" s="591">
        <v>0</v>
      </c>
      <c r="G37" s="591">
        <v>0</v>
      </c>
      <c r="H37" s="591">
        <v>0</v>
      </c>
      <c r="I37" s="591">
        <v>0</v>
      </c>
      <c r="J37" s="591">
        <v>0</v>
      </c>
      <c r="K37" s="591">
        <v>0</v>
      </c>
      <c r="L37" s="591">
        <v>0</v>
      </c>
      <c r="M37" s="591">
        <v>0</v>
      </c>
      <c r="N37" s="591">
        <v>0</v>
      </c>
      <c r="O37" s="591">
        <v>289.08</v>
      </c>
    </row>
    <row r="38" spans="1:15" ht="15.75" x14ac:dyDescent="0.25">
      <c r="A38" s="588" t="s">
        <v>1481</v>
      </c>
      <c r="B38" s="588" t="s">
        <v>1482</v>
      </c>
      <c r="C38" s="591">
        <v>200</v>
      </c>
      <c r="D38" s="591">
        <v>1700</v>
      </c>
      <c r="E38" s="591">
        <v>1000</v>
      </c>
      <c r="F38" s="591">
        <v>0</v>
      </c>
      <c r="G38" s="591">
        <v>0</v>
      </c>
      <c r="H38" s="591">
        <v>0</v>
      </c>
      <c r="I38" s="591">
        <v>100</v>
      </c>
      <c r="J38" s="591">
        <v>656.94</v>
      </c>
      <c r="K38" s="591">
        <v>0</v>
      </c>
      <c r="L38" s="591">
        <v>0</v>
      </c>
      <c r="M38" s="591">
        <v>0</v>
      </c>
      <c r="N38" s="591">
        <v>0</v>
      </c>
      <c r="O38" s="591">
        <v>3656.94</v>
      </c>
    </row>
    <row r="39" spans="1:15" ht="15.75" x14ac:dyDescent="0.25">
      <c r="A39" s="588" t="s">
        <v>1483</v>
      </c>
      <c r="B39" s="588" t="s">
        <v>1484</v>
      </c>
      <c r="C39" s="591">
        <v>549</v>
      </c>
      <c r="D39" s="591">
        <v>2944</v>
      </c>
      <c r="E39" s="591">
        <v>737</v>
      </c>
      <c r="F39" s="591">
        <v>325</v>
      </c>
      <c r="G39" s="591">
        <v>0</v>
      </c>
      <c r="H39" s="591">
        <v>978</v>
      </c>
      <c r="I39" s="591">
        <v>412</v>
      </c>
      <c r="J39" s="591">
        <v>275</v>
      </c>
      <c r="K39" s="591">
        <v>300</v>
      </c>
      <c r="L39" s="591">
        <v>0</v>
      </c>
      <c r="M39" s="591">
        <v>205</v>
      </c>
      <c r="N39" s="591">
        <v>0</v>
      </c>
      <c r="O39" s="591">
        <v>6725</v>
      </c>
    </row>
    <row r="40" spans="1:15" ht="15.75" x14ac:dyDescent="0.25">
      <c r="A40" s="592"/>
      <c r="B40" s="592" t="s">
        <v>1485</v>
      </c>
      <c r="C40" s="596">
        <v>749</v>
      </c>
      <c r="D40" s="596">
        <v>5108.08</v>
      </c>
      <c r="E40" s="596">
        <v>1907</v>
      </c>
      <c r="F40" s="596">
        <v>325</v>
      </c>
      <c r="G40" s="596">
        <v>0</v>
      </c>
      <c r="H40" s="596">
        <v>1343</v>
      </c>
      <c r="I40" s="596">
        <v>512</v>
      </c>
      <c r="J40" s="596">
        <v>1116.94</v>
      </c>
      <c r="K40" s="596">
        <v>300</v>
      </c>
      <c r="L40" s="596">
        <v>0</v>
      </c>
      <c r="M40" s="596">
        <v>680</v>
      </c>
      <c r="N40" s="596">
        <v>0</v>
      </c>
      <c r="O40" s="596">
        <v>12041.02</v>
      </c>
    </row>
    <row r="41" spans="1:15" ht="15.75" x14ac:dyDescent="0.25">
      <c r="A41" s="588" t="s">
        <v>1486</v>
      </c>
      <c r="B41" s="588" t="s">
        <v>1487</v>
      </c>
      <c r="C41" s="591">
        <v>4765</v>
      </c>
      <c r="D41" s="591">
        <v>1815</v>
      </c>
      <c r="E41" s="591">
        <v>7865</v>
      </c>
      <c r="F41" s="591">
        <v>0</v>
      </c>
      <c r="G41" s="591">
        <v>4780</v>
      </c>
      <c r="H41" s="591">
        <v>3720</v>
      </c>
      <c r="I41" s="591">
        <v>7870</v>
      </c>
      <c r="J41" s="591">
        <v>2220</v>
      </c>
      <c r="K41" s="591">
        <v>7810</v>
      </c>
      <c r="L41" s="591">
        <v>1400</v>
      </c>
      <c r="M41" s="591">
        <v>3845</v>
      </c>
      <c r="N41" s="591">
        <v>0</v>
      </c>
      <c r="O41" s="591">
        <v>46090</v>
      </c>
    </row>
    <row r="42" spans="1:15" ht="15.75" x14ac:dyDescent="0.25">
      <c r="A42" s="588" t="s">
        <v>1488</v>
      </c>
      <c r="B42" s="588" t="s">
        <v>1489</v>
      </c>
      <c r="C42" s="591">
        <v>1500</v>
      </c>
      <c r="D42" s="591">
        <v>0</v>
      </c>
      <c r="E42" s="591">
        <v>0</v>
      </c>
      <c r="F42" s="591">
        <v>2000</v>
      </c>
      <c r="G42" s="591">
        <v>1000</v>
      </c>
      <c r="H42" s="591">
        <v>500</v>
      </c>
      <c r="I42" s="591">
        <v>500</v>
      </c>
      <c r="J42" s="591">
        <v>1000</v>
      </c>
      <c r="K42" s="591">
        <v>0</v>
      </c>
      <c r="L42" s="591">
        <v>1000</v>
      </c>
      <c r="M42" s="591">
        <v>0</v>
      </c>
      <c r="N42" s="591">
        <v>500</v>
      </c>
      <c r="O42" s="591">
        <v>8000</v>
      </c>
    </row>
    <row r="43" spans="1:15" ht="15.75" x14ac:dyDescent="0.25">
      <c r="A43" s="588" t="s">
        <v>1490</v>
      </c>
      <c r="B43" s="588" t="s">
        <v>1491</v>
      </c>
      <c r="C43" s="591">
        <v>-9.5</v>
      </c>
      <c r="D43" s="591">
        <v>-8.5</v>
      </c>
      <c r="E43" s="591">
        <v>-7.5</v>
      </c>
      <c r="F43" s="591">
        <v>-9.5</v>
      </c>
      <c r="G43" s="591">
        <v>-8.5</v>
      </c>
      <c r="H43" s="591">
        <v>0</v>
      </c>
      <c r="I43" s="591">
        <v>21</v>
      </c>
      <c r="J43" s="591">
        <v>-62</v>
      </c>
      <c r="K43" s="591">
        <v>-51.5</v>
      </c>
      <c r="L43" s="591">
        <v>0</v>
      </c>
      <c r="M43" s="591">
        <v>0</v>
      </c>
      <c r="N43" s="591">
        <v>0</v>
      </c>
      <c r="O43" s="591">
        <v>-136</v>
      </c>
    </row>
    <row r="44" spans="1:15" ht="15.75" x14ac:dyDescent="0.25">
      <c r="A44" s="588" t="s">
        <v>1492</v>
      </c>
      <c r="B44" s="588" t="s">
        <v>1493</v>
      </c>
      <c r="C44" s="591">
        <v>36</v>
      </c>
      <c r="D44" s="591">
        <v>33</v>
      </c>
      <c r="E44" s="591">
        <v>30</v>
      </c>
      <c r="F44" s="591">
        <v>27</v>
      </c>
      <c r="G44" s="591">
        <v>24</v>
      </c>
      <c r="H44" s="591">
        <v>24</v>
      </c>
      <c r="I44" s="591">
        <v>30</v>
      </c>
      <c r="J44" s="591">
        <v>18</v>
      </c>
      <c r="K44" s="591">
        <v>0</v>
      </c>
      <c r="L44" s="591">
        <v>0</v>
      </c>
      <c r="M44" s="591">
        <v>0</v>
      </c>
      <c r="N44" s="591">
        <v>0</v>
      </c>
      <c r="O44" s="591">
        <v>222</v>
      </c>
    </row>
    <row r="45" spans="1:15" ht="15.75" x14ac:dyDescent="0.25">
      <c r="A45" s="588" t="s">
        <v>1494</v>
      </c>
      <c r="B45" s="588" t="s">
        <v>1495</v>
      </c>
      <c r="C45" s="591">
        <v>1407.1</v>
      </c>
      <c r="D45" s="591">
        <v>1380</v>
      </c>
      <c r="E45" s="591">
        <v>1426.45</v>
      </c>
      <c r="F45" s="591">
        <v>1410</v>
      </c>
      <c r="G45" s="591">
        <v>1435</v>
      </c>
      <c r="H45" s="591">
        <v>1436.13</v>
      </c>
      <c r="I45" s="591">
        <v>1440</v>
      </c>
      <c r="J45" s="591">
        <v>1413.87</v>
      </c>
      <c r="K45" s="591">
        <v>1440</v>
      </c>
      <c r="L45" s="591">
        <v>1464.64</v>
      </c>
      <c r="M45" s="591">
        <v>1495.16</v>
      </c>
      <c r="N45" s="591">
        <v>1500</v>
      </c>
      <c r="O45" s="591">
        <v>17248.349999999999</v>
      </c>
    </row>
    <row r="46" spans="1:15" ht="15.75" x14ac:dyDescent="0.25">
      <c r="A46" s="592"/>
      <c r="B46" s="592" t="s">
        <v>1496</v>
      </c>
      <c r="C46" s="596">
        <v>69465.62</v>
      </c>
      <c r="D46" s="596">
        <v>65547.92</v>
      </c>
      <c r="E46" s="596">
        <v>66262.759999999995</v>
      </c>
      <c r="F46" s="596">
        <v>55753.17</v>
      </c>
      <c r="G46" s="596">
        <v>56039.63</v>
      </c>
      <c r="H46" s="596">
        <v>53050.96</v>
      </c>
      <c r="I46" s="596">
        <v>51400.35</v>
      </c>
      <c r="J46" s="596">
        <v>43520.89</v>
      </c>
      <c r="K46" s="596">
        <v>42250.81</v>
      </c>
      <c r="L46" s="596">
        <v>35990.01</v>
      </c>
      <c r="M46" s="596">
        <v>38200.089999999997</v>
      </c>
      <c r="N46" s="596">
        <v>28043.86</v>
      </c>
      <c r="O46" s="596">
        <v>605526.06999999995</v>
      </c>
    </row>
    <row r="47" spans="1:15" ht="15.75" x14ac:dyDescent="0.25">
      <c r="A47" s="592"/>
      <c r="B47" s="592" t="s">
        <v>1497</v>
      </c>
      <c r="C47" s="596">
        <v>956990.62</v>
      </c>
      <c r="D47" s="596">
        <v>952677.4</v>
      </c>
      <c r="E47" s="596">
        <v>960110.37</v>
      </c>
      <c r="F47" s="596">
        <v>964779.17</v>
      </c>
      <c r="G47" s="596">
        <v>982489.67</v>
      </c>
      <c r="H47" s="596">
        <v>984776.03</v>
      </c>
      <c r="I47" s="596">
        <v>994553.57</v>
      </c>
      <c r="J47" s="596">
        <v>987878.67</v>
      </c>
      <c r="K47" s="596">
        <v>997710.54</v>
      </c>
      <c r="L47" s="596">
        <v>1002075.22</v>
      </c>
      <c r="M47" s="596">
        <v>1017296.68</v>
      </c>
      <c r="N47" s="596">
        <v>1016103.41</v>
      </c>
      <c r="O47" s="596">
        <v>11817441.35</v>
      </c>
    </row>
    <row r="48" spans="1:15" ht="15.75" x14ac:dyDescent="0.25">
      <c r="A48" s="592"/>
      <c r="B48" s="592" t="s">
        <v>174</v>
      </c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</row>
    <row r="49" spans="1:15" ht="15.75" x14ac:dyDescent="0.25">
      <c r="A49" s="592"/>
      <c r="B49" s="592" t="s">
        <v>1498</v>
      </c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/>
      <c r="O49" s="595"/>
    </row>
    <row r="50" spans="1:15" ht="15.75" x14ac:dyDescent="0.25">
      <c r="A50" s="588" t="s">
        <v>1499</v>
      </c>
      <c r="B50" s="588" t="s">
        <v>1500</v>
      </c>
      <c r="C50" s="591">
        <v>67272.039999999994</v>
      </c>
      <c r="D50" s="591">
        <v>64084.28</v>
      </c>
      <c r="E50" s="591">
        <v>66883.06</v>
      </c>
      <c r="F50" s="591">
        <v>101130.34</v>
      </c>
      <c r="G50" s="591">
        <v>66987.16</v>
      </c>
      <c r="H50" s="591">
        <v>67665.490000000005</v>
      </c>
      <c r="I50" s="591">
        <v>68729.06</v>
      </c>
      <c r="J50" s="591">
        <v>63397.07</v>
      </c>
      <c r="K50" s="591">
        <v>95679.37</v>
      </c>
      <c r="L50" s="591">
        <v>67488.490000000005</v>
      </c>
      <c r="M50" s="591">
        <v>68209.06</v>
      </c>
      <c r="N50" s="591">
        <v>70785.460000000006</v>
      </c>
      <c r="O50" s="591">
        <v>868310.88</v>
      </c>
    </row>
    <row r="51" spans="1:15" ht="15.75" x14ac:dyDescent="0.25">
      <c r="A51" s="588" t="s">
        <v>1501</v>
      </c>
      <c r="B51" s="588" t="s">
        <v>1502</v>
      </c>
      <c r="C51" s="591">
        <v>2222.3000000000002</v>
      </c>
      <c r="D51" s="591">
        <v>2380.19</v>
      </c>
      <c r="E51" s="591">
        <v>2005.13</v>
      </c>
      <c r="F51" s="591">
        <v>3162.09</v>
      </c>
      <c r="G51" s="591">
        <v>2297.88</v>
      </c>
      <c r="H51" s="591">
        <v>1981.22</v>
      </c>
      <c r="I51" s="591">
        <v>1833.82</v>
      </c>
      <c r="J51" s="591">
        <v>2542.46</v>
      </c>
      <c r="K51" s="591">
        <v>5904.94</v>
      </c>
      <c r="L51" s="591">
        <v>4229.42</v>
      </c>
      <c r="M51" s="591">
        <v>1870.26</v>
      </c>
      <c r="N51" s="591">
        <v>1938.3</v>
      </c>
      <c r="O51" s="591">
        <v>32368.01</v>
      </c>
    </row>
    <row r="52" spans="1:15" ht="15.75" x14ac:dyDescent="0.25">
      <c r="A52" s="588" t="s">
        <v>1503</v>
      </c>
      <c r="B52" s="588" t="s">
        <v>1504</v>
      </c>
      <c r="C52" s="591">
        <v>8067.02</v>
      </c>
      <c r="D52" s="591">
        <v>19535.91</v>
      </c>
      <c r="E52" s="591">
        <v>5057.1899999999996</v>
      </c>
      <c r="F52" s="591">
        <v>4801.9399999999996</v>
      </c>
      <c r="G52" s="591">
        <v>3333.97</v>
      </c>
      <c r="H52" s="591">
        <v>1447.8</v>
      </c>
      <c r="I52" s="591">
        <v>1567.46</v>
      </c>
      <c r="J52" s="591">
        <v>50266.61</v>
      </c>
      <c r="K52" s="591">
        <v>16426.759999999998</v>
      </c>
      <c r="L52" s="591">
        <v>13074.76</v>
      </c>
      <c r="M52" s="591">
        <v>5380.21</v>
      </c>
      <c r="N52" s="591">
        <v>2999.67</v>
      </c>
      <c r="O52" s="591">
        <v>131959.29999999999</v>
      </c>
    </row>
    <row r="53" spans="1:15" ht="15.75" x14ac:dyDescent="0.25">
      <c r="A53" s="588" t="s">
        <v>1505</v>
      </c>
      <c r="B53" s="588" t="s">
        <v>1506</v>
      </c>
      <c r="C53" s="591">
        <v>5740.02</v>
      </c>
      <c r="D53" s="591">
        <v>6385.61</v>
      </c>
      <c r="E53" s="591">
        <v>5459.81</v>
      </c>
      <c r="F53" s="591">
        <v>8044.8</v>
      </c>
      <c r="G53" s="591">
        <v>5354.74</v>
      </c>
      <c r="H53" s="591">
        <v>5238.12</v>
      </c>
      <c r="I53" s="591">
        <v>5329.92</v>
      </c>
      <c r="J53" s="591">
        <v>8701.7000000000007</v>
      </c>
      <c r="K53" s="591">
        <v>8678.76</v>
      </c>
      <c r="L53" s="591">
        <v>6253.9</v>
      </c>
      <c r="M53" s="591">
        <v>5539.93</v>
      </c>
      <c r="N53" s="591">
        <v>5560.12</v>
      </c>
      <c r="O53" s="591">
        <v>76287.429999999993</v>
      </c>
    </row>
    <row r="54" spans="1:15" ht="15.75" x14ac:dyDescent="0.25">
      <c r="A54" s="588" t="s">
        <v>1507</v>
      </c>
      <c r="B54" s="588" t="s">
        <v>1508</v>
      </c>
      <c r="C54" s="591">
        <v>0</v>
      </c>
      <c r="D54" s="591">
        <v>0</v>
      </c>
      <c r="E54" s="591">
        <v>0</v>
      </c>
      <c r="F54" s="591">
        <v>0</v>
      </c>
      <c r="G54" s="591">
        <v>5.76</v>
      </c>
      <c r="H54" s="591">
        <v>14.4</v>
      </c>
      <c r="I54" s="591">
        <v>13.44</v>
      </c>
      <c r="J54" s="591">
        <v>0</v>
      </c>
      <c r="K54" s="591">
        <v>593.48</v>
      </c>
      <c r="L54" s="591">
        <v>50.23</v>
      </c>
      <c r="M54" s="591">
        <v>0.8</v>
      </c>
      <c r="N54" s="591">
        <v>0</v>
      </c>
      <c r="O54" s="591">
        <v>678.11</v>
      </c>
    </row>
    <row r="55" spans="1:15" ht="15.75" x14ac:dyDescent="0.25">
      <c r="A55" s="588" t="s">
        <v>1509</v>
      </c>
      <c r="B55" s="588" t="s">
        <v>1510</v>
      </c>
      <c r="C55" s="591">
        <v>0</v>
      </c>
      <c r="D55" s="591">
        <v>0</v>
      </c>
      <c r="E55" s="591">
        <v>0</v>
      </c>
      <c r="F55" s="591">
        <v>0</v>
      </c>
      <c r="G55" s="591">
        <v>20.16</v>
      </c>
      <c r="H55" s="591">
        <v>50.4</v>
      </c>
      <c r="I55" s="591">
        <v>50.4</v>
      </c>
      <c r="J55" s="591">
        <v>50.4</v>
      </c>
      <c r="K55" s="591">
        <v>2478.2399999999998</v>
      </c>
      <c r="L55" s="591">
        <v>1212.01</v>
      </c>
      <c r="M55" s="591">
        <v>344.49</v>
      </c>
      <c r="N55" s="591">
        <v>48.93</v>
      </c>
      <c r="O55" s="591">
        <v>4255.03</v>
      </c>
    </row>
    <row r="56" spans="1:15" ht="15.75" x14ac:dyDescent="0.25">
      <c r="A56" s="588" t="s">
        <v>1511</v>
      </c>
      <c r="B56" s="588" t="s">
        <v>1512</v>
      </c>
      <c r="C56" s="591">
        <v>229.49</v>
      </c>
      <c r="D56" s="591">
        <v>255.89</v>
      </c>
      <c r="E56" s="591">
        <v>180.21</v>
      </c>
      <c r="F56" s="591">
        <v>213.81</v>
      </c>
      <c r="G56" s="591">
        <v>140.13</v>
      </c>
      <c r="H56" s="591">
        <v>198.61</v>
      </c>
      <c r="I56" s="591">
        <v>202.43</v>
      </c>
      <c r="J56" s="591">
        <v>329.06</v>
      </c>
      <c r="K56" s="591">
        <v>329.36</v>
      </c>
      <c r="L56" s="591">
        <v>240.01</v>
      </c>
      <c r="M56" s="591">
        <v>210.14</v>
      </c>
      <c r="N56" s="591">
        <v>213.35</v>
      </c>
      <c r="O56" s="591">
        <v>2742.49</v>
      </c>
    </row>
    <row r="57" spans="1:15" ht="15.75" x14ac:dyDescent="0.25">
      <c r="A57" s="588" t="s">
        <v>1513</v>
      </c>
      <c r="B57" s="588" t="s">
        <v>1514</v>
      </c>
      <c r="C57" s="591">
        <v>663.89</v>
      </c>
      <c r="D57" s="591">
        <v>669.36</v>
      </c>
      <c r="E57" s="591">
        <v>686.08</v>
      </c>
      <c r="F57" s="591">
        <v>693.28</v>
      </c>
      <c r="G57" s="591">
        <v>664</v>
      </c>
      <c r="H57" s="591">
        <v>685.32</v>
      </c>
      <c r="I57" s="591">
        <v>691.34</v>
      </c>
      <c r="J57" s="591">
        <v>691.34</v>
      </c>
      <c r="K57" s="591">
        <v>749.88</v>
      </c>
      <c r="L57" s="591">
        <v>749.88</v>
      </c>
      <c r="M57" s="591">
        <v>749.88</v>
      </c>
      <c r="N57" s="591">
        <v>749.88</v>
      </c>
      <c r="O57" s="591">
        <v>8444.1299999999992</v>
      </c>
    </row>
    <row r="58" spans="1:15" ht="15.75" x14ac:dyDescent="0.25">
      <c r="A58" s="588" t="s">
        <v>1515</v>
      </c>
      <c r="B58" s="588" t="s">
        <v>1516</v>
      </c>
      <c r="C58" s="591">
        <v>3144.38</v>
      </c>
      <c r="D58" s="591">
        <v>3225</v>
      </c>
      <c r="E58" s="591">
        <v>2912.57</v>
      </c>
      <c r="F58" s="591">
        <v>4292.7</v>
      </c>
      <c r="G58" s="591">
        <v>2805.92</v>
      </c>
      <c r="H58" s="591">
        <v>2512.36</v>
      </c>
      <c r="I58" s="591">
        <v>2744.28</v>
      </c>
      <c r="J58" s="591">
        <v>4464.47</v>
      </c>
      <c r="K58" s="591">
        <v>-4690.9399999999996</v>
      </c>
      <c r="L58" s="591">
        <v>2174.23</v>
      </c>
      <c r="M58" s="591">
        <v>1905.6</v>
      </c>
      <c r="N58" s="591">
        <v>1911.81</v>
      </c>
      <c r="O58" s="591">
        <v>27402.38</v>
      </c>
    </row>
    <row r="59" spans="1:15" ht="15.75" x14ac:dyDescent="0.25">
      <c r="A59" s="588" t="s">
        <v>1517</v>
      </c>
      <c r="B59" s="588" t="s">
        <v>1518</v>
      </c>
      <c r="C59" s="591">
        <v>9686.91</v>
      </c>
      <c r="D59" s="591">
        <v>9686.91</v>
      </c>
      <c r="E59" s="591">
        <v>9767.99</v>
      </c>
      <c r="F59" s="591">
        <v>9986.7199999999993</v>
      </c>
      <c r="G59" s="591">
        <v>10168.040000000001</v>
      </c>
      <c r="H59" s="591">
        <v>10024.09</v>
      </c>
      <c r="I59" s="591">
        <v>8167.69</v>
      </c>
      <c r="J59" s="591">
        <v>9191.42</v>
      </c>
      <c r="K59" s="591">
        <v>8063.15</v>
      </c>
      <c r="L59" s="591">
        <v>9184.66</v>
      </c>
      <c r="M59" s="591">
        <v>9184.64</v>
      </c>
      <c r="N59" s="591">
        <v>9184.65</v>
      </c>
      <c r="O59" s="591">
        <v>112296.87</v>
      </c>
    </row>
    <row r="60" spans="1:15" ht="15.75" x14ac:dyDescent="0.25">
      <c r="A60" s="588" t="s">
        <v>1519</v>
      </c>
      <c r="B60" s="588" t="s">
        <v>1520</v>
      </c>
      <c r="C60" s="591">
        <v>655.96</v>
      </c>
      <c r="D60" s="591">
        <v>572.98</v>
      </c>
      <c r="E60" s="591">
        <v>1321.05</v>
      </c>
      <c r="F60" s="591">
        <v>4790.6000000000004</v>
      </c>
      <c r="G60" s="591">
        <v>737.81</v>
      </c>
      <c r="H60" s="591">
        <v>3008.54</v>
      </c>
      <c r="I60" s="591">
        <v>3700.62</v>
      </c>
      <c r="J60" s="591">
        <v>1104.0999999999999</v>
      </c>
      <c r="K60" s="591">
        <v>2830.65</v>
      </c>
      <c r="L60" s="591">
        <v>2391.31</v>
      </c>
      <c r="M60" s="591">
        <v>2208.52</v>
      </c>
      <c r="N60" s="591">
        <v>3470.79</v>
      </c>
      <c r="O60" s="591">
        <v>26792.93</v>
      </c>
    </row>
    <row r="61" spans="1:15" ht="15.75" x14ac:dyDescent="0.25">
      <c r="A61" s="588" t="s">
        <v>1521</v>
      </c>
      <c r="B61" s="588" t="s">
        <v>1522</v>
      </c>
      <c r="C61" s="591">
        <v>5960.95</v>
      </c>
      <c r="D61" s="591">
        <v>5960.95</v>
      </c>
      <c r="E61" s="591">
        <v>5960.95</v>
      </c>
      <c r="F61" s="591">
        <v>5960.95</v>
      </c>
      <c r="G61" s="591">
        <v>5960.95</v>
      </c>
      <c r="H61" s="591">
        <v>5960.95</v>
      </c>
      <c r="I61" s="591">
        <v>5960.95</v>
      </c>
      <c r="J61" s="591">
        <v>25729.95</v>
      </c>
      <c r="K61" s="591">
        <v>7608.33</v>
      </c>
      <c r="L61" s="591">
        <v>7608.33</v>
      </c>
      <c r="M61" s="591">
        <v>7608.33</v>
      </c>
      <c r="N61" s="591">
        <v>7608.33</v>
      </c>
      <c r="O61" s="591">
        <v>97889.919999999998</v>
      </c>
    </row>
    <row r="62" spans="1:15" ht="15.75" x14ac:dyDescent="0.25">
      <c r="A62" s="588" t="s">
        <v>1523</v>
      </c>
      <c r="B62" s="588" t="s">
        <v>1524</v>
      </c>
      <c r="C62" s="591">
        <v>2084.25</v>
      </c>
      <c r="D62" s="591">
        <v>2084.25</v>
      </c>
      <c r="E62" s="591">
        <v>2084.25</v>
      </c>
      <c r="F62" s="591">
        <v>2084.25</v>
      </c>
      <c r="G62" s="591">
        <v>2084.25</v>
      </c>
      <c r="H62" s="591">
        <v>2084.25</v>
      </c>
      <c r="I62" s="591">
        <v>2084.25</v>
      </c>
      <c r="J62" s="591">
        <v>-22926.75</v>
      </c>
      <c r="K62" s="591">
        <v>0</v>
      </c>
      <c r="L62" s="591">
        <v>0</v>
      </c>
      <c r="M62" s="591">
        <v>0</v>
      </c>
      <c r="N62" s="591">
        <v>0</v>
      </c>
      <c r="O62" s="591">
        <v>-8337</v>
      </c>
    </row>
    <row r="63" spans="1:15" ht="15.75" x14ac:dyDescent="0.25">
      <c r="A63" s="592"/>
      <c r="B63" s="592" t="s">
        <v>1525</v>
      </c>
      <c r="C63" s="596">
        <v>105727.21</v>
      </c>
      <c r="D63" s="596">
        <v>114841.33</v>
      </c>
      <c r="E63" s="596">
        <v>102318.29</v>
      </c>
      <c r="F63" s="596">
        <v>145161.48000000001</v>
      </c>
      <c r="G63" s="596">
        <v>100560.77</v>
      </c>
      <c r="H63" s="596">
        <v>100871.55</v>
      </c>
      <c r="I63" s="596">
        <v>101075.66</v>
      </c>
      <c r="J63" s="596">
        <v>143541.82999999999</v>
      </c>
      <c r="K63" s="596">
        <v>144651.98000000001</v>
      </c>
      <c r="L63" s="596">
        <v>114657.23</v>
      </c>
      <c r="M63" s="596">
        <v>103211.86</v>
      </c>
      <c r="N63" s="596">
        <v>104471.29</v>
      </c>
      <c r="O63" s="596">
        <v>1381090.48</v>
      </c>
    </row>
    <row r="64" spans="1:15" ht="15.75" x14ac:dyDescent="0.25">
      <c r="A64" s="592"/>
      <c r="B64" s="592" t="s">
        <v>1526</v>
      </c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  <c r="N64" s="595"/>
      <c r="O64" s="595"/>
    </row>
    <row r="65" spans="1:15" ht="15.75" x14ac:dyDescent="0.25">
      <c r="A65" s="588" t="s">
        <v>1527</v>
      </c>
      <c r="B65" s="588" t="s">
        <v>1528</v>
      </c>
      <c r="C65" s="591">
        <v>4605.79</v>
      </c>
      <c r="D65" s="591">
        <v>8797.19</v>
      </c>
      <c r="E65" s="591">
        <v>5660.9</v>
      </c>
      <c r="F65" s="591">
        <v>9728.69</v>
      </c>
      <c r="G65" s="591">
        <v>5202.54</v>
      </c>
      <c r="H65" s="591">
        <v>9532.74</v>
      </c>
      <c r="I65" s="591">
        <v>8719.3700000000008</v>
      </c>
      <c r="J65" s="591">
        <v>1538.73</v>
      </c>
      <c r="K65" s="591">
        <v>2732.69</v>
      </c>
      <c r="L65" s="591">
        <v>8086.16</v>
      </c>
      <c r="M65" s="591">
        <v>8080.73</v>
      </c>
      <c r="N65" s="591">
        <v>6946.96</v>
      </c>
      <c r="O65" s="591">
        <v>79632.490000000005</v>
      </c>
    </row>
    <row r="66" spans="1:15" ht="15.75" x14ac:dyDescent="0.25">
      <c r="A66" s="588" t="s">
        <v>1529</v>
      </c>
      <c r="B66" s="588" t="s">
        <v>1530</v>
      </c>
      <c r="C66" s="591">
        <v>1970.71</v>
      </c>
      <c r="D66" s="591">
        <v>1198.6400000000001</v>
      </c>
      <c r="E66" s="591">
        <v>1867.17</v>
      </c>
      <c r="F66" s="591">
        <v>897.72</v>
      </c>
      <c r="G66" s="591">
        <v>2221.75</v>
      </c>
      <c r="H66" s="591">
        <v>1336.86</v>
      </c>
      <c r="I66" s="591">
        <v>844.23</v>
      </c>
      <c r="J66" s="591">
        <v>1553.86</v>
      </c>
      <c r="K66" s="591">
        <v>2109.11</v>
      </c>
      <c r="L66" s="591">
        <v>102.49</v>
      </c>
      <c r="M66" s="591">
        <v>1214.51</v>
      </c>
      <c r="N66" s="591">
        <v>637.96</v>
      </c>
      <c r="O66" s="591">
        <v>15955.01</v>
      </c>
    </row>
    <row r="67" spans="1:15" ht="15.75" x14ac:dyDescent="0.25">
      <c r="A67" s="588" t="s">
        <v>1531</v>
      </c>
      <c r="B67" s="588" t="s">
        <v>1532</v>
      </c>
      <c r="C67" s="591">
        <v>4217.4399999999996</v>
      </c>
      <c r="D67" s="591">
        <v>1840.05</v>
      </c>
      <c r="E67" s="591">
        <v>2679.7</v>
      </c>
      <c r="F67" s="591">
        <v>9050.4599999999991</v>
      </c>
      <c r="G67" s="591">
        <v>2772.46</v>
      </c>
      <c r="H67" s="591">
        <v>5378.36</v>
      </c>
      <c r="I67" s="591">
        <v>11639.93</v>
      </c>
      <c r="J67" s="591">
        <v>4694.47</v>
      </c>
      <c r="K67" s="591">
        <v>1247.98</v>
      </c>
      <c r="L67" s="591">
        <v>1004.22</v>
      </c>
      <c r="M67" s="591">
        <v>2422.58</v>
      </c>
      <c r="N67" s="591">
        <v>4467.62</v>
      </c>
      <c r="O67" s="591">
        <v>51415.27</v>
      </c>
    </row>
    <row r="68" spans="1:15" ht="15.75" x14ac:dyDescent="0.25">
      <c r="A68" s="588" t="s">
        <v>1533</v>
      </c>
      <c r="B68" s="588" t="s">
        <v>1534</v>
      </c>
      <c r="C68" s="591">
        <v>3013.15</v>
      </c>
      <c r="D68" s="591">
        <v>2100.41</v>
      </c>
      <c r="E68" s="591">
        <v>1257.79</v>
      </c>
      <c r="F68" s="591">
        <v>4593.3999999999996</v>
      </c>
      <c r="G68" s="591">
        <v>4024.39</v>
      </c>
      <c r="H68" s="591">
        <v>3587.81</v>
      </c>
      <c r="I68" s="591">
        <v>1647.86</v>
      </c>
      <c r="J68" s="591">
        <v>817.87</v>
      </c>
      <c r="K68" s="591">
        <v>1940.91</v>
      </c>
      <c r="L68" s="591">
        <v>5061.12</v>
      </c>
      <c r="M68" s="591">
        <v>748.69</v>
      </c>
      <c r="N68" s="591">
        <v>612.75</v>
      </c>
      <c r="O68" s="591">
        <v>29406.15</v>
      </c>
    </row>
    <row r="69" spans="1:15" ht="15.75" x14ac:dyDescent="0.25">
      <c r="A69" s="588" t="s">
        <v>1535</v>
      </c>
      <c r="B69" s="588" t="s">
        <v>1536</v>
      </c>
      <c r="C69" s="591">
        <v>6764.01</v>
      </c>
      <c r="D69" s="591">
        <v>8709.75</v>
      </c>
      <c r="E69" s="591">
        <v>5958.33</v>
      </c>
      <c r="F69" s="591">
        <v>14893.49</v>
      </c>
      <c r="G69" s="591">
        <v>6358.35</v>
      </c>
      <c r="H69" s="591">
        <v>10814.8</v>
      </c>
      <c r="I69" s="591">
        <v>8603.67</v>
      </c>
      <c r="J69" s="591">
        <v>13815.98</v>
      </c>
      <c r="K69" s="591">
        <v>11616.19</v>
      </c>
      <c r="L69" s="591">
        <v>6051.79</v>
      </c>
      <c r="M69" s="591">
        <v>6286.6</v>
      </c>
      <c r="N69" s="591">
        <v>9831.3799999999992</v>
      </c>
      <c r="O69" s="591">
        <v>109704.34</v>
      </c>
    </row>
    <row r="70" spans="1:15" ht="15.75" x14ac:dyDescent="0.25">
      <c r="A70" s="588" t="s">
        <v>1537</v>
      </c>
      <c r="B70" s="588" t="s">
        <v>1538</v>
      </c>
      <c r="C70" s="591">
        <v>7517.57</v>
      </c>
      <c r="D70" s="591">
        <v>9005.9699999999993</v>
      </c>
      <c r="E70" s="591">
        <v>9409.9599999999991</v>
      </c>
      <c r="F70" s="591">
        <v>7408.45</v>
      </c>
      <c r="G70" s="591">
        <v>8039.33</v>
      </c>
      <c r="H70" s="591">
        <v>10615.19</v>
      </c>
      <c r="I70" s="591">
        <v>7524.24</v>
      </c>
      <c r="J70" s="591">
        <v>7302</v>
      </c>
      <c r="K70" s="591">
        <v>6554.21</v>
      </c>
      <c r="L70" s="591">
        <v>7726.46</v>
      </c>
      <c r="M70" s="591">
        <v>6878.72</v>
      </c>
      <c r="N70" s="591">
        <v>6579.1</v>
      </c>
      <c r="O70" s="591">
        <v>94561.2</v>
      </c>
    </row>
    <row r="71" spans="1:15" ht="15.75" x14ac:dyDescent="0.25">
      <c r="A71" s="588" t="s">
        <v>1539</v>
      </c>
      <c r="B71" s="588" t="s">
        <v>1540</v>
      </c>
      <c r="C71" s="591">
        <v>2711.69</v>
      </c>
      <c r="D71" s="591">
        <v>950.42</v>
      </c>
      <c r="E71" s="591">
        <v>106.86</v>
      </c>
      <c r="F71" s="591">
        <v>177.81</v>
      </c>
      <c r="G71" s="591">
        <v>0</v>
      </c>
      <c r="H71" s="591">
        <v>0</v>
      </c>
      <c r="I71" s="591">
        <v>0</v>
      </c>
      <c r="J71" s="591">
        <v>0</v>
      </c>
      <c r="K71" s="591">
        <v>328</v>
      </c>
      <c r="L71" s="591">
        <v>0</v>
      </c>
      <c r="M71" s="591">
        <v>0</v>
      </c>
      <c r="N71" s="591">
        <v>0</v>
      </c>
      <c r="O71" s="591">
        <v>4274.78</v>
      </c>
    </row>
    <row r="72" spans="1:15" ht="15.75" x14ac:dyDescent="0.25">
      <c r="A72" s="588" t="s">
        <v>1541</v>
      </c>
      <c r="B72" s="588" t="s">
        <v>1542</v>
      </c>
      <c r="C72" s="591">
        <v>8622.5400000000009</v>
      </c>
      <c r="D72" s="591">
        <v>7312.54</v>
      </c>
      <c r="E72" s="591">
        <v>7312.54</v>
      </c>
      <c r="F72" s="591">
        <v>7312.54</v>
      </c>
      <c r="G72" s="591">
        <v>1828.14</v>
      </c>
      <c r="H72" s="591">
        <v>0</v>
      </c>
      <c r="I72" s="591">
        <v>0</v>
      </c>
      <c r="J72" s="591">
        <v>0</v>
      </c>
      <c r="K72" s="591">
        <v>0</v>
      </c>
      <c r="L72" s="591">
        <v>0</v>
      </c>
      <c r="M72" s="591">
        <v>0</v>
      </c>
      <c r="N72" s="591">
        <v>5713.27</v>
      </c>
      <c r="O72" s="591">
        <v>38101.57</v>
      </c>
    </row>
    <row r="73" spans="1:15" ht="15.75" x14ac:dyDescent="0.25">
      <c r="A73" s="588" t="s">
        <v>1543</v>
      </c>
      <c r="B73" s="588" t="s">
        <v>1544</v>
      </c>
      <c r="C73" s="591">
        <v>14340.37</v>
      </c>
      <c r="D73" s="591">
        <v>1572.27</v>
      </c>
      <c r="E73" s="591">
        <v>3005.59</v>
      </c>
      <c r="F73" s="591">
        <v>4772.6099999999997</v>
      </c>
      <c r="G73" s="591">
        <v>2940.51</v>
      </c>
      <c r="H73" s="591">
        <v>8863.2199999999993</v>
      </c>
      <c r="I73" s="591">
        <v>6362.8</v>
      </c>
      <c r="J73" s="591">
        <v>18229.29</v>
      </c>
      <c r="K73" s="591">
        <v>1279.47</v>
      </c>
      <c r="L73" s="591">
        <v>2816.14</v>
      </c>
      <c r="M73" s="591">
        <v>5368.49</v>
      </c>
      <c r="N73" s="591">
        <v>3126.39</v>
      </c>
      <c r="O73" s="591">
        <v>72677.149999999994</v>
      </c>
    </row>
    <row r="74" spans="1:15" ht="15.75" x14ac:dyDescent="0.25">
      <c r="A74" s="588" t="s">
        <v>1545</v>
      </c>
      <c r="B74" s="588" t="s">
        <v>1546</v>
      </c>
      <c r="C74" s="591">
        <v>6562.65</v>
      </c>
      <c r="D74" s="591">
        <v>6598.33</v>
      </c>
      <c r="E74" s="591">
        <v>33514.49</v>
      </c>
      <c r="F74" s="591">
        <v>31373.78</v>
      </c>
      <c r="G74" s="591">
        <v>6148.27</v>
      </c>
      <c r="H74" s="591">
        <v>28299.74</v>
      </c>
      <c r="I74" s="591">
        <v>10308.370000000001</v>
      </c>
      <c r="J74" s="591">
        <v>439.88</v>
      </c>
      <c r="K74" s="591">
        <v>710.38</v>
      </c>
      <c r="L74" s="591">
        <v>1218.25</v>
      </c>
      <c r="M74" s="591">
        <v>2721.85</v>
      </c>
      <c r="N74" s="591">
        <v>7454.08</v>
      </c>
      <c r="O74" s="591">
        <v>135350.07</v>
      </c>
    </row>
    <row r="75" spans="1:15" ht="15.75" x14ac:dyDescent="0.25">
      <c r="A75" s="588" t="s">
        <v>1547</v>
      </c>
      <c r="B75" s="588" t="s">
        <v>1548</v>
      </c>
      <c r="C75" s="591">
        <v>25.94</v>
      </c>
      <c r="D75" s="591">
        <v>0</v>
      </c>
      <c r="E75" s="591">
        <v>0</v>
      </c>
      <c r="F75" s="591">
        <v>0</v>
      </c>
      <c r="G75" s="591">
        <v>0</v>
      </c>
      <c r="H75" s="591">
        <v>844.38</v>
      </c>
      <c r="I75" s="591">
        <v>0</v>
      </c>
      <c r="J75" s="591">
        <v>0</v>
      </c>
      <c r="K75" s="591">
        <v>8959.83</v>
      </c>
      <c r="L75" s="591">
        <v>0</v>
      </c>
      <c r="M75" s="591">
        <v>0</v>
      </c>
      <c r="N75" s="591">
        <v>-10.81</v>
      </c>
      <c r="O75" s="591">
        <v>9819.34</v>
      </c>
    </row>
    <row r="76" spans="1:15" ht="15.75" x14ac:dyDescent="0.25">
      <c r="A76" s="588" t="s">
        <v>1549</v>
      </c>
      <c r="B76" s="588" t="s">
        <v>1550</v>
      </c>
      <c r="C76" s="591">
        <v>0</v>
      </c>
      <c r="D76" s="591">
        <v>0</v>
      </c>
      <c r="E76" s="591">
        <v>162.18</v>
      </c>
      <c r="F76" s="591">
        <v>0</v>
      </c>
      <c r="G76" s="591">
        <v>0</v>
      </c>
      <c r="H76" s="591">
        <v>0</v>
      </c>
      <c r="I76" s="591">
        <v>0</v>
      </c>
      <c r="J76" s="591">
        <v>0</v>
      </c>
      <c r="K76" s="591">
        <v>0</v>
      </c>
      <c r="L76" s="591">
        <v>81.09</v>
      </c>
      <c r="M76" s="591">
        <v>0</v>
      </c>
      <c r="N76" s="591">
        <v>0</v>
      </c>
      <c r="O76" s="591">
        <v>243.27</v>
      </c>
    </row>
    <row r="77" spans="1:15" ht="15.75" x14ac:dyDescent="0.25">
      <c r="A77" s="588" t="s">
        <v>1551</v>
      </c>
      <c r="B77" s="588" t="s">
        <v>1552</v>
      </c>
      <c r="C77" s="591">
        <v>816.35</v>
      </c>
      <c r="D77" s="591">
        <v>270.31</v>
      </c>
      <c r="E77" s="591">
        <v>6709.17</v>
      </c>
      <c r="F77" s="591">
        <v>567.66</v>
      </c>
      <c r="G77" s="591">
        <v>416.28</v>
      </c>
      <c r="H77" s="591">
        <v>1167.75</v>
      </c>
      <c r="I77" s="591">
        <v>0</v>
      </c>
      <c r="J77" s="591">
        <v>681.19</v>
      </c>
      <c r="K77" s="591">
        <v>546.03</v>
      </c>
      <c r="L77" s="591">
        <v>1546.19</v>
      </c>
      <c r="M77" s="591">
        <v>270.32</v>
      </c>
      <c r="N77" s="591">
        <v>0</v>
      </c>
      <c r="O77" s="591">
        <v>12991.25</v>
      </c>
    </row>
    <row r="78" spans="1:15" ht="15.75" x14ac:dyDescent="0.25">
      <c r="A78" s="588" t="s">
        <v>1553</v>
      </c>
      <c r="B78" s="588" t="s">
        <v>1554</v>
      </c>
      <c r="C78" s="591">
        <v>11271.35</v>
      </c>
      <c r="D78" s="591">
        <v>10960.74</v>
      </c>
      <c r="E78" s="591">
        <v>10008.700000000001</v>
      </c>
      <c r="F78" s="591">
        <v>11383.95</v>
      </c>
      <c r="G78" s="591">
        <v>10218.76</v>
      </c>
      <c r="H78" s="591">
        <v>10814.16</v>
      </c>
      <c r="I78" s="591">
        <v>11719.78</v>
      </c>
      <c r="J78" s="591">
        <v>9971.6</v>
      </c>
      <c r="K78" s="591">
        <v>10063.549999999999</v>
      </c>
      <c r="L78" s="591">
        <v>9915.7099999999991</v>
      </c>
      <c r="M78" s="591">
        <v>10221.59</v>
      </c>
      <c r="N78" s="591">
        <v>10332.5</v>
      </c>
      <c r="O78" s="591">
        <v>126882.39</v>
      </c>
    </row>
    <row r="79" spans="1:15" ht="15.75" x14ac:dyDescent="0.25">
      <c r="A79" s="588" t="s">
        <v>1555</v>
      </c>
      <c r="B79" s="588" t="s">
        <v>1556</v>
      </c>
      <c r="C79" s="591">
        <v>5757.98</v>
      </c>
      <c r="D79" s="591">
        <v>692</v>
      </c>
      <c r="E79" s="591">
        <v>730.99</v>
      </c>
      <c r="F79" s="591">
        <v>692</v>
      </c>
      <c r="G79" s="591">
        <v>732.51</v>
      </c>
      <c r="H79" s="591">
        <v>692</v>
      </c>
      <c r="I79" s="591">
        <v>692</v>
      </c>
      <c r="J79" s="591">
        <v>1012.79</v>
      </c>
      <c r="K79" s="591">
        <v>719.68</v>
      </c>
      <c r="L79" s="591">
        <v>719.68</v>
      </c>
      <c r="M79" s="591">
        <v>4179.68</v>
      </c>
      <c r="N79" s="591">
        <v>719.68</v>
      </c>
      <c r="O79" s="591">
        <v>17340.990000000002</v>
      </c>
    </row>
    <row r="80" spans="1:15" ht="15.75" x14ac:dyDescent="0.25">
      <c r="A80" s="588" t="s">
        <v>1557</v>
      </c>
      <c r="B80" s="588" t="s">
        <v>1558</v>
      </c>
      <c r="C80" s="591">
        <v>30894.560000000001</v>
      </c>
      <c r="D80" s="591">
        <v>30894.560000000001</v>
      </c>
      <c r="E80" s="591">
        <v>30894.560000000001</v>
      </c>
      <c r="F80" s="591">
        <v>30894.560000000001</v>
      </c>
      <c r="G80" s="591">
        <v>30894.560000000001</v>
      </c>
      <c r="H80" s="591">
        <v>31821.360000000001</v>
      </c>
      <c r="I80" s="591">
        <v>31821.360000000001</v>
      </c>
      <c r="J80" s="591">
        <v>31821.360000000001</v>
      </c>
      <c r="K80" s="591">
        <v>31822.36</v>
      </c>
      <c r="L80" s="591">
        <v>31822.36</v>
      </c>
      <c r="M80" s="591">
        <v>31822.36</v>
      </c>
      <c r="N80" s="591">
        <v>31822.36</v>
      </c>
      <c r="O80" s="591">
        <v>377226.32</v>
      </c>
    </row>
    <row r="81" spans="1:15" ht="15.75" x14ac:dyDescent="0.25">
      <c r="A81" s="588" t="s">
        <v>1559</v>
      </c>
      <c r="B81" s="588" t="s">
        <v>1560</v>
      </c>
      <c r="C81" s="591">
        <v>0</v>
      </c>
      <c r="D81" s="591">
        <v>3450</v>
      </c>
      <c r="E81" s="591">
        <v>0</v>
      </c>
      <c r="F81" s="591">
        <v>25</v>
      </c>
      <c r="G81" s="591">
        <v>250</v>
      </c>
      <c r="H81" s="591">
        <v>0</v>
      </c>
      <c r="I81" s="591">
        <v>0</v>
      </c>
      <c r="J81" s="591">
        <v>0</v>
      </c>
      <c r="K81" s="591">
        <v>0</v>
      </c>
      <c r="L81" s="591">
        <v>0</v>
      </c>
      <c r="M81" s="591">
        <v>0</v>
      </c>
      <c r="N81" s="591">
        <v>0</v>
      </c>
      <c r="O81" s="591">
        <v>3725</v>
      </c>
    </row>
    <row r="82" spans="1:15" ht="15.75" x14ac:dyDescent="0.25">
      <c r="A82" s="592"/>
      <c r="B82" s="592" t="s">
        <v>1561</v>
      </c>
      <c r="C82" s="596">
        <v>109092.1</v>
      </c>
      <c r="D82" s="596">
        <v>94353.18</v>
      </c>
      <c r="E82" s="596">
        <v>119278.93</v>
      </c>
      <c r="F82" s="596">
        <v>133772.12</v>
      </c>
      <c r="G82" s="596">
        <v>82047.850000000006</v>
      </c>
      <c r="H82" s="596">
        <v>123768.37</v>
      </c>
      <c r="I82" s="596">
        <v>99883.61</v>
      </c>
      <c r="J82" s="596">
        <v>91879.02</v>
      </c>
      <c r="K82" s="596">
        <v>80630.39</v>
      </c>
      <c r="L82" s="596">
        <v>76151.66</v>
      </c>
      <c r="M82" s="596">
        <v>80216.12</v>
      </c>
      <c r="N82" s="596">
        <v>88233.24</v>
      </c>
      <c r="O82" s="596">
        <v>1179306.5900000001</v>
      </c>
    </row>
    <row r="83" spans="1:15" ht="15.75" x14ac:dyDescent="0.25">
      <c r="A83" s="592"/>
      <c r="B83" s="592" t="s">
        <v>1562</v>
      </c>
      <c r="C83" s="595"/>
      <c r="D83" s="595"/>
      <c r="E83" s="595"/>
      <c r="F83" s="595"/>
      <c r="G83" s="595"/>
      <c r="H83" s="595"/>
      <c r="I83" s="595"/>
      <c r="J83" s="595"/>
      <c r="K83" s="595"/>
      <c r="L83" s="595"/>
      <c r="M83" s="595"/>
      <c r="N83" s="595"/>
      <c r="O83" s="595"/>
    </row>
    <row r="84" spans="1:15" ht="15.75" x14ac:dyDescent="0.25">
      <c r="A84" s="588" t="s">
        <v>1563</v>
      </c>
      <c r="B84" s="588" t="s">
        <v>1564</v>
      </c>
      <c r="C84" s="591">
        <v>1326</v>
      </c>
      <c r="D84" s="591">
        <v>0</v>
      </c>
      <c r="E84" s="591">
        <v>0</v>
      </c>
      <c r="F84" s="591">
        <v>0</v>
      </c>
      <c r="G84" s="591">
        <v>0</v>
      </c>
      <c r="H84" s="591">
        <v>0</v>
      </c>
      <c r="I84" s="591">
        <v>0</v>
      </c>
      <c r="J84" s="591">
        <v>0</v>
      </c>
      <c r="K84" s="591">
        <v>6758.7</v>
      </c>
      <c r="L84" s="591">
        <v>0</v>
      </c>
      <c r="M84" s="591">
        <v>0</v>
      </c>
      <c r="N84" s="591">
        <v>0</v>
      </c>
      <c r="O84" s="591">
        <v>8084.7</v>
      </c>
    </row>
    <row r="85" spans="1:15" ht="15.75" x14ac:dyDescent="0.25">
      <c r="A85" s="588" t="s">
        <v>1565</v>
      </c>
      <c r="B85" s="588" t="s">
        <v>1566</v>
      </c>
      <c r="C85" s="591">
        <v>1841.47</v>
      </c>
      <c r="D85" s="591">
        <v>1833.62</v>
      </c>
      <c r="E85" s="591">
        <v>1711.14</v>
      </c>
      <c r="F85" s="591">
        <v>1929.38</v>
      </c>
      <c r="G85" s="591">
        <v>1843.62</v>
      </c>
      <c r="H85" s="591">
        <v>1759.22</v>
      </c>
      <c r="I85" s="591">
        <v>1804.66</v>
      </c>
      <c r="J85" s="591">
        <v>2348.5500000000002</v>
      </c>
      <c r="K85" s="591">
        <v>1334.94</v>
      </c>
      <c r="L85" s="591">
        <v>1810.5</v>
      </c>
      <c r="M85" s="591">
        <v>1842.67</v>
      </c>
      <c r="N85" s="591">
        <v>1916.86</v>
      </c>
      <c r="O85" s="591">
        <v>21976.63</v>
      </c>
    </row>
    <row r="86" spans="1:15" ht="15.75" x14ac:dyDescent="0.25">
      <c r="A86" s="588" t="s">
        <v>1567</v>
      </c>
      <c r="B86" s="588" t="s">
        <v>1568</v>
      </c>
      <c r="C86" s="591">
        <v>530</v>
      </c>
      <c r="D86" s="591">
        <v>7500</v>
      </c>
      <c r="E86" s="591">
        <v>1500</v>
      </c>
      <c r="F86" s="591">
        <v>2463.29</v>
      </c>
      <c r="G86" s="591">
        <v>3500</v>
      </c>
      <c r="H86" s="591">
        <v>6000</v>
      </c>
      <c r="I86" s="591">
        <v>0</v>
      </c>
      <c r="J86" s="591">
        <v>0</v>
      </c>
      <c r="K86" s="591">
        <v>0</v>
      </c>
      <c r="L86" s="591">
        <v>0</v>
      </c>
      <c r="M86" s="591">
        <v>12950</v>
      </c>
      <c r="N86" s="591">
        <v>3530</v>
      </c>
      <c r="O86" s="591">
        <v>37973.29</v>
      </c>
    </row>
    <row r="87" spans="1:15" ht="15.75" x14ac:dyDescent="0.25">
      <c r="A87" s="588" t="s">
        <v>1569</v>
      </c>
      <c r="B87" s="588" t="s">
        <v>1570</v>
      </c>
      <c r="C87" s="591">
        <v>0</v>
      </c>
      <c r="D87" s="591">
        <v>0</v>
      </c>
      <c r="E87" s="591">
        <v>0</v>
      </c>
      <c r="F87" s="591">
        <v>0</v>
      </c>
      <c r="G87" s="591">
        <v>4000</v>
      </c>
      <c r="H87" s="591">
        <v>0</v>
      </c>
      <c r="I87" s="591">
        <v>0</v>
      </c>
      <c r="J87" s="591">
        <v>0</v>
      </c>
      <c r="K87" s="591">
        <v>0</v>
      </c>
      <c r="L87" s="591">
        <v>0</v>
      </c>
      <c r="M87" s="591">
        <v>0</v>
      </c>
      <c r="N87" s="591">
        <v>0</v>
      </c>
      <c r="O87" s="591">
        <v>4000</v>
      </c>
    </row>
    <row r="88" spans="1:15" ht="15.75" x14ac:dyDescent="0.25">
      <c r="A88" s="588" t="s">
        <v>1571</v>
      </c>
      <c r="B88" s="588" t="s">
        <v>1572</v>
      </c>
      <c r="C88" s="591">
        <v>0</v>
      </c>
      <c r="D88" s="591">
        <v>0</v>
      </c>
      <c r="E88" s="591">
        <v>0</v>
      </c>
      <c r="F88" s="591">
        <v>0</v>
      </c>
      <c r="G88" s="591">
        <v>0</v>
      </c>
      <c r="H88" s="591">
        <v>0</v>
      </c>
      <c r="I88" s="591">
        <v>0</v>
      </c>
      <c r="J88" s="591">
        <v>0</v>
      </c>
      <c r="K88" s="591">
        <v>0</v>
      </c>
      <c r="L88" s="591">
        <v>0</v>
      </c>
      <c r="M88" s="591">
        <v>25</v>
      </c>
      <c r="N88" s="591">
        <v>0</v>
      </c>
      <c r="O88" s="591">
        <v>25</v>
      </c>
    </row>
    <row r="89" spans="1:15" ht="15.75" x14ac:dyDescent="0.25">
      <c r="A89" s="588" t="s">
        <v>1573</v>
      </c>
      <c r="B89" s="588" t="s">
        <v>1574</v>
      </c>
      <c r="C89" s="591">
        <v>0</v>
      </c>
      <c r="D89" s="591">
        <v>0</v>
      </c>
      <c r="E89" s="591">
        <v>700.54</v>
      </c>
      <c r="F89" s="591">
        <v>0</v>
      </c>
      <c r="G89" s="591">
        <v>0</v>
      </c>
      <c r="H89" s="591">
        <v>0</v>
      </c>
      <c r="I89" s="591">
        <v>0</v>
      </c>
      <c r="J89" s="591">
        <v>2441.4</v>
      </c>
      <c r="K89" s="591">
        <v>0</v>
      </c>
      <c r="L89" s="591">
        <v>0</v>
      </c>
      <c r="M89" s="591">
        <v>357.5</v>
      </c>
      <c r="N89" s="591">
        <v>0</v>
      </c>
      <c r="O89" s="591">
        <v>3499.44</v>
      </c>
    </row>
    <row r="90" spans="1:15" ht="15.75" x14ac:dyDescent="0.25">
      <c r="A90" s="588" t="s">
        <v>1575</v>
      </c>
      <c r="B90" s="588" t="s">
        <v>1576</v>
      </c>
      <c r="C90" s="591">
        <v>2567.7199999999998</v>
      </c>
      <c r="D90" s="591">
        <v>2223.0300000000002</v>
      </c>
      <c r="E90" s="591">
        <v>3593.01</v>
      </c>
      <c r="F90" s="591">
        <v>1946.61</v>
      </c>
      <c r="G90" s="591">
        <v>2861.59</v>
      </c>
      <c r="H90" s="591">
        <v>3032.01</v>
      </c>
      <c r="I90" s="591">
        <v>4702.87</v>
      </c>
      <c r="J90" s="591">
        <v>3413.74</v>
      </c>
      <c r="K90" s="591">
        <v>3015.06</v>
      </c>
      <c r="L90" s="591">
        <v>2696.93</v>
      </c>
      <c r="M90" s="591">
        <v>3098.09</v>
      </c>
      <c r="N90" s="591">
        <v>2454.5300000000002</v>
      </c>
      <c r="O90" s="591">
        <v>35605.19</v>
      </c>
    </row>
    <row r="91" spans="1:15" ht="15.75" x14ac:dyDescent="0.25">
      <c r="A91" s="588" t="s">
        <v>1577</v>
      </c>
      <c r="B91" s="588" t="s">
        <v>1578</v>
      </c>
      <c r="C91" s="591">
        <v>3119.94</v>
      </c>
      <c r="D91" s="591">
        <v>3262.47</v>
      </c>
      <c r="E91" s="591">
        <v>10250.44</v>
      </c>
      <c r="F91" s="591">
        <v>5799.27</v>
      </c>
      <c r="G91" s="591">
        <v>4233.7700000000004</v>
      </c>
      <c r="H91" s="591">
        <v>5039.43</v>
      </c>
      <c r="I91" s="591">
        <v>7289.32</v>
      </c>
      <c r="J91" s="591">
        <v>4702.2700000000004</v>
      </c>
      <c r="K91" s="591">
        <v>2749.7</v>
      </c>
      <c r="L91" s="591">
        <v>3224.59</v>
      </c>
      <c r="M91" s="591">
        <v>3033.79</v>
      </c>
      <c r="N91" s="591">
        <v>2985.75</v>
      </c>
      <c r="O91" s="591">
        <v>55690.74</v>
      </c>
    </row>
    <row r="92" spans="1:15" ht="15.75" x14ac:dyDescent="0.25">
      <c r="A92" s="588" t="s">
        <v>1579</v>
      </c>
      <c r="B92" s="588" t="s">
        <v>1580</v>
      </c>
      <c r="C92" s="591">
        <v>216.98</v>
      </c>
      <c r="D92" s="591">
        <v>652</v>
      </c>
      <c r="E92" s="591">
        <v>356.2</v>
      </c>
      <c r="F92" s="591">
        <v>398.07</v>
      </c>
      <c r="G92" s="591">
        <v>420.28</v>
      </c>
      <c r="H92" s="591">
        <v>252.17</v>
      </c>
      <c r="I92" s="591">
        <v>289.33999999999997</v>
      </c>
      <c r="J92" s="591">
        <v>1260.4000000000001</v>
      </c>
      <c r="K92" s="591">
        <v>177.31</v>
      </c>
      <c r="L92" s="591">
        <v>648.53</v>
      </c>
      <c r="M92" s="591">
        <v>824.91</v>
      </c>
      <c r="N92" s="591">
        <v>142.22999999999999</v>
      </c>
      <c r="O92" s="591">
        <v>5638.42</v>
      </c>
    </row>
    <row r="93" spans="1:15" ht="15.75" x14ac:dyDescent="0.25">
      <c r="A93" s="588" t="s">
        <v>1581</v>
      </c>
      <c r="B93" s="588" t="s">
        <v>1582</v>
      </c>
      <c r="C93" s="591">
        <v>15</v>
      </c>
      <c r="D93" s="591">
        <v>15</v>
      </c>
      <c r="E93" s="591">
        <v>45</v>
      </c>
      <c r="F93" s="591">
        <v>15</v>
      </c>
      <c r="G93" s="591">
        <v>15</v>
      </c>
      <c r="H93" s="591">
        <v>45</v>
      </c>
      <c r="I93" s="591">
        <v>15</v>
      </c>
      <c r="J93" s="591">
        <v>85.8</v>
      </c>
      <c r="K93" s="591">
        <v>65.7</v>
      </c>
      <c r="L93" s="591">
        <v>-264.3</v>
      </c>
      <c r="M93" s="591">
        <v>35.549999999999997</v>
      </c>
      <c r="N93" s="591">
        <v>29.4</v>
      </c>
      <c r="O93" s="591">
        <v>117.15</v>
      </c>
    </row>
    <row r="94" spans="1:15" ht="15.75" x14ac:dyDescent="0.25">
      <c r="A94" s="588" t="s">
        <v>1583</v>
      </c>
      <c r="B94" s="588" t="s">
        <v>1584</v>
      </c>
      <c r="C94" s="591">
        <v>2336.64</v>
      </c>
      <c r="D94" s="591">
        <v>3429.41</v>
      </c>
      <c r="E94" s="591">
        <v>5769.32</v>
      </c>
      <c r="F94" s="591">
        <v>980.64</v>
      </c>
      <c r="G94" s="591">
        <v>4766.8999999999996</v>
      </c>
      <c r="H94" s="591">
        <v>1695.79</v>
      </c>
      <c r="I94" s="591">
        <v>1386.54</v>
      </c>
      <c r="J94" s="591">
        <v>1246.73</v>
      </c>
      <c r="K94" s="591">
        <v>389.65</v>
      </c>
      <c r="L94" s="591">
        <v>922.74</v>
      </c>
      <c r="M94" s="591">
        <v>265.64</v>
      </c>
      <c r="N94" s="591">
        <v>691.28</v>
      </c>
      <c r="O94" s="591">
        <v>23881.279999999999</v>
      </c>
    </row>
    <row r="95" spans="1:15" ht="15.75" x14ac:dyDescent="0.25">
      <c r="A95" s="588" t="s">
        <v>1585</v>
      </c>
      <c r="B95" s="588" t="s">
        <v>1586</v>
      </c>
      <c r="C95" s="591">
        <v>0</v>
      </c>
      <c r="D95" s="591">
        <v>0</v>
      </c>
      <c r="E95" s="591">
        <v>0</v>
      </c>
      <c r="F95" s="591">
        <v>0</v>
      </c>
      <c r="G95" s="591">
        <v>0</v>
      </c>
      <c r="H95" s="591">
        <v>0</v>
      </c>
      <c r="I95" s="591">
        <v>0</v>
      </c>
      <c r="J95" s="591">
        <v>0</v>
      </c>
      <c r="K95" s="591">
        <v>250.04</v>
      </c>
      <c r="L95" s="591">
        <v>0</v>
      </c>
      <c r="M95" s="591">
        <v>2122.27</v>
      </c>
      <c r="N95" s="591">
        <v>911.78</v>
      </c>
      <c r="O95" s="591">
        <v>3284.09</v>
      </c>
    </row>
    <row r="96" spans="1:15" ht="15.75" x14ac:dyDescent="0.25">
      <c r="A96" s="588" t="s">
        <v>1587</v>
      </c>
      <c r="B96" s="588" t="s">
        <v>1588</v>
      </c>
      <c r="C96" s="591">
        <v>0</v>
      </c>
      <c r="D96" s="591">
        <v>695</v>
      </c>
      <c r="E96" s="591">
        <v>393.24</v>
      </c>
      <c r="F96" s="591">
        <v>0</v>
      </c>
      <c r="G96" s="591">
        <v>0</v>
      </c>
      <c r="H96" s="591">
        <v>0</v>
      </c>
      <c r="I96" s="591">
        <v>0</v>
      </c>
      <c r="J96" s="591">
        <v>193.54</v>
      </c>
      <c r="K96" s="591">
        <v>0</v>
      </c>
      <c r="L96" s="591">
        <v>0</v>
      </c>
      <c r="M96" s="591">
        <v>0</v>
      </c>
      <c r="N96" s="591">
        <v>0</v>
      </c>
      <c r="O96" s="591">
        <v>1281.78</v>
      </c>
    </row>
    <row r="97" spans="1:15" ht="15.75" x14ac:dyDescent="0.25">
      <c r="A97" s="588" t="s">
        <v>1589</v>
      </c>
      <c r="B97" s="588" t="s">
        <v>1590</v>
      </c>
      <c r="C97" s="591">
        <v>473.84</v>
      </c>
      <c r="D97" s="591">
        <v>366.54</v>
      </c>
      <c r="E97" s="591">
        <v>102.02</v>
      </c>
      <c r="F97" s="591">
        <v>366.42</v>
      </c>
      <c r="G97" s="591">
        <v>466.17</v>
      </c>
      <c r="H97" s="591">
        <v>227.5</v>
      </c>
      <c r="I97" s="591">
        <v>1112.46</v>
      </c>
      <c r="J97" s="591">
        <v>1028.28</v>
      </c>
      <c r="K97" s="591">
        <v>352.17</v>
      </c>
      <c r="L97" s="591">
        <v>245.03</v>
      </c>
      <c r="M97" s="591">
        <v>214</v>
      </c>
      <c r="N97" s="591">
        <v>606.30999999999995</v>
      </c>
      <c r="O97" s="591">
        <v>5560.74</v>
      </c>
    </row>
    <row r="98" spans="1:15" ht="15.75" x14ac:dyDescent="0.25">
      <c r="A98" s="588" t="s">
        <v>1591</v>
      </c>
      <c r="B98" s="588" t="s">
        <v>1592</v>
      </c>
      <c r="C98" s="591">
        <v>0</v>
      </c>
      <c r="D98" s="591">
        <v>0</v>
      </c>
      <c r="E98" s="591">
        <v>987.78</v>
      </c>
      <c r="F98" s="591">
        <v>6974.71</v>
      </c>
      <c r="G98" s="591">
        <v>341.71</v>
      </c>
      <c r="H98" s="591">
        <v>51.23</v>
      </c>
      <c r="I98" s="591">
        <v>7663.5</v>
      </c>
      <c r="J98" s="591">
        <v>226.51</v>
      </c>
      <c r="K98" s="591">
        <v>0</v>
      </c>
      <c r="L98" s="591">
        <v>0</v>
      </c>
      <c r="M98" s="591">
        <v>0</v>
      </c>
      <c r="N98" s="591">
        <v>0</v>
      </c>
      <c r="O98" s="591">
        <v>16245.44</v>
      </c>
    </row>
    <row r="99" spans="1:15" ht="15.75" x14ac:dyDescent="0.25">
      <c r="A99" s="588" t="s">
        <v>1593</v>
      </c>
      <c r="B99" s="588" t="s">
        <v>1594</v>
      </c>
      <c r="C99" s="591">
        <v>0</v>
      </c>
      <c r="D99" s="591">
        <v>0</v>
      </c>
      <c r="E99" s="591">
        <v>0</v>
      </c>
      <c r="F99" s="591">
        <v>0</v>
      </c>
      <c r="G99" s="591">
        <v>0</v>
      </c>
      <c r="H99" s="591">
        <v>0</v>
      </c>
      <c r="I99" s="591">
        <v>570.17999999999995</v>
      </c>
      <c r="J99" s="591">
        <v>0</v>
      </c>
      <c r="K99" s="591">
        <v>0</v>
      </c>
      <c r="L99" s="591">
        <v>1147.3399999999999</v>
      </c>
      <c r="M99" s="591">
        <v>106.82</v>
      </c>
      <c r="N99" s="591">
        <v>0</v>
      </c>
      <c r="O99" s="591">
        <v>1824.34</v>
      </c>
    </row>
    <row r="100" spans="1:15" ht="15.75" x14ac:dyDescent="0.25">
      <c r="A100" s="592"/>
      <c r="B100" s="592" t="s">
        <v>1595</v>
      </c>
      <c r="C100" s="596">
        <v>12427.59</v>
      </c>
      <c r="D100" s="596">
        <v>19977.07</v>
      </c>
      <c r="E100" s="596">
        <v>25408.69</v>
      </c>
      <c r="F100" s="596">
        <v>20873.39</v>
      </c>
      <c r="G100" s="596">
        <v>22449.040000000001</v>
      </c>
      <c r="H100" s="596">
        <v>18102.349999999999</v>
      </c>
      <c r="I100" s="596">
        <v>24833.87</v>
      </c>
      <c r="J100" s="596">
        <v>16947.22</v>
      </c>
      <c r="K100" s="596">
        <v>15093.27</v>
      </c>
      <c r="L100" s="596">
        <v>10431.36</v>
      </c>
      <c r="M100" s="596">
        <v>24876.240000000002</v>
      </c>
      <c r="N100" s="596">
        <v>13268.14</v>
      </c>
      <c r="O100" s="596">
        <v>224688.23</v>
      </c>
    </row>
    <row r="101" spans="1:15" ht="15.75" x14ac:dyDescent="0.25">
      <c r="A101" s="592"/>
      <c r="B101" s="592" t="s">
        <v>1596</v>
      </c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</row>
    <row r="102" spans="1:15" ht="15.75" x14ac:dyDescent="0.25">
      <c r="A102" s="588" t="s">
        <v>1597</v>
      </c>
      <c r="B102" s="588" t="s">
        <v>1598</v>
      </c>
      <c r="C102" s="591">
        <v>400</v>
      </c>
      <c r="D102" s="591">
        <v>1200</v>
      </c>
      <c r="E102" s="591">
        <v>1600</v>
      </c>
      <c r="F102" s="591">
        <v>400</v>
      </c>
      <c r="G102" s="591">
        <v>400</v>
      </c>
      <c r="H102" s="591">
        <v>0</v>
      </c>
      <c r="I102" s="591">
        <v>800</v>
      </c>
      <c r="J102" s="591">
        <v>400</v>
      </c>
      <c r="K102" s="591">
        <v>800</v>
      </c>
      <c r="L102" s="591">
        <v>400</v>
      </c>
      <c r="M102" s="591">
        <v>400</v>
      </c>
      <c r="N102" s="591">
        <v>0</v>
      </c>
      <c r="O102" s="591">
        <v>6800</v>
      </c>
    </row>
    <row r="103" spans="1:15" ht="15.75" x14ac:dyDescent="0.25">
      <c r="A103" s="588" t="s">
        <v>1599</v>
      </c>
      <c r="B103" s="588" t="s">
        <v>1600</v>
      </c>
      <c r="C103" s="591">
        <v>0</v>
      </c>
      <c r="D103" s="591">
        <v>0</v>
      </c>
      <c r="E103" s="591">
        <v>0</v>
      </c>
      <c r="F103" s="591">
        <v>0</v>
      </c>
      <c r="G103" s="591">
        <v>0</v>
      </c>
      <c r="H103" s="591">
        <v>0</v>
      </c>
      <c r="I103" s="591">
        <v>0</v>
      </c>
      <c r="J103" s="591">
        <v>0</v>
      </c>
      <c r="K103" s="591">
        <v>20</v>
      </c>
      <c r="L103" s="591">
        <v>0</v>
      </c>
      <c r="M103" s="591">
        <v>0</v>
      </c>
      <c r="N103" s="591">
        <v>0</v>
      </c>
      <c r="O103" s="591">
        <v>20</v>
      </c>
    </row>
    <row r="104" spans="1:15" ht="15.75" x14ac:dyDescent="0.25">
      <c r="A104" s="588" t="s">
        <v>1601</v>
      </c>
      <c r="B104" s="588" t="s">
        <v>1602</v>
      </c>
      <c r="C104" s="591">
        <v>810</v>
      </c>
      <c r="D104" s="591">
        <v>810</v>
      </c>
      <c r="E104" s="591">
        <v>810</v>
      </c>
      <c r="F104" s="591">
        <v>810</v>
      </c>
      <c r="G104" s="591">
        <v>810</v>
      </c>
      <c r="H104" s="591">
        <v>828.87</v>
      </c>
      <c r="I104" s="591">
        <v>875</v>
      </c>
      <c r="J104" s="591">
        <v>875</v>
      </c>
      <c r="K104" s="591">
        <v>875</v>
      </c>
      <c r="L104" s="591">
        <v>875</v>
      </c>
      <c r="M104" s="591">
        <v>875</v>
      </c>
      <c r="N104" s="591">
        <v>875</v>
      </c>
      <c r="O104" s="591">
        <v>10128.870000000001</v>
      </c>
    </row>
    <row r="105" spans="1:15" ht="15.75" x14ac:dyDescent="0.25">
      <c r="A105" s="592"/>
      <c r="B105" s="592" t="s">
        <v>1603</v>
      </c>
      <c r="C105" s="596">
        <v>1210</v>
      </c>
      <c r="D105" s="596">
        <v>2010</v>
      </c>
      <c r="E105" s="596">
        <v>2410</v>
      </c>
      <c r="F105" s="596">
        <v>1210</v>
      </c>
      <c r="G105" s="596">
        <v>1210</v>
      </c>
      <c r="H105" s="596">
        <v>828.87</v>
      </c>
      <c r="I105" s="596">
        <v>1675</v>
      </c>
      <c r="J105" s="596">
        <v>1275</v>
      </c>
      <c r="K105" s="596">
        <v>1695</v>
      </c>
      <c r="L105" s="596">
        <v>1275</v>
      </c>
      <c r="M105" s="596">
        <v>1275</v>
      </c>
      <c r="N105" s="596">
        <v>875</v>
      </c>
      <c r="O105" s="596">
        <v>16948.87</v>
      </c>
    </row>
    <row r="106" spans="1:15" ht="15.75" x14ac:dyDescent="0.25">
      <c r="A106" s="592"/>
      <c r="B106" s="592" t="s">
        <v>1604</v>
      </c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</row>
    <row r="107" spans="1:15" ht="15.75" x14ac:dyDescent="0.25">
      <c r="A107" s="588" t="s">
        <v>1605</v>
      </c>
      <c r="B107" s="588" t="s">
        <v>1606</v>
      </c>
      <c r="C107" s="591">
        <v>42349</v>
      </c>
      <c r="D107" s="591">
        <v>42321</v>
      </c>
      <c r="E107" s="591">
        <v>42660</v>
      </c>
      <c r="F107" s="591">
        <v>42848</v>
      </c>
      <c r="G107" s="591">
        <v>43638</v>
      </c>
      <c r="H107" s="591">
        <v>43914</v>
      </c>
      <c r="I107" s="591">
        <v>43962</v>
      </c>
      <c r="J107" s="591">
        <v>49199</v>
      </c>
      <c r="K107" s="591">
        <v>44485</v>
      </c>
      <c r="L107" s="591">
        <v>44887</v>
      </c>
      <c r="M107" s="591">
        <v>45107</v>
      </c>
      <c r="N107" s="591">
        <v>45202</v>
      </c>
      <c r="O107" s="591">
        <v>530572</v>
      </c>
    </row>
    <row r="108" spans="1:15" ht="15.75" x14ac:dyDescent="0.25">
      <c r="A108" s="592"/>
      <c r="B108" s="592" t="s">
        <v>1607</v>
      </c>
      <c r="C108" s="596">
        <v>42349</v>
      </c>
      <c r="D108" s="596">
        <v>42321</v>
      </c>
      <c r="E108" s="596">
        <v>42660</v>
      </c>
      <c r="F108" s="596">
        <v>42848</v>
      </c>
      <c r="G108" s="596">
        <v>43638</v>
      </c>
      <c r="H108" s="596">
        <v>43914</v>
      </c>
      <c r="I108" s="596">
        <v>43962</v>
      </c>
      <c r="J108" s="596">
        <v>49199</v>
      </c>
      <c r="K108" s="596">
        <v>44485</v>
      </c>
      <c r="L108" s="596">
        <v>44887</v>
      </c>
      <c r="M108" s="596">
        <v>45107</v>
      </c>
      <c r="N108" s="596">
        <v>45202</v>
      </c>
      <c r="O108" s="596">
        <v>530572</v>
      </c>
    </row>
    <row r="109" spans="1:15" ht="15.75" x14ac:dyDescent="0.25">
      <c r="A109" s="592"/>
      <c r="B109" s="592" t="s">
        <v>1608</v>
      </c>
      <c r="C109" s="595"/>
      <c r="D109" s="595"/>
      <c r="E109" s="595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</row>
    <row r="110" spans="1:15" ht="15.75" x14ac:dyDescent="0.25">
      <c r="A110" s="588" t="s">
        <v>1609</v>
      </c>
      <c r="B110" s="588" t="s">
        <v>1610</v>
      </c>
      <c r="C110" s="591">
        <v>17152.080000000002</v>
      </c>
      <c r="D110" s="591">
        <v>8042.1</v>
      </c>
      <c r="E110" s="591">
        <v>9971.4599999999991</v>
      </c>
      <c r="F110" s="591">
        <v>8644.66</v>
      </c>
      <c r="G110" s="591">
        <v>11456.13</v>
      </c>
      <c r="H110" s="591">
        <v>20029.95</v>
      </c>
      <c r="I110" s="591">
        <v>27161.42</v>
      </c>
      <c r="J110" s="591">
        <v>43548.46</v>
      </c>
      <c r="K110" s="591">
        <v>41188.07</v>
      </c>
      <c r="L110" s="591">
        <v>36127.019999999997</v>
      </c>
      <c r="M110" s="591">
        <v>33813.839999999997</v>
      </c>
      <c r="N110" s="591">
        <v>25777.09</v>
      </c>
      <c r="O110" s="591">
        <v>282912.28000000003</v>
      </c>
    </row>
    <row r="111" spans="1:15" ht="15.75" x14ac:dyDescent="0.25">
      <c r="A111" s="588" t="s">
        <v>1611</v>
      </c>
      <c r="B111" s="588" t="s">
        <v>1612</v>
      </c>
      <c r="C111" s="591">
        <v>5667.04</v>
      </c>
      <c r="D111" s="591">
        <v>4776.2299999999996</v>
      </c>
      <c r="E111" s="591">
        <v>5875.13</v>
      </c>
      <c r="F111" s="591">
        <v>6825.24</v>
      </c>
      <c r="G111" s="591">
        <v>6187.51</v>
      </c>
      <c r="H111" s="591">
        <v>7601.99</v>
      </c>
      <c r="I111" s="591">
        <v>7339.54</v>
      </c>
      <c r="J111" s="591">
        <v>9460.19</v>
      </c>
      <c r="K111" s="591">
        <v>8120.92</v>
      </c>
      <c r="L111" s="591">
        <v>6882.78</v>
      </c>
      <c r="M111" s="591">
        <v>7095.09</v>
      </c>
      <c r="N111" s="591">
        <v>7333.54</v>
      </c>
      <c r="O111" s="591">
        <v>83165.2</v>
      </c>
    </row>
    <row r="112" spans="1:15" ht="15.75" x14ac:dyDescent="0.25">
      <c r="A112" s="588" t="s">
        <v>1613</v>
      </c>
      <c r="B112" s="588" t="s">
        <v>1614</v>
      </c>
      <c r="C112" s="591">
        <v>10836.79</v>
      </c>
      <c r="D112" s="591">
        <v>10900</v>
      </c>
      <c r="E112" s="591">
        <v>11300</v>
      </c>
      <c r="F112" s="591">
        <v>10585</v>
      </c>
      <c r="G112" s="591">
        <v>10330.09</v>
      </c>
      <c r="H112" s="591">
        <v>11420</v>
      </c>
      <c r="I112" s="591">
        <v>8852.2099999999991</v>
      </c>
      <c r="J112" s="591">
        <v>10425</v>
      </c>
      <c r="K112" s="591">
        <v>10425</v>
      </c>
      <c r="L112" s="591">
        <v>9415</v>
      </c>
      <c r="M112" s="591">
        <v>10582.35</v>
      </c>
      <c r="N112" s="591">
        <v>10200</v>
      </c>
      <c r="O112" s="591">
        <v>125271.44</v>
      </c>
    </row>
    <row r="113" spans="1:15" ht="15.75" x14ac:dyDescent="0.25">
      <c r="A113" s="588" t="s">
        <v>1615</v>
      </c>
      <c r="B113" s="588" t="s">
        <v>1616</v>
      </c>
      <c r="C113" s="591">
        <v>8038.4</v>
      </c>
      <c r="D113" s="591">
        <v>8100</v>
      </c>
      <c r="E113" s="591">
        <v>8400</v>
      </c>
      <c r="F113" s="591">
        <v>7854</v>
      </c>
      <c r="G113" s="591">
        <v>7675.25</v>
      </c>
      <c r="H113" s="591">
        <v>8475</v>
      </c>
      <c r="I113" s="591">
        <v>6582.77</v>
      </c>
      <c r="J113" s="591">
        <v>7745</v>
      </c>
      <c r="K113" s="591">
        <v>7745</v>
      </c>
      <c r="L113" s="591">
        <v>6995</v>
      </c>
      <c r="M113" s="591">
        <v>9381.33</v>
      </c>
      <c r="N113" s="591">
        <v>7900</v>
      </c>
      <c r="O113" s="591">
        <v>94891.75</v>
      </c>
    </row>
    <row r="114" spans="1:15" ht="15.75" x14ac:dyDescent="0.25">
      <c r="A114" s="592"/>
      <c r="B114" s="592" t="s">
        <v>1617</v>
      </c>
      <c r="C114" s="596">
        <v>41694.31</v>
      </c>
      <c r="D114" s="596">
        <v>31818.33</v>
      </c>
      <c r="E114" s="596">
        <v>35546.589999999997</v>
      </c>
      <c r="F114" s="596">
        <v>33908.9</v>
      </c>
      <c r="G114" s="596">
        <v>35648.980000000003</v>
      </c>
      <c r="H114" s="596">
        <v>47526.94</v>
      </c>
      <c r="I114" s="596">
        <v>49935.94</v>
      </c>
      <c r="J114" s="596">
        <v>71178.649999999994</v>
      </c>
      <c r="K114" s="596">
        <v>67478.990000000005</v>
      </c>
      <c r="L114" s="596">
        <v>59419.8</v>
      </c>
      <c r="M114" s="596">
        <v>60872.61</v>
      </c>
      <c r="N114" s="596">
        <v>51210.63</v>
      </c>
      <c r="O114" s="596">
        <v>586240.67000000004</v>
      </c>
    </row>
    <row r="115" spans="1:15" ht="15.75" x14ac:dyDescent="0.25">
      <c r="A115" s="592"/>
      <c r="B115" s="592" t="s">
        <v>1618</v>
      </c>
      <c r="C115" s="595"/>
      <c r="D115" s="595"/>
      <c r="E115" s="595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</row>
    <row r="116" spans="1:15" ht="15.75" x14ac:dyDescent="0.25">
      <c r="A116" s="592"/>
      <c r="B116" s="592" t="s">
        <v>1619</v>
      </c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</row>
    <row r="117" spans="1:15" ht="15.75" x14ac:dyDescent="0.25">
      <c r="A117" s="588" t="s">
        <v>1620</v>
      </c>
      <c r="B117" s="588" t="s">
        <v>1621</v>
      </c>
      <c r="C117" s="591">
        <v>23088.67</v>
      </c>
      <c r="D117" s="591">
        <v>23088.67</v>
      </c>
      <c r="E117" s="591">
        <v>23088.67</v>
      </c>
      <c r="F117" s="591">
        <v>23088.67</v>
      </c>
      <c r="G117" s="591">
        <v>23088.67</v>
      </c>
      <c r="H117" s="591">
        <v>23088.67</v>
      </c>
      <c r="I117" s="591">
        <v>23088.67</v>
      </c>
      <c r="J117" s="591">
        <v>23088.69</v>
      </c>
      <c r="K117" s="591">
        <v>23896.85</v>
      </c>
      <c r="L117" s="591">
        <v>23896.85</v>
      </c>
      <c r="M117" s="591">
        <v>23896.85</v>
      </c>
      <c r="N117" s="591">
        <v>23896.85</v>
      </c>
      <c r="O117" s="591">
        <v>280296.78000000003</v>
      </c>
    </row>
    <row r="118" spans="1:15" ht="15.75" x14ac:dyDescent="0.25">
      <c r="A118" s="588" t="s">
        <v>1622</v>
      </c>
      <c r="B118" s="588" t="s">
        <v>1623</v>
      </c>
      <c r="C118" s="591">
        <v>1084.3</v>
      </c>
      <c r="D118" s="591">
        <v>1084.3</v>
      </c>
      <c r="E118" s="591">
        <v>1084.3</v>
      </c>
      <c r="F118" s="591">
        <v>1084.3</v>
      </c>
      <c r="G118" s="591">
        <v>1084.3</v>
      </c>
      <c r="H118" s="591">
        <v>1084.3</v>
      </c>
      <c r="I118" s="591">
        <v>1084.3</v>
      </c>
      <c r="J118" s="591">
        <v>1084.3</v>
      </c>
      <c r="K118" s="591">
        <v>874.99</v>
      </c>
      <c r="L118" s="591">
        <v>874.99</v>
      </c>
      <c r="M118" s="591">
        <v>874.99</v>
      </c>
      <c r="N118" s="591">
        <v>874.99</v>
      </c>
      <c r="O118" s="591">
        <v>12174.36</v>
      </c>
    </row>
    <row r="119" spans="1:15" ht="15.75" x14ac:dyDescent="0.25">
      <c r="A119" s="588" t="s">
        <v>1624</v>
      </c>
      <c r="B119" s="588" t="s">
        <v>1625</v>
      </c>
      <c r="C119" s="591">
        <v>4024.23</v>
      </c>
      <c r="D119" s="591">
        <v>4024.23</v>
      </c>
      <c r="E119" s="591">
        <v>4024.23</v>
      </c>
      <c r="F119" s="591">
        <v>4024.23</v>
      </c>
      <c r="G119" s="591">
        <v>4024.23</v>
      </c>
      <c r="H119" s="591">
        <v>4024.23</v>
      </c>
      <c r="I119" s="591">
        <v>4024.23</v>
      </c>
      <c r="J119" s="591">
        <v>4024.23</v>
      </c>
      <c r="K119" s="591">
        <v>8120.19</v>
      </c>
      <c r="L119" s="591">
        <v>8120.19</v>
      </c>
      <c r="M119" s="591">
        <v>8120.19</v>
      </c>
      <c r="N119" s="591">
        <v>8120.19</v>
      </c>
      <c r="O119" s="591">
        <v>64674.6</v>
      </c>
    </row>
    <row r="120" spans="1:15" ht="15.75" x14ac:dyDescent="0.25">
      <c r="A120" s="592"/>
      <c r="B120" s="592" t="s">
        <v>1626</v>
      </c>
      <c r="C120" s="596">
        <v>28197.200000000001</v>
      </c>
      <c r="D120" s="596">
        <v>28197.200000000001</v>
      </c>
      <c r="E120" s="596">
        <v>28197.200000000001</v>
      </c>
      <c r="F120" s="596">
        <v>28197.200000000001</v>
      </c>
      <c r="G120" s="596">
        <v>28197.200000000001</v>
      </c>
      <c r="H120" s="596">
        <v>28197.200000000001</v>
      </c>
      <c r="I120" s="596">
        <v>28197.200000000001</v>
      </c>
      <c r="J120" s="596">
        <v>28197.22</v>
      </c>
      <c r="K120" s="596">
        <v>32892.03</v>
      </c>
      <c r="L120" s="596">
        <v>32892.03</v>
      </c>
      <c r="M120" s="596">
        <v>32892.03</v>
      </c>
      <c r="N120" s="596">
        <v>32892.03</v>
      </c>
      <c r="O120" s="596">
        <v>357145.74</v>
      </c>
    </row>
    <row r="121" spans="1:15" ht="15.75" x14ac:dyDescent="0.25">
      <c r="A121" s="588" t="s">
        <v>1627</v>
      </c>
      <c r="B121" s="588" t="s">
        <v>1628</v>
      </c>
      <c r="C121" s="591">
        <v>69987.899999999994</v>
      </c>
      <c r="D121" s="591">
        <v>69987.899999999994</v>
      </c>
      <c r="E121" s="591">
        <v>72148.39</v>
      </c>
      <c r="F121" s="591">
        <v>72148.39</v>
      </c>
      <c r="G121" s="591">
        <v>72148.39</v>
      </c>
      <c r="H121" s="591">
        <v>72148.39</v>
      </c>
      <c r="I121" s="591">
        <v>72148.39</v>
      </c>
      <c r="J121" s="591">
        <v>72148.41</v>
      </c>
      <c r="K121" s="591">
        <v>72148.399999999994</v>
      </c>
      <c r="L121" s="591">
        <v>72148.399999999994</v>
      </c>
      <c r="M121" s="591">
        <v>72148.399999999994</v>
      </c>
      <c r="N121" s="591">
        <v>72148.399999999994</v>
      </c>
      <c r="O121" s="591">
        <v>861459.76</v>
      </c>
    </row>
    <row r="122" spans="1:15" ht="15.75" x14ac:dyDescent="0.25">
      <c r="A122" s="592"/>
      <c r="B122" s="592" t="s">
        <v>1629</v>
      </c>
      <c r="C122" s="596">
        <v>98185.1</v>
      </c>
      <c r="D122" s="596">
        <v>98185.1</v>
      </c>
      <c r="E122" s="596">
        <v>100345.59</v>
      </c>
      <c r="F122" s="596">
        <v>100345.59</v>
      </c>
      <c r="G122" s="596">
        <v>100345.59</v>
      </c>
      <c r="H122" s="596">
        <v>100345.59</v>
      </c>
      <c r="I122" s="596">
        <v>100345.59</v>
      </c>
      <c r="J122" s="596">
        <v>100345.63</v>
      </c>
      <c r="K122" s="596">
        <v>105040.43</v>
      </c>
      <c r="L122" s="596">
        <v>105040.43</v>
      </c>
      <c r="M122" s="596">
        <v>105040.43</v>
      </c>
      <c r="N122" s="596">
        <v>105040.43</v>
      </c>
      <c r="O122" s="596">
        <v>1218605.5</v>
      </c>
    </row>
    <row r="123" spans="1:15" ht="15.75" x14ac:dyDescent="0.25">
      <c r="A123" s="592"/>
      <c r="B123" s="592" t="s">
        <v>1630</v>
      </c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</row>
    <row r="124" spans="1:15" ht="15.75" x14ac:dyDescent="0.25">
      <c r="A124" s="588" t="s">
        <v>1631</v>
      </c>
      <c r="B124" s="588" t="s">
        <v>1632</v>
      </c>
      <c r="C124" s="591">
        <v>21108.26</v>
      </c>
      <c r="D124" s="591">
        <v>21108.25</v>
      </c>
      <c r="E124" s="591">
        <v>21108.25</v>
      </c>
      <c r="F124" s="591">
        <v>21838.95</v>
      </c>
      <c r="G124" s="591">
        <v>22569.62</v>
      </c>
      <c r="H124" s="591">
        <v>22569.62</v>
      </c>
      <c r="I124" s="591">
        <v>22569.62</v>
      </c>
      <c r="J124" s="591">
        <v>23564.47</v>
      </c>
      <c r="K124" s="591">
        <v>22790.7</v>
      </c>
      <c r="L124" s="591">
        <v>22790.7</v>
      </c>
      <c r="M124" s="591">
        <v>22790.7</v>
      </c>
      <c r="N124" s="591">
        <v>22790.7</v>
      </c>
      <c r="O124" s="591">
        <v>267599.84000000003</v>
      </c>
    </row>
    <row r="125" spans="1:15" ht="15.75" x14ac:dyDescent="0.25">
      <c r="A125" s="588" t="s">
        <v>1633</v>
      </c>
      <c r="B125" s="588" t="s">
        <v>1634</v>
      </c>
      <c r="C125" s="591">
        <v>636.5</v>
      </c>
      <c r="D125" s="591">
        <v>636.5</v>
      </c>
      <c r="E125" s="591">
        <v>636.5</v>
      </c>
      <c r="F125" s="591">
        <v>814.13</v>
      </c>
      <c r="G125" s="591">
        <v>991.75</v>
      </c>
      <c r="H125" s="591">
        <v>991.75</v>
      </c>
      <c r="I125" s="591">
        <v>991.75</v>
      </c>
      <c r="J125" s="591">
        <v>991.75</v>
      </c>
      <c r="K125" s="591">
        <v>991.75</v>
      </c>
      <c r="L125" s="591">
        <v>991.75</v>
      </c>
      <c r="M125" s="591">
        <v>991.75</v>
      </c>
      <c r="N125" s="591">
        <v>991.75</v>
      </c>
      <c r="O125" s="591">
        <v>10657.63</v>
      </c>
    </row>
    <row r="126" spans="1:15" ht="15.75" x14ac:dyDescent="0.25">
      <c r="A126" s="588" t="s">
        <v>1635</v>
      </c>
      <c r="B126" s="588" t="s">
        <v>1636</v>
      </c>
      <c r="C126" s="591">
        <v>7824.5</v>
      </c>
      <c r="D126" s="591">
        <v>7824.5</v>
      </c>
      <c r="E126" s="591">
        <v>7824.5</v>
      </c>
      <c r="F126" s="591">
        <v>8305.35</v>
      </c>
      <c r="G126" s="591">
        <v>8786.19</v>
      </c>
      <c r="H126" s="591">
        <v>8786.19</v>
      </c>
      <c r="I126" s="591">
        <v>8786.19</v>
      </c>
      <c r="J126" s="591">
        <v>8786.2000000000007</v>
      </c>
      <c r="K126" s="591">
        <v>8786.19</v>
      </c>
      <c r="L126" s="591">
        <v>8786.19</v>
      </c>
      <c r="M126" s="591">
        <v>8786.19</v>
      </c>
      <c r="N126" s="591">
        <v>8786.19</v>
      </c>
      <c r="O126" s="591">
        <v>102068.38</v>
      </c>
    </row>
    <row r="127" spans="1:15" ht="15.75" x14ac:dyDescent="0.25">
      <c r="A127" s="592"/>
      <c r="B127" s="592" t="s">
        <v>1637</v>
      </c>
      <c r="C127" s="596">
        <v>29569.26</v>
      </c>
      <c r="D127" s="596">
        <v>29569.25</v>
      </c>
      <c r="E127" s="596">
        <v>29569.25</v>
      </c>
      <c r="F127" s="596">
        <v>30958.43</v>
      </c>
      <c r="G127" s="596">
        <v>32347.56</v>
      </c>
      <c r="H127" s="596">
        <v>32347.56</v>
      </c>
      <c r="I127" s="596">
        <v>32347.56</v>
      </c>
      <c r="J127" s="596">
        <v>33342.42</v>
      </c>
      <c r="K127" s="596">
        <v>32568.639999999999</v>
      </c>
      <c r="L127" s="596">
        <v>32568.639999999999</v>
      </c>
      <c r="M127" s="596">
        <v>32568.639999999999</v>
      </c>
      <c r="N127" s="596">
        <v>32568.639999999999</v>
      </c>
      <c r="O127" s="596">
        <v>380325.85</v>
      </c>
    </row>
    <row r="128" spans="1:15" ht="15.75" x14ac:dyDescent="0.25">
      <c r="A128" s="592"/>
      <c r="B128" s="592" t="s">
        <v>1638</v>
      </c>
      <c r="C128" s="596">
        <v>440254.57</v>
      </c>
      <c r="D128" s="596">
        <v>433075.26</v>
      </c>
      <c r="E128" s="596">
        <v>457537.34</v>
      </c>
      <c r="F128" s="596">
        <v>509077.91</v>
      </c>
      <c r="G128" s="596">
        <v>418247.79</v>
      </c>
      <c r="H128" s="596">
        <v>467705.23</v>
      </c>
      <c r="I128" s="596">
        <v>454059.23</v>
      </c>
      <c r="J128" s="596">
        <v>507708.77</v>
      </c>
      <c r="K128" s="596">
        <v>491643.7</v>
      </c>
      <c r="L128" s="596">
        <v>444431.12</v>
      </c>
      <c r="M128" s="596">
        <v>453167.9</v>
      </c>
      <c r="N128" s="596">
        <v>440869.37</v>
      </c>
      <c r="O128" s="596">
        <v>5517778.1900000004</v>
      </c>
    </row>
    <row r="129" spans="1:15" ht="15.75" x14ac:dyDescent="0.25">
      <c r="A129" s="588"/>
      <c r="B129" s="588"/>
      <c r="C129" s="591"/>
      <c r="D129" s="591"/>
      <c r="E129" s="591"/>
      <c r="F129" s="591"/>
      <c r="G129" s="591"/>
      <c r="H129" s="591"/>
      <c r="I129" s="591"/>
      <c r="J129" s="591"/>
      <c r="K129" s="591"/>
      <c r="L129" s="591"/>
      <c r="M129" s="591"/>
      <c r="N129" s="591"/>
      <c r="O129" s="591"/>
    </row>
    <row r="130" spans="1:15" ht="15.75" x14ac:dyDescent="0.25">
      <c r="A130" s="592"/>
      <c r="B130" s="592" t="s">
        <v>1639</v>
      </c>
      <c r="C130" s="595">
        <v>516736.05</v>
      </c>
      <c r="D130" s="595">
        <v>519602.14</v>
      </c>
      <c r="E130" s="595">
        <v>502573.03</v>
      </c>
      <c r="F130" s="595">
        <v>455701.26</v>
      </c>
      <c r="G130" s="595">
        <v>564241.88</v>
      </c>
      <c r="H130" s="595">
        <v>517070.8</v>
      </c>
      <c r="I130" s="595">
        <v>540494.34</v>
      </c>
      <c r="J130" s="595">
        <v>480169.9</v>
      </c>
      <c r="K130" s="595">
        <v>506066.84</v>
      </c>
      <c r="L130" s="595">
        <v>557644.1</v>
      </c>
      <c r="M130" s="595">
        <v>564128.78</v>
      </c>
      <c r="N130" s="595">
        <v>575234.04</v>
      </c>
      <c r="O130" s="595">
        <v>6299663.1600000001</v>
      </c>
    </row>
    <row r="131" spans="1:15" ht="15.75" x14ac:dyDescent="0.25">
      <c r="A131" s="588"/>
      <c r="B131" s="588"/>
      <c r="C131" s="591"/>
      <c r="D131" s="591"/>
      <c r="E131" s="591"/>
      <c r="F131" s="591"/>
      <c r="G131" s="591"/>
      <c r="H131" s="591"/>
      <c r="I131" s="591"/>
      <c r="J131" s="591"/>
      <c r="K131" s="591"/>
      <c r="L131" s="591"/>
      <c r="M131" s="591"/>
      <c r="N131" s="591"/>
      <c r="O131" s="591"/>
    </row>
    <row r="132" spans="1:15" ht="15.75" x14ac:dyDescent="0.25">
      <c r="A132" s="592"/>
      <c r="B132" s="592" t="s">
        <v>1640</v>
      </c>
      <c r="C132" s="595"/>
      <c r="D132" s="595"/>
      <c r="E132" s="595"/>
      <c r="F132" s="595"/>
      <c r="G132" s="595"/>
      <c r="H132" s="595"/>
      <c r="I132" s="595"/>
      <c r="J132" s="595"/>
      <c r="K132" s="595"/>
      <c r="L132" s="595"/>
      <c r="M132" s="595"/>
      <c r="N132" s="595"/>
      <c r="O132" s="595"/>
    </row>
    <row r="133" spans="1:15" ht="15.75" x14ac:dyDescent="0.25">
      <c r="A133" s="592"/>
      <c r="B133" s="592" t="s">
        <v>1641</v>
      </c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</row>
    <row r="134" spans="1:15" ht="15.75" x14ac:dyDescent="0.25">
      <c r="A134" s="588" t="s">
        <v>1642</v>
      </c>
      <c r="B134" s="588" t="s">
        <v>1643</v>
      </c>
      <c r="C134" s="591">
        <v>337.07</v>
      </c>
      <c r="D134" s="591">
        <v>324.08</v>
      </c>
      <c r="E134" s="591">
        <v>320.64999999999998</v>
      </c>
      <c r="F134" s="591">
        <v>292.02999999999997</v>
      </c>
      <c r="G134" s="591">
        <v>261.76</v>
      </c>
      <c r="H134" s="591">
        <v>261.73</v>
      </c>
      <c r="I134" s="591">
        <v>192.05</v>
      </c>
      <c r="J134" s="591">
        <v>128.43</v>
      </c>
      <c r="K134" s="591">
        <v>87.42</v>
      </c>
      <c r="L134" s="591">
        <v>58.35</v>
      </c>
      <c r="M134" s="591">
        <v>68.819999999999993</v>
      </c>
      <c r="N134" s="591">
        <v>163.76</v>
      </c>
      <c r="O134" s="591">
        <v>2496.15</v>
      </c>
    </row>
    <row r="135" spans="1:15" ht="15.75" x14ac:dyDescent="0.25">
      <c r="A135" s="588" t="s">
        <v>1644</v>
      </c>
      <c r="B135" s="588" t="s">
        <v>1645</v>
      </c>
      <c r="C135" s="591">
        <v>11493.04</v>
      </c>
      <c r="D135" s="591">
        <v>9498.07</v>
      </c>
      <c r="E135" s="591">
        <v>264.05</v>
      </c>
      <c r="F135" s="591">
        <v>121.09</v>
      </c>
      <c r="G135" s="591">
        <v>110.83</v>
      </c>
      <c r="H135" s="591">
        <v>142.72</v>
      </c>
      <c r="I135" s="591">
        <v>121.79</v>
      </c>
      <c r="J135" s="591">
        <v>2050.12</v>
      </c>
      <c r="K135" s="591">
        <v>92.86</v>
      </c>
      <c r="L135" s="591">
        <v>160.55000000000001</v>
      </c>
      <c r="M135" s="591">
        <v>110.36</v>
      </c>
      <c r="N135" s="591">
        <v>69.3</v>
      </c>
      <c r="O135" s="591">
        <v>24234.78</v>
      </c>
    </row>
    <row r="136" spans="1:15" ht="15.75" x14ac:dyDescent="0.25">
      <c r="A136" s="588" t="s">
        <v>1646</v>
      </c>
      <c r="B136" s="588" t="s">
        <v>1647</v>
      </c>
      <c r="C136" s="591">
        <v>0</v>
      </c>
      <c r="D136" s="591">
        <v>0</v>
      </c>
      <c r="E136" s="591">
        <v>0</v>
      </c>
      <c r="F136" s="591">
        <v>0</v>
      </c>
      <c r="G136" s="591">
        <v>0</v>
      </c>
      <c r="H136" s="591">
        <v>0</v>
      </c>
      <c r="I136" s="591">
        <v>0</v>
      </c>
      <c r="J136" s="591">
        <v>25400</v>
      </c>
      <c r="K136" s="591">
        <v>0</v>
      </c>
      <c r="L136" s="591">
        <v>0</v>
      </c>
      <c r="M136" s="591">
        <v>0</v>
      </c>
      <c r="N136" s="591">
        <v>0</v>
      </c>
      <c r="O136" s="591">
        <v>25400</v>
      </c>
    </row>
    <row r="137" spans="1:15" ht="15.75" x14ac:dyDescent="0.25">
      <c r="A137" s="588" t="s">
        <v>1648</v>
      </c>
      <c r="B137" s="588" t="s">
        <v>1649</v>
      </c>
      <c r="C137" s="591">
        <v>0</v>
      </c>
      <c r="D137" s="591">
        <v>0</v>
      </c>
      <c r="E137" s="591">
        <v>0</v>
      </c>
      <c r="F137" s="591">
        <v>0</v>
      </c>
      <c r="G137" s="591">
        <v>0</v>
      </c>
      <c r="H137" s="591">
        <v>0</v>
      </c>
      <c r="I137" s="591">
        <v>0</v>
      </c>
      <c r="J137" s="591">
        <v>18423</v>
      </c>
      <c r="K137" s="591">
        <v>0</v>
      </c>
      <c r="L137" s="591">
        <v>0</v>
      </c>
      <c r="M137" s="591">
        <v>0</v>
      </c>
      <c r="N137" s="591">
        <v>0</v>
      </c>
      <c r="O137" s="591">
        <v>18423</v>
      </c>
    </row>
    <row r="138" spans="1:15" ht="15.75" x14ac:dyDescent="0.25">
      <c r="A138" s="592"/>
      <c r="B138" s="592" t="s">
        <v>1650</v>
      </c>
      <c r="C138" s="596">
        <v>11830.11</v>
      </c>
      <c r="D138" s="596">
        <v>9822.15</v>
      </c>
      <c r="E138" s="596">
        <v>584.70000000000005</v>
      </c>
      <c r="F138" s="596">
        <v>413.12</v>
      </c>
      <c r="G138" s="596">
        <v>372.59</v>
      </c>
      <c r="H138" s="596">
        <v>404.45</v>
      </c>
      <c r="I138" s="596">
        <v>313.83999999999997</v>
      </c>
      <c r="J138" s="596">
        <v>46001.55</v>
      </c>
      <c r="K138" s="596">
        <v>180.28</v>
      </c>
      <c r="L138" s="596">
        <v>218.9</v>
      </c>
      <c r="M138" s="596">
        <v>179.18</v>
      </c>
      <c r="N138" s="596">
        <v>233.06</v>
      </c>
      <c r="O138" s="596">
        <v>70553.929999999993</v>
      </c>
    </row>
    <row r="139" spans="1:15" ht="15.75" x14ac:dyDescent="0.25">
      <c r="A139" s="592"/>
      <c r="B139" s="592" t="s">
        <v>1651</v>
      </c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5"/>
      <c r="N139" s="595"/>
      <c r="O139" s="595"/>
    </row>
    <row r="140" spans="1:15" ht="15.75" x14ac:dyDescent="0.25">
      <c r="A140" s="592"/>
      <c r="B140" s="592" t="s">
        <v>1652</v>
      </c>
      <c r="C140" s="595"/>
      <c r="D140" s="595"/>
      <c r="E140" s="595"/>
      <c r="F140" s="595"/>
      <c r="G140" s="595"/>
      <c r="H140" s="595"/>
      <c r="I140" s="595"/>
      <c r="J140" s="595"/>
      <c r="K140" s="595"/>
      <c r="L140" s="595"/>
      <c r="M140" s="595"/>
      <c r="N140" s="595"/>
      <c r="O140" s="595"/>
    </row>
    <row r="141" spans="1:15" ht="15.75" x14ac:dyDescent="0.25">
      <c r="A141" s="588" t="s">
        <v>1653</v>
      </c>
      <c r="B141" s="588" t="s">
        <v>1654</v>
      </c>
      <c r="C141" s="591">
        <v>1856.78</v>
      </c>
      <c r="D141" s="591">
        <v>1992.39</v>
      </c>
      <c r="E141" s="591">
        <v>845.63</v>
      </c>
      <c r="F141" s="591">
        <v>944.14</v>
      </c>
      <c r="G141" s="591">
        <v>1044.27</v>
      </c>
      <c r="H141" s="591">
        <v>1191.8599999999999</v>
      </c>
      <c r="I141" s="591">
        <v>1289.3599999999999</v>
      </c>
      <c r="J141" s="591">
        <v>1436.07</v>
      </c>
      <c r="K141" s="591">
        <v>822.42</v>
      </c>
      <c r="L141" s="591">
        <v>920.12</v>
      </c>
      <c r="M141" s="591">
        <v>1017.96</v>
      </c>
      <c r="N141" s="591">
        <v>1163.71</v>
      </c>
      <c r="O141" s="591">
        <v>14524.71</v>
      </c>
    </row>
    <row r="142" spans="1:15" ht="15.75" x14ac:dyDescent="0.25">
      <c r="A142" s="592"/>
      <c r="B142" s="592" t="s">
        <v>1655</v>
      </c>
      <c r="C142" s="596">
        <v>1856.78</v>
      </c>
      <c r="D142" s="596">
        <v>1992.39</v>
      </c>
      <c r="E142" s="596">
        <v>845.63</v>
      </c>
      <c r="F142" s="596">
        <v>944.14</v>
      </c>
      <c r="G142" s="596">
        <v>1044.27</v>
      </c>
      <c r="H142" s="596">
        <v>1191.8599999999999</v>
      </c>
      <c r="I142" s="596">
        <v>1289.3599999999999</v>
      </c>
      <c r="J142" s="596">
        <v>1436.07</v>
      </c>
      <c r="K142" s="596">
        <v>822.42</v>
      </c>
      <c r="L142" s="596">
        <v>920.12</v>
      </c>
      <c r="M142" s="596">
        <v>1017.96</v>
      </c>
      <c r="N142" s="596">
        <v>1163.71</v>
      </c>
      <c r="O142" s="596">
        <v>14524.71</v>
      </c>
    </row>
    <row r="143" spans="1:15" ht="15.75" x14ac:dyDescent="0.25">
      <c r="A143" s="592"/>
      <c r="B143" s="592" t="s">
        <v>1656</v>
      </c>
      <c r="C143" s="595"/>
      <c r="D143" s="595"/>
      <c r="E143" s="595"/>
      <c r="F143" s="595"/>
      <c r="G143" s="595"/>
      <c r="H143" s="595"/>
      <c r="I143" s="595"/>
      <c r="J143" s="595"/>
      <c r="K143" s="595"/>
      <c r="L143" s="595"/>
      <c r="M143" s="595"/>
      <c r="N143" s="595"/>
      <c r="O143" s="595"/>
    </row>
    <row r="144" spans="1:15" ht="15.75" x14ac:dyDescent="0.25">
      <c r="A144" s="588" t="s">
        <v>1657</v>
      </c>
      <c r="B144" s="588" t="s">
        <v>1658</v>
      </c>
      <c r="C144" s="591">
        <v>150554.99</v>
      </c>
      <c r="D144" s="591">
        <v>150301.44</v>
      </c>
      <c r="E144" s="591">
        <v>150047.21</v>
      </c>
      <c r="F144" s="591">
        <v>149792.29999999999</v>
      </c>
      <c r="G144" s="591">
        <v>149536.70000000001</v>
      </c>
      <c r="H144" s="591">
        <v>149280.43</v>
      </c>
      <c r="I144" s="591">
        <v>149023.47</v>
      </c>
      <c r="J144" s="591">
        <v>148765.82</v>
      </c>
      <c r="K144" s="591">
        <v>148507.48000000001</v>
      </c>
      <c r="L144" s="591">
        <v>148248.45000000001</v>
      </c>
      <c r="M144" s="591">
        <v>147988.73000000001</v>
      </c>
      <c r="N144" s="591">
        <v>147728.31</v>
      </c>
      <c r="O144" s="591">
        <v>1789775.33</v>
      </c>
    </row>
    <row r="145" spans="1:15" ht="15.75" x14ac:dyDescent="0.25">
      <c r="A145" s="592"/>
      <c r="B145" s="592" t="s">
        <v>1659</v>
      </c>
      <c r="C145" s="596">
        <v>150554.99</v>
      </c>
      <c r="D145" s="596">
        <v>150301.44</v>
      </c>
      <c r="E145" s="596">
        <v>150047.21</v>
      </c>
      <c r="F145" s="596">
        <v>149792.29999999999</v>
      </c>
      <c r="G145" s="596">
        <v>149536.70000000001</v>
      </c>
      <c r="H145" s="596">
        <v>149280.43</v>
      </c>
      <c r="I145" s="596">
        <v>149023.47</v>
      </c>
      <c r="J145" s="596">
        <v>148765.82</v>
      </c>
      <c r="K145" s="596">
        <v>148507.48000000001</v>
      </c>
      <c r="L145" s="596">
        <v>148248.45000000001</v>
      </c>
      <c r="M145" s="596">
        <v>147988.73000000001</v>
      </c>
      <c r="N145" s="596">
        <v>147728.31</v>
      </c>
      <c r="O145" s="596">
        <v>1789775.33</v>
      </c>
    </row>
    <row r="146" spans="1:15" ht="15.75" x14ac:dyDescent="0.25">
      <c r="A146" s="592"/>
      <c r="B146" s="592" t="s">
        <v>1660</v>
      </c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</row>
    <row r="147" spans="1:15" ht="15.75" x14ac:dyDescent="0.25">
      <c r="A147" s="588" t="s">
        <v>1661</v>
      </c>
      <c r="B147" s="588" t="s">
        <v>1662</v>
      </c>
      <c r="C147" s="591">
        <v>11675.68</v>
      </c>
      <c r="D147" s="591">
        <v>11675.68</v>
      </c>
      <c r="E147" s="591">
        <v>11675.68</v>
      </c>
      <c r="F147" s="591">
        <v>11675.68</v>
      </c>
      <c r="G147" s="591">
        <v>11675.68</v>
      </c>
      <c r="H147" s="591">
        <v>11675.68</v>
      </c>
      <c r="I147" s="591">
        <v>11675.68</v>
      </c>
      <c r="J147" s="591">
        <v>11675.72</v>
      </c>
      <c r="K147" s="591">
        <v>11675.68</v>
      </c>
      <c r="L147" s="591">
        <v>11433.58</v>
      </c>
      <c r="M147" s="591">
        <v>11433.58</v>
      </c>
      <c r="N147" s="591">
        <v>11433.58</v>
      </c>
      <c r="O147" s="591">
        <v>139381.9</v>
      </c>
    </row>
    <row r="148" spans="1:15" ht="15.75" x14ac:dyDescent="0.25">
      <c r="A148" s="592"/>
      <c r="B148" s="592" t="s">
        <v>1663</v>
      </c>
      <c r="C148" s="596">
        <v>11675.68</v>
      </c>
      <c r="D148" s="596">
        <v>11675.68</v>
      </c>
      <c r="E148" s="596">
        <v>11675.68</v>
      </c>
      <c r="F148" s="596">
        <v>11675.68</v>
      </c>
      <c r="G148" s="596">
        <v>11675.68</v>
      </c>
      <c r="H148" s="596">
        <v>11675.68</v>
      </c>
      <c r="I148" s="596">
        <v>11675.68</v>
      </c>
      <c r="J148" s="596">
        <v>11675.72</v>
      </c>
      <c r="K148" s="596">
        <v>11675.68</v>
      </c>
      <c r="L148" s="596">
        <v>11433.58</v>
      </c>
      <c r="M148" s="596">
        <v>11433.58</v>
      </c>
      <c r="N148" s="596">
        <v>11433.58</v>
      </c>
      <c r="O148" s="596">
        <v>139381.9</v>
      </c>
    </row>
    <row r="149" spans="1:15" ht="15.75" x14ac:dyDescent="0.25">
      <c r="A149" s="592"/>
      <c r="B149" s="592" t="s">
        <v>1664</v>
      </c>
      <c r="C149" s="595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  <c r="N149" s="595"/>
      <c r="O149" s="595"/>
    </row>
    <row r="150" spans="1:15" ht="15.75" x14ac:dyDescent="0.25">
      <c r="A150" s="588" t="s">
        <v>1665</v>
      </c>
      <c r="B150" s="588" t="s">
        <v>1666</v>
      </c>
      <c r="C150" s="591">
        <v>30862</v>
      </c>
      <c r="D150" s="591">
        <v>31101</v>
      </c>
      <c r="E150" s="591">
        <v>30912</v>
      </c>
      <c r="F150" s="591">
        <v>35781</v>
      </c>
      <c r="G150" s="591">
        <v>31785</v>
      </c>
      <c r="H150" s="591">
        <v>32943</v>
      </c>
      <c r="I150" s="591">
        <v>32711</v>
      </c>
      <c r="J150" s="591">
        <v>31469</v>
      </c>
      <c r="K150" s="591">
        <v>30661</v>
      </c>
      <c r="L150" s="591">
        <v>30761</v>
      </c>
      <c r="M150" s="591">
        <v>31241</v>
      </c>
      <c r="N150" s="591">
        <v>31385</v>
      </c>
      <c r="O150" s="591">
        <v>381612</v>
      </c>
    </row>
    <row r="151" spans="1:15" ht="15.75" x14ac:dyDescent="0.25">
      <c r="A151" s="588" t="s">
        <v>1667</v>
      </c>
      <c r="B151" s="588" t="s">
        <v>1668</v>
      </c>
      <c r="C151" s="591">
        <v>2389</v>
      </c>
      <c r="D151" s="591">
        <v>2389</v>
      </c>
      <c r="E151" s="591">
        <v>2389</v>
      </c>
      <c r="F151" s="591">
        <v>2389</v>
      </c>
      <c r="G151" s="591">
        <v>2389</v>
      </c>
      <c r="H151" s="591">
        <v>2389</v>
      </c>
      <c r="I151" s="591">
        <v>2389</v>
      </c>
      <c r="J151" s="591">
        <v>8093</v>
      </c>
      <c r="K151" s="591">
        <v>2864</v>
      </c>
      <c r="L151" s="591">
        <v>2864</v>
      </c>
      <c r="M151" s="591">
        <v>2864</v>
      </c>
      <c r="N151" s="591">
        <v>2864</v>
      </c>
      <c r="O151" s="591">
        <v>36272</v>
      </c>
    </row>
    <row r="152" spans="1:15" ht="15.75" x14ac:dyDescent="0.25">
      <c r="A152" s="592"/>
      <c r="B152" s="592" t="s">
        <v>1669</v>
      </c>
      <c r="C152" s="596">
        <v>33251</v>
      </c>
      <c r="D152" s="596">
        <v>33490</v>
      </c>
      <c r="E152" s="596">
        <v>33301</v>
      </c>
      <c r="F152" s="596">
        <v>38170</v>
      </c>
      <c r="G152" s="596">
        <v>34174</v>
      </c>
      <c r="H152" s="596">
        <v>35332</v>
      </c>
      <c r="I152" s="596">
        <v>35100</v>
      </c>
      <c r="J152" s="596">
        <v>39562</v>
      </c>
      <c r="K152" s="596">
        <v>33525</v>
      </c>
      <c r="L152" s="596">
        <v>33625</v>
      </c>
      <c r="M152" s="596">
        <v>34105</v>
      </c>
      <c r="N152" s="596">
        <v>34249</v>
      </c>
      <c r="O152" s="596">
        <v>417884</v>
      </c>
    </row>
    <row r="153" spans="1:15" ht="15.75" x14ac:dyDescent="0.25">
      <c r="A153" s="592"/>
      <c r="B153" s="592" t="s">
        <v>1670</v>
      </c>
      <c r="C153" s="595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  <c r="N153" s="595"/>
      <c r="O153" s="595"/>
    </row>
    <row r="154" spans="1:15" ht="15.75" x14ac:dyDescent="0.25">
      <c r="A154" s="588" t="s">
        <v>1671</v>
      </c>
      <c r="B154" s="588" t="s">
        <v>1672</v>
      </c>
      <c r="C154" s="591">
        <v>0</v>
      </c>
      <c r="D154" s="591">
        <v>0</v>
      </c>
      <c r="E154" s="591">
        <v>2500</v>
      </c>
      <c r="F154" s="591">
        <v>4760</v>
      </c>
      <c r="G154" s="591">
        <v>0</v>
      </c>
      <c r="H154" s="591">
        <v>7080</v>
      </c>
      <c r="I154" s="591">
        <v>2440</v>
      </c>
      <c r="J154" s="591">
        <v>10430.34</v>
      </c>
      <c r="K154" s="591">
        <v>4975.07</v>
      </c>
      <c r="L154" s="591">
        <v>2427.44</v>
      </c>
      <c r="M154" s="591">
        <v>12171.31</v>
      </c>
      <c r="N154" s="591">
        <v>24616.28</v>
      </c>
      <c r="O154" s="591">
        <v>71400.44</v>
      </c>
    </row>
    <row r="155" spans="1:15" ht="15.75" x14ac:dyDescent="0.25">
      <c r="A155" s="588" t="s">
        <v>1673</v>
      </c>
      <c r="B155" s="588" t="s">
        <v>1674</v>
      </c>
      <c r="C155" s="591">
        <v>17328.36</v>
      </c>
      <c r="D155" s="591">
        <v>16457.990000000002</v>
      </c>
      <c r="E155" s="591">
        <v>40205.730000000003</v>
      </c>
      <c r="F155" s="591">
        <v>17145.150000000001</v>
      </c>
      <c r="G155" s="591">
        <v>34851.86</v>
      </c>
      <c r="H155" s="591">
        <v>15297.01</v>
      </c>
      <c r="I155" s="591">
        <v>34265.910000000003</v>
      </c>
      <c r="J155" s="591">
        <v>39550.620000000003</v>
      </c>
      <c r="K155" s="591">
        <v>21996.22</v>
      </c>
      <c r="L155" s="591">
        <v>9007.75</v>
      </c>
      <c r="M155" s="591">
        <v>11038.75</v>
      </c>
      <c r="N155" s="591">
        <v>39861.54</v>
      </c>
      <c r="O155" s="591">
        <v>297006.89</v>
      </c>
    </row>
    <row r="156" spans="1:15" ht="15.75" x14ac:dyDescent="0.25">
      <c r="A156" s="588" t="s">
        <v>1675</v>
      </c>
      <c r="B156" s="588" t="s">
        <v>1676</v>
      </c>
      <c r="C156" s="591">
        <v>14487.23</v>
      </c>
      <c r="D156" s="591">
        <v>196.01</v>
      </c>
      <c r="E156" s="591">
        <v>7591.12</v>
      </c>
      <c r="F156" s="591">
        <v>6970.81</v>
      </c>
      <c r="G156" s="591">
        <v>4639.07</v>
      </c>
      <c r="H156" s="591">
        <v>3823.23</v>
      </c>
      <c r="I156" s="591">
        <v>430.34</v>
      </c>
      <c r="J156" s="591">
        <v>5282.56</v>
      </c>
      <c r="K156" s="591">
        <v>10961.05</v>
      </c>
      <c r="L156" s="591">
        <v>11343.09</v>
      </c>
      <c r="M156" s="591">
        <v>7504.48</v>
      </c>
      <c r="N156" s="591">
        <v>13514.88</v>
      </c>
      <c r="O156" s="591">
        <v>86743.87</v>
      </c>
    </row>
    <row r="157" spans="1:15" ht="15.75" x14ac:dyDescent="0.25">
      <c r="A157" s="588" t="s">
        <v>1677</v>
      </c>
      <c r="B157" s="588" t="s">
        <v>1678</v>
      </c>
      <c r="C157" s="591">
        <v>0</v>
      </c>
      <c r="D157" s="591">
        <v>5932.63</v>
      </c>
      <c r="E157" s="591">
        <v>841.89</v>
      </c>
      <c r="F157" s="591">
        <v>902.28</v>
      </c>
      <c r="G157" s="591">
        <v>1138.5899999999999</v>
      </c>
      <c r="H157" s="591">
        <v>-58.23</v>
      </c>
      <c r="I157" s="591">
        <v>9891.07</v>
      </c>
      <c r="J157" s="591">
        <v>449.54</v>
      </c>
      <c r="K157" s="591">
        <v>0</v>
      </c>
      <c r="L157" s="591">
        <v>1328.84</v>
      </c>
      <c r="M157" s="591">
        <v>728.53</v>
      </c>
      <c r="N157" s="591">
        <v>2885.15</v>
      </c>
      <c r="O157" s="591">
        <v>24040.29</v>
      </c>
    </row>
    <row r="158" spans="1:15" ht="15.75" x14ac:dyDescent="0.25">
      <c r="A158" s="588" t="s">
        <v>1679</v>
      </c>
      <c r="B158" s="588" t="s">
        <v>1680</v>
      </c>
      <c r="C158" s="591">
        <v>372.61</v>
      </c>
      <c r="D158" s="591">
        <v>0</v>
      </c>
      <c r="E158" s="591">
        <v>937.6</v>
      </c>
      <c r="F158" s="591">
        <v>28647.38</v>
      </c>
      <c r="G158" s="591">
        <v>247.61</v>
      </c>
      <c r="H158" s="591">
        <v>1272.72</v>
      </c>
      <c r="I158" s="591">
        <v>768.28</v>
      </c>
      <c r="J158" s="591">
        <v>149.84</v>
      </c>
      <c r="K158" s="591">
        <v>21447.98</v>
      </c>
      <c r="L158" s="591">
        <v>1568.8</v>
      </c>
      <c r="M158" s="591">
        <v>9653.4500000000007</v>
      </c>
      <c r="N158" s="591">
        <v>2205.6</v>
      </c>
      <c r="O158" s="591">
        <v>67271.87</v>
      </c>
    </row>
    <row r="159" spans="1:15" ht="15.75" x14ac:dyDescent="0.25">
      <c r="A159" s="588" t="s">
        <v>1681</v>
      </c>
      <c r="B159" s="588" t="s">
        <v>1682</v>
      </c>
      <c r="C159" s="591">
        <v>20552.990000000002</v>
      </c>
      <c r="D159" s="591">
        <v>10076.93</v>
      </c>
      <c r="E159" s="591">
        <v>7282.38</v>
      </c>
      <c r="F159" s="591">
        <v>2707.26</v>
      </c>
      <c r="G159" s="591">
        <v>7780.02</v>
      </c>
      <c r="H159" s="591">
        <v>12695.33</v>
      </c>
      <c r="I159" s="591">
        <v>13258.65</v>
      </c>
      <c r="J159" s="591">
        <v>10819.38</v>
      </c>
      <c r="K159" s="591">
        <v>17661.7</v>
      </c>
      <c r="L159" s="591">
        <v>635.22</v>
      </c>
      <c r="M159" s="591">
        <v>11388.43</v>
      </c>
      <c r="N159" s="591">
        <v>28140.560000000001</v>
      </c>
      <c r="O159" s="591">
        <v>142998.85</v>
      </c>
    </row>
    <row r="160" spans="1:15" ht="15.75" x14ac:dyDescent="0.25">
      <c r="A160" s="588" t="s">
        <v>1683</v>
      </c>
      <c r="B160" s="588" t="s">
        <v>1684</v>
      </c>
      <c r="C160" s="591">
        <v>2157.4</v>
      </c>
      <c r="D160" s="591">
        <v>4043</v>
      </c>
      <c r="E160" s="591">
        <v>123.42</v>
      </c>
      <c r="F160" s="591">
        <v>780</v>
      </c>
      <c r="G160" s="591">
        <v>1297.44</v>
      </c>
      <c r="H160" s="591">
        <v>862.84</v>
      </c>
      <c r="I160" s="591">
        <v>0</v>
      </c>
      <c r="J160" s="591">
        <v>0</v>
      </c>
      <c r="K160" s="591">
        <v>0</v>
      </c>
      <c r="L160" s="591">
        <v>0</v>
      </c>
      <c r="M160" s="591">
        <v>0</v>
      </c>
      <c r="N160" s="591">
        <v>0</v>
      </c>
      <c r="O160" s="591">
        <v>9264.1</v>
      </c>
    </row>
    <row r="161" spans="1:15" ht="15.75" x14ac:dyDescent="0.25">
      <c r="A161" s="592"/>
      <c r="B161" s="592" t="s">
        <v>1685</v>
      </c>
      <c r="C161" s="596">
        <v>54898.59</v>
      </c>
      <c r="D161" s="596">
        <v>36706.559999999998</v>
      </c>
      <c r="E161" s="596">
        <v>59482.14</v>
      </c>
      <c r="F161" s="596">
        <v>61912.88</v>
      </c>
      <c r="G161" s="596">
        <v>49954.59</v>
      </c>
      <c r="H161" s="596">
        <v>40972.9</v>
      </c>
      <c r="I161" s="596">
        <v>61054.25</v>
      </c>
      <c r="J161" s="596">
        <v>66682.28</v>
      </c>
      <c r="K161" s="596">
        <v>77042.02</v>
      </c>
      <c r="L161" s="596">
        <v>26311.14</v>
      </c>
      <c r="M161" s="596">
        <v>52484.95</v>
      </c>
      <c r="N161" s="596">
        <v>111224.01</v>
      </c>
      <c r="O161" s="596">
        <v>698726.31</v>
      </c>
    </row>
    <row r="162" spans="1:15" ht="15.75" x14ac:dyDescent="0.25">
      <c r="A162" s="592"/>
      <c r="B162" s="592" t="s">
        <v>1686</v>
      </c>
      <c r="C162" s="596">
        <v>252237.04</v>
      </c>
      <c r="D162" s="596">
        <v>234166.07</v>
      </c>
      <c r="E162" s="596">
        <v>255351.66</v>
      </c>
      <c r="F162" s="596">
        <v>262495</v>
      </c>
      <c r="G162" s="596">
        <v>246385.24</v>
      </c>
      <c r="H162" s="596">
        <v>238452.87</v>
      </c>
      <c r="I162" s="596">
        <v>258142.76</v>
      </c>
      <c r="J162" s="596">
        <v>268121.89</v>
      </c>
      <c r="K162" s="596">
        <v>271572.59999999998</v>
      </c>
      <c r="L162" s="596">
        <v>220538.29</v>
      </c>
      <c r="M162" s="596">
        <v>247030.22</v>
      </c>
      <c r="N162" s="596">
        <v>305798.61</v>
      </c>
      <c r="O162" s="596">
        <v>3060292.25</v>
      </c>
    </row>
    <row r="163" spans="1:15" ht="15.75" x14ac:dyDescent="0.25">
      <c r="A163" s="588"/>
      <c r="B163" s="588"/>
      <c r="C163" s="591"/>
      <c r="D163" s="591"/>
      <c r="E163" s="591"/>
      <c r="F163" s="591"/>
      <c r="G163" s="591"/>
      <c r="H163" s="591"/>
      <c r="I163" s="591"/>
      <c r="J163" s="591"/>
      <c r="K163" s="591"/>
      <c r="L163" s="591"/>
      <c r="M163" s="591"/>
      <c r="N163" s="591"/>
      <c r="O163" s="591"/>
    </row>
    <row r="164" spans="1:15" ht="15.75" x14ac:dyDescent="0.25">
      <c r="A164" s="592"/>
      <c r="B164" s="592" t="s">
        <v>1687</v>
      </c>
      <c r="C164" s="596">
        <v>-240406.93</v>
      </c>
      <c r="D164" s="596">
        <v>-224343.92</v>
      </c>
      <c r="E164" s="596">
        <v>-254766.96</v>
      </c>
      <c r="F164" s="596">
        <v>-262081.88</v>
      </c>
      <c r="G164" s="596">
        <v>-246012.65</v>
      </c>
      <c r="H164" s="596">
        <v>-238048.42</v>
      </c>
      <c r="I164" s="596">
        <v>-257828.92</v>
      </c>
      <c r="J164" s="596">
        <v>-222120.34</v>
      </c>
      <c r="K164" s="596">
        <v>-271392.32</v>
      </c>
      <c r="L164" s="596">
        <v>-220319.39</v>
      </c>
      <c r="M164" s="596">
        <v>-246851.04</v>
      </c>
      <c r="N164" s="596">
        <v>-305565.55</v>
      </c>
      <c r="O164" s="596">
        <v>-2989738.32</v>
      </c>
    </row>
    <row r="165" spans="1:15" ht="15.75" x14ac:dyDescent="0.25">
      <c r="A165" s="588"/>
      <c r="B165" s="588"/>
      <c r="C165" s="591"/>
      <c r="D165" s="591"/>
      <c r="E165" s="591"/>
      <c r="F165" s="591"/>
      <c r="G165" s="591"/>
      <c r="H165" s="591"/>
      <c r="I165" s="591"/>
      <c r="J165" s="591"/>
      <c r="K165" s="591"/>
      <c r="L165" s="591"/>
      <c r="M165" s="591"/>
      <c r="N165" s="591"/>
      <c r="O165" s="591"/>
    </row>
    <row r="166" spans="1:15" ht="15.75" x14ac:dyDescent="0.25">
      <c r="A166" s="588"/>
      <c r="B166" s="588" t="s">
        <v>1688</v>
      </c>
      <c r="C166" s="591">
        <v>968820.73</v>
      </c>
      <c r="D166" s="591">
        <v>962499.55</v>
      </c>
      <c r="E166" s="591">
        <v>960695.07</v>
      </c>
      <c r="F166" s="591">
        <v>965192.29</v>
      </c>
      <c r="G166" s="591">
        <v>982862.26</v>
      </c>
      <c r="H166" s="591">
        <v>985180.48</v>
      </c>
      <c r="I166" s="591">
        <v>994867.41</v>
      </c>
      <c r="J166" s="591">
        <v>1033880.22</v>
      </c>
      <c r="K166" s="591">
        <v>997890.82</v>
      </c>
      <c r="L166" s="591">
        <v>1002294.12</v>
      </c>
      <c r="M166" s="591">
        <v>1017475.86</v>
      </c>
      <c r="N166" s="591">
        <v>1016336.47</v>
      </c>
      <c r="O166" s="591">
        <v>11887995.279999999</v>
      </c>
    </row>
    <row r="167" spans="1:15" ht="15.75" x14ac:dyDescent="0.25">
      <c r="A167" s="588"/>
      <c r="B167" s="588" t="s">
        <v>1689</v>
      </c>
      <c r="C167" s="591">
        <v>692491.61</v>
      </c>
      <c r="D167" s="591">
        <v>667241.32999999996</v>
      </c>
      <c r="E167" s="591">
        <v>712889</v>
      </c>
      <c r="F167" s="591">
        <v>771572.91</v>
      </c>
      <c r="G167" s="591">
        <v>664633.03</v>
      </c>
      <c r="H167" s="591">
        <v>706158.1</v>
      </c>
      <c r="I167" s="591">
        <v>712201.99</v>
      </c>
      <c r="J167" s="591">
        <v>775830.66</v>
      </c>
      <c r="K167" s="591">
        <v>763216.3</v>
      </c>
      <c r="L167" s="591">
        <v>664969.41</v>
      </c>
      <c r="M167" s="591">
        <v>700198.12</v>
      </c>
      <c r="N167" s="591">
        <v>746667.98</v>
      </c>
      <c r="O167" s="591">
        <v>8578070.4399999995</v>
      </c>
    </row>
    <row r="168" spans="1:15" ht="16.5" thickBot="1" x14ac:dyDescent="0.3">
      <c r="A168" s="588"/>
      <c r="B168" s="588"/>
      <c r="C168" s="591"/>
      <c r="D168" s="591"/>
      <c r="E168" s="591"/>
      <c r="F168" s="591"/>
      <c r="G168" s="591"/>
      <c r="H168" s="591"/>
      <c r="I168" s="591"/>
      <c r="J168" s="591"/>
      <c r="K168" s="591"/>
      <c r="L168" s="591"/>
      <c r="M168" s="591"/>
      <c r="N168" s="591"/>
      <c r="O168" s="591"/>
    </row>
    <row r="169" spans="1:15" ht="15.75" x14ac:dyDescent="0.25">
      <c r="A169" s="592"/>
      <c r="B169" s="592" t="s">
        <v>1690</v>
      </c>
      <c r="C169" s="597">
        <v>276329.12</v>
      </c>
      <c r="D169" s="597">
        <v>295258.21999999997</v>
      </c>
      <c r="E169" s="597">
        <v>247806.07</v>
      </c>
      <c r="F169" s="597">
        <v>193619.38</v>
      </c>
      <c r="G169" s="597">
        <v>318229.23</v>
      </c>
      <c r="H169" s="597">
        <v>279022.38</v>
      </c>
      <c r="I169" s="597">
        <v>282665.42</v>
      </c>
      <c r="J169" s="597">
        <v>258049.56</v>
      </c>
      <c r="K169" s="597">
        <v>234674.52</v>
      </c>
      <c r="L169" s="597">
        <v>337324.71</v>
      </c>
      <c r="M169" s="597">
        <v>317277.74</v>
      </c>
      <c r="N169" s="597">
        <v>269668.49</v>
      </c>
      <c r="O169" s="597">
        <v>3309924.84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58F-DDE2-4E85-8D72-FBE87B388EE4}">
  <sheetPr codeName="Sheet5">
    <tabColor theme="5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D213-B723-4DE4-A9D6-C4504EF6A64A}">
  <sheetPr codeName="Sheet6">
    <tabColor theme="5" tint="-0.249977111117893"/>
  </sheetPr>
  <dimension ref="A2:U112"/>
  <sheetViews>
    <sheetView showGridLines="0" zoomScaleNormal="100" workbookViewId="0"/>
  </sheetViews>
  <sheetFormatPr defaultRowHeight="15" x14ac:dyDescent="0.25"/>
  <cols>
    <col min="1" max="1" width="4" customWidth="1"/>
    <col min="2" max="2" width="16.42578125" customWidth="1"/>
    <col min="3" max="3" width="9.85546875" bestFit="1" customWidth="1"/>
    <col min="4" max="4" width="12.140625" bestFit="1" customWidth="1"/>
    <col min="5" max="5" width="11.42578125" bestFit="1" customWidth="1"/>
    <col min="6" max="6" width="12.140625" bestFit="1" customWidth="1"/>
    <col min="7" max="7" width="11.5703125" bestFit="1" customWidth="1"/>
    <col min="8" max="8" width="12.140625" bestFit="1" customWidth="1"/>
    <col min="9" max="9" width="9.85546875" bestFit="1" customWidth="1"/>
    <col min="11" max="11" width="13" customWidth="1"/>
    <col min="12" max="12" width="23.5703125" bestFit="1" customWidth="1"/>
    <col min="18" max="18" width="9.85546875" bestFit="1" customWidth="1"/>
    <col min="20" max="20" width="9.85546875" bestFit="1" customWidth="1"/>
  </cols>
  <sheetData>
    <row r="2" spans="1:21" ht="18.75" x14ac:dyDescent="0.3">
      <c r="A2" s="864" t="s">
        <v>1816</v>
      </c>
    </row>
    <row r="3" spans="1:21" x14ac:dyDescent="0.25">
      <c r="B3" s="865" t="s">
        <v>1817</v>
      </c>
    </row>
    <row r="4" spans="1:21" x14ac:dyDescent="0.25">
      <c r="B4" s="866" t="s">
        <v>1818</v>
      </c>
    </row>
    <row r="5" spans="1:21" x14ac:dyDescent="0.25">
      <c r="B5" s="866" t="s">
        <v>1819</v>
      </c>
    </row>
    <row r="6" spans="1:21" x14ac:dyDescent="0.25">
      <c r="B6" s="866" t="s">
        <v>1820</v>
      </c>
    </row>
    <row r="7" spans="1:21" x14ac:dyDescent="0.25">
      <c r="B7" s="866"/>
    </row>
    <row r="8" spans="1:21" x14ac:dyDescent="0.25">
      <c r="C8" s="867" t="b">
        <f>C17='Unit Mix'!G70</f>
        <v>1</v>
      </c>
      <c r="D8" s="867" t="e">
        <f>D17='Unit Mix'!H63</f>
        <v>#DIV/0!</v>
      </c>
      <c r="E8" s="867" t="b">
        <f>E17='Unit Mix'!I63</f>
        <v>1</v>
      </c>
      <c r="F8" s="867" t="e">
        <f>F17='Unit Mix'!J63</f>
        <v>#DIV/0!</v>
      </c>
      <c r="G8" s="867" t="e">
        <f>G17='Unit Mix'!O63</f>
        <v>#DIV/0!</v>
      </c>
      <c r="H8" s="867" t="e">
        <f>H17='Unit Mix'!P63</f>
        <v>#DIV/0!</v>
      </c>
      <c r="I8" s="867"/>
      <c r="L8" s="886" t="s">
        <v>1829</v>
      </c>
    </row>
    <row r="9" spans="1:21" ht="17.25" x14ac:dyDescent="0.4">
      <c r="B9" s="868" t="s">
        <v>1816</v>
      </c>
      <c r="C9" s="869"/>
      <c r="D9" s="869"/>
      <c r="E9" s="869"/>
      <c r="F9" s="870"/>
      <c r="G9" s="870"/>
      <c r="H9" s="870"/>
      <c r="I9" s="871" t="s">
        <v>1821</v>
      </c>
      <c r="J9" s="871" t="s">
        <v>1821</v>
      </c>
      <c r="O9" s="868" t="s">
        <v>1834</v>
      </c>
      <c r="P9" s="869"/>
      <c r="Q9" s="869"/>
      <c r="R9" s="869"/>
      <c r="S9" s="870"/>
      <c r="T9" s="870"/>
      <c r="U9" s="870"/>
    </row>
    <row r="10" spans="1:21" ht="17.25" x14ac:dyDescent="0.4">
      <c r="B10" s="868"/>
      <c r="C10" s="869"/>
      <c r="D10" s="869"/>
      <c r="E10" s="868" t="s">
        <v>126</v>
      </c>
      <c r="F10" s="870"/>
      <c r="G10" s="868" t="s">
        <v>48</v>
      </c>
      <c r="H10" s="870"/>
      <c r="I10" s="872" t="s">
        <v>63</v>
      </c>
      <c r="J10" s="872" t="s">
        <v>63</v>
      </c>
      <c r="L10" s="887" t="e">
        <f>'Unit Mix'!G72</f>
        <v>#DIV/0!</v>
      </c>
      <c r="O10" s="868"/>
      <c r="P10" s="869"/>
      <c r="Q10" s="869"/>
      <c r="R10" s="868" t="s">
        <v>126</v>
      </c>
      <c r="S10" s="870"/>
      <c r="T10" s="868" t="s">
        <v>48</v>
      </c>
      <c r="U10" s="870"/>
    </row>
    <row r="11" spans="1:21" x14ac:dyDescent="0.25">
      <c r="B11" s="873" t="s">
        <v>54</v>
      </c>
      <c r="C11" s="874" t="s">
        <v>60</v>
      </c>
      <c r="D11" s="874" t="s">
        <v>102</v>
      </c>
      <c r="E11" s="874" t="s">
        <v>1822</v>
      </c>
      <c r="F11" s="875" t="s">
        <v>1872</v>
      </c>
      <c r="G11" s="875" t="s">
        <v>1822</v>
      </c>
      <c r="H11" s="870" t="s">
        <v>1872</v>
      </c>
      <c r="I11" s="871" t="s">
        <v>1823</v>
      </c>
      <c r="J11" s="871" t="s">
        <v>1830</v>
      </c>
      <c r="L11" s="888" t="s">
        <v>109</v>
      </c>
      <c r="O11" s="873" t="s">
        <v>1831</v>
      </c>
      <c r="P11" s="874" t="s">
        <v>45</v>
      </c>
      <c r="Q11" s="874" t="s">
        <v>55</v>
      </c>
      <c r="R11" s="874" t="s">
        <v>1822</v>
      </c>
      <c r="S11" s="874" t="s">
        <v>1868</v>
      </c>
      <c r="T11" s="870" t="s">
        <v>14</v>
      </c>
      <c r="U11" s="874" t="s">
        <v>1868</v>
      </c>
    </row>
    <row r="12" spans="1:21" x14ac:dyDescent="0.25">
      <c r="B12" s="876" t="s">
        <v>237</v>
      </c>
      <c r="C12" s="877">
        <f>'Exec Summ'!E30</f>
        <v>0</v>
      </c>
      <c r="D12" s="878" t="e">
        <f>'Exec Summ'!G30</f>
        <v>#DIV/0!</v>
      </c>
      <c r="E12" s="879">
        <f>SUMIFS('Unit Mix'!$I$6:$I$62,'Unit Mix'!$AH$6:$AH$62,'Unit Mix Exhibit'!B12)</f>
        <v>0</v>
      </c>
      <c r="F12" s="880" t="e">
        <f>'Exec Summ'!J30</f>
        <v>#DIV/0!</v>
      </c>
      <c r="G12" s="880" t="e">
        <f>H12*$C12</f>
        <v>#DIV/0!</v>
      </c>
      <c r="H12" s="880" t="e">
        <f>'Exec Summ'!K30</f>
        <v>#DIV/0!</v>
      </c>
      <c r="I12" s="880" t="e">
        <f t="shared" ref="I12:I17" si="0">H12-F12</f>
        <v>#DIV/0!</v>
      </c>
      <c r="J12" s="890" t="e">
        <f>C12/$C$17</f>
        <v>#DIV/0!</v>
      </c>
      <c r="L12" s="2"/>
      <c r="O12" s="876">
        <f>'Exec Summ'!D40</f>
        <v>0</v>
      </c>
      <c r="P12" s="877">
        <f>'Exec Summ'!E40</f>
        <v>0</v>
      </c>
      <c r="Q12" s="878">
        <f>'Exec Summ'!F40</f>
        <v>0</v>
      </c>
      <c r="R12" s="880">
        <f>'Exec Summ'!J40</f>
        <v>0</v>
      </c>
      <c r="S12" s="880">
        <f>R12*12</f>
        <v>0</v>
      </c>
      <c r="T12" s="880">
        <f>'Exec Summ'!K40</f>
        <v>0</v>
      </c>
      <c r="U12" s="880">
        <f>T12*12</f>
        <v>0</v>
      </c>
    </row>
    <row r="13" spans="1:21" x14ac:dyDescent="0.25">
      <c r="B13" s="876" t="s">
        <v>1824</v>
      </c>
      <c r="C13" s="877">
        <f>'Exec Summ'!E31</f>
        <v>0</v>
      </c>
      <c r="D13" s="878" t="e">
        <f>'Exec Summ'!G31</f>
        <v>#DIV/0!</v>
      </c>
      <c r="E13" s="879">
        <f>SUMIFS('Unit Mix'!$I$6:$I$62,'Unit Mix'!$AH$6:$AH$62,'Unit Mix Exhibit'!B13)</f>
        <v>0</v>
      </c>
      <c r="F13" s="880" t="e">
        <f>'Exec Summ'!J31</f>
        <v>#DIV/0!</v>
      </c>
      <c r="G13" s="880" t="e">
        <f t="shared" ref="G13:G16" si="1">H13*$C13</f>
        <v>#DIV/0!</v>
      </c>
      <c r="H13" s="880" t="e">
        <f>'Exec Summ'!K31</f>
        <v>#DIV/0!</v>
      </c>
      <c r="I13" s="880" t="e">
        <f t="shared" si="0"/>
        <v>#DIV/0!</v>
      </c>
      <c r="J13" s="890" t="e">
        <f t="shared" ref="J13:J16" si="2">C13/$C$17</f>
        <v>#DIV/0!</v>
      </c>
      <c r="L13" s="889" t="str">
        <f>IF('Unit Mix'!G80&gt;=1000000, "$" &amp; TEXT('Unit Mix'!G80/1000000,"0.00") &amp; "M+", IF('Unit Mix'!G80&gt;=1000, "$" &amp; TEXT('Unit Mix'!G80/1000,"0.0") &amp; "K+", "$" &amp; TEXT('Unit Mix'!G80,"0")))</f>
        <v>$0</v>
      </c>
      <c r="O13" s="876">
        <f>'Exec Summ'!D41</f>
        <v>0</v>
      </c>
      <c r="P13" s="877">
        <f>'Exec Summ'!E41</f>
        <v>0</v>
      </c>
      <c r="Q13" s="878">
        <f>'Exec Summ'!F41</f>
        <v>0</v>
      </c>
      <c r="R13" s="880">
        <f>'Exec Summ'!J41</f>
        <v>0</v>
      </c>
      <c r="S13" s="880">
        <f>R13*12</f>
        <v>0</v>
      </c>
      <c r="T13" s="880">
        <f>'Exec Summ'!K41</f>
        <v>0</v>
      </c>
      <c r="U13" s="880">
        <f>T13*12</f>
        <v>0</v>
      </c>
    </row>
    <row r="14" spans="1:21" x14ac:dyDescent="0.25">
      <c r="B14" s="876" t="s">
        <v>1825</v>
      </c>
      <c r="C14" s="877">
        <f>'Exec Summ'!E32</f>
        <v>0</v>
      </c>
      <c r="D14" s="878" t="e">
        <f>'Exec Summ'!G32</f>
        <v>#DIV/0!</v>
      </c>
      <c r="E14" s="879">
        <f>SUMIFS('Unit Mix'!$I$6:$I$62,'Unit Mix'!$AH$6:$AH$62,'Unit Mix Exhibit'!B14)</f>
        <v>0</v>
      </c>
      <c r="F14" s="880" t="e">
        <f>'Exec Summ'!J32</f>
        <v>#DIV/0!</v>
      </c>
      <c r="G14" s="880" t="e">
        <f t="shared" ref="G14:G15" si="3">H14*$C14</f>
        <v>#DIV/0!</v>
      </c>
      <c r="H14" s="880" t="e">
        <f>'Exec Summ'!K32</f>
        <v>#DIV/0!</v>
      </c>
      <c r="I14" s="880" t="e">
        <f t="shared" ref="I14:I15" si="4">H14-F14</f>
        <v>#DIV/0!</v>
      </c>
      <c r="J14" s="890" t="e">
        <f t="shared" si="2"/>
        <v>#DIV/0!</v>
      </c>
      <c r="L14" s="888" t="s">
        <v>113</v>
      </c>
      <c r="O14" s="876">
        <f>'Exec Summ'!D42</f>
        <v>0</v>
      </c>
      <c r="P14" s="877">
        <f>'Exec Summ'!E42</f>
        <v>0</v>
      </c>
      <c r="Q14" s="878">
        <f>'Exec Summ'!F42</f>
        <v>0</v>
      </c>
      <c r="R14" s="880">
        <f>'Exec Summ'!J42</f>
        <v>0</v>
      </c>
      <c r="S14" s="880">
        <f>R14*12</f>
        <v>0</v>
      </c>
      <c r="T14" s="880">
        <f>'Exec Summ'!K42</f>
        <v>0</v>
      </c>
      <c r="U14" s="880">
        <f>T14*12</f>
        <v>0</v>
      </c>
    </row>
    <row r="15" spans="1:21" x14ac:dyDescent="0.25">
      <c r="B15" s="876" t="s">
        <v>1827</v>
      </c>
      <c r="C15" s="877">
        <f>'Exec Summ'!E33</f>
        <v>0</v>
      </c>
      <c r="D15" s="878" t="e">
        <f>'Exec Summ'!G33</f>
        <v>#DIV/0!</v>
      </c>
      <c r="E15" s="879">
        <f>SUMIFS('Unit Mix'!$I$6:$I$62,'Unit Mix'!$AH$6:$AH$62,'Unit Mix Exhibit'!B15)</f>
        <v>0</v>
      </c>
      <c r="F15" s="880" t="e">
        <f>'Exec Summ'!J33</f>
        <v>#DIV/0!</v>
      </c>
      <c r="G15" s="880" t="e">
        <f t="shared" si="3"/>
        <v>#DIV/0!</v>
      </c>
      <c r="H15" s="880" t="e">
        <f>'Exec Summ'!K33</f>
        <v>#DIV/0!</v>
      </c>
      <c r="I15" s="880" t="e">
        <f t="shared" si="4"/>
        <v>#DIV/0!</v>
      </c>
      <c r="J15" s="890" t="e">
        <f t="shared" si="2"/>
        <v>#DIV/0!</v>
      </c>
      <c r="O15" s="876">
        <f>'Exec Summ'!D43</f>
        <v>0</v>
      </c>
      <c r="P15" s="877">
        <f>'Exec Summ'!E43</f>
        <v>0</v>
      </c>
      <c r="Q15" s="878">
        <f>'Exec Summ'!F43</f>
        <v>0</v>
      </c>
      <c r="R15" s="880">
        <f>'Exec Summ'!J43</f>
        <v>0</v>
      </c>
      <c r="S15" s="880">
        <f>R15*12</f>
        <v>0</v>
      </c>
      <c r="T15" s="880">
        <f>'Exec Summ'!K43</f>
        <v>0</v>
      </c>
      <c r="U15" s="880">
        <f>T15*12</f>
        <v>0</v>
      </c>
    </row>
    <row r="16" spans="1:21" x14ac:dyDescent="0.25">
      <c r="B16" s="876" t="s">
        <v>1828</v>
      </c>
      <c r="C16" s="877">
        <f>'Exec Summ'!E34</f>
        <v>0</v>
      </c>
      <c r="D16" s="878" t="e">
        <f>'Exec Summ'!G34</f>
        <v>#DIV/0!</v>
      </c>
      <c r="E16" s="879">
        <f>SUMIFS('Unit Mix'!$I$6:$I$62,'Unit Mix'!$AH$6:$AH$62,'Unit Mix Exhibit'!B16)</f>
        <v>0</v>
      </c>
      <c r="F16" s="880" t="e">
        <f>'Exec Summ'!J34</f>
        <v>#DIV/0!</v>
      </c>
      <c r="G16" s="880" t="e">
        <f t="shared" si="1"/>
        <v>#DIV/0!</v>
      </c>
      <c r="H16" s="880" t="e">
        <f>'Exec Summ'!K34</f>
        <v>#DIV/0!</v>
      </c>
      <c r="I16" s="880" t="e">
        <f t="shared" si="0"/>
        <v>#DIV/0!</v>
      </c>
      <c r="J16" s="890" t="e">
        <f t="shared" si="2"/>
        <v>#DIV/0!</v>
      </c>
      <c r="L16" s="889" t="e">
        <f>IF('Unit Mix'!$G$79&gt;=1000000, "$" &amp; TEXT('Unit Mix'!$G$79/1000000,"0.00") &amp; "M+", IF('Unit Mix'!$G$79&gt;=1000, "$" &amp; TEXT('Unit Mix'!$G$79/1000,"0.0") &amp; "K+", "$" &amp; TEXT('Unit Mix'!$G$79,"0")))</f>
        <v>#DIV/0!</v>
      </c>
      <c r="O16" s="876">
        <f>'Exec Summ'!D44</f>
        <v>0</v>
      </c>
      <c r="P16" s="877">
        <f>'Exec Summ'!E44</f>
        <v>0</v>
      </c>
      <c r="Q16" s="878">
        <f>'Exec Summ'!F44</f>
        <v>0</v>
      </c>
      <c r="R16" s="880">
        <f>'Exec Summ'!J44</f>
        <v>0</v>
      </c>
      <c r="S16" s="880">
        <f>R16*12</f>
        <v>0</v>
      </c>
      <c r="T16" s="880">
        <f>'Exec Summ'!K44</f>
        <v>0</v>
      </c>
      <c r="U16" s="880">
        <f>T16*12</f>
        <v>0</v>
      </c>
    </row>
    <row r="17" spans="2:21" x14ac:dyDescent="0.25">
      <c r="B17" s="881" t="s">
        <v>1826</v>
      </c>
      <c r="C17" s="882">
        <f>SUM(C12:C16)</f>
        <v>0</v>
      </c>
      <c r="D17" s="883" t="str">
        <f>IFERROR(SUMPRODUCT(D$12:D$16,$C12:$C16)/$C$17,"Check rows")</f>
        <v>Check rows</v>
      </c>
      <c r="E17" s="884">
        <f>SUM(E12:E16)</f>
        <v>0</v>
      </c>
      <c r="F17" s="884" t="str">
        <f>IFERROR(SUMPRODUCT(F$12:F$16,$C12:$C16)/$C$17,"Check rows")</f>
        <v>Check rows</v>
      </c>
      <c r="G17" s="884" t="e">
        <f>SUM(G12:G16)</f>
        <v>#DIV/0!</v>
      </c>
      <c r="H17" s="884" t="str">
        <f>IFERROR(SUMPRODUCT(H$12:H$16,$C12:$C16)/$C$17,"Check rows")</f>
        <v>Check rows</v>
      </c>
      <c r="I17" s="885" t="e">
        <f t="shared" si="0"/>
        <v>#VALUE!</v>
      </c>
      <c r="J17" s="891" t="e">
        <f>SUM(J12:J16)</f>
        <v>#DIV/0!</v>
      </c>
      <c r="L17" s="888" t="s">
        <v>234</v>
      </c>
      <c r="O17" s="881" t="s">
        <v>21</v>
      </c>
      <c r="P17" s="882"/>
      <c r="Q17" s="883">
        <f>SUM(Q12:Q16)</f>
        <v>0</v>
      </c>
      <c r="R17" s="884">
        <f>SUM(R12:R16)</f>
        <v>0</v>
      </c>
      <c r="S17" s="884">
        <f>SUM(S12:S16)</f>
        <v>0</v>
      </c>
      <c r="T17" s="884">
        <f>SUM(T12:T16)</f>
        <v>0</v>
      </c>
      <c r="U17" s="884">
        <f>SUM(U12:U16)</f>
        <v>0</v>
      </c>
    </row>
    <row r="58" spans="2:10" ht="18.75" x14ac:dyDescent="0.3">
      <c r="B58" s="864" t="s">
        <v>1840</v>
      </c>
    </row>
    <row r="59" spans="2:10" ht="18.75" x14ac:dyDescent="0.3">
      <c r="B59" s="895" t="str">
        <f>OneLineRR!C67</f>
        <v>Hudson View Park</v>
      </c>
    </row>
    <row r="60" spans="2:10" ht="17.25" x14ac:dyDescent="0.4">
      <c r="B60" s="868" t="s">
        <v>1816</v>
      </c>
      <c r="C60" s="869"/>
      <c r="D60" s="869"/>
      <c r="E60" s="869"/>
      <c r="F60" s="870"/>
      <c r="G60" s="870"/>
      <c r="H60" s="870"/>
      <c r="I60" s="871" t="s">
        <v>1821</v>
      </c>
      <c r="J60" s="871" t="s">
        <v>1821</v>
      </c>
    </row>
    <row r="61" spans="2:10" ht="17.25" x14ac:dyDescent="0.4">
      <c r="B61" s="868"/>
      <c r="C61" s="869"/>
      <c r="D61" s="869"/>
      <c r="E61" s="868" t="s">
        <v>126</v>
      </c>
      <c r="F61" s="870"/>
      <c r="G61" s="868" t="s">
        <v>48</v>
      </c>
      <c r="H61" s="870"/>
      <c r="I61" s="872" t="s">
        <v>63</v>
      </c>
      <c r="J61" s="872" t="s">
        <v>63</v>
      </c>
    </row>
    <row r="62" spans="2:10" x14ac:dyDescent="0.25">
      <c r="B62" s="873" t="s">
        <v>54</v>
      </c>
      <c r="C62" s="874" t="s">
        <v>60</v>
      </c>
      <c r="D62" s="874" t="s">
        <v>102</v>
      </c>
      <c r="E62" s="874" t="s">
        <v>1822</v>
      </c>
      <c r="F62" s="875" t="s">
        <v>14</v>
      </c>
      <c r="G62" s="875" t="s">
        <v>1822</v>
      </c>
      <c r="H62" s="870" t="s">
        <v>14</v>
      </c>
      <c r="I62" s="871" t="s">
        <v>1823</v>
      </c>
      <c r="J62" s="871" t="s">
        <v>1830</v>
      </c>
    </row>
    <row r="63" spans="2:10" x14ac:dyDescent="0.25">
      <c r="B63" s="876" t="s">
        <v>237</v>
      </c>
      <c r="C63" s="877">
        <f>SUMIFS('Unit Mix'!$F$6:$F$62,'Unit Mix'!$D$6:$D$62,'Unit Mix Exhibit'!$B$59,'Unit Mix'!$AH$6:$AH$62,'Unit Mix Exhibit'!$B63)</f>
        <v>0</v>
      </c>
      <c r="D63" s="878" t="e">
        <f>SUMIFS('Unit Mix'!$G$6:$G$62,'Unit Mix'!$D$6:$D$62,'Unit Mix Exhibit'!$B$59,'Unit Mix'!$AH$6:$AH$62,'Unit Mix Exhibit'!$B63)/C63</f>
        <v>#DIV/0!</v>
      </c>
      <c r="E63" s="879">
        <f>SUMIFS('Unit Mix'!$I$6:$I$62,'Unit Mix'!$D$6:$D$62,'Unit Mix Exhibit'!$B$59,'Unit Mix'!$AH$6:$AH$62,'Unit Mix Exhibit'!$B63)</f>
        <v>0</v>
      </c>
      <c r="F63" s="880" t="e">
        <f>E63/SUMIFS('Unit Mix'!$AA$6:$AA$62,'Unit Mix'!$D$6:$D$62,'Unit Mix Exhibit'!$B$59,'Unit Mix'!$AH$6:$AH$62,'Unit Mix Exhibit'!$B63)</f>
        <v>#DIV/0!</v>
      </c>
      <c r="G63" s="880" t="e">
        <f>SUMIFS('Unit Mix'!$O$6:$O$62,'Unit Mix'!$D$6:$D$62,'Unit Mix Exhibit'!$B$59,'Unit Mix'!$AH$6:$AH$62,'Unit Mix Exhibit'!$B63)</f>
        <v>#DIV/0!</v>
      </c>
      <c r="H63" s="880" t="e">
        <f>G63/C63</f>
        <v>#DIV/0!</v>
      </c>
      <c r="I63" s="880" t="e">
        <f t="shared" ref="I63:I68" si="5">H63-F63</f>
        <v>#DIV/0!</v>
      </c>
      <c r="J63" s="890" t="e">
        <f>C63/$C$17</f>
        <v>#DIV/0!</v>
      </c>
    </row>
    <row r="64" spans="2:10" x14ac:dyDescent="0.25">
      <c r="B64" s="876" t="s">
        <v>1824</v>
      </c>
      <c r="C64" s="877">
        <f>SUMIFS('Unit Mix'!$F$6:$F$62,'Unit Mix'!$D$6:$D$62,'Unit Mix Exhibit'!$B$59,'Unit Mix'!$AH$6:$AH$62,'Unit Mix Exhibit'!$B64)</f>
        <v>0</v>
      </c>
      <c r="D64" s="878" t="e">
        <f>SUMIFS('Unit Mix'!$G$6:$G$62,'Unit Mix'!$D$6:$D$62,'Unit Mix Exhibit'!$B$59,'Unit Mix'!$AH$6:$AH$62,'Unit Mix Exhibit'!$B64)/C64</f>
        <v>#DIV/0!</v>
      </c>
      <c r="E64" s="879">
        <f>SUMIFS('Unit Mix'!$I$6:$I$62,'Unit Mix'!$D$6:$D$62,'Unit Mix Exhibit'!$B$59,'Unit Mix'!$AH$6:$AH$62,'Unit Mix Exhibit'!$B64)</f>
        <v>0</v>
      </c>
      <c r="F64" s="880" t="e">
        <f>E64/SUMIFS('Unit Mix'!$AA$6:$AA$62,'Unit Mix'!$D$6:$D$62,'Unit Mix Exhibit'!$B$59,'Unit Mix'!$AH$6:$AH$62,'Unit Mix Exhibit'!$B64)</f>
        <v>#DIV/0!</v>
      </c>
      <c r="G64" s="880" t="e">
        <f>SUMIFS('Unit Mix'!$O$6:$O$62,'Unit Mix'!$D$6:$D$62,'Unit Mix Exhibit'!$B$59,'Unit Mix'!$AH$6:$AH$62,'Unit Mix Exhibit'!$B64)</f>
        <v>#DIV/0!</v>
      </c>
      <c r="H64" s="880" t="e">
        <f t="shared" ref="H64:H67" si="6">G64/C64</f>
        <v>#DIV/0!</v>
      </c>
      <c r="I64" s="880" t="e">
        <f t="shared" si="5"/>
        <v>#DIV/0!</v>
      </c>
      <c r="J64" s="890" t="e">
        <f t="shared" ref="J64:J67" si="7">C64/$C$17</f>
        <v>#DIV/0!</v>
      </c>
    </row>
    <row r="65" spans="2:10" x14ac:dyDescent="0.25">
      <c r="B65" s="876" t="s">
        <v>1825</v>
      </c>
      <c r="C65" s="877">
        <f>SUMIFS('Unit Mix'!$F$6:$F$62,'Unit Mix'!$D$6:$D$62,'Unit Mix Exhibit'!$B$59,'Unit Mix'!$AH$6:$AH$62,'Unit Mix Exhibit'!$B65)</f>
        <v>0</v>
      </c>
      <c r="D65" s="878" t="e">
        <f>SUMIFS('Unit Mix'!$G$6:$G$62,'Unit Mix'!$D$6:$D$62,'Unit Mix Exhibit'!$B$59,'Unit Mix'!$AH$6:$AH$62,'Unit Mix Exhibit'!$B65)/C65</f>
        <v>#DIV/0!</v>
      </c>
      <c r="E65" s="879">
        <f>SUMIFS('Unit Mix'!$I$6:$I$62,'Unit Mix'!$D$6:$D$62,'Unit Mix Exhibit'!$B$59,'Unit Mix'!$AH$6:$AH$62,'Unit Mix Exhibit'!$B65)</f>
        <v>0</v>
      </c>
      <c r="F65" s="880" t="e">
        <f>E65/SUMIFS('Unit Mix'!$AA$6:$AA$62,'Unit Mix'!$D$6:$D$62,'Unit Mix Exhibit'!$B$59,'Unit Mix'!$AH$6:$AH$62,'Unit Mix Exhibit'!$B65)</f>
        <v>#DIV/0!</v>
      </c>
      <c r="G65" s="880" t="e">
        <f>SUMIFS('Unit Mix'!$O$6:$O$62,'Unit Mix'!$D$6:$D$62,'Unit Mix Exhibit'!$B$59,'Unit Mix'!$AH$6:$AH$62,'Unit Mix Exhibit'!$B65)</f>
        <v>#DIV/0!</v>
      </c>
      <c r="H65" s="880" t="e">
        <f t="shared" si="6"/>
        <v>#DIV/0!</v>
      </c>
      <c r="I65" s="880" t="e">
        <f t="shared" si="5"/>
        <v>#DIV/0!</v>
      </c>
      <c r="J65" s="890" t="e">
        <f t="shared" si="7"/>
        <v>#DIV/0!</v>
      </c>
    </row>
    <row r="66" spans="2:10" x14ac:dyDescent="0.25">
      <c r="B66" s="876" t="s">
        <v>1827</v>
      </c>
      <c r="C66" s="877">
        <f>SUMIFS('Unit Mix'!$F$6:$F$62,'Unit Mix'!$D$6:$D$62,'Unit Mix Exhibit'!$B$59,'Unit Mix'!$AH$6:$AH$62,'Unit Mix Exhibit'!$B66)</f>
        <v>0</v>
      </c>
      <c r="D66" s="878" t="e">
        <f>SUMIFS('Unit Mix'!$G$6:$G$62,'Unit Mix'!$D$6:$D$62,'Unit Mix Exhibit'!$B$59,'Unit Mix'!$AH$6:$AH$62,'Unit Mix Exhibit'!$B66)/C66</f>
        <v>#DIV/0!</v>
      </c>
      <c r="E66" s="879">
        <f>SUMIFS('Unit Mix'!$I$6:$I$62,'Unit Mix'!$D$6:$D$62,'Unit Mix Exhibit'!$B$59,'Unit Mix'!$AH$6:$AH$62,'Unit Mix Exhibit'!$B66)</f>
        <v>0</v>
      </c>
      <c r="F66" s="880" t="e">
        <f>E66/SUMIFS('Unit Mix'!$AA$6:$AA$62,'Unit Mix'!$D$6:$D$62,'Unit Mix Exhibit'!$B$59,'Unit Mix'!$AH$6:$AH$62,'Unit Mix Exhibit'!$B66)</f>
        <v>#DIV/0!</v>
      </c>
      <c r="G66" s="880" t="e">
        <f>SUMIFS('Unit Mix'!$O$6:$O$62,'Unit Mix'!$D$6:$D$62,'Unit Mix Exhibit'!$B$59,'Unit Mix'!$AH$6:$AH$62,'Unit Mix Exhibit'!$B66)</f>
        <v>#DIV/0!</v>
      </c>
      <c r="H66" s="880" t="e">
        <f t="shared" si="6"/>
        <v>#DIV/0!</v>
      </c>
      <c r="I66" s="880" t="e">
        <f t="shared" si="5"/>
        <v>#DIV/0!</v>
      </c>
      <c r="J66" s="890" t="e">
        <f t="shared" si="7"/>
        <v>#DIV/0!</v>
      </c>
    </row>
    <row r="67" spans="2:10" x14ac:dyDescent="0.25">
      <c r="B67" s="876" t="s">
        <v>1828</v>
      </c>
      <c r="C67" s="877">
        <f>SUMIFS('Unit Mix'!$F$6:$F$62,'Unit Mix'!$D$6:$D$62,'Unit Mix Exhibit'!$B$59,'Unit Mix'!$AH$6:$AH$62,'Unit Mix Exhibit'!$B67)</f>
        <v>0</v>
      </c>
      <c r="D67" s="878" t="e">
        <f>SUMIFS('Unit Mix'!$G$6:$G$62,'Unit Mix'!$D$6:$D$62,'Unit Mix Exhibit'!$B$59,'Unit Mix'!$AH$6:$AH$62,'Unit Mix Exhibit'!$B67)/C67</f>
        <v>#DIV/0!</v>
      </c>
      <c r="E67" s="879">
        <f>SUMIFS('Unit Mix'!$I$6:$I$62,'Unit Mix'!$D$6:$D$62,'Unit Mix Exhibit'!$B$59,'Unit Mix'!$AH$6:$AH$62,'Unit Mix Exhibit'!$B67)</f>
        <v>0</v>
      </c>
      <c r="F67" s="880" t="e">
        <f>E67/SUMIFS('Unit Mix'!$AA$6:$AA$62,'Unit Mix'!$D$6:$D$62,'Unit Mix Exhibit'!$B$59,'Unit Mix'!$AH$6:$AH$62,'Unit Mix Exhibit'!$B67)</f>
        <v>#DIV/0!</v>
      </c>
      <c r="G67" s="880" t="e">
        <f>SUMIFS('Unit Mix'!$O$6:$O$62,'Unit Mix'!$D$6:$D$62,'Unit Mix Exhibit'!$B$59,'Unit Mix'!$AH$6:$AH$62,'Unit Mix Exhibit'!$B67)</f>
        <v>#DIV/0!</v>
      </c>
      <c r="H67" s="880" t="e">
        <f t="shared" si="6"/>
        <v>#DIV/0!</v>
      </c>
      <c r="I67" s="880" t="e">
        <f t="shared" si="5"/>
        <v>#DIV/0!</v>
      </c>
      <c r="J67" s="890" t="e">
        <f t="shared" si="7"/>
        <v>#DIV/0!</v>
      </c>
    </row>
    <row r="68" spans="2:10" x14ac:dyDescent="0.25">
      <c r="B68" s="881" t="s">
        <v>1826</v>
      </c>
      <c r="C68" s="882">
        <f>SUM(C63:C67)</f>
        <v>0</v>
      </c>
      <c r="D68" s="883" t="str">
        <f>IFERROR(SUMPRODUCT(D63:D67,C63:C67)/C68,"Check rows")</f>
        <v>Check rows</v>
      </c>
      <c r="E68" s="884">
        <f>SUM(E63:E67)</f>
        <v>0</v>
      </c>
      <c r="F68" s="884" t="e">
        <f>'Unit Mix'!J64</f>
        <v>#DIV/0!</v>
      </c>
      <c r="G68" s="884" t="e">
        <f>SUM(G63:G67)</f>
        <v>#DIV/0!</v>
      </c>
      <c r="H68" s="884" t="str">
        <f>IFERROR(SUMPRODUCT($H63:$H67,$C63:$C67)/$C68,"Check rows")</f>
        <v>Check rows</v>
      </c>
      <c r="I68" s="885" t="e">
        <f t="shared" si="5"/>
        <v>#VALUE!</v>
      </c>
      <c r="J68" s="891" t="e">
        <f>SUM(J63:J67)</f>
        <v>#DIV/0!</v>
      </c>
    </row>
    <row r="70" spans="2:10" ht="18.75" x14ac:dyDescent="0.3">
      <c r="B70" s="895" t="str">
        <f>OneLineRR!C72</f>
        <v>[Property 2 Name]</v>
      </c>
    </row>
    <row r="71" spans="2:10" ht="17.25" x14ac:dyDescent="0.4">
      <c r="B71" s="868" t="s">
        <v>1816</v>
      </c>
      <c r="C71" s="869"/>
      <c r="D71" s="869"/>
      <c r="E71" s="869"/>
      <c r="F71" s="870"/>
      <c r="G71" s="870"/>
      <c r="H71" s="870"/>
      <c r="I71" s="871" t="s">
        <v>1821</v>
      </c>
      <c r="J71" s="871" t="s">
        <v>1821</v>
      </c>
    </row>
    <row r="72" spans="2:10" ht="17.25" x14ac:dyDescent="0.4">
      <c r="B72" s="868"/>
      <c r="C72" s="869"/>
      <c r="D72" s="869"/>
      <c r="E72" s="868" t="s">
        <v>126</v>
      </c>
      <c r="F72" s="870"/>
      <c r="G72" s="868" t="s">
        <v>48</v>
      </c>
      <c r="H72" s="870"/>
      <c r="I72" s="872" t="s">
        <v>63</v>
      </c>
      <c r="J72" s="872" t="s">
        <v>63</v>
      </c>
    </row>
    <row r="73" spans="2:10" x14ac:dyDescent="0.25">
      <c r="B73" s="873" t="s">
        <v>54</v>
      </c>
      <c r="C73" s="874" t="s">
        <v>60</v>
      </c>
      <c r="D73" s="874" t="s">
        <v>102</v>
      </c>
      <c r="E73" s="874" t="s">
        <v>1822</v>
      </c>
      <c r="F73" s="875" t="s">
        <v>14</v>
      </c>
      <c r="G73" s="875" t="s">
        <v>1822</v>
      </c>
      <c r="H73" s="870" t="s">
        <v>14</v>
      </c>
      <c r="I73" s="871" t="s">
        <v>1823</v>
      </c>
      <c r="J73" s="871" t="s">
        <v>1830</v>
      </c>
    </row>
    <row r="74" spans="2:10" x14ac:dyDescent="0.25">
      <c r="B74" s="876" t="s">
        <v>237</v>
      </c>
      <c r="C74" s="877">
        <f>SUMIFS('Unit Mix'!$F$6:$F$62,'Unit Mix'!$D$6:$D$62,'Unit Mix Exhibit'!$B$70,'Unit Mix'!$AH$6:$AH$62,'Unit Mix Exhibit'!$B74)</f>
        <v>0</v>
      </c>
      <c r="D74" s="878" t="e">
        <f>SUMIFS('Unit Mix'!$G$6:$G$62,'Unit Mix'!$D$6:$D$62,'Unit Mix Exhibit'!$B$70,'Unit Mix'!$AH$6:$AH$62,'Unit Mix Exhibit'!$B74)/C74</f>
        <v>#DIV/0!</v>
      </c>
      <c r="E74" s="879">
        <f>SUMIFS('Unit Mix'!$I$6:$I$62,'Unit Mix'!$D$6:$D$62,'Unit Mix Exhibit'!$B$70,'Unit Mix'!$AH$6:$AH$62,'Unit Mix Exhibit'!$B74)</f>
        <v>0</v>
      </c>
      <c r="F74" s="880" t="e">
        <f>E74/SUMIFS('Unit Mix'!$AA$6:$AA$62,'Unit Mix'!$D$6:$D$62,'Unit Mix Exhibit'!$B$70,'Unit Mix'!$AH$6:$AH$62,'Unit Mix Exhibit'!$B74)</f>
        <v>#DIV/0!</v>
      </c>
      <c r="G74" s="880">
        <f>SUMIFS('Unit Mix'!$O$6:$O$62,'Unit Mix'!$D$6:$D$62,'Unit Mix Exhibit'!$B$70,'Unit Mix'!$AH$6:$AH$62,'Unit Mix Exhibit'!$B74)</f>
        <v>0</v>
      </c>
      <c r="H74" s="880" t="e">
        <f>G74/C74</f>
        <v>#DIV/0!</v>
      </c>
      <c r="I74" s="880" t="e">
        <f t="shared" ref="I74:I79" si="8">H74-F74</f>
        <v>#DIV/0!</v>
      </c>
      <c r="J74" s="890" t="e">
        <f>C74/$C$17</f>
        <v>#DIV/0!</v>
      </c>
    </row>
    <row r="75" spans="2:10" x14ac:dyDescent="0.25">
      <c r="B75" s="876" t="s">
        <v>1824</v>
      </c>
      <c r="C75" s="877">
        <f>SUMIFS('Unit Mix'!$F$6:$F$62,'Unit Mix'!$D$6:$D$62,'Unit Mix Exhibit'!$B$70,'Unit Mix'!$AH$6:$AH$62,'Unit Mix Exhibit'!$B75)</f>
        <v>0</v>
      </c>
      <c r="D75" s="878" t="e">
        <f>SUMIFS('Unit Mix'!$G$6:$G$62,'Unit Mix'!$D$6:$D$62,'Unit Mix Exhibit'!$B$70,'Unit Mix'!$AH$6:$AH$62,'Unit Mix Exhibit'!$B75)/C75</f>
        <v>#DIV/0!</v>
      </c>
      <c r="E75" s="879">
        <f>SUMIFS('Unit Mix'!$I$6:$I$62,'Unit Mix'!$D$6:$D$62,'Unit Mix Exhibit'!$B$70,'Unit Mix'!$AH$6:$AH$62,'Unit Mix Exhibit'!$B75)</f>
        <v>0</v>
      </c>
      <c r="F75" s="880" t="e">
        <f>E75/SUMIFS('Unit Mix'!$AA$6:$AA$62,'Unit Mix'!$D$6:$D$62,'Unit Mix Exhibit'!$B$70,'Unit Mix'!$AH$6:$AH$62,'Unit Mix Exhibit'!$B75)</f>
        <v>#DIV/0!</v>
      </c>
      <c r="G75" s="880">
        <f>SUMIFS('Unit Mix'!$O$6:$O$62,'Unit Mix'!$D$6:$D$62,'Unit Mix Exhibit'!$B$70,'Unit Mix'!$AH$6:$AH$62,'Unit Mix Exhibit'!$B75)</f>
        <v>0</v>
      </c>
      <c r="H75" s="880" t="e">
        <f t="shared" ref="H75:H78" si="9">G75/C75</f>
        <v>#DIV/0!</v>
      </c>
      <c r="I75" s="880" t="e">
        <f t="shared" si="8"/>
        <v>#DIV/0!</v>
      </c>
      <c r="J75" s="890" t="e">
        <f t="shared" ref="J75:J78" si="10">C75/$C$17</f>
        <v>#DIV/0!</v>
      </c>
    </row>
    <row r="76" spans="2:10" x14ac:dyDescent="0.25">
      <c r="B76" s="876" t="s">
        <v>1825</v>
      </c>
      <c r="C76" s="877">
        <f>SUMIFS('Unit Mix'!$F$6:$F$62,'Unit Mix'!$D$6:$D$62,'Unit Mix Exhibit'!$B$70,'Unit Mix'!$AH$6:$AH$62,'Unit Mix Exhibit'!$B76)</f>
        <v>0</v>
      </c>
      <c r="D76" s="878" t="e">
        <f>SUMIFS('Unit Mix'!$G$6:$G$62,'Unit Mix'!$D$6:$D$62,'Unit Mix Exhibit'!$B$70,'Unit Mix'!$AH$6:$AH$62,'Unit Mix Exhibit'!$B76)/C76</f>
        <v>#DIV/0!</v>
      </c>
      <c r="E76" s="879">
        <f>SUMIFS('Unit Mix'!$I$6:$I$62,'Unit Mix'!$D$6:$D$62,'Unit Mix Exhibit'!$B$70,'Unit Mix'!$AH$6:$AH$62,'Unit Mix Exhibit'!$B76)</f>
        <v>0</v>
      </c>
      <c r="F76" s="880" t="e">
        <f>E76/SUMIFS('Unit Mix'!$AA$6:$AA$62,'Unit Mix'!$D$6:$D$62,'Unit Mix Exhibit'!$B$70,'Unit Mix'!$AH$6:$AH$62,'Unit Mix Exhibit'!$B76)</f>
        <v>#DIV/0!</v>
      </c>
      <c r="G76" s="880">
        <f>SUMIFS('Unit Mix'!$O$6:$O$62,'Unit Mix'!$D$6:$D$62,'Unit Mix Exhibit'!$B$70,'Unit Mix'!$AH$6:$AH$62,'Unit Mix Exhibit'!$B76)</f>
        <v>0</v>
      </c>
      <c r="H76" s="880" t="e">
        <f t="shared" si="9"/>
        <v>#DIV/0!</v>
      </c>
      <c r="I76" s="880" t="e">
        <f t="shared" si="8"/>
        <v>#DIV/0!</v>
      </c>
      <c r="J76" s="890" t="e">
        <f t="shared" si="10"/>
        <v>#DIV/0!</v>
      </c>
    </row>
    <row r="77" spans="2:10" x14ac:dyDescent="0.25">
      <c r="B77" s="876" t="s">
        <v>1827</v>
      </c>
      <c r="C77" s="877">
        <f>SUMIFS('Unit Mix'!$F$6:$F$62,'Unit Mix'!$D$6:$D$62,'Unit Mix Exhibit'!$B$70,'Unit Mix'!$AH$6:$AH$62,'Unit Mix Exhibit'!$B77)</f>
        <v>0</v>
      </c>
      <c r="D77" s="878" t="e">
        <f>SUMIFS('Unit Mix'!$G$6:$G$62,'Unit Mix'!$D$6:$D$62,'Unit Mix Exhibit'!$B$70,'Unit Mix'!$AH$6:$AH$62,'Unit Mix Exhibit'!$B77)/C77</f>
        <v>#DIV/0!</v>
      </c>
      <c r="E77" s="879">
        <f>SUMIFS('Unit Mix'!$I$6:$I$62,'Unit Mix'!$D$6:$D$62,'Unit Mix Exhibit'!$B$70,'Unit Mix'!$AH$6:$AH$62,'Unit Mix Exhibit'!$B77)</f>
        <v>0</v>
      </c>
      <c r="F77" s="880" t="e">
        <f>E77/SUMIFS('Unit Mix'!$AA$6:$AA$62,'Unit Mix'!$D$6:$D$62,'Unit Mix Exhibit'!$B$70,'Unit Mix'!$AH$6:$AH$62,'Unit Mix Exhibit'!$B77)</f>
        <v>#DIV/0!</v>
      </c>
      <c r="G77" s="880">
        <f>SUMIFS('Unit Mix'!$O$6:$O$62,'Unit Mix'!$D$6:$D$62,'Unit Mix Exhibit'!$B$70,'Unit Mix'!$AH$6:$AH$62,'Unit Mix Exhibit'!$B77)</f>
        <v>0</v>
      </c>
      <c r="H77" s="880" t="e">
        <f t="shared" si="9"/>
        <v>#DIV/0!</v>
      </c>
      <c r="I77" s="880" t="e">
        <f t="shared" si="8"/>
        <v>#DIV/0!</v>
      </c>
      <c r="J77" s="890" t="e">
        <f t="shared" si="10"/>
        <v>#DIV/0!</v>
      </c>
    </row>
    <row r="78" spans="2:10" x14ac:dyDescent="0.25">
      <c r="B78" s="876" t="s">
        <v>1828</v>
      </c>
      <c r="C78" s="877">
        <f>SUMIFS('Unit Mix'!$F$6:$F$62,'Unit Mix'!$D$6:$D$62,'Unit Mix Exhibit'!$B$70,'Unit Mix'!$AH$6:$AH$62,'Unit Mix Exhibit'!$B78)</f>
        <v>0</v>
      </c>
      <c r="D78" s="878" t="e">
        <f>SUMIFS('Unit Mix'!$G$6:$G$62,'Unit Mix'!$D$6:$D$62,'Unit Mix Exhibit'!$B$70,'Unit Mix'!$AH$6:$AH$62,'Unit Mix Exhibit'!$B78)/C78</f>
        <v>#DIV/0!</v>
      </c>
      <c r="E78" s="879">
        <f>SUMIFS('Unit Mix'!$I$6:$I$62,'Unit Mix'!$D$6:$D$62,'Unit Mix Exhibit'!$B$70,'Unit Mix'!$AH$6:$AH$62,'Unit Mix Exhibit'!$B78)</f>
        <v>0</v>
      </c>
      <c r="F78" s="880" t="e">
        <f>E78/SUMIFS('Unit Mix'!$AA$6:$AA$62,'Unit Mix'!$D$6:$D$62,'Unit Mix Exhibit'!$B$70,'Unit Mix'!$AH$6:$AH$62,'Unit Mix Exhibit'!$B78)</f>
        <v>#DIV/0!</v>
      </c>
      <c r="G78" s="880">
        <f>SUMIFS('Unit Mix'!$O$6:$O$62,'Unit Mix'!$D$6:$D$62,'Unit Mix Exhibit'!$B$70,'Unit Mix'!$AH$6:$AH$62,'Unit Mix Exhibit'!$B78)</f>
        <v>0</v>
      </c>
      <c r="H78" s="880" t="e">
        <f t="shared" si="9"/>
        <v>#DIV/0!</v>
      </c>
      <c r="I78" s="880" t="e">
        <f t="shared" si="8"/>
        <v>#DIV/0!</v>
      </c>
      <c r="J78" s="890" t="e">
        <f t="shared" si="10"/>
        <v>#DIV/0!</v>
      </c>
    </row>
    <row r="79" spans="2:10" x14ac:dyDescent="0.25">
      <c r="B79" s="881" t="s">
        <v>1826</v>
      </c>
      <c r="C79" s="882">
        <f>SUM(C74:C78)</f>
        <v>0</v>
      </c>
      <c r="D79" s="883" t="str">
        <f>IFERROR(SUMPRODUCT(D74:D78,C74:C78)/C79,"Check rows")</f>
        <v>Check rows</v>
      </c>
      <c r="E79" s="884">
        <f>SUM(E74:E78)</f>
        <v>0</v>
      </c>
      <c r="F79" s="884" t="e">
        <f>'Unit Mix'!J65</f>
        <v>#DIV/0!</v>
      </c>
      <c r="G79" s="884">
        <f>SUM(G74:G78)</f>
        <v>0</v>
      </c>
      <c r="H79" s="884" t="str">
        <f>IFERROR(SUMPRODUCT($H74:$H78,$C74:$C78)/$C79,"Check rows")</f>
        <v>Check rows</v>
      </c>
      <c r="I79" s="885" t="e">
        <f t="shared" si="8"/>
        <v>#VALUE!</v>
      </c>
      <c r="J79" s="891" t="e">
        <f>SUM(J74:J78)</f>
        <v>#DIV/0!</v>
      </c>
    </row>
    <row r="81" spans="2:10" ht="18.75" x14ac:dyDescent="0.3">
      <c r="B81" s="895" t="str">
        <f>OneLineRR!C77</f>
        <v>[Property 3 Name]</v>
      </c>
    </row>
    <row r="82" spans="2:10" ht="17.25" x14ac:dyDescent="0.4">
      <c r="B82" s="868" t="s">
        <v>1816</v>
      </c>
      <c r="C82" s="869"/>
      <c r="D82" s="869"/>
      <c r="E82" s="869"/>
      <c r="F82" s="870"/>
      <c r="G82" s="870"/>
      <c r="H82" s="870"/>
      <c r="I82" s="871" t="s">
        <v>1821</v>
      </c>
      <c r="J82" s="871" t="s">
        <v>1821</v>
      </c>
    </row>
    <row r="83" spans="2:10" ht="17.25" x14ac:dyDescent="0.4">
      <c r="B83" s="868"/>
      <c r="C83" s="869"/>
      <c r="D83" s="869"/>
      <c r="E83" s="868" t="s">
        <v>126</v>
      </c>
      <c r="F83" s="870"/>
      <c r="G83" s="868" t="s">
        <v>48</v>
      </c>
      <c r="H83" s="870"/>
      <c r="I83" s="872" t="s">
        <v>63</v>
      </c>
      <c r="J83" s="872" t="s">
        <v>63</v>
      </c>
    </row>
    <row r="84" spans="2:10" x14ac:dyDescent="0.25">
      <c r="B84" s="873" t="s">
        <v>54</v>
      </c>
      <c r="C84" s="874" t="s">
        <v>60</v>
      </c>
      <c r="D84" s="874" t="s">
        <v>102</v>
      </c>
      <c r="E84" s="874" t="s">
        <v>1822</v>
      </c>
      <c r="F84" s="875" t="s">
        <v>14</v>
      </c>
      <c r="G84" s="875" t="s">
        <v>1822</v>
      </c>
      <c r="H84" s="870" t="s">
        <v>14</v>
      </c>
      <c r="I84" s="871" t="s">
        <v>1823</v>
      </c>
      <c r="J84" s="871" t="s">
        <v>1830</v>
      </c>
    </row>
    <row r="85" spans="2:10" x14ac:dyDescent="0.25">
      <c r="B85" s="876" t="s">
        <v>237</v>
      </c>
      <c r="C85" s="877">
        <f>SUMIFS('Unit Mix'!$F$6:$F$62,'Unit Mix'!$D$6:$D$62,'Unit Mix Exhibit'!$B$81,'Unit Mix'!$AH$6:$AH$62,'Unit Mix Exhibit'!$B85)</f>
        <v>0</v>
      </c>
      <c r="D85" s="878" t="e">
        <f>SUMIFS('Unit Mix'!$G$6:$G$62,'Unit Mix'!$D$6:$D$62,'Unit Mix Exhibit'!$B$81,'Unit Mix'!$AH$6:$AH$62,'Unit Mix Exhibit'!$B85)/C85</f>
        <v>#DIV/0!</v>
      </c>
      <c r="E85" s="879">
        <f>SUMIFS('Unit Mix'!$I$6:$I$62,'Unit Mix'!$D$6:$D$62,'Unit Mix Exhibit'!$B$81,'Unit Mix'!$AH$6:$AH$62,'Unit Mix Exhibit'!$B85)</f>
        <v>0</v>
      </c>
      <c r="F85" s="880" t="e">
        <f>E85/SUMIFS('Unit Mix'!$AA$6:$AA$62,'Unit Mix'!$D$6:$D$62,'Unit Mix Exhibit'!$B$81,'Unit Mix'!$AH$6:$AH$62,'Unit Mix Exhibit'!$B85)</f>
        <v>#DIV/0!</v>
      </c>
      <c r="G85" s="880">
        <f>SUMIFS('Unit Mix'!$O$6:$O$62,'Unit Mix'!$D$6:$D$62,'Unit Mix Exhibit'!$B$81,'Unit Mix'!$AH$6:$AH$62,'Unit Mix Exhibit'!$B85)</f>
        <v>0</v>
      </c>
      <c r="H85" s="880" t="e">
        <f>G85/C85</f>
        <v>#DIV/0!</v>
      </c>
      <c r="I85" s="880" t="e">
        <f t="shared" ref="I85:I90" si="11">H85-F85</f>
        <v>#DIV/0!</v>
      </c>
      <c r="J85" s="890" t="e">
        <f>C85/$C$17</f>
        <v>#DIV/0!</v>
      </c>
    </row>
    <row r="86" spans="2:10" x14ac:dyDescent="0.25">
      <c r="B86" s="876" t="s">
        <v>1824</v>
      </c>
      <c r="C86" s="877">
        <f>SUMIFS('Unit Mix'!$F$6:$F$62,'Unit Mix'!$D$6:$D$62,'Unit Mix Exhibit'!$B$81,'Unit Mix'!$AH$6:$AH$62,'Unit Mix Exhibit'!$B86)</f>
        <v>0</v>
      </c>
      <c r="D86" s="878" t="e">
        <f>SUMIFS('Unit Mix'!$G$6:$G$62,'Unit Mix'!$D$6:$D$62,'Unit Mix Exhibit'!$B$81,'Unit Mix'!$AH$6:$AH$62,'Unit Mix Exhibit'!$B86)/C86</f>
        <v>#DIV/0!</v>
      </c>
      <c r="E86" s="879">
        <f>SUMIFS('Unit Mix'!$I$6:$I$62,'Unit Mix'!$D$6:$D$62,'Unit Mix Exhibit'!$B$81,'Unit Mix'!$AH$6:$AH$62,'Unit Mix Exhibit'!$B86)</f>
        <v>0</v>
      </c>
      <c r="F86" s="880" t="e">
        <f>E86/SUMIFS('Unit Mix'!$AA$6:$AA$62,'Unit Mix'!$D$6:$D$62,'Unit Mix Exhibit'!$B$81,'Unit Mix'!$AH$6:$AH$62,'Unit Mix Exhibit'!$B86)</f>
        <v>#DIV/0!</v>
      </c>
      <c r="G86" s="880">
        <f>SUMIFS('Unit Mix'!$O$6:$O$62,'Unit Mix'!$D$6:$D$62,'Unit Mix Exhibit'!$B$81,'Unit Mix'!$AH$6:$AH$62,'Unit Mix Exhibit'!$B86)</f>
        <v>0</v>
      </c>
      <c r="H86" s="880" t="e">
        <f t="shared" ref="H86:H89" si="12">G86/C86</f>
        <v>#DIV/0!</v>
      </c>
      <c r="I86" s="880" t="e">
        <f t="shared" si="11"/>
        <v>#DIV/0!</v>
      </c>
      <c r="J86" s="890" t="e">
        <f t="shared" ref="J86:J89" si="13">C86/$C$17</f>
        <v>#DIV/0!</v>
      </c>
    </row>
    <row r="87" spans="2:10" x14ac:dyDescent="0.25">
      <c r="B87" s="876" t="s">
        <v>1825</v>
      </c>
      <c r="C87" s="877">
        <f>SUMIFS('Unit Mix'!$F$6:$F$62,'Unit Mix'!$D$6:$D$62,'Unit Mix Exhibit'!$B$81,'Unit Mix'!$AH$6:$AH$62,'Unit Mix Exhibit'!$B87)</f>
        <v>0</v>
      </c>
      <c r="D87" s="878" t="e">
        <f>SUMIFS('Unit Mix'!$G$6:$G$62,'Unit Mix'!$D$6:$D$62,'Unit Mix Exhibit'!$B$81,'Unit Mix'!$AH$6:$AH$62,'Unit Mix Exhibit'!$B87)/C87</f>
        <v>#DIV/0!</v>
      </c>
      <c r="E87" s="879">
        <f>SUMIFS('Unit Mix'!$I$6:$I$62,'Unit Mix'!$D$6:$D$62,'Unit Mix Exhibit'!$B$81,'Unit Mix'!$AH$6:$AH$62,'Unit Mix Exhibit'!$B87)</f>
        <v>0</v>
      </c>
      <c r="F87" s="880" t="e">
        <f>E87/SUMIFS('Unit Mix'!$AA$6:$AA$62,'Unit Mix'!$D$6:$D$62,'Unit Mix Exhibit'!$B$81,'Unit Mix'!$AH$6:$AH$62,'Unit Mix Exhibit'!$B87)</f>
        <v>#DIV/0!</v>
      </c>
      <c r="G87" s="880">
        <f>SUMIFS('Unit Mix'!$O$6:$O$62,'Unit Mix'!$D$6:$D$62,'Unit Mix Exhibit'!$B$81,'Unit Mix'!$AH$6:$AH$62,'Unit Mix Exhibit'!$B87)</f>
        <v>0</v>
      </c>
      <c r="H87" s="880" t="e">
        <f t="shared" si="12"/>
        <v>#DIV/0!</v>
      </c>
      <c r="I87" s="880" t="e">
        <f t="shared" si="11"/>
        <v>#DIV/0!</v>
      </c>
      <c r="J87" s="890" t="e">
        <f t="shared" si="13"/>
        <v>#DIV/0!</v>
      </c>
    </row>
    <row r="88" spans="2:10" x14ac:dyDescent="0.25">
      <c r="B88" s="876" t="s">
        <v>1827</v>
      </c>
      <c r="C88" s="877">
        <f>SUMIFS('Unit Mix'!$F$6:$F$62,'Unit Mix'!$D$6:$D$62,'Unit Mix Exhibit'!$B$81,'Unit Mix'!$AH$6:$AH$62,'Unit Mix Exhibit'!$B88)</f>
        <v>0</v>
      </c>
      <c r="D88" s="878" t="e">
        <f>SUMIFS('Unit Mix'!$G$6:$G$62,'Unit Mix'!$D$6:$D$62,'Unit Mix Exhibit'!$B$81,'Unit Mix'!$AH$6:$AH$62,'Unit Mix Exhibit'!$B88)/C88</f>
        <v>#DIV/0!</v>
      </c>
      <c r="E88" s="879">
        <f>SUMIFS('Unit Mix'!$I$6:$I$62,'Unit Mix'!$D$6:$D$62,'Unit Mix Exhibit'!$B$81,'Unit Mix'!$AH$6:$AH$62,'Unit Mix Exhibit'!$B88)</f>
        <v>0</v>
      </c>
      <c r="F88" s="880" t="e">
        <f>E88/SUMIFS('Unit Mix'!$AA$6:$AA$62,'Unit Mix'!$D$6:$D$62,'Unit Mix Exhibit'!$B$81,'Unit Mix'!$AH$6:$AH$62,'Unit Mix Exhibit'!$B88)</f>
        <v>#DIV/0!</v>
      </c>
      <c r="G88" s="880">
        <f>SUMIFS('Unit Mix'!$O$6:$O$62,'Unit Mix'!$D$6:$D$62,'Unit Mix Exhibit'!$B$81,'Unit Mix'!$AH$6:$AH$62,'Unit Mix Exhibit'!$B88)</f>
        <v>0</v>
      </c>
      <c r="H88" s="880" t="e">
        <f t="shared" si="12"/>
        <v>#DIV/0!</v>
      </c>
      <c r="I88" s="880" t="e">
        <f t="shared" si="11"/>
        <v>#DIV/0!</v>
      </c>
      <c r="J88" s="890" t="e">
        <f t="shared" si="13"/>
        <v>#DIV/0!</v>
      </c>
    </row>
    <row r="89" spans="2:10" x14ac:dyDescent="0.25">
      <c r="B89" s="876" t="s">
        <v>1828</v>
      </c>
      <c r="C89" s="877">
        <f>SUMIFS('Unit Mix'!$F$6:$F$62,'Unit Mix'!$D$6:$D$62,'Unit Mix Exhibit'!$B$81,'Unit Mix'!$AH$6:$AH$62,'Unit Mix Exhibit'!$B89)</f>
        <v>0</v>
      </c>
      <c r="D89" s="878" t="e">
        <f>SUMIFS('Unit Mix'!$G$6:$G$62,'Unit Mix'!$D$6:$D$62,'Unit Mix Exhibit'!$B$81,'Unit Mix'!$AH$6:$AH$62,'Unit Mix Exhibit'!$B89)/C89</f>
        <v>#DIV/0!</v>
      </c>
      <c r="E89" s="879">
        <f>SUMIFS('Unit Mix'!$I$6:$I$62,'Unit Mix'!$D$6:$D$62,'Unit Mix Exhibit'!$B$81,'Unit Mix'!$AH$6:$AH$62,'Unit Mix Exhibit'!$B89)</f>
        <v>0</v>
      </c>
      <c r="F89" s="880" t="e">
        <f>E89/SUMIFS('Unit Mix'!$AA$6:$AA$62,'Unit Mix'!$D$6:$D$62,'Unit Mix Exhibit'!$B$81,'Unit Mix'!$AH$6:$AH$62,'Unit Mix Exhibit'!$B89)</f>
        <v>#DIV/0!</v>
      </c>
      <c r="G89" s="880">
        <f>SUMIFS('Unit Mix'!$O$6:$O$62,'Unit Mix'!$D$6:$D$62,'Unit Mix Exhibit'!$B$81,'Unit Mix'!$AH$6:$AH$62,'Unit Mix Exhibit'!$B89)</f>
        <v>0</v>
      </c>
      <c r="H89" s="880" t="e">
        <f t="shared" si="12"/>
        <v>#DIV/0!</v>
      </c>
      <c r="I89" s="880" t="e">
        <f t="shared" si="11"/>
        <v>#DIV/0!</v>
      </c>
      <c r="J89" s="890" t="e">
        <f t="shared" si="13"/>
        <v>#DIV/0!</v>
      </c>
    </row>
    <row r="90" spans="2:10" x14ac:dyDescent="0.25">
      <c r="B90" s="881" t="s">
        <v>1826</v>
      </c>
      <c r="C90" s="882">
        <f>SUM(C85:C89)</f>
        <v>0</v>
      </c>
      <c r="D90" s="883" t="str">
        <f>IFERROR(SUMPRODUCT(D85:D89,C85:C89)/C90,"Check rows")</f>
        <v>Check rows</v>
      </c>
      <c r="E90" s="884">
        <f>SUM(E85:E89)</f>
        <v>0</v>
      </c>
      <c r="F90" s="884" t="e">
        <f>'Unit Mix'!J66</f>
        <v>#DIV/0!</v>
      </c>
      <c r="G90" s="884">
        <f>SUM(G85:G89)</f>
        <v>0</v>
      </c>
      <c r="H90" s="884" t="str">
        <f>IFERROR(SUMPRODUCT($H85:$H89,$C85:$C89)/$C90,"Check rows")</f>
        <v>Check rows</v>
      </c>
      <c r="I90" s="885" t="e">
        <f t="shared" si="11"/>
        <v>#VALUE!</v>
      </c>
      <c r="J90" s="891" t="e">
        <f>SUM(J85:J89)</f>
        <v>#DIV/0!</v>
      </c>
    </row>
    <row r="92" spans="2:10" ht="18.75" x14ac:dyDescent="0.3">
      <c r="B92" s="895" t="str">
        <f>OneLineRR!C82</f>
        <v>[Property 4 Name]</v>
      </c>
    </row>
    <row r="93" spans="2:10" ht="17.25" x14ac:dyDescent="0.4">
      <c r="B93" s="868" t="s">
        <v>1816</v>
      </c>
      <c r="C93" s="869"/>
      <c r="D93" s="869"/>
      <c r="E93" s="869"/>
      <c r="F93" s="870"/>
      <c r="G93" s="870"/>
      <c r="H93" s="870"/>
      <c r="I93" s="871" t="s">
        <v>1821</v>
      </c>
      <c r="J93" s="871" t="s">
        <v>1821</v>
      </c>
    </row>
    <row r="94" spans="2:10" ht="17.25" x14ac:dyDescent="0.4">
      <c r="B94" s="868"/>
      <c r="C94" s="869"/>
      <c r="D94" s="869"/>
      <c r="E94" s="868" t="s">
        <v>126</v>
      </c>
      <c r="F94" s="870"/>
      <c r="G94" s="868" t="s">
        <v>48</v>
      </c>
      <c r="H94" s="870"/>
      <c r="I94" s="872" t="s">
        <v>63</v>
      </c>
      <c r="J94" s="872" t="s">
        <v>63</v>
      </c>
    </row>
    <row r="95" spans="2:10" x14ac:dyDescent="0.25">
      <c r="B95" s="873" t="s">
        <v>54</v>
      </c>
      <c r="C95" s="874" t="s">
        <v>60</v>
      </c>
      <c r="D95" s="874" t="s">
        <v>102</v>
      </c>
      <c r="E95" s="874" t="s">
        <v>1822</v>
      </c>
      <c r="F95" s="875" t="s">
        <v>14</v>
      </c>
      <c r="G95" s="875" t="s">
        <v>1822</v>
      </c>
      <c r="H95" s="870" t="s">
        <v>14</v>
      </c>
      <c r="I95" s="871" t="s">
        <v>1823</v>
      </c>
      <c r="J95" s="871" t="s">
        <v>1830</v>
      </c>
    </row>
    <row r="96" spans="2:10" x14ac:dyDescent="0.25">
      <c r="B96" s="876" t="s">
        <v>237</v>
      </c>
      <c r="C96" s="877">
        <f>SUMIFS('Unit Mix'!$F$6:$F$62,'Unit Mix'!$D$6:$D$62,'Unit Mix Exhibit'!$B$92,'Unit Mix'!$AH$6:$AH$62,'Unit Mix Exhibit'!$B96)</f>
        <v>0</v>
      </c>
      <c r="D96" s="878" t="e">
        <f>SUMIFS('Unit Mix'!$G$6:$G$62,'Unit Mix'!$D$6:$D$62,'Unit Mix Exhibit'!$B$92,'Unit Mix'!$AH$6:$AH$62,'Unit Mix Exhibit'!$B96)/C96</f>
        <v>#DIV/0!</v>
      </c>
      <c r="E96" s="879">
        <f>SUMIFS('Unit Mix'!$I$6:$I$62,'Unit Mix'!$D$6:$D$62,'Unit Mix Exhibit'!$B$92,'Unit Mix'!$AH$6:$AH$62,'Unit Mix Exhibit'!$B96)</f>
        <v>0</v>
      </c>
      <c r="F96" s="880" t="e">
        <f>E96/SUMIFS('Unit Mix'!$AA$6:$AA$62,'Unit Mix'!$D$6:$D$62,'Unit Mix Exhibit'!$B$92,'Unit Mix'!$AH$6:$AH$62,'Unit Mix Exhibit'!$B96)</f>
        <v>#DIV/0!</v>
      </c>
      <c r="G96" s="880">
        <f>SUMIFS('Unit Mix'!$O$6:$O$62,'Unit Mix'!$D$6:$D$62,'Unit Mix Exhibit'!$B$92,'Unit Mix'!$AH$6:$AH$62,'Unit Mix Exhibit'!$B96)</f>
        <v>0</v>
      </c>
      <c r="H96" s="880" t="e">
        <f>G96/C96</f>
        <v>#DIV/0!</v>
      </c>
      <c r="I96" s="880" t="e">
        <f t="shared" ref="I96:I101" si="14">H96-F96</f>
        <v>#DIV/0!</v>
      </c>
      <c r="J96" s="890" t="e">
        <f>C96/$C$17</f>
        <v>#DIV/0!</v>
      </c>
    </row>
    <row r="97" spans="2:10" x14ac:dyDescent="0.25">
      <c r="B97" s="876" t="s">
        <v>1824</v>
      </c>
      <c r="C97" s="877">
        <f>SUMIFS('Unit Mix'!$F$6:$F$62,'Unit Mix'!$D$6:$D$62,'Unit Mix Exhibit'!$B$92,'Unit Mix'!$AH$6:$AH$62,'Unit Mix Exhibit'!$B97)</f>
        <v>0</v>
      </c>
      <c r="D97" s="878" t="e">
        <f>SUMIFS('Unit Mix'!$G$6:$G$62,'Unit Mix'!$D$6:$D$62,'Unit Mix Exhibit'!$B$92,'Unit Mix'!$AH$6:$AH$62,'Unit Mix Exhibit'!$B97)/C97</f>
        <v>#DIV/0!</v>
      </c>
      <c r="E97" s="879">
        <f>SUMIFS('Unit Mix'!$I$6:$I$62,'Unit Mix'!$D$6:$D$62,'Unit Mix Exhibit'!$B$92,'Unit Mix'!$AH$6:$AH$62,'Unit Mix Exhibit'!$B97)</f>
        <v>0</v>
      </c>
      <c r="F97" s="880" t="e">
        <f>E97/SUMIFS('Unit Mix'!$AA$6:$AA$62,'Unit Mix'!$D$6:$D$62,'Unit Mix Exhibit'!$B$92,'Unit Mix'!$AH$6:$AH$62,'Unit Mix Exhibit'!$B97)</f>
        <v>#DIV/0!</v>
      </c>
      <c r="G97" s="880">
        <f>SUMIFS('Unit Mix'!$O$6:$O$62,'Unit Mix'!$D$6:$D$62,'Unit Mix Exhibit'!$B$92,'Unit Mix'!$AH$6:$AH$62,'Unit Mix Exhibit'!$B97)</f>
        <v>0</v>
      </c>
      <c r="H97" s="880" t="e">
        <f t="shared" ref="H97:H100" si="15">G97/C97</f>
        <v>#DIV/0!</v>
      </c>
      <c r="I97" s="880" t="e">
        <f t="shared" si="14"/>
        <v>#DIV/0!</v>
      </c>
      <c r="J97" s="890" t="e">
        <f t="shared" ref="J97:J100" si="16">C97/$C$17</f>
        <v>#DIV/0!</v>
      </c>
    </row>
    <row r="98" spans="2:10" x14ac:dyDescent="0.25">
      <c r="B98" s="876" t="s">
        <v>1825</v>
      </c>
      <c r="C98" s="877">
        <f>SUMIFS('Unit Mix'!$F$6:$F$62,'Unit Mix'!$D$6:$D$62,'Unit Mix Exhibit'!$B$92,'Unit Mix'!$AH$6:$AH$62,'Unit Mix Exhibit'!$B98)</f>
        <v>0</v>
      </c>
      <c r="D98" s="878" t="e">
        <f>SUMIFS('Unit Mix'!$G$6:$G$62,'Unit Mix'!$D$6:$D$62,'Unit Mix Exhibit'!$B$92,'Unit Mix'!$AH$6:$AH$62,'Unit Mix Exhibit'!$B98)/C98</f>
        <v>#DIV/0!</v>
      </c>
      <c r="E98" s="879">
        <f>SUMIFS('Unit Mix'!$I$6:$I$62,'Unit Mix'!$D$6:$D$62,'Unit Mix Exhibit'!$B$92,'Unit Mix'!$AH$6:$AH$62,'Unit Mix Exhibit'!$B98)</f>
        <v>0</v>
      </c>
      <c r="F98" s="880" t="e">
        <f>E98/SUMIFS('Unit Mix'!$AA$6:$AA$62,'Unit Mix'!$D$6:$D$62,'Unit Mix Exhibit'!$B$92,'Unit Mix'!$AH$6:$AH$62,'Unit Mix Exhibit'!$B98)</f>
        <v>#DIV/0!</v>
      </c>
      <c r="G98" s="880">
        <f>SUMIFS('Unit Mix'!$O$6:$O$62,'Unit Mix'!$D$6:$D$62,'Unit Mix Exhibit'!$B$92,'Unit Mix'!$AH$6:$AH$62,'Unit Mix Exhibit'!$B98)</f>
        <v>0</v>
      </c>
      <c r="H98" s="880" t="e">
        <f t="shared" si="15"/>
        <v>#DIV/0!</v>
      </c>
      <c r="I98" s="880" t="e">
        <f t="shared" si="14"/>
        <v>#DIV/0!</v>
      </c>
      <c r="J98" s="890" t="e">
        <f t="shared" si="16"/>
        <v>#DIV/0!</v>
      </c>
    </row>
    <row r="99" spans="2:10" x14ac:dyDescent="0.25">
      <c r="B99" s="876" t="s">
        <v>1827</v>
      </c>
      <c r="C99" s="877">
        <f>SUMIFS('Unit Mix'!$F$6:$F$62,'Unit Mix'!$D$6:$D$62,'Unit Mix Exhibit'!$B$92,'Unit Mix'!$AH$6:$AH$62,'Unit Mix Exhibit'!$B99)</f>
        <v>0</v>
      </c>
      <c r="D99" s="878" t="e">
        <f>SUMIFS('Unit Mix'!$G$6:$G$62,'Unit Mix'!$D$6:$D$62,'Unit Mix Exhibit'!$B$92,'Unit Mix'!$AH$6:$AH$62,'Unit Mix Exhibit'!$B99)/C99</f>
        <v>#DIV/0!</v>
      </c>
      <c r="E99" s="879">
        <f>SUMIFS('Unit Mix'!$I$6:$I$62,'Unit Mix'!$D$6:$D$62,'Unit Mix Exhibit'!$B$92,'Unit Mix'!$AH$6:$AH$62,'Unit Mix Exhibit'!$B99)</f>
        <v>0</v>
      </c>
      <c r="F99" s="880" t="e">
        <f>E99/SUMIFS('Unit Mix'!$AA$6:$AA$62,'Unit Mix'!$D$6:$D$62,'Unit Mix Exhibit'!$B$92,'Unit Mix'!$AH$6:$AH$62,'Unit Mix Exhibit'!$B99)</f>
        <v>#DIV/0!</v>
      </c>
      <c r="G99" s="880">
        <f>SUMIFS('Unit Mix'!$O$6:$O$62,'Unit Mix'!$D$6:$D$62,'Unit Mix Exhibit'!$B$92,'Unit Mix'!$AH$6:$AH$62,'Unit Mix Exhibit'!$B99)</f>
        <v>0</v>
      </c>
      <c r="H99" s="880" t="e">
        <f t="shared" si="15"/>
        <v>#DIV/0!</v>
      </c>
      <c r="I99" s="880" t="e">
        <f t="shared" si="14"/>
        <v>#DIV/0!</v>
      </c>
      <c r="J99" s="890" t="e">
        <f t="shared" si="16"/>
        <v>#DIV/0!</v>
      </c>
    </row>
    <row r="100" spans="2:10" x14ac:dyDescent="0.25">
      <c r="B100" s="876" t="s">
        <v>1828</v>
      </c>
      <c r="C100" s="877">
        <f>SUMIFS('Unit Mix'!$F$6:$F$62,'Unit Mix'!$D$6:$D$62,'Unit Mix Exhibit'!$B$92,'Unit Mix'!$AH$6:$AH$62,'Unit Mix Exhibit'!$B100)</f>
        <v>0</v>
      </c>
      <c r="D100" s="878" t="e">
        <f>SUMIFS('Unit Mix'!$G$6:$G$62,'Unit Mix'!$D$6:$D$62,'Unit Mix Exhibit'!$B$92,'Unit Mix'!$AH$6:$AH$62,'Unit Mix Exhibit'!$B100)/C100</f>
        <v>#DIV/0!</v>
      </c>
      <c r="E100" s="879">
        <f>SUMIFS('Unit Mix'!$I$6:$I$62,'Unit Mix'!$D$6:$D$62,'Unit Mix Exhibit'!$B$92,'Unit Mix'!$AH$6:$AH$62,'Unit Mix Exhibit'!$B100)</f>
        <v>0</v>
      </c>
      <c r="F100" s="880" t="e">
        <f>E100/SUMIFS('Unit Mix'!$AA$6:$AA$62,'Unit Mix'!$D$6:$D$62,'Unit Mix Exhibit'!$B$92,'Unit Mix'!$AH$6:$AH$62,'Unit Mix Exhibit'!$B100)</f>
        <v>#DIV/0!</v>
      </c>
      <c r="G100" s="880">
        <f>SUMIFS('Unit Mix'!$O$6:$O$62,'Unit Mix'!$D$6:$D$62,'Unit Mix Exhibit'!$B$92,'Unit Mix'!$AH$6:$AH$62,'Unit Mix Exhibit'!$B100)</f>
        <v>0</v>
      </c>
      <c r="H100" s="880" t="e">
        <f t="shared" si="15"/>
        <v>#DIV/0!</v>
      </c>
      <c r="I100" s="880" t="e">
        <f t="shared" si="14"/>
        <v>#DIV/0!</v>
      </c>
      <c r="J100" s="890" t="e">
        <f t="shared" si="16"/>
        <v>#DIV/0!</v>
      </c>
    </row>
    <row r="101" spans="2:10" x14ac:dyDescent="0.25">
      <c r="B101" s="881" t="s">
        <v>1826</v>
      </c>
      <c r="C101" s="882">
        <f>SUM(C96:C100)</f>
        <v>0</v>
      </c>
      <c r="D101" s="883" t="str">
        <f>IFERROR(SUMPRODUCT(D96:D100,C96:C100)/C101,"Check rows")</f>
        <v>Check rows</v>
      </c>
      <c r="E101" s="884">
        <f>SUM(E96:E100)</f>
        <v>0</v>
      </c>
      <c r="F101" s="884" t="e">
        <f>'Unit Mix'!J67</f>
        <v>#DIV/0!</v>
      </c>
      <c r="G101" s="884">
        <f>SUM(G96:G100)</f>
        <v>0</v>
      </c>
      <c r="H101" s="884" t="str">
        <f>IFERROR(SUMPRODUCT($H96:$H100,$C96:$C100)/$C101,"Check rows")</f>
        <v>Check rows</v>
      </c>
      <c r="I101" s="885" t="e">
        <f t="shared" si="14"/>
        <v>#VALUE!</v>
      </c>
      <c r="J101" s="891" t="e">
        <f>SUM(J96:J100)</f>
        <v>#DIV/0!</v>
      </c>
    </row>
    <row r="103" spans="2:10" ht="18.75" x14ac:dyDescent="0.3">
      <c r="B103" s="895" t="str">
        <f>OneLineRR!C87</f>
        <v>[Property 5 Name]</v>
      </c>
    </row>
    <row r="104" spans="2:10" ht="17.25" x14ac:dyDescent="0.4">
      <c r="B104" s="868" t="s">
        <v>1816</v>
      </c>
      <c r="C104" s="869"/>
      <c r="D104" s="869"/>
      <c r="E104" s="869"/>
      <c r="F104" s="870"/>
      <c r="G104" s="870"/>
      <c r="H104" s="870"/>
      <c r="I104" s="871" t="s">
        <v>1821</v>
      </c>
      <c r="J104" s="871" t="s">
        <v>1821</v>
      </c>
    </row>
    <row r="105" spans="2:10" ht="17.25" x14ac:dyDescent="0.4">
      <c r="B105" s="868"/>
      <c r="C105" s="869"/>
      <c r="D105" s="869"/>
      <c r="E105" s="868" t="s">
        <v>126</v>
      </c>
      <c r="F105" s="870"/>
      <c r="G105" s="868" t="s">
        <v>48</v>
      </c>
      <c r="H105" s="870"/>
      <c r="I105" s="872" t="s">
        <v>63</v>
      </c>
      <c r="J105" s="872" t="s">
        <v>63</v>
      </c>
    </row>
    <row r="106" spans="2:10" x14ac:dyDescent="0.25">
      <c r="B106" s="873" t="s">
        <v>54</v>
      </c>
      <c r="C106" s="874" t="s">
        <v>60</v>
      </c>
      <c r="D106" s="874" t="s">
        <v>102</v>
      </c>
      <c r="E106" s="874" t="s">
        <v>1822</v>
      </c>
      <c r="F106" s="875" t="s">
        <v>14</v>
      </c>
      <c r="G106" s="875" t="s">
        <v>1822</v>
      </c>
      <c r="H106" s="870" t="s">
        <v>14</v>
      </c>
      <c r="I106" s="871" t="s">
        <v>1823</v>
      </c>
      <c r="J106" s="871" t="s">
        <v>1830</v>
      </c>
    </row>
    <row r="107" spans="2:10" x14ac:dyDescent="0.25">
      <c r="B107" s="876" t="s">
        <v>237</v>
      </c>
      <c r="C107" s="877">
        <f>SUMIFS('Unit Mix'!$F$6:$F$62,'Unit Mix'!$D$6:$D$62,'Unit Mix Exhibit'!$B$103,'Unit Mix'!$AH$6:$AH$62,'Unit Mix Exhibit'!$B107)</f>
        <v>0</v>
      </c>
      <c r="D107" s="878" t="e">
        <f>SUMIFS('Unit Mix'!$G$6:$G$62,'Unit Mix'!$D$6:$D$62,'Unit Mix Exhibit'!$B$103,'Unit Mix'!$AH$6:$AH$62,'Unit Mix Exhibit'!$B107)/C107</f>
        <v>#DIV/0!</v>
      </c>
      <c r="E107" s="879">
        <f>SUMIFS('Unit Mix'!$I$6:$I$62,'Unit Mix'!$D$6:$D$62,'Unit Mix Exhibit'!$B$103,'Unit Mix'!$AH$6:$AH$62,'Unit Mix Exhibit'!$B107)</f>
        <v>0</v>
      </c>
      <c r="F107" s="880" t="e">
        <f>E107/SUMIFS('Unit Mix'!$AA$6:$AA$62,'Unit Mix'!$D$6:$D$62,'Unit Mix Exhibit'!$B$103,'Unit Mix'!$AH$6:$AH$62,'Unit Mix Exhibit'!$B107)</f>
        <v>#DIV/0!</v>
      </c>
      <c r="G107" s="880">
        <f>SUMIFS('Unit Mix'!$O$6:$O$62,'Unit Mix'!$D$6:$D$62,'Unit Mix Exhibit'!$B$103,'Unit Mix'!$AH$6:$AH$62,'Unit Mix Exhibit'!$B107)</f>
        <v>0</v>
      </c>
      <c r="H107" s="880" t="e">
        <f>G107/C107</f>
        <v>#DIV/0!</v>
      </c>
      <c r="I107" s="880" t="e">
        <f t="shared" ref="I107:I112" si="17">H107-F107</f>
        <v>#DIV/0!</v>
      </c>
      <c r="J107" s="890" t="e">
        <f>C107/$C$17</f>
        <v>#DIV/0!</v>
      </c>
    </row>
    <row r="108" spans="2:10" x14ac:dyDescent="0.25">
      <c r="B108" s="876" t="s">
        <v>1824</v>
      </c>
      <c r="C108" s="877">
        <f>SUMIFS('Unit Mix'!$F$6:$F$62,'Unit Mix'!$D$6:$D$62,'Unit Mix Exhibit'!$B$103,'Unit Mix'!$AH$6:$AH$62,'Unit Mix Exhibit'!$B108)</f>
        <v>0</v>
      </c>
      <c r="D108" s="878" t="e">
        <f>SUMIFS('Unit Mix'!$G$6:$G$62,'Unit Mix'!$D$6:$D$62,'Unit Mix Exhibit'!$B$103,'Unit Mix'!$AH$6:$AH$62,'Unit Mix Exhibit'!$B108)/C108</f>
        <v>#DIV/0!</v>
      </c>
      <c r="E108" s="879">
        <f>SUMIFS('Unit Mix'!$I$6:$I$62,'Unit Mix'!$D$6:$D$62,'Unit Mix Exhibit'!$B$103,'Unit Mix'!$AH$6:$AH$62,'Unit Mix Exhibit'!$B108)</f>
        <v>0</v>
      </c>
      <c r="F108" s="880" t="e">
        <f>E108/SUMIFS('Unit Mix'!$AA$6:$AA$62,'Unit Mix'!$D$6:$D$62,'Unit Mix Exhibit'!$B$103,'Unit Mix'!$AH$6:$AH$62,'Unit Mix Exhibit'!$B108)</f>
        <v>#DIV/0!</v>
      </c>
      <c r="G108" s="880">
        <f>SUMIFS('Unit Mix'!$O$6:$O$62,'Unit Mix'!$D$6:$D$62,'Unit Mix Exhibit'!$B$103,'Unit Mix'!$AH$6:$AH$62,'Unit Mix Exhibit'!$B108)</f>
        <v>0</v>
      </c>
      <c r="H108" s="880" t="e">
        <f t="shared" ref="H108:H111" si="18">G108/C108</f>
        <v>#DIV/0!</v>
      </c>
      <c r="I108" s="880" t="e">
        <f t="shared" si="17"/>
        <v>#DIV/0!</v>
      </c>
      <c r="J108" s="890" t="e">
        <f t="shared" ref="J108:J111" si="19">C108/$C$17</f>
        <v>#DIV/0!</v>
      </c>
    </row>
    <row r="109" spans="2:10" x14ac:dyDescent="0.25">
      <c r="B109" s="876" t="s">
        <v>1825</v>
      </c>
      <c r="C109" s="877">
        <f>SUMIFS('Unit Mix'!$F$6:$F$62,'Unit Mix'!$D$6:$D$62,'Unit Mix Exhibit'!$B$103,'Unit Mix'!$AH$6:$AH$62,'Unit Mix Exhibit'!$B109)</f>
        <v>0</v>
      </c>
      <c r="D109" s="878" t="e">
        <f>SUMIFS('Unit Mix'!$G$6:$G$62,'Unit Mix'!$D$6:$D$62,'Unit Mix Exhibit'!$B$103,'Unit Mix'!$AH$6:$AH$62,'Unit Mix Exhibit'!$B109)/C109</f>
        <v>#DIV/0!</v>
      </c>
      <c r="E109" s="879">
        <f>SUMIFS('Unit Mix'!$I$6:$I$62,'Unit Mix'!$D$6:$D$62,'Unit Mix Exhibit'!$B$103,'Unit Mix'!$AH$6:$AH$62,'Unit Mix Exhibit'!$B109)</f>
        <v>0</v>
      </c>
      <c r="F109" s="880" t="e">
        <f>E109/SUMIFS('Unit Mix'!$AA$6:$AA$62,'Unit Mix'!$D$6:$D$62,'Unit Mix Exhibit'!$B$103,'Unit Mix'!$AH$6:$AH$62,'Unit Mix Exhibit'!$B109)</f>
        <v>#DIV/0!</v>
      </c>
      <c r="G109" s="880">
        <f>SUMIFS('Unit Mix'!$O$6:$O$62,'Unit Mix'!$D$6:$D$62,'Unit Mix Exhibit'!$B$103,'Unit Mix'!$AH$6:$AH$62,'Unit Mix Exhibit'!$B109)</f>
        <v>0</v>
      </c>
      <c r="H109" s="880" t="e">
        <f t="shared" si="18"/>
        <v>#DIV/0!</v>
      </c>
      <c r="I109" s="880" t="e">
        <f t="shared" si="17"/>
        <v>#DIV/0!</v>
      </c>
      <c r="J109" s="890" t="e">
        <f t="shared" si="19"/>
        <v>#DIV/0!</v>
      </c>
    </row>
    <row r="110" spans="2:10" x14ac:dyDescent="0.25">
      <c r="B110" s="876" t="s">
        <v>1827</v>
      </c>
      <c r="C110" s="877">
        <f>SUMIFS('Unit Mix'!$F$6:$F$62,'Unit Mix'!$D$6:$D$62,'Unit Mix Exhibit'!$B$103,'Unit Mix'!$AH$6:$AH$62,'Unit Mix Exhibit'!$B110)</f>
        <v>0</v>
      </c>
      <c r="D110" s="878" t="e">
        <f>SUMIFS('Unit Mix'!$G$6:$G$62,'Unit Mix'!$D$6:$D$62,'Unit Mix Exhibit'!$B$103,'Unit Mix'!$AH$6:$AH$62,'Unit Mix Exhibit'!$B110)/C110</f>
        <v>#DIV/0!</v>
      </c>
      <c r="E110" s="879">
        <f>SUMIFS('Unit Mix'!$I$6:$I$62,'Unit Mix'!$D$6:$D$62,'Unit Mix Exhibit'!$B$103,'Unit Mix'!$AH$6:$AH$62,'Unit Mix Exhibit'!$B110)</f>
        <v>0</v>
      </c>
      <c r="F110" s="880" t="e">
        <f>E110/SUMIFS('Unit Mix'!$AA$6:$AA$62,'Unit Mix'!$D$6:$D$62,'Unit Mix Exhibit'!$B$103,'Unit Mix'!$AH$6:$AH$62,'Unit Mix Exhibit'!$B110)</f>
        <v>#DIV/0!</v>
      </c>
      <c r="G110" s="880">
        <f>SUMIFS('Unit Mix'!$O$6:$O$62,'Unit Mix'!$D$6:$D$62,'Unit Mix Exhibit'!$B$103,'Unit Mix'!$AH$6:$AH$62,'Unit Mix Exhibit'!$B110)</f>
        <v>0</v>
      </c>
      <c r="H110" s="880" t="e">
        <f t="shared" si="18"/>
        <v>#DIV/0!</v>
      </c>
      <c r="I110" s="880" t="e">
        <f t="shared" si="17"/>
        <v>#DIV/0!</v>
      </c>
      <c r="J110" s="890" t="e">
        <f t="shared" si="19"/>
        <v>#DIV/0!</v>
      </c>
    </row>
    <row r="111" spans="2:10" x14ac:dyDescent="0.25">
      <c r="B111" s="876" t="s">
        <v>1828</v>
      </c>
      <c r="C111" s="877">
        <f>SUMIFS('Unit Mix'!$F$6:$F$62,'Unit Mix'!$D$6:$D$62,'Unit Mix Exhibit'!$B$103,'Unit Mix'!$AH$6:$AH$62,'Unit Mix Exhibit'!$B111)</f>
        <v>0</v>
      </c>
      <c r="D111" s="878" t="e">
        <f>SUMIFS('Unit Mix'!$G$6:$G$62,'Unit Mix'!$D$6:$D$62,'Unit Mix Exhibit'!$B$103,'Unit Mix'!$AH$6:$AH$62,'Unit Mix Exhibit'!$B111)/C111</f>
        <v>#DIV/0!</v>
      </c>
      <c r="E111" s="879">
        <f>SUMIFS('Unit Mix'!$I$6:$I$62,'Unit Mix'!$D$6:$D$62,'Unit Mix Exhibit'!$B$103,'Unit Mix'!$AH$6:$AH$62,'Unit Mix Exhibit'!$B111)</f>
        <v>0</v>
      </c>
      <c r="F111" s="880" t="e">
        <f>E111/SUMIFS('Unit Mix'!$AA$6:$AA$62,'Unit Mix'!$D$6:$D$62,'Unit Mix Exhibit'!$B$103,'Unit Mix'!$AH$6:$AH$62,'Unit Mix Exhibit'!$B111)</f>
        <v>#DIV/0!</v>
      </c>
      <c r="G111" s="880">
        <f>SUMIFS('Unit Mix'!$O$6:$O$62,'Unit Mix'!$D$6:$D$62,'Unit Mix Exhibit'!$B$103,'Unit Mix'!$AH$6:$AH$62,'Unit Mix Exhibit'!$B111)</f>
        <v>0</v>
      </c>
      <c r="H111" s="880" t="e">
        <f t="shared" si="18"/>
        <v>#DIV/0!</v>
      </c>
      <c r="I111" s="880" t="e">
        <f t="shared" si="17"/>
        <v>#DIV/0!</v>
      </c>
      <c r="J111" s="890" t="e">
        <f t="shared" si="19"/>
        <v>#DIV/0!</v>
      </c>
    </row>
    <row r="112" spans="2:10" x14ac:dyDescent="0.25">
      <c r="B112" s="881" t="s">
        <v>1826</v>
      </c>
      <c r="C112" s="882">
        <f>SUM(C107:C111)</f>
        <v>0</v>
      </c>
      <c r="D112" s="883" t="str">
        <f>IFERROR(SUMPRODUCT(D107:D111,C107:C111)/C112,"Check rows")</f>
        <v>Check rows</v>
      </c>
      <c r="E112" s="884">
        <f>SUM(E107:E111)</f>
        <v>0</v>
      </c>
      <c r="F112" s="884" t="e">
        <f>'Unit Mix'!J68</f>
        <v>#DIV/0!</v>
      </c>
      <c r="G112" s="884">
        <f>SUM(G107:G111)</f>
        <v>0</v>
      </c>
      <c r="H112" s="884" t="str">
        <f>IFERROR(SUMPRODUCT($H107:$H111,$C107:$C111)/$C112,"Check rows")</f>
        <v>Check rows</v>
      </c>
      <c r="I112" s="885" t="e">
        <f t="shared" si="17"/>
        <v>#VALUE!</v>
      </c>
      <c r="J112" s="891" t="e">
        <f>SUM(J107:J111)</f>
        <v>#DIV/0!</v>
      </c>
    </row>
  </sheetData>
  <conditionalFormatting sqref="C8:I8">
    <cfRule type="expression" dxfId="1" priority="161">
      <formula>OR(ISNUMBER(SEARCH("Gross",$L8)), ISNUMBER(SEARCH("Total",$L8)))</formula>
    </cfRule>
    <cfRule type="expression" dxfId="0" priority="162">
      <formula>ISNUMBER(SEARCH("Net",$L8))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DBEA440FB8C4698A052DD020CEE36" ma:contentTypeVersion="13" ma:contentTypeDescription="Create a new document." ma:contentTypeScope="" ma:versionID="56d271bdcbd366224d74226cd33753b6">
  <xsd:schema xmlns:xsd="http://www.w3.org/2001/XMLSchema" xmlns:xs="http://www.w3.org/2001/XMLSchema" xmlns:p="http://schemas.microsoft.com/office/2006/metadata/properties" xmlns:ns2="3302d977-6703-4105-8351-cbf0b4a8f820" xmlns:ns3="7d24a21c-8b61-48c2-ba33-fd023bedb8d1" targetNamespace="http://schemas.microsoft.com/office/2006/metadata/properties" ma:root="true" ma:fieldsID="5fb1855d0e112fe875e81969bd01ba6d" ns2:_="" ns3:_="">
    <xsd:import namespace="3302d977-6703-4105-8351-cbf0b4a8f820"/>
    <xsd:import namespace="7d24a21c-8b61-48c2-ba33-fd023bedb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2d977-6703-4105-8351-cbf0b4a8f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e29e7da-7655-46ac-b1fd-a759b1be2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a21c-8b61-48c2-ba33-fd023bedb8d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5dfeb8a-ecfb-4217-9937-5c9950fae218}" ma:internalName="TaxCatchAll" ma:showField="CatchAllData" ma:web="7d24a21c-8b61-48c2-ba33-fd023bedb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24a21c-8b61-48c2-ba33-fd023bedb8d1" xsi:nil="true"/>
    <lcf76f155ced4ddcb4097134ff3c332f xmlns="3302d977-6703-4105-8351-cbf0b4a8f8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8687D-A20E-4E50-92DD-1C5C8147D5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98633-DAD9-4B31-A3AD-8981EFDDA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2d977-6703-4105-8351-cbf0b4a8f820"/>
    <ds:schemaRef ds:uri="7d24a21c-8b61-48c2-ba33-fd023bedb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37D52-05EF-4344-9989-849B5CF0399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7d24a21c-8b61-48c2-ba33-fd023bedb8d1"/>
    <ds:schemaRef ds:uri="3302d977-6703-4105-8351-cbf0b4a8f8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Exec Summ</vt:lpstr>
      <vt:lpstr>P&amp;Ls Summary</vt:lpstr>
      <vt:lpstr>10-Yr CF</vt:lpstr>
      <vt:lpstr>P&amp;Ls Detailed</vt:lpstr>
      <vt:lpstr>Unit Mix</vt:lpstr>
      <vt:lpstr>Exhibits--&gt;</vt:lpstr>
      <vt:lpstr>Tax-Assessor Info</vt:lpstr>
      <vt:lpstr>Recent Leases</vt:lpstr>
      <vt:lpstr>Rent Roll</vt:lpstr>
      <vt:lpstr>OneLineRR</vt:lpstr>
      <vt:lpstr>Lease Comps</vt:lpstr>
      <vt:lpstr>Sales Comps</vt:lpstr>
      <vt:lpstr>Valuation</vt:lpstr>
      <vt:lpstr>External UW</vt:lpstr>
      <vt:lpstr>Source--&gt;</vt:lpstr>
      <vt:lpstr>HVP RR</vt:lpstr>
      <vt:lpstr>HVP T12</vt:lpstr>
      <vt:lpstr>BOV_OM Exhibits&gt;&gt;&gt;</vt:lpstr>
      <vt:lpstr>Unit Mix Exhibit</vt:lpstr>
      <vt:lpstr>'10-Yr CF'!Print_Area</vt:lpstr>
      <vt:lpstr>'Exec Summ'!Print_Area</vt:lpstr>
      <vt:lpstr>'External UW'!Print_Area</vt:lpstr>
      <vt:lpstr>'Lease Comps'!Print_Area</vt:lpstr>
      <vt:lpstr>'P&amp;Ls Detailed'!Print_Area</vt:lpstr>
      <vt:lpstr>'P&amp;Ls Summary'!Print_Area</vt:lpstr>
      <vt:lpstr>'Recent Leases'!Print_Area</vt:lpstr>
      <vt:lpstr>'Rent Roll'!Print_Area</vt:lpstr>
      <vt:lpstr>'Sales Comps'!Print_Area</vt:lpstr>
      <vt:lpstr>'Tax-Assessor Info'!Print_Area</vt:lpstr>
      <vt:lpstr>'Unit Mix'!Print_Area</vt:lpstr>
      <vt:lpstr>Valuation!Print_Area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Grilli</dc:creator>
  <cp:keywords/>
  <dc:description/>
  <cp:lastModifiedBy>Rom Dagoy</cp:lastModifiedBy>
  <cp:revision/>
  <cp:lastPrinted>2025-11-05T00:03:03Z</cp:lastPrinted>
  <dcterms:created xsi:type="dcterms:W3CDTF">2015-06-05T18:17:20Z</dcterms:created>
  <dcterms:modified xsi:type="dcterms:W3CDTF">2026-08-20T14:59:53Z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0x0101000B4DBEA440FB8C4698A052DD020CEE36</vt:lpwstr>
  </property>
  <property fmtid="{D5CDD505-2E9C-101B-9397-08002B2CF9AE}" pid="3" name="MediaServiceImageTags">
    <vt:lpwstr/>
  </property>
  <property fmtid="{D5CDD505-2E9C-101B-9397-08002B2CF9AE}" pid="4" name="Num" linkTarget="Prop_Num">
    <vt:r8>0</vt:r8>
  </property>
  <property fmtid="{D5CDD505-2E9C-101B-9397-08002B2CF9AE}" pid="5" name="Mgmt_Fee" linkTarget="Prop_Mgmt_Fee">
    <vt:r8>0</vt:r8>
  </property>
  <property fmtid="{D5CDD505-2E9C-101B-9397-08002B2CF9AE}" pid="6" name="mgmt" linkTarget="prop_mgmt">
    <vt:r8>0</vt:r8>
  </property>
  <property fmtid="{D5CDD505-2E9C-101B-9397-08002B2CF9AE}" pid="7" name="13_calculation" linkTarget="prop_13_calculation">
    <vt:r8>0</vt:r8>
  </property>
  <property fmtid="{D5CDD505-2E9C-101B-9397-08002B2CF9AE}" pid="8" name="MGMT1" linkTarget="PROP_MGMT1">
    <vt:r8>0</vt:r8>
  </property>
  <property fmtid="{D5CDD505-2E9C-101B-9397-08002B2CF9AE}" pid="9" name="Order">
    <vt:r8>41421000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